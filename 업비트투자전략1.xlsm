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drawings/drawing4.xml" ContentType="application/vnd.openxmlformats-officedocument.drawing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5.xml" ContentType="application/vnd.openxmlformats-officedocument.drawing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drawings/drawing6.xml" ContentType="application/vnd.openxmlformats-officedocument.drawing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drawings/drawing7.xml" ContentType="application/vnd.openxmlformats-officedocument.drawing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drawings/drawing8.xml" ContentType="application/vnd.openxmlformats-officedocument.drawing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9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drawings/drawing10.xml" ContentType="application/vnd.openxmlformats-officedocument.drawing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drawings/drawing11.xml" ContentType="application/vnd.openxmlformats-officedocument.drawing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drawings/drawing12.xml" ContentType="application/vnd.openxmlformats-officedocument.drawing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drawings/drawing13.xml" ContentType="application/vnd.openxmlformats-officedocument.drawing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drawings/drawing14.xml" ContentType="application/vnd.openxmlformats-officedocument.drawing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drawings/drawing15.xml" ContentType="application/vnd.openxmlformats-officedocument.drawing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drawings/drawing16.xml" ContentType="application/vnd.openxmlformats-officedocument.drawing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drawings/drawing17.xml" ContentType="application/vnd.openxmlformats-officedocument.drawing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drawings/drawing18.xml" ContentType="application/vnd.openxmlformats-officedocument.drawing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drawings/drawing19.xml" ContentType="application/vnd.openxmlformats-officedocument.drawing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drawings/drawing20.xml" ContentType="application/vnd.openxmlformats-officedocument.drawing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YJ\Desktop\Researchers\조시훈\Upbit\"/>
    </mc:Choice>
  </mc:AlternateContent>
  <xr:revisionPtr revIDLastSave="0" documentId="13_ncr:1_{87DCFDFA-C856-459A-A82E-6B6CBD083223}" xr6:coauthVersionLast="46" xr6:coauthVersionMax="46" xr10:uidLastSave="{00000000-0000-0000-0000-000000000000}"/>
  <bookViews>
    <workbookView xWindow="28680" yWindow="-60" windowWidth="29040" windowHeight="15840" firstSheet="13" activeTab="19" xr2:uid="{84001018-8D18-43D5-9E5B-3D5CCF2C6061}"/>
  </bookViews>
  <sheets>
    <sheet name="투자전략1" sheetId="34" r:id="rId1"/>
    <sheet name="2021.04.02" sheetId="29" r:id="rId2"/>
    <sheet name="2021.04.03" sheetId="30" r:id="rId3"/>
    <sheet name="2021.04.04" sheetId="21" r:id="rId4"/>
    <sheet name="2021.04.05" sheetId="22" r:id="rId5"/>
    <sheet name="2021.04.06" sheetId="36" r:id="rId6"/>
    <sheet name="2021.04.07" sheetId="38" r:id="rId7"/>
    <sheet name="2021.04.08" sheetId="40" r:id="rId8"/>
    <sheet name="2021.04.09" sheetId="41" r:id="rId9"/>
    <sheet name="2021.04.10" sheetId="43" r:id="rId10"/>
    <sheet name="2021.04.11" sheetId="44" r:id="rId11"/>
    <sheet name="2021.04.12" sheetId="45" r:id="rId12"/>
    <sheet name="2021.04.13" sheetId="47" r:id="rId13"/>
    <sheet name="2021.04.14" sheetId="48" r:id="rId14"/>
    <sheet name="2021.04.15" sheetId="49" r:id="rId15"/>
    <sheet name="2021.04.16" sheetId="51" r:id="rId16"/>
    <sheet name="2021.04.17" sheetId="52" r:id="rId17"/>
    <sheet name="2021.04.18" sheetId="53" r:id="rId18"/>
    <sheet name="2021.04.19" sheetId="55" r:id="rId19"/>
    <sheet name="2021.04.20" sheetId="56" r:id="rId20"/>
    <sheet name="현재가테이블" sheetId="37" r:id="rId21"/>
  </sheets>
  <definedNames>
    <definedName name="_xlnm._FilterDatabase" localSheetId="1" hidden="1">'2021.04.02'!#REF!</definedName>
    <definedName name="_xlnm._FilterDatabase" localSheetId="2" hidden="1">'2021.04.03'!#REF!</definedName>
    <definedName name="_xlnm._FilterDatabase" localSheetId="3" hidden="1">'2021.04.04'!#REF!</definedName>
    <definedName name="_xlnm._FilterDatabase" localSheetId="4" hidden="1">'2021.04.05'!#REF!</definedName>
    <definedName name="_xlnm._FilterDatabase" localSheetId="5" hidden="1">'2021.04.06'!#REF!</definedName>
    <definedName name="_xlnm._FilterDatabase" localSheetId="6" hidden="1">'2021.04.07'!#REF!</definedName>
    <definedName name="_xlnm._FilterDatabase" localSheetId="7" hidden="1">'2021.04.08'!#REF!</definedName>
    <definedName name="_xlnm._FilterDatabase" localSheetId="8" hidden="1">'2021.04.09'!#REF!</definedName>
    <definedName name="_xlnm._FilterDatabase" localSheetId="9" hidden="1">'2021.04.10'!#REF!</definedName>
    <definedName name="_xlnm._FilterDatabase" localSheetId="10" hidden="1">'2021.04.11'!#REF!</definedName>
    <definedName name="_xlnm._FilterDatabase" localSheetId="11" hidden="1">'2021.04.12'!#REF!</definedName>
    <definedName name="_xlnm._FilterDatabase" localSheetId="12" hidden="1">'2021.04.13'!#REF!</definedName>
    <definedName name="_xlnm._FilterDatabase" localSheetId="13" hidden="1">'2021.04.14'!#REF!</definedName>
    <definedName name="_xlnm._FilterDatabase" localSheetId="14" hidden="1">'2021.04.15'!#REF!</definedName>
    <definedName name="_xlnm._FilterDatabase" localSheetId="15" hidden="1">'2021.04.16'!#REF!</definedName>
    <definedName name="_xlnm._FilterDatabase" localSheetId="16" hidden="1">'2021.04.17'!#REF!</definedName>
    <definedName name="_xlnm._FilterDatabase" localSheetId="17" hidden="1">'2021.04.18'!#REF!</definedName>
    <definedName name="_xlnm._FilterDatabase" localSheetId="18" hidden="1">'2021.04.19'!#REF!</definedName>
    <definedName name="_xlnm._FilterDatabase" localSheetId="19" hidden="1">'2021.04.20'!#REF!</definedName>
    <definedName name="_xlnm._FilterDatabase" localSheetId="0" hidden="1">투자전략1!#REF!</definedName>
    <definedName name="_xlnm._FilterDatabase" localSheetId="20" hidden="1">현재가테이블!$A$1:$D$200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6" i="56" l="1"/>
  <c r="K55" i="56"/>
  <c r="K51" i="56"/>
  <c r="K36" i="56"/>
  <c r="K40" i="55"/>
  <c r="K36" i="55"/>
  <c r="O111" i="56"/>
  <c r="N111" i="56"/>
  <c r="O110" i="56"/>
  <c r="N110" i="56"/>
  <c r="O109" i="56"/>
  <c r="N109" i="56"/>
  <c r="O108" i="56"/>
  <c r="N108" i="56"/>
  <c r="K108" i="56"/>
  <c r="K23" i="56" s="1"/>
  <c r="O107" i="56"/>
  <c r="N107" i="56"/>
  <c r="O106" i="56"/>
  <c r="N106" i="56"/>
  <c r="O105" i="56"/>
  <c r="N105" i="56"/>
  <c r="O104" i="56"/>
  <c r="N104" i="56"/>
  <c r="K104" i="56"/>
  <c r="L104" i="56" s="1"/>
  <c r="L19" i="56" s="1"/>
  <c r="O103" i="56"/>
  <c r="N103" i="56"/>
  <c r="O102" i="56"/>
  <c r="O112" i="56" s="1"/>
  <c r="N102" i="56"/>
  <c r="N112" i="56" s="1"/>
  <c r="M99" i="56"/>
  <c r="G99" i="56"/>
  <c r="O94" i="56"/>
  <c r="N94" i="56"/>
  <c r="O93" i="56"/>
  <c r="N93" i="56"/>
  <c r="O92" i="56"/>
  <c r="N92" i="56"/>
  <c r="O91" i="56"/>
  <c r="N91" i="56"/>
  <c r="O90" i="56"/>
  <c r="N90" i="56"/>
  <c r="O89" i="56"/>
  <c r="N89" i="56"/>
  <c r="O88" i="56"/>
  <c r="N88" i="56"/>
  <c r="O87" i="56"/>
  <c r="N87" i="56"/>
  <c r="O86" i="56"/>
  <c r="N86" i="56"/>
  <c r="O85" i="56"/>
  <c r="O95" i="56" s="1"/>
  <c r="N85" i="56"/>
  <c r="N95" i="56" s="1"/>
  <c r="M82" i="56"/>
  <c r="G82" i="56"/>
  <c r="O77" i="56"/>
  <c r="N77" i="56"/>
  <c r="O76" i="56"/>
  <c r="N76" i="56"/>
  <c r="O75" i="56"/>
  <c r="N75" i="56"/>
  <c r="O74" i="56"/>
  <c r="N74" i="56"/>
  <c r="O73" i="56"/>
  <c r="N73" i="56"/>
  <c r="O72" i="56"/>
  <c r="N72" i="56"/>
  <c r="O71" i="56"/>
  <c r="N71" i="56"/>
  <c r="O70" i="56"/>
  <c r="N70" i="56"/>
  <c r="O69" i="56"/>
  <c r="N69" i="56"/>
  <c r="O68" i="56"/>
  <c r="O78" i="56" s="1"/>
  <c r="N68" i="56"/>
  <c r="N78" i="56" s="1"/>
  <c r="M65" i="56"/>
  <c r="G65" i="56"/>
  <c r="O60" i="56"/>
  <c r="N60" i="56"/>
  <c r="L60" i="56"/>
  <c r="K60" i="56"/>
  <c r="I60" i="56"/>
  <c r="H60" i="56"/>
  <c r="F60" i="56"/>
  <c r="E60" i="56"/>
  <c r="O59" i="56"/>
  <c r="N59" i="56"/>
  <c r="L59" i="56"/>
  <c r="K59" i="56"/>
  <c r="I59" i="56"/>
  <c r="H59" i="56"/>
  <c r="F59" i="56"/>
  <c r="E59" i="56"/>
  <c r="O58" i="56"/>
  <c r="N58" i="56"/>
  <c r="O57" i="56"/>
  <c r="N57" i="56"/>
  <c r="O56" i="56"/>
  <c r="N56" i="56"/>
  <c r="O55" i="56"/>
  <c r="N55" i="56"/>
  <c r="L55" i="56"/>
  <c r="O54" i="56"/>
  <c r="N54" i="56"/>
  <c r="O53" i="56"/>
  <c r="N53" i="56"/>
  <c r="O52" i="56"/>
  <c r="N52" i="56"/>
  <c r="O51" i="56"/>
  <c r="O61" i="56" s="1"/>
  <c r="N51" i="56"/>
  <c r="N61" i="56" s="1"/>
  <c r="M48" i="56"/>
  <c r="G48" i="56"/>
  <c r="O43" i="56"/>
  <c r="N43" i="56"/>
  <c r="O42" i="56"/>
  <c r="N42" i="56"/>
  <c r="O41" i="56"/>
  <c r="N41" i="56"/>
  <c r="O40" i="56"/>
  <c r="N40" i="56"/>
  <c r="K40" i="56"/>
  <c r="L40" i="56" s="1"/>
  <c r="O39" i="56"/>
  <c r="N39" i="56"/>
  <c r="O38" i="56"/>
  <c r="N38" i="56"/>
  <c r="O37" i="56"/>
  <c r="N37" i="56"/>
  <c r="O36" i="56"/>
  <c r="N36" i="56"/>
  <c r="O35" i="56"/>
  <c r="N35" i="56"/>
  <c r="O34" i="56"/>
  <c r="O44" i="56" s="1"/>
  <c r="N34" i="56"/>
  <c r="N44" i="56" s="1"/>
  <c r="M31" i="56"/>
  <c r="G31" i="56"/>
  <c r="O26" i="56"/>
  <c r="N26" i="56"/>
  <c r="M26" i="56"/>
  <c r="C26" i="56"/>
  <c r="B26" i="56"/>
  <c r="O25" i="56"/>
  <c r="N25" i="56"/>
  <c r="M25" i="56"/>
  <c r="C25" i="56"/>
  <c r="B25" i="56"/>
  <c r="O24" i="56"/>
  <c r="N24" i="56"/>
  <c r="M24" i="56"/>
  <c r="C24" i="56"/>
  <c r="B24" i="56"/>
  <c r="O23" i="56"/>
  <c r="N23" i="56"/>
  <c r="M23" i="56"/>
  <c r="J23" i="56"/>
  <c r="C23" i="56"/>
  <c r="B23" i="56"/>
  <c r="O22" i="56"/>
  <c r="N22" i="56"/>
  <c r="M22" i="56"/>
  <c r="C22" i="56"/>
  <c r="B22" i="56"/>
  <c r="O21" i="56"/>
  <c r="N21" i="56"/>
  <c r="M21" i="56"/>
  <c r="C21" i="56"/>
  <c r="B21" i="56"/>
  <c r="O20" i="56"/>
  <c r="N20" i="56"/>
  <c r="M20" i="56"/>
  <c r="C20" i="56"/>
  <c r="B20" i="56"/>
  <c r="O19" i="56"/>
  <c r="N19" i="56"/>
  <c r="M19" i="56"/>
  <c r="K19" i="56"/>
  <c r="J19" i="56"/>
  <c r="C19" i="56"/>
  <c r="B19" i="56"/>
  <c r="O18" i="56"/>
  <c r="N18" i="56"/>
  <c r="M18" i="56"/>
  <c r="C18" i="56"/>
  <c r="B18" i="56"/>
  <c r="O17" i="56"/>
  <c r="N17" i="56"/>
  <c r="M17" i="56"/>
  <c r="C17" i="56"/>
  <c r="B17" i="56"/>
  <c r="M14" i="56"/>
  <c r="G14" i="56"/>
  <c r="E39" i="55"/>
  <c r="E35" i="55"/>
  <c r="M99" i="55"/>
  <c r="G99" i="55"/>
  <c r="M82" i="55"/>
  <c r="G82" i="55"/>
  <c r="H74" i="55"/>
  <c r="I74" i="55" s="1"/>
  <c r="H70" i="55"/>
  <c r="I70" i="55" s="1"/>
  <c r="M65" i="55"/>
  <c r="G65" i="55"/>
  <c r="O60" i="55"/>
  <c r="N60" i="55"/>
  <c r="L60" i="55"/>
  <c r="K60" i="55"/>
  <c r="I60" i="55"/>
  <c r="H60" i="55"/>
  <c r="F60" i="55"/>
  <c r="E60" i="55"/>
  <c r="O59" i="55"/>
  <c r="N59" i="55"/>
  <c r="L59" i="55"/>
  <c r="K59" i="55"/>
  <c r="F59" i="55"/>
  <c r="E59" i="55"/>
  <c r="M48" i="55"/>
  <c r="G48" i="55"/>
  <c r="M31" i="55"/>
  <c r="G31" i="55"/>
  <c r="C26" i="55"/>
  <c r="B26" i="55"/>
  <c r="C25" i="55"/>
  <c r="B25" i="55"/>
  <c r="C24" i="55"/>
  <c r="B24" i="55"/>
  <c r="C23" i="55"/>
  <c r="B23" i="55"/>
  <c r="C22" i="55"/>
  <c r="B22" i="55"/>
  <c r="C21" i="55"/>
  <c r="B21" i="55"/>
  <c r="C20" i="55"/>
  <c r="B20" i="55"/>
  <c r="C19" i="55"/>
  <c r="B19" i="55"/>
  <c r="C18" i="55"/>
  <c r="B18" i="55"/>
  <c r="C17" i="55"/>
  <c r="B17" i="55"/>
  <c r="M14" i="55"/>
  <c r="G14" i="55"/>
  <c r="M99" i="53"/>
  <c r="G99" i="53"/>
  <c r="M82" i="53"/>
  <c r="G82" i="53"/>
  <c r="M65" i="53"/>
  <c r="G65" i="53"/>
  <c r="O60" i="53"/>
  <c r="N60" i="53"/>
  <c r="L60" i="53"/>
  <c r="K60" i="53"/>
  <c r="I60" i="53"/>
  <c r="H60" i="53"/>
  <c r="F60" i="53"/>
  <c r="E60" i="53"/>
  <c r="O59" i="53"/>
  <c r="N59" i="53"/>
  <c r="L59" i="53"/>
  <c r="K59" i="53"/>
  <c r="I59" i="53"/>
  <c r="H59" i="53"/>
  <c r="F59" i="53"/>
  <c r="E59" i="53"/>
  <c r="O58" i="53"/>
  <c r="N58" i="53"/>
  <c r="L58" i="53"/>
  <c r="K58" i="53"/>
  <c r="I58" i="53"/>
  <c r="H58" i="53"/>
  <c r="F58" i="53"/>
  <c r="E58" i="53"/>
  <c r="O57" i="53"/>
  <c r="N57" i="53"/>
  <c r="L57" i="53"/>
  <c r="K57" i="53"/>
  <c r="I57" i="53"/>
  <c r="H57" i="53"/>
  <c r="F57" i="53"/>
  <c r="E57" i="53"/>
  <c r="O56" i="53"/>
  <c r="N56" i="53"/>
  <c r="L56" i="53"/>
  <c r="K56" i="53"/>
  <c r="I56" i="53"/>
  <c r="H56" i="53"/>
  <c r="F56" i="53"/>
  <c r="E56" i="53"/>
  <c r="M48" i="53"/>
  <c r="G48" i="53"/>
  <c r="M31" i="53"/>
  <c r="G31" i="53"/>
  <c r="C26" i="53"/>
  <c r="B26" i="53"/>
  <c r="C25" i="53"/>
  <c r="B25" i="53"/>
  <c r="C24" i="53"/>
  <c r="B24" i="53"/>
  <c r="C23" i="53"/>
  <c r="B23" i="53"/>
  <c r="C22" i="53"/>
  <c r="B22" i="53"/>
  <c r="C21" i="53"/>
  <c r="B21" i="53"/>
  <c r="C20" i="53"/>
  <c r="B20" i="53"/>
  <c r="C19" i="53"/>
  <c r="B19" i="53"/>
  <c r="C18" i="53"/>
  <c r="B18" i="53"/>
  <c r="C17" i="53"/>
  <c r="B17" i="53"/>
  <c r="M14" i="53"/>
  <c r="G14" i="53"/>
  <c r="M99" i="52"/>
  <c r="G99" i="52"/>
  <c r="M82" i="52"/>
  <c r="G82" i="52"/>
  <c r="M65" i="52"/>
  <c r="G65" i="52"/>
  <c r="O60" i="52"/>
  <c r="N60" i="52"/>
  <c r="L60" i="52"/>
  <c r="K60" i="52"/>
  <c r="I60" i="52"/>
  <c r="H60" i="52"/>
  <c r="F60" i="52"/>
  <c r="E60" i="52"/>
  <c r="O59" i="52"/>
  <c r="N59" i="52"/>
  <c r="L59" i="52"/>
  <c r="K59" i="52"/>
  <c r="I59" i="52"/>
  <c r="H59" i="52"/>
  <c r="F59" i="52"/>
  <c r="E59" i="52"/>
  <c r="O58" i="52"/>
  <c r="N58" i="52"/>
  <c r="L58" i="52"/>
  <c r="K58" i="52"/>
  <c r="I58" i="52"/>
  <c r="H58" i="52"/>
  <c r="F58" i="52"/>
  <c r="E58" i="52"/>
  <c r="M48" i="52"/>
  <c r="G48" i="52"/>
  <c r="M31" i="52"/>
  <c r="G31" i="52"/>
  <c r="C26" i="52"/>
  <c r="B26" i="52"/>
  <c r="C25" i="52"/>
  <c r="B25" i="52"/>
  <c r="C24" i="52"/>
  <c r="B24" i="52"/>
  <c r="C23" i="52"/>
  <c r="B23" i="52"/>
  <c r="C22" i="52"/>
  <c r="B22" i="52"/>
  <c r="C21" i="52"/>
  <c r="B21" i="52"/>
  <c r="C20" i="52"/>
  <c r="B20" i="52"/>
  <c r="C19" i="52"/>
  <c r="B19" i="52"/>
  <c r="C18" i="52"/>
  <c r="B18" i="52"/>
  <c r="C17" i="52"/>
  <c r="B17" i="52"/>
  <c r="M14" i="52"/>
  <c r="G14" i="52"/>
  <c r="M99" i="51"/>
  <c r="G99" i="51"/>
  <c r="M82" i="51"/>
  <c r="G82" i="51"/>
  <c r="M65" i="51"/>
  <c r="G65" i="51"/>
  <c r="O60" i="51"/>
  <c r="N60" i="51"/>
  <c r="L60" i="51"/>
  <c r="K60" i="51"/>
  <c r="I60" i="51"/>
  <c r="H60" i="51"/>
  <c r="F60" i="51"/>
  <c r="E60" i="51"/>
  <c r="O59" i="51"/>
  <c r="N59" i="51"/>
  <c r="L59" i="51"/>
  <c r="K59" i="51"/>
  <c r="I59" i="51"/>
  <c r="H59" i="51"/>
  <c r="F59" i="51"/>
  <c r="E59" i="51"/>
  <c r="O58" i="51"/>
  <c r="N58" i="51"/>
  <c r="L58" i="51"/>
  <c r="K58" i="51"/>
  <c r="I58" i="51"/>
  <c r="H58" i="51"/>
  <c r="F58" i="51"/>
  <c r="E58" i="51"/>
  <c r="O57" i="51"/>
  <c r="N57" i="51"/>
  <c r="L57" i="51"/>
  <c r="K57" i="51"/>
  <c r="I57" i="51"/>
  <c r="H57" i="51"/>
  <c r="F57" i="51"/>
  <c r="E57" i="51"/>
  <c r="M48" i="51"/>
  <c r="G48" i="51"/>
  <c r="M31" i="51"/>
  <c r="G31" i="51"/>
  <c r="C26" i="51"/>
  <c r="B26" i="51"/>
  <c r="C25" i="51"/>
  <c r="B25" i="51"/>
  <c r="C24" i="51"/>
  <c r="B24" i="51"/>
  <c r="C23" i="51"/>
  <c r="B23" i="51"/>
  <c r="C22" i="51"/>
  <c r="B22" i="51"/>
  <c r="C21" i="51"/>
  <c r="B21" i="51"/>
  <c r="C20" i="51"/>
  <c r="B20" i="51"/>
  <c r="C19" i="51"/>
  <c r="B19" i="51"/>
  <c r="C18" i="51"/>
  <c r="B18" i="51"/>
  <c r="C17" i="51"/>
  <c r="B17" i="51"/>
  <c r="M14" i="51"/>
  <c r="G14" i="51"/>
  <c r="E53" i="49"/>
  <c r="M22" i="48"/>
  <c r="M99" i="49"/>
  <c r="G99" i="49"/>
  <c r="M82" i="49"/>
  <c r="G82" i="49"/>
  <c r="M65" i="49"/>
  <c r="G65" i="49"/>
  <c r="O60" i="49"/>
  <c r="N60" i="49"/>
  <c r="L60" i="49"/>
  <c r="K60" i="49"/>
  <c r="I60" i="49"/>
  <c r="H60" i="49"/>
  <c r="F60" i="49"/>
  <c r="E60" i="49"/>
  <c r="O59" i="49"/>
  <c r="N59" i="49"/>
  <c r="L59" i="49"/>
  <c r="K59" i="49"/>
  <c r="I59" i="49"/>
  <c r="H59" i="49"/>
  <c r="F59" i="49"/>
  <c r="E59" i="49"/>
  <c r="O58" i="49"/>
  <c r="N58" i="49"/>
  <c r="L58" i="49"/>
  <c r="K58" i="49"/>
  <c r="I58" i="49"/>
  <c r="H58" i="49"/>
  <c r="F58" i="49"/>
  <c r="E58" i="49"/>
  <c r="O57" i="49"/>
  <c r="N57" i="49"/>
  <c r="L57" i="49"/>
  <c r="K57" i="49"/>
  <c r="I57" i="49"/>
  <c r="H57" i="49"/>
  <c r="F57" i="49"/>
  <c r="E57" i="49"/>
  <c r="M48" i="49"/>
  <c r="G48" i="49"/>
  <c r="M31" i="49"/>
  <c r="G31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C26" i="49"/>
  <c r="B26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C25" i="49"/>
  <c r="B25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C24" i="49"/>
  <c r="B24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C23" i="49"/>
  <c r="B23" i="49"/>
  <c r="C22" i="49"/>
  <c r="B22" i="49"/>
  <c r="C21" i="49"/>
  <c r="B21" i="49"/>
  <c r="C20" i="49"/>
  <c r="B20" i="49"/>
  <c r="C19" i="49"/>
  <c r="B19" i="49"/>
  <c r="C18" i="49"/>
  <c r="B18" i="49"/>
  <c r="C17" i="49"/>
  <c r="B17" i="49"/>
  <c r="M14" i="49"/>
  <c r="G14" i="49"/>
  <c r="M99" i="48"/>
  <c r="G99" i="48"/>
  <c r="M82" i="48"/>
  <c r="G82" i="48"/>
  <c r="M65" i="48"/>
  <c r="G65" i="48"/>
  <c r="O60" i="48"/>
  <c r="N60" i="48"/>
  <c r="L60" i="48"/>
  <c r="K60" i="48"/>
  <c r="I60" i="48"/>
  <c r="H60" i="48"/>
  <c r="F60" i="48"/>
  <c r="E60" i="48"/>
  <c r="O59" i="48"/>
  <c r="N59" i="48"/>
  <c r="L59" i="48"/>
  <c r="K59" i="48"/>
  <c r="I59" i="48"/>
  <c r="H59" i="48"/>
  <c r="F59" i="48"/>
  <c r="E59" i="48"/>
  <c r="O58" i="48"/>
  <c r="N58" i="48"/>
  <c r="L58" i="48"/>
  <c r="K58" i="48"/>
  <c r="I58" i="48"/>
  <c r="H58" i="48"/>
  <c r="F58" i="48"/>
  <c r="E58" i="48"/>
  <c r="O57" i="48"/>
  <c r="N57" i="48"/>
  <c r="L57" i="48"/>
  <c r="K57" i="48"/>
  <c r="I57" i="48"/>
  <c r="H57" i="48"/>
  <c r="F57" i="48"/>
  <c r="E57" i="48"/>
  <c r="M48" i="48"/>
  <c r="G48" i="48"/>
  <c r="N40" i="48"/>
  <c r="O40" i="48" s="1"/>
  <c r="N36" i="48"/>
  <c r="O36" i="48" s="1"/>
  <c r="M31" i="48"/>
  <c r="G31" i="48"/>
  <c r="C26" i="48"/>
  <c r="B26" i="48"/>
  <c r="C25" i="48"/>
  <c r="B25" i="48"/>
  <c r="C24" i="48"/>
  <c r="B24" i="48"/>
  <c r="C23" i="48"/>
  <c r="B23" i="48"/>
  <c r="C22" i="48"/>
  <c r="B22" i="48"/>
  <c r="C21" i="48"/>
  <c r="B21" i="48"/>
  <c r="C20" i="48"/>
  <c r="B20" i="48"/>
  <c r="C19" i="48"/>
  <c r="B19" i="48"/>
  <c r="C18" i="48"/>
  <c r="B18" i="48"/>
  <c r="C17" i="48"/>
  <c r="B17" i="48"/>
  <c r="M14" i="48"/>
  <c r="G14" i="48"/>
  <c r="K74" i="47"/>
  <c r="K70" i="47"/>
  <c r="K24" i="47" s="1"/>
  <c r="E43" i="47"/>
  <c r="E39" i="47"/>
  <c r="E35" i="47"/>
  <c r="M99" i="47"/>
  <c r="G99" i="47"/>
  <c r="M82" i="47"/>
  <c r="G82" i="47"/>
  <c r="L70" i="47"/>
  <c r="L24" i="47" s="1"/>
  <c r="M65" i="47"/>
  <c r="G65" i="47"/>
  <c r="O60" i="47"/>
  <c r="N60" i="47"/>
  <c r="L60" i="47"/>
  <c r="K60" i="47"/>
  <c r="I60" i="47"/>
  <c r="H60" i="47"/>
  <c r="F60" i="47"/>
  <c r="E60" i="47"/>
  <c r="O59" i="47"/>
  <c r="N59" i="47"/>
  <c r="L59" i="47"/>
  <c r="K59" i="47"/>
  <c r="I59" i="47"/>
  <c r="H59" i="47"/>
  <c r="F59" i="47"/>
  <c r="E59" i="47"/>
  <c r="O58" i="47"/>
  <c r="N58" i="47"/>
  <c r="L58" i="47"/>
  <c r="K58" i="47"/>
  <c r="I58" i="47"/>
  <c r="H58" i="47"/>
  <c r="F58" i="47"/>
  <c r="E58" i="47"/>
  <c r="O57" i="47"/>
  <c r="N57" i="47"/>
  <c r="L57" i="47"/>
  <c r="K57" i="47"/>
  <c r="I57" i="47"/>
  <c r="H57" i="47"/>
  <c r="F57" i="47"/>
  <c r="E57" i="47"/>
  <c r="M48" i="47"/>
  <c r="G48" i="47"/>
  <c r="F43" i="47"/>
  <c r="F39" i="47"/>
  <c r="F35" i="47"/>
  <c r="M31" i="47"/>
  <c r="G31" i="47"/>
  <c r="C26" i="47"/>
  <c r="B26" i="47"/>
  <c r="C25" i="47"/>
  <c r="B25" i="47"/>
  <c r="J24" i="47"/>
  <c r="C24" i="47"/>
  <c r="B24" i="47"/>
  <c r="C23" i="47"/>
  <c r="B23" i="47"/>
  <c r="C22" i="47"/>
  <c r="B22" i="47"/>
  <c r="C21" i="47"/>
  <c r="B21" i="47"/>
  <c r="C20" i="47"/>
  <c r="B20" i="47"/>
  <c r="C19" i="47"/>
  <c r="B19" i="47"/>
  <c r="C18" i="47"/>
  <c r="B18" i="47"/>
  <c r="C17" i="47"/>
  <c r="B17" i="47"/>
  <c r="M14" i="47"/>
  <c r="G14" i="47"/>
  <c r="M99" i="45"/>
  <c r="G99" i="45"/>
  <c r="M82" i="45"/>
  <c r="G82" i="45"/>
  <c r="M65" i="45"/>
  <c r="G65" i="45"/>
  <c r="O60" i="45"/>
  <c r="N60" i="45"/>
  <c r="L60" i="45"/>
  <c r="K60" i="45"/>
  <c r="I60" i="45"/>
  <c r="H60" i="45"/>
  <c r="F60" i="45"/>
  <c r="E60" i="45"/>
  <c r="O59" i="45"/>
  <c r="N59" i="45"/>
  <c r="L59" i="45"/>
  <c r="K59" i="45"/>
  <c r="I59" i="45"/>
  <c r="H59" i="45"/>
  <c r="F59" i="45"/>
  <c r="E59" i="45"/>
  <c r="O58" i="45"/>
  <c r="N58" i="45"/>
  <c r="L58" i="45"/>
  <c r="K58" i="45"/>
  <c r="I58" i="45"/>
  <c r="H58" i="45"/>
  <c r="F58" i="45"/>
  <c r="E58" i="45"/>
  <c r="O57" i="45"/>
  <c r="N57" i="45"/>
  <c r="L57" i="45"/>
  <c r="K57" i="45"/>
  <c r="I57" i="45"/>
  <c r="H57" i="45"/>
  <c r="F57" i="45"/>
  <c r="E57" i="45"/>
  <c r="M48" i="45"/>
  <c r="G48" i="45"/>
  <c r="M31" i="45"/>
  <c r="G31" i="45"/>
  <c r="C26" i="45"/>
  <c r="B26" i="45"/>
  <c r="C25" i="45"/>
  <c r="B25" i="45"/>
  <c r="C24" i="45"/>
  <c r="B24" i="45"/>
  <c r="C23" i="45"/>
  <c r="B23" i="45"/>
  <c r="C22" i="45"/>
  <c r="B22" i="45"/>
  <c r="C21" i="45"/>
  <c r="B21" i="45"/>
  <c r="C20" i="45"/>
  <c r="B20" i="45"/>
  <c r="C19" i="45"/>
  <c r="B19" i="45"/>
  <c r="C18" i="45"/>
  <c r="B18" i="45"/>
  <c r="C17" i="45"/>
  <c r="B17" i="45"/>
  <c r="M14" i="45"/>
  <c r="G14" i="45"/>
  <c r="M99" i="44"/>
  <c r="G99" i="44"/>
  <c r="O94" i="44"/>
  <c r="N94" i="44"/>
  <c r="L94" i="44"/>
  <c r="K94" i="44"/>
  <c r="I94" i="44"/>
  <c r="H94" i="44"/>
  <c r="F94" i="44"/>
  <c r="E94" i="44"/>
  <c r="O93" i="44"/>
  <c r="N93" i="44"/>
  <c r="L93" i="44"/>
  <c r="K93" i="44"/>
  <c r="I93" i="44"/>
  <c r="H93" i="44"/>
  <c r="F93" i="44"/>
  <c r="E93" i="44"/>
  <c r="O92" i="44"/>
  <c r="N92" i="44"/>
  <c r="L92" i="44"/>
  <c r="K92" i="44"/>
  <c r="I92" i="44"/>
  <c r="H92" i="44"/>
  <c r="F92" i="44"/>
  <c r="E92" i="44"/>
  <c r="O91" i="44"/>
  <c r="N91" i="44"/>
  <c r="L91" i="44"/>
  <c r="K91" i="44"/>
  <c r="I91" i="44"/>
  <c r="H91" i="44"/>
  <c r="F91" i="44"/>
  <c r="E91" i="44"/>
  <c r="O90" i="44"/>
  <c r="N90" i="44"/>
  <c r="L90" i="44"/>
  <c r="K90" i="44"/>
  <c r="I90" i="44"/>
  <c r="H90" i="44"/>
  <c r="F90" i="44"/>
  <c r="E90" i="44"/>
  <c r="O89" i="44"/>
  <c r="N89" i="44"/>
  <c r="L89" i="44"/>
  <c r="K89" i="44"/>
  <c r="I89" i="44"/>
  <c r="H89" i="44"/>
  <c r="F89" i="44"/>
  <c r="E89" i="44"/>
  <c r="M82" i="44"/>
  <c r="G82" i="44"/>
  <c r="M65" i="44"/>
  <c r="G65" i="44"/>
  <c r="O60" i="44"/>
  <c r="N60" i="44"/>
  <c r="L60" i="44"/>
  <c r="K60" i="44"/>
  <c r="I60" i="44"/>
  <c r="H60" i="44"/>
  <c r="F60" i="44"/>
  <c r="E60" i="44"/>
  <c r="O59" i="44"/>
  <c r="N59" i="44"/>
  <c r="L59" i="44"/>
  <c r="K59" i="44"/>
  <c r="I59" i="44"/>
  <c r="H59" i="44"/>
  <c r="F59" i="44"/>
  <c r="E59" i="44"/>
  <c r="O58" i="44"/>
  <c r="N58" i="44"/>
  <c r="L58" i="44"/>
  <c r="K58" i="44"/>
  <c r="I58" i="44"/>
  <c r="H58" i="44"/>
  <c r="F58" i="44"/>
  <c r="E58" i="44"/>
  <c r="O57" i="44"/>
  <c r="N57" i="44"/>
  <c r="L57" i="44"/>
  <c r="K57" i="44"/>
  <c r="I57" i="44"/>
  <c r="H57" i="44"/>
  <c r="F57" i="44"/>
  <c r="E57" i="44"/>
  <c r="M48" i="44"/>
  <c r="G48" i="44"/>
  <c r="M31" i="44"/>
  <c r="G31" i="44"/>
  <c r="C26" i="44"/>
  <c r="B26" i="44"/>
  <c r="C25" i="44"/>
  <c r="B25" i="44"/>
  <c r="C24" i="44"/>
  <c r="B24" i="44"/>
  <c r="C23" i="44"/>
  <c r="B23" i="44"/>
  <c r="C22" i="44"/>
  <c r="B22" i="44"/>
  <c r="C21" i="44"/>
  <c r="B21" i="44"/>
  <c r="C20" i="44"/>
  <c r="B20" i="44"/>
  <c r="C19" i="44"/>
  <c r="B19" i="44"/>
  <c r="C18" i="44"/>
  <c r="B18" i="44"/>
  <c r="C17" i="44"/>
  <c r="B17" i="44"/>
  <c r="M14" i="44"/>
  <c r="G14" i="44"/>
  <c r="M99" i="43"/>
  <c r="G99" i="43"/>
  <c r="O94" i="43"/>
  <c r="N94" i="43"/>
  <c r="L94" i="43"/>
  <c r="K94" i="43"/>
  <c r="I94" i="43"/>
  <c r="H94" i="43"/>
  <c r="F94" i="43"/>
  <c r="E94" i="43"/>
  <c r="M82" i="43"/>
  <c r="G82" i="43"/>
  <c r="M65" i="43"/>
  <c r="G65" i="43"/>
  <c r="O60" i="43"/>
  <c r="N60" i="43"/>
  <c r="L60" i="43"/>
  <c r="K60" i="43"/>
  <c r="I60" i="43"/>
  <c r="H60" i="43"/>
  <c r="F60" i="43"/>
  <c r="E60" i="43"/>
  <c r="O59" i="43"/>
  <c r="N59" i="43"/>
  <c r="L59" i="43"/>
  <c r="K59" i="43"/>
  <c r="I59" i="43"/>
  <c r="H59" i="43"/>
  <c r="F59" i="43"/>
  <c r="E59" i="43"/>
  <c r="O58" i="43"/>
  <c r="N58" i="43"/>
  <c r="L58" i="43"/>
  <c r="K58" i="43"/>
  <c r="I58" i="43"/>
  <c r="H58" i="43"/>
  <c r="F58" i="43"/>
  <c r="E58" i="43"/>
  <c r="O57" i="43"/>
  <c r="N57" i="43"/>
  <c r="L57" i="43"/>
  <c r="K57" i="43"/>
  <c r="I57" i="43"/>
  <c r="H57" i="43"/>
  <c r="F57" i="43"/>
  <c r="E57" i="43"/>
  <c r="O56" i="43"/>
  <c r="N56" i="43"/>
  <c r="L56" i="43"/>
  <c r="K56" i="43"/>
  <c r="I56" i="43"/>
  <c r="H56" i="43"/>
  <c r="F56" i="43"/>
  <c r="E56" i="43"/>
  <c r="O55" i="43"/>
  <c r="N55" i="43"/>
  <c r="L55" i="43"/>
  <c r="K55" i="43"/>
  <c r="I55" i="43"/>
  <c r="H55" i="43"/>
  <c r="F55" i="43"/>
  <c r="E55" i="43"/>
  <c r="O54" i="43"/>
  <c r="N54" i="43"/>
  <c r="L54" i="43"/>
  <c r="K54" i="43"/>
  <c r="I54" i="43"/>
  <c r="H54" i="43"/>
  <c r="F54" i="43"/>
  <c r="E54" i="43"/>
  <c r="O53" i="43"/>
  <c r="N53" i="43"/>
  <c r="L53" i="43"/>
  <c r="K53" i="43"/>
  <c r="I53" i="43"/>
  <c r="H53" i="43"/>
  <c r="F53" i="43"/>
  <c r="E53" i="43"/>
  <c r="O52" i="43"/>
  <c r="N52" i="43"/>
  <c r="L52" i="43"/>
  <c r="K52" i="43"/>
  <c r="I52" i="43"/>
  <c r="H52" i="43"/>
  <c r="F52" i="43"/>
  <c r="E52" i="43"/>
  <c r="M48" i="43"/>
  <c r="G48" i="43"/>
  <c r="O43" i="43"/>
  <c r="N43" i="43"/>
  <c r="L43" i="43"/>
  <c r="K43" i="43"/>
  <c r="I43" i="43"/>
  <c r="H43" i="43"/>
  <c r="F43" i="43"/>
  <c r="E43" i="43"/>
  <c r="O42" i="43"/>
  <c r="N42" i="43"/>
  <c r="L42" i="43"/>
  <c r="K42" i="43"/>
  <c r="I42" i="43"/>
  <c r="H42" i="43"/>
  <c r="F42" i="43"/>
  <c r="E42" i="43"/>
  <c r="O41" i="43"/>
  <c r="N41" i="43"/>
  <c r="L41" i="43"/>
  <c r="K41" i="43"/>
  <c r="I41" i="43"/>
  <c r="H41" i="43"/>
  <c r="F41" i="43"/>
  <c r="E41" i="43"/>
  <c r="O40" i="43"/>
  <c r="N40" i="43"/>
  <c r="L40" i="43"/>
  <c r="K40" i="43"/>
  <c r="I40" i="43"/>
  <c r="H40" i="43"/>
  <c r="F40" i="43"/>
  <c r="E40" i="43"/>
  <c r="M31" i="43"/>
  <c r="G31" i="43"/>
  <c r="C26" i="43"/>
  <c r="B26" i="43"/>
  <c r="C25" i="43"/>
  <c r="B25" i="43"/>
  <c r="C24" i="43"/>
  <c r="B24" i="43"/>
  <c r="C23" i="43"/>
  <c r="B23" i="43"/>
  <c r="J22" i="43"/>
  <c r="C22" i="43"/>
  <c r="B22" i="43"/>
  <c r="C21" i="43"/>
  <c r="B21" i="43"/>
  <c r="C20" i="43"/>
  <c r="B20" i="43"/>
  <c r="C19" i="43"/>
  <c r="B19" i="43"/>
  <c r="C18" i="43"/>
  <c r="B18" i="43"/>
  <c r="C17" i="43"/>
  <c r="B17" i="43"/>
  <c r="M14" i="43"/>
  <c r="G14" i="43"/>
  <c r="E57" i="41"/>
  <c r="F57" i="41" s="1"/>
  <c r="E53" i="41"/>
  <c r="E25" i="41" s="1"/>
  <c r="E35" i="41"/>
  <c r="M99" i="41"/>
  <c r="G99" i="41"/>
  <c r="M82" i="41"/>
  <c r="G82" i="41"/>
  <c r="M65" i="41"/>
  <c r="G65" i="41"/>
  <c r="M48" i="41"/>
  <c r="G48" i="41"/>
  <c r="O43" i="41"/>
  <c r="N43" i="41"/>
  <c r="L43" i="41"/>
  <c r="K43" i="41"/>
  <c r="I43" i="41"/>
  <c r="H43" i="41"/>
  <c r="F43" i="41"/>
  <c r="E43" i="41"/>
  <c r="O42" i="41"/>
  <c r="N42" i="41"/>
  <c r="L42" i="41"/>
  <c r="K42" i="41"/>
  <c r="I42" i="41"/>
  <c r="H42" i="41"/>
  <c r="F42" i="41"/>
  <c r="E42" i="41"/>
  <c r="O41" i="41"/>
  <c r="N41" i="41"/>
  <c r="L41" i="41"/>
  <c r="K41" i="41"/>
  <c r="I41" i="41"/>
  <c r="H41" i="41"/>
  <c r="F41" i="41"/>
  <c r="E41" i="41"/>
  <c r="O40" i="41"/>
  <c r="N40" i="41"/>
  <c r="L40" i="41"/>
  <c r="K40" i="41"/>
  <c r="I40" i="41"/>
  <c r="H40" i="41"/>
  <c r="F40" i="41"/>
  <c r="E40" i="41"/>
  <c r="O39" i="41"/>
  <c r="N39" i="41"/>
  <c r="L39" i="41"/>
  <c r="K39" i="41"/>
  <c r="I39" i="41"/>
  <c r="H39" i="41"/>
  <c r="F39" i="41"/>
  <c r="E39" i="41"/>
  <c r="O38" i="41"/>
  <c r="N38" i="41"/>
  <c r="L38" i="41"/>
  <c r="K38" i="41"/>
  <c r="I38" i="41"/>
  <c r="H38" i="41"/>
  <c r="F38" i="41"/>
  <c r="E38" i="41"/>
  <c r="O37" i="41"/>
  <c r="N37" i="41"/>
  <c r="L37" i="41"/>
  <c r="K37" i="41"/>
  <c r="I37" i="41"/>
  <c r="H37" i="41"/>
  <c r="F37" i="41"/>
  <c r="E37" i="41"/>
  <c r="O36" i="41"/>
  <c r="N36" i="41"/>
  <c r="L36" i="41"/>
  <c r="K36" i="41"/>
  <c r="I36" i="41"/>
  <c r="H36" i="41"/>
  <c r="F36" i="41"/>
  <c r="E36" i="41"/>
  <c r="M31" i="41"/>
  <c r="G31" i="41"/>
  <c r="C26" i="41"/>
  <c r="B26" i="41"/>
  <c r="C25" i="41"/>
  <c r="B25" i="41"/>
  <c r="C24" i="41"/>
  <c r="B24" i="41"/>
  <c r="C23" i="41"/>
  <c r="B23" i="41"/>
  <c r="C22" i="41"/>
  <c r="B22" i="41"/>
  <c r="C21" i="41"/>
  <c r="B21" i="41"/>
  <c r="C20" i="41"/>
  <c r="B20" i="41"/>
  <c r="C19" i="41"/>
  <c r="B19" i="41"/>
  <c r="C18" i="41"/>
  <c r="B18" i="41"/>
  <c r="C17" i="41"/>
  <c r="B17" i="41"/>
  <c r="M14" i="41"/>
  <c r="G14" i="41"/>
  <c r="H87" i="40"/>
  <c r="I87" i="40" s="1"/>
  <c r="B17" i="40"/>
  <c r="C17" i="40"/>
  <c r="B18" i="40"/>
  <c r="C18" i="40"/>
  <c r="B19" i="40"/>
  <c r="C19" i="40"/>
  <c r="B20" i="40"/>
  <c r="C20" i="40"/>
  <c r="B21" i="40"/>
  <c r="C21" i="40"/>
  <c r="B22" i="40"/>
  <c r="C22" i="40"/>
  <c r="B23" i="40"/>
  <c r="C23" i="40"/>
  <c r="B24" i="40"/>
  <c r="C24" i="40"/>
  <c r="B25" i="40"/>
  <c r="C25" i="40"/>
  <c r="B26" i="40"/>
  <c r="C26" i="40"/>
  <c r="M99" i="40"/>
  <c r="G99" i="40"/>
  <c r="H91" i="40"/>
  <c r="I91" i="40" s="1"/>
  <c r="E91" i="40"/>
  <c r="F91" i="40" s="1"/>
  <c r="E87" i="40"/>
  <c r="F87" i="40" s="1"/>
  <c r="M82" i="40"/>
  <c r="G82" i="40"/>
  <c r="H74" i="40"/>
  <c r="I74" i="40" s="1"/>
  <c r="H70" i="40"/>
  <c r="I70" i="40" s="1"/>
  <c r="M65" i="40"/>
  <c r="G65" i="40"/>
  <c r="O60" i="40"/>
  <c r="N60" i="40"/>
  <c r="L60" i="40"/>
  <c r="K60" i="40"/>
  <c r="I60" i="40"/>
  <c r="H60" i="40"/>
  <c r="F60" i="40"/>
  <c r="E60" i="40"/>
  <c r="M48" i="40"/>
  <c r="G48" i="40"/>
  <c r="M31" i="40"/>
  <c r="G31" i="40"/>
  <c r="M14" i="40"/>
  <c r="G14" i="40"/>
  <c r="M14" i="21"/>
  <c r="G14" i="21"/>
  <c r="M31" i="21"/>
  <c r="G31" i="21"/>
  <c r="M48" i="21"/>
  <c r="G48" i="21"/>
  <c r="M65" i="21"/>
  <c r="G65" i="21"/>
  <c r="M82" i="21"/>
  <c r="G82" i="21"/>
  <c r="M99" i="21"/>
  <c r="G99" i="21"/>
  <c r="M14" i="30"/>
  <c r="G14" i="30"/>
  <c r="M31" i="30"/>
  <c r="G31" i="30"/>
  <c r="M48" i="30"/>
  <c r="G48" i="30"/>
  <c r="M65" i="30"/>
  <c r="G65" i="30"/>
  <c r="M82" i="30"/>
  <c r="G82" i="30"/>
  <c r="M99" i="30"/>
  <c r="G99" i="30"/>
  <c r="M14" i="29"/>
  <c r="G14" i="29"/>
  <c r="M31" i="29"/>
  <c r="G31" i="29"/>
  <c r="M48" i="29"/>
  <c r="G48" i="29"/>
  <c r="M65" i="29"/>
  <c r="G65" i="29"/>
  <c r="M82" i="29"/>
  <c r="G82" i="29"/>
  <c r="M99" i="29"/>
  <c r="G99" i="29"/>
  <c r="M99" i="38"/>
  <c r="G99" i="38"/>
  <c r="O94" i="38"/>
  <c r="N94" i="38"/>
  <c r="L94" i="38"/>
  <c r="K94" i="38"/>
  <c r="I94" i="38"/>
  <c r="H94" i="38"/>
  <c r="F94" i="38"/>
  <c r="E94" i="38"/>
  <c r="O93" i="38"/>
  <c r="N93" i="38"/>
  <c r="L93" i="38"/>
  <c r="K93" i="38"/>
  <c r="I93" i="38"/>
  <c r="H93" i="38"/>
  <c r="F93" i="38"/>
  <c r="E93" i="38"/>
  <c r="O92" i="38"/>
  <c r="N92" i="38"/>
  <c r="L92" i="38"/>
  <c r="K92" i="38"/>
  <c r="I92" i="38"/>
  <c r="H92" i="38"/>
  <c r="F92" i="38"/>
  <c r="E92" i="38"/>
  <c r="O91" i="38"/>
  <c r="N91" i="38"/>
  <c r="L91" i="38"/>
  <c r="K91" i="38"/>
  <c r="I91" i="38"/>
  <c r="H91" i="38"/>
  <c r="F91" i="38"/>
  <c r="E91" i="38"/>
  <c r="O90" i="38"/>
  <c r="N90" i="38"/>
  <c r="L90" i="38"/>
  <c r="K90" i="38"/>
  <c r="I90" i="38"/>
  <c r="H90" i="38"/>
  <c r="F90" i="38"/>
  <c r="E90" i="38"/>
  <c r="O89" i="38"/>
  <c r="N89" i="38"/>
  <c r="L89" i="38"/>
  <c r="K89" i="38"/>
  <c r="I89" i="38"/>
  <c r="H89" i="38"/>
  <c r="F89" i="38"/>
  <c r="E89" i="38"/>
  <c r="O88" i="38"/>
  <c r="N88" i="38"/>
  <c r="L88" i="38"/>
  <c r="K88" i="38"/>
  <c r="I88" i="38"/>
  <c r="H88" i="38"/>
  <c r="F88" i="38"/>
  <c r="E88" i="38"/>
  <c r="O87" i="38"/>
  <c r="N87" i="38"/>
  <c r="L87" i="38"/>
  <c r="K87" i="38"/>
  <c r="I87" i="38"/>
  <c r="H87" i="38"/>
  <c r="F87" i="38"/>
  <c r="E87" i="38"/>
  <c r="O86" i="38"/>
  <c r="N86" i="38"/>
  <c r="L86" i="38"/>
  <c r="K86" i="38"/>
  <c r="I86" i="38"/>
  <c r="H86" i="38"/>
  <c r="F86" i="38"/>
  <c r="E86" i="38"/>
  <c r="O85" i="38"/>
  <c r="O95" i="38" s="1"/>
  <c r="N85" i="38"/>
  <c r="N95" i="38" s="1"/>
  <c r="L85" i="38"/>
  <c r="L95" i="38" s="1"/>
  <c r="K85" i="38"/>
  <c r="K95" i="38" s="1"/>
  <c r="I85" i="38"/>
  <c r="I95" i="38" s="1"/>
  <c r="H85" i="38"/>
  <c r="H95" i="38" s="1"/>
  <c r="F85" i="38"/>
  <c r="F95" i="38" s="1"/>
  <c r="E85" i="38"/>
  <c r="E95" i="38" s="1"/>
  <c r="M82" i="38"/>
  <c r="G82" i="38"/>
  <c r="O77" i="38"/>
  <c r="N77" i="38"/>
  <c r="L77" i="38"/>
  <c r="K77" i="38"/>
  <c r="I77" i="38"/>
  <c r="H77" i="38"/>
  <c r="F77" i="38"/>
  <c r="E77" i="38"/>
  <c r="O76" i="38"/>
  <c r="N76" i="38"/>
  <c r="L76" i="38"/>
  <c r="K76" i="38"/>
  <c r="I76" i="38"/>
  <c r="H76" i="38"/>
  <c r="F76" i="38"/>
  <c r="E76" i="38"/>
  <c r="O75" i="38"/>
  <c r="N75" i="38"/>
  <c r="L75" i="38"/>
  <c r="K75" i="38"/>
  <c r="I75" i="38"/>
  <c r="H75" i="38"/>
  <c r="F75" i="38"/>
  <c r="E75" i="38"/>
  <c r="O74" i="38"/>
  <c r="N74" i="38"/>
  <c r="L74" i="38"/>
  <c r="K74" i="38"/>
  <c r="I74" i="38"/>
  <c r="H74" i="38"/>
  <c r="F74" i="38"/>
  <c r="E74" i="38"/>
  <c r="O73" i="38"/>
  <c r="N73" i="38"/>
  <c r="L73" i="38"/>
  <c r="K73" i="38"/>
  <c r="I73" i="38"/>
  <c r="H73" i="38"/>
  <c r="F73" i="38"/>
  <c r="E73" i="38"/>
  <c r="O72" i="38"/>
  <c r="N72" i="38"/>
  <c r="L72" i="38"/>
  <c r="K72" i="38"/>
  <c r="I72" i="38"/>
  <c r="H72" i="38"/>
  <c r="F72" i="38"/>
  <c r="E72" i="38"/>
  <c r="O71" i="38"/>
  <c r="N71" i="38"/>
  <c r="L71" i="38"/>
  <c r="K71" i="38"/>
  <c r="I71" i="38"/>
  <c r="H71" i="38"/>
  <c r="F71" i="38"/>
  <c r="E71" i="38"/>
  <c r="M65" i="38"/>
  <c r="G65" i="38"/>
  <c r="O60" i="38"/>
  <c r="N60" i="38"/>
  <c r="L60" i="38"/>
  <c r="K60" i="38"/>
  <c r="I60" i="38"/>
  <c r="H60" i="38"/>
  <c r="F60" i="38"/>
  <c r="E60" i="38"/>
  <c r="O59" i="38"/>
  <c r="N59" i="38"/>
  <c r="L59" i="38"/>
  <c r="K59" i="38"/>
  <c r="I59" i="38"/>
  <c r="H59" i="38"/>
  <c r="F59" i="38"/>
  <c r="E59" i="38"/>
  <c r="O58" i="38"/>
  <c r="N58" i="38"/>
  <c r="L58" i="38"/>
  <c r="K58" i="38"/>
  <c r="I58" i="38"/>
  <c r="H58" i="38"/>
  <c r="F58" i="38"/>
  <c r="E58" i="38"/>
  <c r="O57" i="38"/>
  <c r="N57" i="38"/>
  <c r="L57" i="38"/>
  <c r="K57" i="38"/>
  <c r="I57" i="38"/>
  <c r="H57" i="38"/>
  <c r="F57" i="38"/>
  <c r="E57" i="38"/>
  <c r="O56" i="38"/>
  <c r="N56" i="38"/>
  <c r="L56" i="38"/>
  <c r="K56" i="38"/>
  <c r="I56" i="38"/>
  <c r="H56" i="38"/>
  <c r="F56" i="38"/>
  <c r="E56" i="38"/>
  <c r="O55" i="38"/>
  <c r="N55" i="38"/>
  <c r="L55" i="38"/>
  <c r="K55" i="38"/>
  <c r="I55" i="38"/>
  <c r="H55" i="38"/>
  <c r="F55" i="38"/>
  <c r="E55" i="38"/>
  <c r="O54" i="38"/>
  <c r="N54" i="38"/>
  <c r="L54" i="38"/>
  <c r="K54" i="38"/>
  <c r="I54" i="38"/>
  <c r="H54" i="38"/>
  <c r="F54" i="38"/>
  <c r="E54" i="38"/>
  <c r="O53" i="38"/>
  <c r="N53" i="38"/>
  <c r="L53" i="38"/>
  <c r="K53" i="38"/>
  <c r="I53" i="38"/>
  <c r="H53" i="38"/>
  <c r="F53" i="38"/>
  <c r="E53" i="38"/>
  <c r="O52" i="38"/>
  <c r="N52" i="38"/>
  <c r="L52" i="38"/>
  <c r="K52" i="38"/>
  <c r="I52" i="38"/>
  <c r="H52" i="38"/>
  <c r="F52" i="38"/>
  <c r="E52" i="38"/>
  <c r="O51" i="38"/>
  <c r="O61" i="38" s="1"/>
  <c r="N51" i="38"/>
  <c r="N61" i="38" s="1"/>
  <c r="L51" i="38"/>
  <c r="L61" i="38" s="1"/>
  <c r="K51" i="38"/>
  <c r="K61" i="38" s="1"/>
  <c r="I51" i="38"/>
  <c r="I61" i="38" s="1"/>
  <c r="H51" i="38"/>
  <c r="H61" i="38" s="1"/>
  <c r="F51" i="38"/>
  <c r="F61" i="38" s="1"/>
  <c r="E51" i="38"/>
  <c r="E61" i="38" s="1"/>
  <c r="M48" i="38"/>
  <c r="G48" i="38"/>
  <c r="O43" i="38"/>
  <c r="N43" i="38"/>
  <c r="L43" i="38"/>
  <c r="K43" i="38"/>
  <c r="I43" i="38"/>
  <c r="H43" i="38"/>
  <c r="F43" i="38"/>
  <c r="E43" i="38"/>
  <c r="O42" i="38"/>
  <c r="N42" i="38"/>
  <c r="L42" i="38"/>
  <c r="K42" i="38"/>
  <c r="I42" i="38"/>
  <c r="H42" i="38"/>
  <c r="F42" i="38"/>
  <c r="E42" i="38"/>
  <c r="O41" i="38"/>
  <c r="N41" i="38"/>
  <c r="L41" i="38"/>
  <c r="K41" i="38"/>
  <c r="I41" i="38"/>
  <c r="H41" i="38"/>
  <c r="F41" i="38"/>
  <c r="E41" i="38"/>
  <c r="O40" i="38"/>
  <c r="N40" i="38"/>
  <c r="L40" i="38"/>
  <c r="K40" i="38"/>
  <c r="I40" i="38"/>
  <c r="H40" i="38"/>
  <c r="F40" i="38"/>
  <c r="E40" i="38"/>
  <c r="O39" i="38"/>
  <c r="N39" i="38"/>
  <c r="L39" i="38"/>
  <c r="K39" i="38"/>
  <c r="I39" i="38"/>
  <c r="H39" i="38"/>
  <c r="F39" i="38"/>
  <c r="E39" i="38"/>
  <c r="O38" i="38"/>
  <c r="N38" i="38"/>
  <c r="L38" i="38"/>
  <c r="K38" i="38"/>
  <c r="I38" i="38"/>
  <c r="H38" i="38"/>
  <c r="F38" i="38"/>
  <c r="E38" i="38"/>
  <c r="O37" i="38"/>
  <c r="N37" i="38"/>
  <c r="L37" i="38"/>
  <c r="K37" i="38"/>
  <c r="I37" i="38"/>
  <c r="H37" i="38"/>
  <c r="F37" i="38"/>
  <c r="E37" i="38"/>
  <c r="O36" i="38"/>
  <c r="N36" i="38"/>
  <c r="L36" i="38"/>
  <c r="K36" i="38"/>
  <c r="I36" i="38"/>
  <c r="H36" i="38"/>
  <c r="F36" i="38"/>
  <c r="E36" i="38"/>
  <c r="O35" i="38"/>
  <c r="N35" i="38"/>
  <c r="L35" i="38"/>
  <c r="K35" i="38"/>
  <c r="I35" i="38"/>
  <c r="H35" i="38"/>
  <c r="F35" i="38"/>
  <c r="E35" i="38"/>
  <c r="M31" i="38"/>
  <c r="G31" i="38"/>
  <c r="C26" i="38"/>
  <c r="B26" i="38"/>
  <c r="C25" i="38"/>
  <c r="B25" i="38"/>
  <c r="C24" i="38"/>
  <c r="B24" i="38"/>
  <c r="C23" i="38"/>
  <c r="B23" i="38"/>
  <c r="C22" i="38"/>
  <c r="B22" i="38"/>
  <c r="C21" i="38"/>
  <c r="B21" i="38"/>
  <c r="C20" i="38"/>
  <c r="B20" i="38"/>
  <c r="C19" i="38"/>
  <c r="B19" i="38"/>
  <c r="C18" i="38"/>
  <c r="B18" i="38"/>
  <c r="C17" i="38"/>
  <c r="B17" i="38"/>
  <c r="M14" i="38"/>
  <c r="G14" i="38"/>
  <c r="G17" i="36"/>
  <c r="M99" i="34"/>
  <c r="G99" i="34"/>
  <c r="M82" i="34"/>
  <c r="G82" i="34"/>
  <c r="M65" i="34"/>
  <c r="G65" i="34"/>
  <c r="M48" i="34"/>
  <c r="G48" i="34"/>
  <c r="M31" i="34"/>
  <c r="G31" i="34"/>
  <c r="M14" i="34"/>
  <c r="G14" i="34"/>
  <c r="M99" i="36"/>
  <c r="G99" i="36"/>
  <c r="M82" i="36"/>
  <c r="G82" i="36"/>
  <c r="M65" i="36"/>
  <c r="G65" i="36"/>
  <c r="M48" i="36"/>
  <c r="G48" i="36"/>
  <c r="M31" i="36"/>
  <c r="G31" i="36"/>
  <c r="G14" i="36"/>
  <c r="M14" i="36"/>
  <c r="Q30" i="37"/>
  <c r="P30" i="37"/>
  <c r="M30" i="37"/>
  <c r="L30" i="37"/>
  <c r="I30" i="37"/>
  <c r="H30" i="37"/>
  <c r="Q29" i="37"/>
  <c r="P29" i="37"/>
  <c r="M29" i="37"/>
  <c r="L29" i="37"/>
  <c r="I29" i="37"/>
  <c r="H29" i="37"/>
  <c r="Q28" i="37"/>
  <c r="P28" i="37"/>
  <c r="M28" i="37"/>
  <c r="L28" i="37"/>
  <c r="I28" i="37"/>
  <c r="H28" i="37"/>
  <c r="Q27" i="37"/>
  <c r="P27" i="37"/>
  <c r="M27" i="37"/>
  <c r="L27" i="37"/>
  <c r="I27" i="37"/>
  <c r="H27" i="37"/>
  <c r="Q26" i="37"/>
  <c r="P26" i="37"/>
  <c r="M26" i="37"/>
  <c r="L26" i="37"/>
  <c r="I26" i="37"/>
  <c r="H26" i="37"/>
  <c r="Q25" i="37"/>
  <c r="P25" i="37"/>
  <c r="M25" i="37"/>
  <c r="L25" i="37"/>
  <c r="I25" i="37"/>
  <c r="H25" i="37"/>
  <c r="Q24" i="37"/>
  <c r="P24" i="37"/>
  <c r="M24" i="37"/>
  <c r="L24" i="37"/>
  <c r="I24" i="37"/>
  <c r="H24" i="37"/>
  <c r="Q23" i="37"/>
  <c r="P23" i="37"/>
  <c r="M23" i="37"/>
  <c r="L23" i="37"/>
  <c r="I23" i="37"/>
  <c r="H23" i="37"/>
  <c r="Q22" i="37"/>
  <c r="P22" i="37"/>
  <c r="M22" i="37"/>
  <c r="L22" i="37"/>
  <c r="I22" i="37"/>
  <c r="H22" i="37"/>
  <c r="Q21" i="37"/>
  <c r="P21" i="37"/>
  <c r="M21" i="37"/>
  <c r="L21" i="37"/>
  <c r="I21" i="37"/>
  <c r="H21" i="37"/>
  <c r="Q15" i="37"/>
  <c r="P15" i="37"/>
  <c r="M15" i="37"/>
  <c r="L15" i="37"/>
  <c r="Q14" i="37"/>
  <c r="P14" i="37"/>
  <c r="M14" i="37"/>
  <c r="L14" i="37"/>
  <c r="H14" i="37"/>
  <c r="G14" i="37"/>
  <c r="Q13" i="37"/>
  <c r="P13" i="37"/>
  <c r="M13" i="37"/>
  <c r="L13" i="37"/>
  <c r="Q12" i="37"/>
  <c r="P12" i="37"/>
  <c r="M12" i="37"/>
  <c r="L12" i="37"/>
  <c r="Q11" i="37"/>
  <c r="P11" i="37"/>
  <c r="M11" i="37"/>
  <c r="L11" i="37"/>
  <c r="Q10" i="37"/>
  <c r="P10" i="37"/>
  <c r="M10" i="37"/>
  <c r="L10" i="37"/>
  <c r="Q9" i="37"/>
  <c r="P9" i="37"/>
  <c r="M9" i="37"/>
  <c r="L9" i="37"/>
  <c r="Q8" i="37"/>
  <c r="P8" i="37"/>
  <c r="M8" i="37"/>
  <c r="L8" i="37"/>
  <c r="Q7" i="37"/>
  <c r="P7" i="37"/>
  <c r="M7" i="37"/>
  <c r="L7" i="37"/>
  <c r="H7" i="37"/>
  <c r="G7" i="37"/>
  <c r="Q6" i="37"/>
  <c r="P6" i="37"/>
  <c r="M6" i="37"/>
  <c r="L6" i="37"/>
  <c r="K111" i="36"/>
  <c r="L111" i="36" s="1"/>
  <c r="H111" i="36"/>
  <c r="I111" i="36" s="1"/>
  <c r="K110" i="36"/>
  <c r="L110" i="36" s="1"/>
  <c r="H110" i="36"/>
  <c r="I110" i="36" s="1"/>
  <c r="I24" i="36" s="1"/>
  <c r="K109" i="36"/>
  <c r="L109" i="36" s="1"/>
  <c r="L23" i="36" s="1"/>
  <c r="H109" i="36"/>
  <c r="I109" i="36" s="1"/>
  <c r="I23" i="36" s="1"/>
  <c r="K108" i="36"/>
  <c r="L108" i="36" s="1"/>
  <c r="H108" i="36"/>
  <c r="I108" i="36" s="1"/>
  <c r="K107" i="36"/>
  <c r="L107" i="36" s="1"/>
  <c r="H107" i="36"/>
  <c r="I107" i="36" s="1"/>
  <c r="K106" i="36"/>
  <c r="L106" i="36" s="1"/>
  <c r="L22" i="36" s="1"/>
  <c r="H106" i="36"/>
  <c r="I106" i="36" s="1"/>
  <c r="I22" i="36" s="1"/>
  <c r="K105" i="36"/>
  <c r="L105" i="36" s="1"/>
  <c r="H105" i="36"/>
  <c r="I105" i="36" s="1"/>
  <c r="K104" i="36"/>
  <c r="L104" i="36" s="1"/>
  <c r="H104" i="36"/>
  <c r="I104" i="36" s="1"/>
  <c r="K103" i="36"/>
  <c r="L103" i="36" s="1"/>
  <c r="H103" i="36"/>
  <c r="I103" i="36" s="1"/>
  <c r="K102" i="36"/>
  <c r="H102" i="36"/>
  <c r="I102" i="36" s="1"/>
  <c r="O94" i="36"/>
  <c r="N94" i="36"/>
  <c r="L94" i="36"/>
  <c r="K94" i="36"/>
  <c r="I94" i="36"/>
  <c r="H94" i="36"/>
  <c r="F94" i="36"/>
  <c r="E94" i="36"/>
  <c r="O93" i="36"/>
  <c r="N93" i="36"/>
  <c r="L93" i="36"/>
  <c r="K93" i="36"/>
  <c r="I93" i="36"/>
  <c r="H93" i="36"/>
  <c r="F93" i="36"/>
  <c r="E93" i="36"/>
  <c r="O92" i="36"/>
  <c r="N92" i="36"/>
  <c r="L92" i="36"/>
  <c r="K92" i="36"/>
  <c r="I92" i="36"/>
  <c r="H92" i="36"/>
  <c r="F92" i="36"/>
  <c r="E92" i="36"/>
  <c r="O91" i="36"/>
  <c r="N91" i="36"/>
  <c r="L91" i="36"/>
  <c r="K91" i="36"/>
  <c r="I91" i="36"/>
  <c r="H91" i="36"/>
  <c r="F91" i="36"/>
  <c r="E91" i="36"/>
  <c r="O90" i="36"/>
  <c r="N90" i="36"/>
  <c r="L90" i="36"/>
  <c r="K90" i="36"/>
  <c r="I90" i="36"/>
  <c r="H90" i="36"/>
  <c r="F90" i="36"/>
  <c r="E90" i="36"/>
  <c r="O89" i="36"/>
  <c r="N89" i="36"/>
  <c r="L89" i="36"/>
  <c r="K89" i="36"/>
  <c r="I89" i="36"/>
  <c r="H89" i="36"/>
  <c r="F89" i="36"/>
  <c r="E89" i="36"/>
  <c r="K88" i="36"/>
  <c r="L88" i="36" s="1"/>
  <c r="L21" i="36" s="1"/>
  <c r="H88" i="36"/>
  <c r="I88" i="36" s="1"/>
  <c r="I21" i="36" s="1"/>
  <c r="K87" i="36"/>
  <c r="L87" i="36" s="1"/>
  <c r="L20" i="36" s="1"/>
  <c r="H87" i="36"/>
  <c r="I87" i="36" s="1"/>
  <c r="I20" i="36" s="1"/>
  <c r="K86" i="36"/>
  <c r="L86" i="36" s="1"/>
  <c r="L19" i="36" s="1"/>
  <c r="H86" i="36"/>
  <c r="I86" i="36" s="1"/>
  <c r="I19" i="36" s="1"/>
  <c r="K85" i="36"/>
  <c r="L85" i="36" s="1"/>
  <c r="H85" i="36"/>
  <c r="O77" i="36"/>
  <c r="N77" i="36"/>
  <c r="L77" i="36"/>
  <c r="K77" i="36"/>
  <c r="I77" i="36"/>
  <c r="H77" i="36"/>
  <c r="F77" i="36"/>
  <c r="E77" i="36"/>
  <c r="O76" i="36"/>
  <c r="N76" i="36"/>
  <c r="L76" i="36"/>
  <c r="K76" i="36"/>
  <c r="I76" i="36"/>
  <c r="H76" i="36"/>
  <c r="F76" i="36"/>
  <c r="E76" i="36"/>
  <c r="O75" i="36"/>
  <c r="N75" i="36"/>
  <c r="L75" i="36"/>
  <c r="K75" i="36"/>
  <c r="I75" i="36"/>
  <c r="H75" i="36"/>
  <c r="F75" i="36"/>
  <c r="E75" i="36"/>
  <c r="O74" i="36"/>
  <c r="N74" i="36"/>
  <c r="L74" i="36"/>
  <c r="K74" i="36"/>
  <c r="I74" i="36"/>
  <c r="H74" i="36"/>
  <c r="F74" i="36"/>
  <c r="E74" i="36"/>
  <c r="O73" i="36"/>
  <c r="N73" i="36"/>
  <c r="L73" i="36"/>
  <c r="K73" i="36"/>
  <c r="I73" i="36"/>
  <c r="H73" i="36"/>
  <c r="F73" i="36"/>
  <c r="E73" i="36"/>
  <c r="O72" i="36"/>
  <c r="N72" i="36"/>
  <c r="L72" i="36"/>
  <c r="K72" i="36"/>
  <c r="I72" i="36"/>
  <c r="H72" i="36"/>
  <c r="F72" i="36"/>
  <c r="E72" i="36"/>
  <c r="O71" i="36"/>
  <c r="N71" i="36"/>
  <c r="L71" i="36"/>
  <c r="K71" i="36"/>
  <c r="I71" i="36"/>
  <c r="H71" i="36"/>
  <c r="F71" i="36"/>
  <c r="E71" i="36"/>
  <c r="K70" i="36"/>
  <c r="L70" i="36" s="1"/>
  <c r="H70" i="36"/>
  <c r="I70" i="36" s="1"/>
  <c r="K69" i="36"/>
  <c r="L69" i="36" s="1"/>
  <c r="H69" i="36"/>
  <c r="I69" i="36" s="1"/>
  <c r="K68" i="36"/>
  <c r="L68" i="36" s="1"/>
  <c r="H68" i="36"/>
  <c r="O60" i="36"/>
  <c r="N60" i="36"/>
  <c r="L60" i="36"/>
  <c r="K60" i="36"/>
  <c r="I60" i="36"/>
  <c r="H60" i="36"/>
  <c r="F60" i="36"/>
  <c r="E60" i="36"/>
  <c r="O59" i="36"/>
  <c r="N59" i="36"/>
  <c r="L59" i="36"/>
  <c r="K59" i="36"/>
  <c r="I59" i="36"/>
  <c r="H59" i="36"/>
  <c r="F59" i="36"/>
  <c r="E59" i="36"/>
  <c r="O58" i="36"/>
  <c r="N58" i="36"/>
  <c r="L58" i="36"/>
  <c r="K58" i="36"/>
  <c r="I58" i="36"/>
  <c r="H58" i="36"/>
  <c r="F58" i="36"/>
  <c r="E58" i="36"/>
  <c r="O57" i="36"/>
  <c r="N57" i="36"/>
  <c r="L57" i="36"/>
  <c r="K57" i="36"/>
  <c r="I57" i="36"/>
  <c r="H57" i="36"/>
  <c r="F57" i="36"/>
  <c r="E57" i="36"/>
  <c r="O56" i="36"/>
  <c r="N56" i="36"/>
  <c r="L56" i="36"/>
  <c r="K56" i="36"/>
  <c r="I56" i="36"/>
  <c r="H56" i="36"/>
  <c r="F56" i="36"/>
  <c r="E56" i="36"/>
  <c r="O55" i="36"/>
  <c r="N55" i="36"/>
  <c r="L55" i="36"/>
  <c r="K55" i="36"/>
  <c r="I55" i="36"/>
  <c r="H55" i="36"/>
  <c r="F55" i="36"/>
  <c r="E55" i="36"/>
  <c r="O54" i="36"/>
  <c r="N54" i="36"/>
  <c r="L54" i="36"/>
  <c r="K54" i="36"/>
  <c r="I54" i="36"/>
  <c r="H54" i="36"/>
  <c r="F54" i="36"/>
  <c r="E54" i="36"/>
  <c r="O53" i="36"/>
  <c r="N53" i="36"/>
  <c r="L53" i="36"/>
  <c r="K53" i="36"/>
  <c r="I53" i="36"/>
  <c r="H53" i="36"/>
  <c r="F53" i="36"/>
  <c r="E53" i="36"/>
  <c r="K52" i="36"/>
  <c r="L52" i="36" s="1"/>
  <c r="L17" i="36" s="1"/>
  <c r="H52" i="36"/>
  <c r="I52" i="36" s="1"/>
  <c r="I17" i="36" s="1"/>
  <c r="K51" i="36"/>
  <c r="H51" i="36"/>
  <c r="O43" i="36"/>
  <c r="N43" i="36"/>
  <c r="L43" i="36"/>
  <c r="K43" i="36"/>
  <c r="I43" i="36"/>
  <c r="H43" i="36"/>
  <c r="F43" i="36"/>
  <c r="E43" i="36"/>
  <c r="O42" i="36"/>
  <c r="N42" i="36"/>
  <c r="L42" i="36"/>
  <c r="K42" i="36"/>
  <c r="I42" i="36"/>
  <c r="H42" i="36"/>
  <c r="F42" i="36"/>
  <c r="E42" i="36"/>
  <c r="O41" i="36"/>
  <c r="N41" i="36"/>
  <c r="L41" i="36"/>
  <c r="K41" i="36"/>
  <c r="I41" i="36"/>
  <c r="H41" i="36"/>
  <c r="F41" i="36"/>
  <c r="E41" i="36"/>
  <c r="O40" i="36"/>
  <c r="N40" i="36"/>
  <c r="L40" i="36"/>
  <c r="K40" i="36"/>
  <c r="I40" i="36"/>
  <c r="H40" i="36"/>
  <c r="F40" i="36"/>
  <c r="E40" i="36"/>
  <c r="O39" i="36"/>
  <c r="N39" i="36"/>
  <c r="L39" i="36"/>
  <c r="K39" i="36"/>
  <c r="I39" i="36"/>
  <c r="H39" i="36"/>
  <c r="F39" i="36"/>
  <c r="E39" i="36"/>
  <c r="O38" i="36"/>
  <c r="N38" i="36"/>
  <c r="L38" i="36"/>
  <c r="K38" i="36"/>
  <c r="I38" i="36"/>
  <c r="H38" i="36"/>
  <c r="F38" i="36"/>
  <c r="E38" i="36"/>
  <c r="O37" i="36"/>
  <c r="N37" i="36"/>
  <c r="L37" i="36"/>
  <c r="K37" i="36"/>
  <c r="I37" i="36"/>
  <c r="H37" i="36"/>
  <c r="F37" i="36"/>
  <c r="E37" i="36"/>
  <c r="O36" i="36"/>
  <c r="N36" i="36"/>
  <c r="L36" i="36"/>
  <c r="K36" i="36"/>
  <c r="I36" i="36"/>
  <c r="H36" i="36"/>
  <c r="F36" i="36"/>
  <c r="E36" i="36"/>
  <c r="O35" i="36"/>
  <c r="N35" i="36"/>
  <c r="L35" i="36"/>
  <c r="K35" i="36"/>
  <c r="I35" i="36"/>
  <c r="H35" i="36"/>
  <c r="F35" i="36"/>
  <c r="E35" i="36"/>
  <c r="K34" i="36"/>
  <c r="H34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H24" i="36"/>
  <c r="G24" i="36"/>
  <c r="C24" i="36"/>
  <c r="B24" i="36"/>
  <c r="J23" i="36"/>
  <c r="G23" i="36"/>
  <c r="C23" i="36"/>
  <c r="B23" i="36"/>
  <c r="K22" i="36"/>
  <c r="J22" i="36"/>
  <c r="H22" i="36"/>
  <c r="G22" i="36"/>
  <c r="C22" i="36"/>
  <c r="B22" i="36"/>
  <c r="J21" i="36"/>
  <c r="G21" i="36"/>
  <c r="C21" i="36"/>
  <c r="B21" i="36"/>
  <c r="K20" i="36"/>
  <c r="J20" i="36"/>
  <c r="G20" i="36"/>
  <c r="C20" i="36"/>
  <c r="B20" i="36"/>
  <c r="J19" i="36"/>
  <c r="G19" i="36"/>
  <c r="C19" i="36"/>
  <c r="B19" i="36"/>
  <c r="J18" i="36"/>
  <c r="H18" i="36"/>
  <c r="G18" i="36"/>
  <c r="C18" i="36"/>
  <c r="B18" i="36"/>
  <c r="J17" i="36"/>
  <c r="H17" i="36"/>
  <c r="C17" i="36"/>
  <c r="B17" i="36"/>
  <c r="M99" i="22"/>
  <c r="G99" i="22"/>
  <c r="M82" i="22"/>
  <c r="G82" i="22"/>
  <c r="M65" i="22"/>
  <c r="G65" i="22"/>
  <c r="M48" i="22"/>
  <c r="G48" i="22"/>
  <c r="M31" i="22"/>
  <c r="G31" i="22"/>
  <c r="M14" i="22"/>
  <c r="G14" i="22"/>
  <c r="O111" i="34"/>
  <c r="N111" i="34"/>
  <c r="L111" i="34"/>
  <c r="K111" i="34"/>
  <c r="I111" i="34"/>
  <c r="H111" i="34"/>
  <c r="F111" i="34"/>
  <c r="E111" i="34"/>
  <c r="O110" i="34"/>
  <c r="N110" i="34"/>
  <c r="L110" i="34"/>
  <c r="K110" i="34"/>
  <c r="I110" i="34"/>
  <c r="H110" i="34"/>
  <c r="F110" i="34"/>
  <c r="E110" i="34"/>
  <c r="O109" i="34"/>
  <c r="N109" i="34"/>
  <c r="L109" i="34"/>
  <c r="K109" i="34"/>
  <c r="I109" i="34"/>
  <c r="H109" i="34"/>
  <c r="F109" i="34"/>
  <c r="E109" i="34"/>
  <c r="O108" i="34"/>
  <c r="N108" i="34"/>
  <c r="L108" i="34"/>
  <c r="K108" i="34"/>
  <c r="I108" i="34"/>
  <c r="H108" i="34"/>
  <c r="F108" i="34"/>
  <c r="E108" i="34"/>
  <c r="O107" i="34"/>
  <c r="N107" i="34"/>
  <c r="L107" i="34"/>
  <c r="K107" i="34"/>
  <c r="I107" i="34"/>
  <c r="H107" i="34"/>
  <c r="F107" i="34"/>
  <c r="E107" i="34"/>
  <c r="O106" i="34"/>
  <c r="N106" i="34"/>
  <c r="L106" i="34"/>
  <c r="K106" i="34"/>
  <c r="I106" i="34"/>
  <c r="H106" i="34"/>
  <c r="F106" i="34"/>
  <c r="E106" i="34"/>
  <c r="O105" i="34"/>
  <c r="N105" i="34"/>
  <c r="L105" i="34"/>
  <c r="K105" i="34"/>
  <c r="I105" i="34"/>
  <c r="H105" i="34"/>
  <c r="F105" i="34"/>
  <c r="E105" i="34"/>
  <c r="O104" i="34"/>
  <c r="N104" i="34"/>
  <c r="L104" i="34"/>
  <c r="K104" i="34"/>
  <c r="I104" i="34"/>
  <c r="H104" i="34"/>
  <c r="F104" i="34"/>
  <c r="E104" i="34"/>
  <c r="O103" i="34"/>
  <c r="N103" i="34"/>
  <c r="L103" i="34"/>
  <c r="K103" i="34"/>
  <c r="I103" i="34"/>
  <c r="H103" i="34"/>
  <c r="F103" i="34"/>
  <c r="E103" i="34"/>
  <c r="O102" i="34"/>
  <c r="O112" i="34" s="1"/>
  <c r="N102" i="34"/>
  <c r="N112" i="34" s="1"/>
  <c r="L102" i="34"/>
  <c r="L112" i="34" s="1"/>
  <c r="K102" i="34"/>
  <c r="K112" i="34" s="1"/>
  <c r="I102" i="34"/>
  <c r="I112" i="34" s="1"/>
  <c r="H102" i="34"/>
  <c r="H112" i="34" s="1"/>
  <c r="F102" i="34"/>
  <c r="E102" i="34"/>
  <c r="E112" i="34" s="1"/>
  <c r="O94" i="34"/>
  <c r="N94" i="34"/>
  <c r="L94" i="34"/>
  <c r="K94" i="34"/>
  <c r="I94" i="34"/>
  <c r="H94" i="34"/>
  <c r="F94" i="34"/>
  <c r="E94" i="34"/>
  <c r="O93" i="34"/>
  <c r="N93" i="34"/>
  <c r="L93" i="34"/>
  <c r="K93" i="34"/>
  <c r="I93" i="34"/>
  <c r="H93" i="34"/>
  <c r="F93" i="34"/>
  <c r="E93" i="34"/>
  <c r="O92" i="34"/>
  <c r="N92" i="34"/>
  <c r="L92" i="34"/>
  <c r="K92" i="34"/>
  <c r="I92" i="34"/>
  <c r="H92" i="34"/>
  <c r="F92" i="34"/>
  <c r="E92" i="34"/>
  <c r="O91" i="34"/>
  <c r="N91" i="34"/>
  <c r="L91" i="34"/>
  <c r="K91" i="34"/>
  <c r="I91" i="34"/>
  <c r="H91" i="34"/>
  <c r="F91" i="34"/>
  <c r="E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O95" i="34" s="1"/>
  <c r="N85" i="34"/>
  <c r="N95" i="34" s="1"/>
  <c r="L85" i="34"/>
  <c r="L95" i="34" s="1"/>
  <c r="K85" i="34"/>
  <c r="K95" i="34" s="1"/>
  <c r="I85" i="34"/>
  <c r="I95" i="34" s="1"/>
  <c r="H85" i="34"/>
  <c r="H95" i="34" s="1"/>
  <c r="F85" i="34"/>
  <c r="F95" i="34" s="1"/>
  <c r="E85" i="34"/>
  <c r="E95" i="34" s="1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N71" i="34"/>
  <c r="L71" i="34"/>
  <c r="K71" i="34"/>
  <c r="I71" i="34"/>
  <c r="H71" i="34"/>
  <c r="F71" i="34"/>
  <c r="E71" i="34"/>
  <c r="O70" i="34"/>
  <c r="N70" i="34"/>
  <c r="L70" i="34"/>
  <c r="K70" i="34"/>
  <c r="I70" i="34"/>
  <c r="H70" i="34"/>
  <c r="F70" i="34"/>
  <c r="E70" i="34"/>
  <c r="O69" i="34"/>
  <c r="N69" i="34"/>
  <c r="L69" i="34"/>
  <c r="K69" i="34"/>
  <c r="I69" i="34"/>
  <c r="H69" i="34"/>
  <c r="F69" i="34"/>
  <c r="E69" i="34"/>
  <c r="O68" i="34"/>
  <c r="O78" i="34" s="1"/>
  <c r="N68" i="34"/>
  <c r="N78" i="34" s="1"/>
  <c r="L68" i="34"/>
  <c r="L78" i="34" s="1"/>
  <c r="K68" i="34"/>
  <c r="K78" i="34" s="1"/>
  <c r="I68" i="34"/>
  <c r="I78" i="34" s="1"/>
  <c r="H68" i="34"/>
  <c r="H78" i="34" s="1"/>
  <c r="F68" i="34"/>
  <c r="F78" i="34" s="1"/>
  <c r="E68" i="34"/>
  <c r="E78" i="34" s="1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O61" i="34" s="1"/>
  <c r="N51" i="34"/>
  <c r="N61" i="34" s="1"/>
  <c r="L51" i="34"/>
  <c r="L61" i="34" s="1"/>
  <c r="K51" i="34"/>
  <c r="K61" i="34" s="1"/>
  <c r="I51" i="34"/>
  <c r="I61" i="34" s="1"/>
  <c r="H51" i="34"/>
  <c r="H61" i="34" s="1"/>
  <c r="F51" i="34"/>
  <c r="F61" i="34" s="1"/>
  <c r="E51" i="34"/>
  <c r="E61" i="34" s="1"/>
  <c r="O43" i="34"/>
  <c r="N43" i="34"/>
  <c r="L43" i="34"/>
  <c r="K43" i="34"/>
  <c r="I43" i="34"/>
  <c r="H43" i="34"/>
  <c r="F43" i="34"/>
  <c r="E43" i="34"/>
  <c r="O42" i="34"/>
  <c r="N42" i="34"/>
  <c r="L42" i="34"/>
  <c r="K42" i="34"/>
  <c r="I42" i="34"/>
  <c r="H42" i="34"/>
  <c r="F42" i="34"/>
  <c r="E42" i="34"/>
  <c r="O41" i="34"/>
  <c r="N41" i="34"/>
  <c r="L41" i="34"/>
  <c r="K41" i="34"/>
  <c r="I41" i="34"/>
  <c r="H41" i="34"/>
  <c r="F41" i="34"/>
  <c r="E41" i="34"/>
  <c r="O40" i="34"/>
  <c r="N40" i="34"/>
  <c r="L40" i="34"/>
  <c r="K40" i="34"/>
  <c r="I40" i="34"/>
  <c r="H40" i="34"/>
  <c r="F40" i="34"/>
  <c r="E40" i="34"/>
  <c r="O39" i="34"/>
  <c r="N39" i="34"/>
  <c r="L39" i="34"/>
  <c r="K39" i="34"/>
  <c r="I39" i="34"/>
  <c r="H39" i="34"/>
  <c r="F39" i="34"/>
  <c r="E39" i="34"/>
  <c r="O38" i="34"/>
  <c r="N38" i="34"/>
  <c r="L38" i="34"/>
  <c r="K38" i="34"/>
  <c r="I38" i="34"/>
  <c r="H38" i="34"/>
  <c r="F38" i="34"/>
  <c r="E38" i="34"/>
  <c r="O37" i="34"/>
  <c r="N37" i="34"/>
  <c r="L37" i="34"/>
  <c r="K37" i="34"/>
  <c r="I37" i="34"/>
  <c r="H37" i="34"/>
  <c r="F37" i="34"/>
  <c r="E37" i="34"/>
  <c r="O36" i="34"/>
  <c r="N36" i="34"/>
  <c r="L36" i="34"/>
  <c r="K36" i="34"/>
  <c r="I36" i="34"/>
  <c r="H36" i="34"/>
  <c r="F36" i="34"/>
  <c r="E36" i="34"/>
  <c r="O35" i="34"/>
  <c r="N35" i="34"/>
  <c r="L35" i="34"/>
  <c r="K35" i="34"/>
  <c r="I35" i="34"/>
  <c r="H35" i="34"/>
  <c r="F35" i="34"/>
  <c r="E35" i="34"/>
  <c r="O34" i="34"/>
  <c r="O44" i="34" s="1"/>
  <c r="N34" i="34"/>
  <c r="N44" i="34" s="1"/>
  <c r="L34" i="34"/>
  <c r="L44" i="34" s="1"/>
  <c r="K34" i="34"/>
  <c r="K44" i="34" s="1"/>
  <c r="I34" i="34"/>
  <c r="I44" i="34" s="1"/>
  <c r="H34" i="34"/>
  <c r="H44" i="34" s="1"/>
  <c r="F34" i="34"/>
  <c r="F44" i="34" s="1"/>
  <c r="E34" i="34"/>
  <c r="E44" i="34" s="1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B17" i="30"/>
  <c r="C17" i="30"/>
  <c r="D17" i="30"/>
  <c r="G17" i="30"/>
  <c r="J17" i="30"/>
  <c r="M17" i="30"/>
  <c r="B18" i="30"/>
  <c r="C18" i="30"/>
  <c r="D18" i="30"/>
  <c r="G18" i="30"/>
  <c r="J18" i="30"/>
  <c r="M18" i="30"/>
  <c r="B19" i="30"/>
  <c r="C19" i="30"/>
  <c r="D19" i="30"/>
  <c r="G19" i="30"/>
  <c r="J19" i="30"/>
  <c r="M19" i="30"/>
  <c r="B20" i="30"/>
  <c r="C20" i="30"/>
  <c r="D20" i="30"/>
  <c r="G20" i="30"/>
  <c r="J20" i="30"/>
  <c r="M20" i="30"/>
  <c r="B21" i="30"/>
  <c r="C21" i="30"/>
  <c r="D21" i="30"/>
  <c r="G21" i="30"/>
  <c r="J21" i="30"/>
  <c r="M21" i="30"/>
  <c r="B22" i="30"/>
  <c r="C22" i="30"/>
  <c r="D22" i="30"/>
  <c r="G22" i="30"/>
  <c r="J22" i="30"/>
  <c r="M22" i="30"/>
  <c r="B23" i="30"/>
  <c r="C23" i="30"/>
  <c r="D23" i="30"/>
  <c r="E23" i="30"/>
  <c r="F23" i="30"/>
  <c r="G23" i="30"/>
  <c r="H23" i="30"/>
  <c r="I23" i="30"/>
  <c r="J23" i="30"/>
  <c r="K23" i="30"/>
  <c r="L23" i="30"/>
  <c r="M23" i="30"/>
  <c r="N23" i="30"/>
  <c r="O23" i="30"/>
  <c r="B24" i="30"/>
  <c r="C24" i="30"/>
  <c r="D24" i="30"/>
  <c r="E24" i="30"/>
  <c r="F24" i="30"/>
  <c r="G24" i="30"/>
  <c r="H24" i="30"/>
  <c r="I24" i="30"/>
  <c r="J24" i="30"/>
  <c r="K24" i="30"/>
  <c r="L24" i="30"/>
  <c r="M24" i="30"/>
  <c r="N24" i="30"/>
  <c r="O24" i="30"/>
  <c r="B25" i="30"/>
  <c r="C25" i="30"/>
  <c r="D25" i="30"/>
  <c r="E25" i="30"/>
  <c r="F25" i="30"/>
  <c r="G25" i="30"/>
  <c r="H25" i="30"/>
  <c r="I25" i="30"/>
  <c r="J25" i="30"/>
  <c r="K25" i="30"/>
  <c r="L25" i="30"/>
  <c r="M25" i="30"/>
  <c r="N25" i="30"/>
  <c r="O25" i="30"/>
  <c r="B26" i="30"/>
  <c r="C26" i="30"/>
  <c r="D26" i="30"/>
  <c r="E26" i="30"/>
  <c r="F26" i="30"/>
  <c r="G26" i="30"/>
  <c r="H26" i="30"/>
  <c r="I26" i="30"/>
  <c r="J26" i="30"/>
  <c r="K26" i="30"/>
  <c r="L26" i="30"/>
  <c r="M26" i="30"/>
  <c r="N26" i="30"/>
  <c r="O26" i="30"/>
  <c r="E34" i="30"/>
  <c r="F34" i="30" s="1"/>
  <c r="H34" i="30"/>
  <c r="I34" i="30" s="1"/>
  <c r="K34" i="30"/>
  <c r="L34" i="30" s="1"/>
  <c r="N34" i="30"/>
  <c r="O34" i="30"/>
  <c r="E35" i="30"/>
  <c r="E17" i="30" s="1"/>
  <c r="H35" i="30"/>
  <c r="K35" i="30"/>
  <c r="K17" i="30" s="1"/>
  <c r="N35" i="30"/>
  <c r="N17" i="30" s="1"/>
  <c r="O35" i="30"/>
  <c r="E36" i="30"/>
  <c r="E18" i="30" s="1"/>
  <c r="H36" i="30"/>
  <c r="I36" i="30" s="1"/>
  <c r="I18" i="30" s="1"/>
  <c r="K36" i="30"/>
  <c r="N36" i="30"/>
  <c r="N18" i="30" s="1"/>
  <c r="O36" i="30"/>
  <c r="O18" i="30" s="1"/>
  <c r="E37" i="30"/>
  <c r="H37" i="30"/>
  <c r="I37" i="30" s="1"/>
  <c r="I19" i="30" s="1"/>
  <c r="K37" i="30"/>
  <c r="K19" i="30" s="1"/>
  <c r="N37" i="30"/>
  <c r="N19" i="30" s="1"/>
  <c r="O37" i="30"/>
  <c r="O19" i="30" s="1"/>
  <c r="E38" i="30"/>
  <c r="F38" i="30"/>
  <c r="H38" i="30"/>
  <c r="I38" i="30"/>
  <c r="K38" i="30"/>
  <c r="L38" i="30"/>
  <c r="N38" i="30"/>
  <c r="O38" i="30"/>
  <c r="E39" i="30"/>
  <c r="F39" i="30"/>
  <c r="H39" i="30"/>
  <c r="I39" i="30"/>
  <c r="K39" i="30"/>
  <c r="L39" i="30"/>
  <c r="N39" i="30"/>
  <c r="O39" i="30"/>
  <c r="E40" i="30"/>
  <c r="F40" i="30"/>
  <c r="H40" i="30"/>
  <c r="I40" i="30"/>
  <c r="K40" i="30"/>
  <c r="L40" i="30"/>
  <c r="N40" i="30"/>
  <c r="O40" i="30"/>
  <c r="E41" i="30"/>
  <c r="F41" i="30"/>
  <c r="H41" i="30"/>
  <c r="I41" i="30"/>
  <c r="K41" i="30"/>
  <c r="L41" i="30"/>
  <c r="N41" i="30"/>
  <c r="O41" i="30"/>
  <c r="E42" i="30"/>
  <c r="F42" i="30"/>
  <c r="H42" i="30"/>
  <c r="I42" i="30"/>
  <c r="K42" i="30"/>
  <c r="L42" i="30"/>
  <c r="N42" i="30"/>
  <c r="O42" i="30"/>
  <c r="E43" i="30"/>
  <c r="F43" i="30"/>
  <c r="H43" i="30"/>
  <c r="I43" i="30"/>
  <c r="K43" i="30"/>
  <c r="L43" i="30"/>
  <c r="N43" i="30"/>
  <c r="O43" i="30"/>
  <c r="E51" i="30"/>
  <c r="E20" i="30" s="1"/>
  <c r="H51" i="30"/>
  <c r="K51" i="30"/>
  <c r="K20" i="30" s="1"/>
  <c r="N51" i="30"/>
  <c r="N20" i="30" s="1"/>
  <c r="O51" i="30"/>
  <c r="O20" i="30" s="1"/>
  <c r="E52" i="30"/>
  <c r="F52" i="30" s="1"/>
  <c r="H52" i="30"/>
  <c r="I52" i="30" s="1"/>
  <c r="K52" i="30"/>
  <c r="L52" i="30" s="1"/>
  <c r="N52" i="30"/>
  <c r="O52" i="30"/>
  <c r="E53" i="30"/>
  <c r="E21" i="30" s="1"/>
  <c r="H53" i="30"/>
  <c r="I53" i="30" s="1"/>
  <c r="I21" i="30" s="1"/>
  <c r="K53" i="30"/>
  <c r="K21" i="30" s="1"/>
  <c r="N53" i="30"/>
  <c r="N21" i="30" s="1"/>
  <c r="O53" i="30"/>
  <c r="O21" i="30" s="1"/>
  <c r="E54" i="30"/>
  <c r="F54" i="30" s="1"/>
  <c r="H54" i="30"/>
  <c r="I54" i="30" s="1"/>
  <c r="K54" i="30"/>
  <c r="L54" i="30" s="1"/>
  <c r="N54" i="30"/>
  <c r="O54" i="30"/>
  <c r="E55" i="30"/>
  <c r="F55" i="30" s="1"/>
  <c r="H55" i="30"/>
  <c r="I55" i="30" s="1"/>
  <c r="K55" i="30"/>
  <c r="L55" i="30" s="1"/>
  <c r="N55" i="30"/>
  <c r="O55" i="30"/>
  <c r="E56" i="30"/>
  <c r="F56" i="30" s="1"/>
  <c r="H56" i="30"/>
  <c r="I56" i="30" s="1"/>
  <c r="K56" i="30"/>
  <c r="L56" i="30" s="1"/>
  <c r="N56" i="30"/>
  <c r="O56" i="30"/>
  <c r="E57" i="30"/>
  <c r="F57" i="30" s="1"/>
  <c r="H57" i="30"/>
  <c r="I57" i="30" s="1"/>
  <c r="K57" i="30"/>
  <c r="L57" i="30" s="1"/>
  <c r="N57" i="30"/>
  <c r="O57" i="30"/>
  <c r="E58" i="30"/>
  <c r="E22" i="30" s="1"/>
  <c r="H58" i="30"/>
  <c r="I58" i="30" s="1"/>
  <c r="I22" i="30" s="1"/>
  <c r="K58" i="30"/>
  <c r="K22" i="30" s="1"/>
  <c r="N58" i="30"/>
  <c r="N22" i="30" s="1"/>
  <c r="O58" i="30"/>
  <c r="O22" i="30" s="1"/>
  <c r="E59" i="30"/>
  <c r="F59" i="30"/>
  <c r="H59" i="30"/>
  <c r="I59" i="30"/>
  <c r="K59" i="30"/>
  <c r="L59" i="30"/>
  <c r="N59" i="30"/>
  <c r="O59" i="30"/>
  <c r="E60" i="30"/>
  <c r="F60" i="30"/>
  <c r="H60" i="30"/>
  <c r="I60" i="30"/>
  <c r="K60" i="30"/>
  <c r="L60" i="30"/>
  <c r="N60" i="30"/>
  <c r="O60" i="30"/>
  <c r="E68" i="30"/>
  <c r="F68" i="30"/>
  <c r="H68" i="30"/>
  <c r="I68" i="30"/>
  <c r="K68" i="30"/>
  <c r="L68" i="30"/>
  <c r="N68" i="30"/>
  <c r="O68" i="30"/>
  <c r="E69" i="30"/>
  <c r="F69" i="30"/>
  <c r="H69" i="30"/>
  <c r="I69" i="30"/>
  <c r="K69" i="30"/>
  <c r="L69" i="30"/>
  <c r="N69" i="30"/>
  <c r="O69" i="30"/>
  <c r="E70" i="30"/>
  <c r="F70" i="30"/>
  <c r="H70" i="30"/>
  <c r="I70" i="30"/>
  <c r="K70" i="30"/>
  <c r="L70" i="30"/>
  <c r="N70" i="30"/>
  <c r="O70" i="30"/>
  <c r="E71" i="30"/>
  <c r="F71" i="30"/>
  <c r="H71" i="30"/>
  <c r="I71" i="30"/>
  <c r="K71" i="30"/>
  <c r="L71" i="30"/>
  <c r="N71" i="30"/>
  <c r="O71" i="30"/>
  <c r="E72" i="30"/>
  <c r="F72" i="30"/>
  <c r="H72" i="30"/>
  <c r="I72" i="30"/>
  <c r="K72" i="30"/>
  <c r="L72" i="30"/>
  <c r="N72" i="30"/>
  <c r="O72" i="30"/>
  <c r="E73" i="30"/>
  <c r="F73" i="30"/>
  <c r="H73" i="30"/>
  <c r="I73" i="30"/>
  <c r="K73" i="30"/>
  <c r="L73" i="30"/>
  <c r="N73" i="30"/>
  <c r="O73" i="30"/>
  <c r="E74" i="30"/>
  <c r="F74" i="30"/>
  <c r="H74" i="30"/>
  <c r="I74" i="30"/>
  <c r="K74" i="30"/>
  <c r="L74" i="30"/>
  <c r="N74" i="30"/>
  <c r="O74" i="30"/>
  <c r="E75" i="30"/>
  <c r="F75" i="30"/>
  <c r="H75" i="30"/>
  <c r="I75" i="30"/>
  <c r="K75" i="30"/>
  <c r="L75" i="30"/>
  <c r="N75" i="30"/>
  <c r="O75" i="30"/>
  <c r="E76" i="30"/>
  <c r="F76" i="30"/>
  <c r="H76" i="30"/>
  <c r="I76" i="30"/>
  <c r="K76" i="30"/>
  <c r="L76" i="30"/>
  <c r="N76" i="30"/>
  <c r="O76" i="30"/>
  <c r="E77" i="30"/>
  <c r="F77" i="30"/>
  <c r="F78" i="30" s="1"/>
  <c r="H77" i="30"/>
  <c r="I77" i="30"/>
  <c r="K77" i="30"/>
  <c r="L77" i="30"/>
  <c r="N77" i="30"/>
  <c r="O77" i="30"/>
  <c r="E78" i="30"/>
  <c r="E85" i="30"/>
  <c r="F85" i="30"/>
  <c r="H85" i="30"/>
  <c r="I85" i="30"/>
  <c r="K85" i="30"/>
  <c r="L85" i="30"/>
  <c r="N85" i="30"/>
  <c r="O85" i="30"/>
  <c r="E86" i="30"/>
  <c r="F86" i="30"/>
  <c r="H86" i="30"/>
  <c r="I86" i="30"/>
  <c r="K86" i="30"/>
  <c r="L86" i="30"/>
  <c r="N86" i="30"/>
  <c r="O86" i="30"/>
  <c r="E87" i="30"/>
  <c r="F87" i="30"/>
  <c r="H87" i="30"/>
  <c r="I87" i="30"/>
  <c r="K87" i="30"/>
  <c r="L87" i="30"/>
  <c r="N87" i="30"/>
  <c r="O87" i="30"/>
  <c r="E88" i="30"/>
  <c r="F88" i="30"/>
  <c r="H88" i="30"/>
  <c r="I88" i="30"/>
  <c r="K88" i="30"/>
  <c r="L88" i="30"/>
  <c r="N88" i="30"/>
  <c r="O88" i="30"/>
  <c r="E89" i="30"/>
  <c r="F89" i="30"/>
  <c r="H89" i="30"/>
  <c r="I89" i="30"/>
  <c r="K89" i="30"/>
  <c r="L89" i="30"/>
  <c r="N89" i="30"/>
  <c r="O89" i="30"/>
  <c r="E90" i="30"/>
  <c r="F90" i="30"/>
  <c r="H90" i="30"/>
  <c r="I90" i="30"/>
  <c r="K90" i="30"/>
  <c r="L90" i="30"/>
  <c r="N90" i="30"/>
  <c r="O90" i="30"/>
  <c r="E91" i="30"/>
  <c r="F91" i="30"/>
  <c r="H91" i="30"/>
  <c r="I91" i="30"/>
  <c r="K91" i="30"/>
  <c r="L91" i="30"/>
  <c r="N91" i="30"/>
  <c r="O91" i="30"/>
  <c r="E92" i="30"/>
  <c r="F92" i="30"/>
  <c r="H92" i="30"/>
  <c r="I92" i="30"/>
  <c r="K92" i="30"/>
  <c r="L92" i="30"/>
  <c r="N92" i="30"/>
  <c r="O92" i="30"/>
  <c r="E93" i="30"/>
  <c r="F93" i="30"/>
  <c r="H93" i="30"/>
  <c r="I93" i="30"/>
  <c r="K93" i="30"/>
  <c r="L93" i="30"/>
  <c r="N93" i="30"/>
  <c r="O93" i="30"/>
  <c r="E94" i="30"/>
  <c r="E95" i="30" s="1"/>
  <c r="F94" i="30"/>
  <c r="H94" i="30"/>
  <c r="I94" i="30"/>
  <c r="K94" i="30"/>
  <c r="L94" i="30"/>
  <c r="N94" i="30"/>
  <c r="O94" i="30"/>
  <c r="E102" i="30"/>
  <c r="F102" i="30" s="1"/>
  <c r="H102" i="30"/>
  <c r="K102" i="30"/>
  <c r="L102" i="30" s="1"/>
  <c r="N102" i="30"/>
  <c r="O102" i="30"/>
  <c r="E103" i="30"/>
  <c r="F103" i="30" s="1"/>
  <c r="H103" i="30"/>
  <c r="I103" i="30" s="1"/>
  <c r="K103" i="30"/>
  <c r="L103" i="30" s="1"/>
  <c r="N103" i="30"/>
  <c r="O103" i="30"/>
  <c r="E104" i="30"/>
  <c r="F104" i="30" s="1"/>
  <c r="H104" i="30"/>
  <c r="I104" i="30" s="1"/>
  <c r="K104" i="30"/>
  <c r="L104" i="30" s="1"/>
  <c r="N104" i="30"/>
  <c r="O104" i="30"/>
  <c r="E105" i="30"/>
  <c r="F105" i="30" s="1"/>
  <c r="H105" i="30"/>
  <c r="I105" i="30" s="1"/>
  <c r="K105" i="30"/>
  <c r="L105" i="30" s="1"/>
  <c r="N105" i="30"/>
  <c r="O105" i="30"/>
  <c r="E106" i="30"/>
  <c r="F106" i="30" s="1"/>
  <c r="H106" i="30"/>
  <c r="I106" i="30" s="1"/>
  <c r="K106" i="30"/>
  <c r="L106" i="30" s="1"/>
  <c r="N106" i="30"/>
  <c r="O106" i="30"/>
  <c r="E107" i="30"/>
  <c r="F107" i="30" s="1"/>
  <c r="H107" i="30"/>
  <c r="I107" i="30" s="1"/>
  <c r="K107" i="30"/>
  <c r="L107" i="30" s="1"/>
  <c r="N107" i="30"/>
  <c r="O107" i="30"/>
  <c r="E108" i="30"/>
  <c r="F108" i="30" s="1"/>
  <c r="H108" i="30"/>
  <c r="I108" i="30" s="1"/>
  <c r="K108" i="30"/>
  <c r="L108" i="30" s="1"/>
  <c r="N108" i="30"/>
  <c r="O108" i="30"/>
  <c r="E109" i="30"/>
  <c r="F109" i="30" s="1"/>
  <c r="H109" i="30"/>
  <c r="I109" i="30" s="1"/>
  <c r="K109" i="30"/>
  <c r="L109" i="30" s="1"/>
  <c r="N109" i="30"/>
  <c r="O109" i="30"/>
  <c r="E110" i="30"/>
  <c r="F110" i="30" s="1"/>
  <c r="H110" i="30"/>
  <c r="I110" i="30" s="1"/>
  <c r="K110" i="30"/>
  <c r="L110" i="30" s="1"/>
  <c r="N110" i="30"/>
  <c r="O110" i="30"/>
  <c r="E111" i="30"/>
  <c r="F111" i="30" s="1"/>
  <c r="H111" i="30"/>
  <c r="I111" i="30" s="1"/>
  <c r="K111" i="30"/>
  <c r="L111" i="30" s="1"/>
  <c r="N111" i="30"/>
  <c r="O111" i="30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O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O18" i="29"/>
  <c r="B19" i="29"/>
  <c r="C19" i="29"/>
  <c r="D19" i="29"/>
  <c r="E19" i="29"/>
  <c r="F19" i="29"/>
  <c r="G19" i="29"/>
  <c r="H19" i="29"/>
  <c r="I19" i="29"/>
  <c r="J19" i="29"/>
  <c r="K19" i="29"/>
  <c r="L19" i="29"/>
  <c r="M19" i="29"/>
  <c r="N19" i="29"/>
  <c r="O19" i="29"/>
  <c r="B20" i="29"/>
  <c r="C20" i="29"/>
  <c r="D20" i="29"/>
  <c r="E20" i="29"/>
  <c r="F20" i="29"/>
  <c r="G20" i="29"/>
  <c r="H20" i="29"/>
  <c r="I20" i="29"/>
  <c r="J20" i="29"/>
  <c r="K20" i="29"/>
  <c r="L20" i="29"/>
  <c r="M20" i="29"/>
  <c r="N20" i="29"/>
  <c r="O20" i="29"/>
  <c r="B21" i="29"/>
  <c r="C21" i="29"/>
  <c r="D21" i="29"/>
  <c r="E21" i="29"/>
  <c r="F21" i="29"/>
  <c r="G21" i="29"/>
  <c r="H21" i="29"/>
  <c r="I21" i="29"/>
  <c r="J21" i="29"/>
  <c r="K21" i="29"/>
  <c r="L21" i="29"/>
  <c r="M21" i="29"/>
  <c r="N21" i="29"/>
  <c r="O21" i="29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O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O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O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O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O26" i="29"/>
  <c r="E34" i="29"/>
  <c r="H34" i="29"/>
  <c r="I34" i="29" s="1"/>
  <c r="K34" i="29"/>
  <c r="L34" i="29" s="1"/>
  <c r="N34" i="29"/>
  <c r="O34" i="29"/>
  <c r="E35" i="29"/>
  <c r="F35" i="29" s="1"/>
  <c r="H35" i="29"/>
  <c r="I35" i="29" s="1"/>
  <c r="K35" i="29"/>
  <c r="L35" i="29" s="1"/>
  <c r="N35" i="29"/>
  <c r="O35" i="29"/>
  <c r="E36" i="29"/>
  <c r="F36" i="29" s="1"/>
  <c r="H36" i="29"/>
  <c r="I36" i="29" s="1"/>
  <c r="K36" i="29"/>
  <c r="L36" i="29" s="1"/>
  <c r="N36" i="29"/>
  <c r="O36" i="29"/>
  <c r="E37" i="29"/>
  <c r="F37" i="29" s="1"/>
  <c r="H37" i="29"/>
  <c r="I37" i="29" s="1"/>
  <c r="K37" i="29"/>
  <c r="L37" i="29" s="1"/>
  <c r="N37" i="29"/>
  <c r="O37" i="29"/>
  <c r="E38" i="29"/>
  <c r="F38" i="29" s="1"/>
  <c r="H38" i="29"/>
  <c r="I38" i="29" s="1"/>
  <c r="K38" i="29"/>
  <c r="N38" i="29"/>
  <c r="O38" i="29"/>
  <c r="E39" i="29"/>
  <c r="F39" i="29" s="1"/>
  <c r="H39" i="29"/>
  <c r="I39" i="29" s="1"/>
  <c r="K39" i="29"/>
  <c r="L39" i="29" s="1"/>
  <c r="N39" i="29"/>
  <c r="O39" i="29"/>
  <c r="E40" i="29"/>
  <c r="F40" i="29" s="1"/>
  <c r="H40" i="29"/>
  <c r="I40" i="29" s="1"/>
  <c r="K40" i="29"/>
  <c r="L40" i="29" s="1"/>
  <c r="N40" i="29"/>
  <c r="O40" i="29"/>
  <c r="E41" i="29"/>
  <c r="F41" i="29"/>
  <c r="H41" i="29"/>
  <c r="I41" i="29"/>
  <c r="K41" i="29"/>
  <c r="L41" i="29"/>
  <c r="N41" i="29"/>
  <c r="O41" i="29"/>
  <c r="E42" i="29"/>
  <c r="F42" i="29"/>
  <c r="H42" i="29"/>
  <c r="I42" i="29"/>
  <c r="K42" i="29"/>
  <c r="L42" i="29"/>
  <c r="N42" i="29"/>
  <c r="O42" i="29"/>
  <c r="E43" i="29"/>
  <c r="F43" i="29"/>
  <c r="H43" i="29"/>
  <c r="I43" i="29"/>
  <c r="K43" i="29"/>
  <c r="L43" i="29"/>
  <c r="N43" i="29"/>
  <c r="O43" i="29"/>
  <c r="E51" i="29"/>
  <c r="F51" i="29" s="1"/>
  <c r="H51" i="29"/>
  <c r="I51" i="29" s="1"/>
  <c r="K51" i="29"/>
  <c r="L51" i="29" s="1"/>
  <c r="N51" i="29"/>
  <c r="O51" i="29"/>
  <c r="E52" i="29"/>
  <c r="F52" i="29" s="1"/>
  <c r="H52" i="29"/>
  <c r="I52" i="29" s="1"/>
  <c r="K52" i="29"/>
  <c r="L52" i="29" s="1"/>
  <c r="N52" i="29"/>
  <c r="O52" i="29"/>
  <c r="E53" i="29"/>
  <c r="F53" i="29" s="1"/>
  <c r="H53" i="29"/>
  <c r="I53" i="29" s="1"/>
  <c r="K53" i="29"/>
  <c r="L53" i="29" s="1"/>
  <c r="N53" i="29"/>
  <c r="O53" i="29"/>
  <c r="E54" i="29"/>
  <c r="F54" i="29" s="1"/>
  <c r="H54" i="29"/>
  <c r="I54" i="29" s="1"/>
  <c r="K54" i="29"/>
  <c r="L54" i="29" s="1"/>
  <c r="N54" i="29"/>
  <c r="O54" i="29"/>
  <c r="E55" i="29"/>
  <c r="F55" i="29" s="1"/>
  <c r="H55" i="29"/>
  <c r="I55" i="29" s="1"/>
  <c r="K55" i="29"/>
  <c r="L55" i="29" s="1"/>
  <c r="N55" i="29"/>
  <c r="O55" i="29"/>
  <c r="E56" i="29"/>
  <c r="F56" i="29"/>
  <c r="H56" i="29"/>
  <c r="I56" i="29"/>
  <c r="K56" i="29"/>
  <c r="L56" i="29"/>
  <c r="N56" i="29"/>
  <c r="O56" i="29"/>
  <c r="E57" i="29"/>
  <c r="F57" i="29"/>
  <c r="H57" i="29"/>
  <c r="I57" i="29"/>
  <c r="K57" i="29"/>
  <c r="L57" i="29"/>
  <c r="N57" i="29"/>
  <c r="O57" i="29"/>
  <c r="E58" i="29"/>
  <c r="F58" i="29"/>
  <c r="H58" i="29"/>
  <c r="I58" i="29"/>
  <c r="K58" i="29"/>
  <c r="L58" i="29"/>
  <c r="N58" i="29"/>
  <c r="O58" i="29"/>
  <c r="E59" i="29"/>
  <c r="F59" i="29"/>
  <c r="H59" i="29"/>
  <c r="I59" i="29"/>
  <c r="K59" i="29"/>
  <c r="L59" i="29"/>
  <c r="N59" i="29"/>
  <c r="O59" i="29"/>
  <c r="E60" i="29"/>
  <c r="F60" i="29"/>
  <c r="H60" i="29"/>
  <c r="I60" i="29"/>
  <c r="K60" i="29"/>
  <c r="L60" i="29"/>
  <c r="N60" i="29"/>
  <c r="O60" i="29"/>
  <c r="E68" i="29"/>
  <c r="F68" i="29"/>
  <c r="H68" i="29"/>
  <c r="I68" i="29"/>
  <c r="K68" i="29"/>
  <c r="L68" i="29"/>
  <c r="N68" i="29"/>
  <c r="O68" i="29"/>
  <c r="E69" i="29"/>
  <c r="F69" i="29"/>
  <c r="H69" i="29"/>
  <c r="I69" i="29"/>
  <c r="K69" i="29"/>
  <c r="L69" i="29"/>
  <c r="N69" i="29"/>
  <c r="O69" i="29"/>
  <c r="E70" i="29"/>
  <c r="F70" i="29"/>
  <c r="H70" i="29"/>
  <c r="I70" i="29"/>
  <c r="K70" i="29"/>
  <c r="L70" i="29"/>
  <c r="N70" i="29"/>
  <c r="O70" i="29"/>
  <c r="E71" i="29"/>
  <c r="F71" i="29"/>
  <c r="H71" i="29"/>
  <c r="I71" i="29"/>
  <c r="K71" i="29"/>
  <c r="L71" i="29"/>
  <c r="N71" i="29"/>
  <c r="O71" i="29"/>
  <c r="E72" i="29"/>
  <c r="F72" i="29"/>
  <c r="H72" i="29"/>
  <c r="I72" i="29"/>
  <c r="K72" i="29"/>
  <c r="L72" i="29"/>
  <c r="N72" i="29"/>
  <c r="O72" i="29"/>
  <c r="E73" i="29"/>
  <c r="F73" i="29"/>
  <c r="H73" i="29"/>
  <c r="I73" i="29"/>
  <c r="K73" i="29"/>
  <c r="L73" i="29"/>
  <c r="N73" i="29"/>
  <c r="O73" i="29"/>
  <c r="E74" i="29"/>
  <c r="F74" i="29"/>
  <c r="H74" i="29"/>
  <c r="I74" i="29"/>
  <c r="K74" i="29"/>
  <c r="L74" i="29"/>
  <c r="N74" i="29"/>
  <c r="O74" i="29"/>
  <c r="E75" i="29"/>
  <c r="F75" i="29"/>
  <c r="H75" i="29"/>
  <c r="I75" i="29"/>
  <c r="K75" i="29"/>
  <c r="L75" i="29"/>
  <c r="N75" i="29"/>
  <c r="O75" i="29"/>
  <c r="E76" i="29"/>
  <c r="F76" i="29"/>
  <c r="H76" i="29"/>
  <c r="I76" i="29"/>
  <c r="K76" i="29"/>
  <c r="L76" i="29"/>
  <c r="N76" i="29"/>
  <c r="O76" i="29"/>
  <c r="E77" i="29"/>
  <c r="F77" i="29"/>
  <c r="H77" i="29"/>
  <c r="I77" i="29"/>
  <c r="K77" i="29"/>
  <c r="L77" i="29"/>
  <c r="N77" i="29"/>
  <c r="O77" i="29"/>
  <c r="E78" i="29"/>
  <c r="E85" i="29"/>
  <c r="F85" i="29"/>
  <c r="H85" i="29"/>
  <c r="I85" i="29"/>
  <c r="K85" i="29"/>
  <c r="L85" i="29"/>
  <c r="N85" i="29"/>
  <c r="O85" i="29"/>
  <c r="E86" i="29"/>
  <c r="F86" i="29"/>
  <c r="H86" i="29"/>
  <c r="I86" i="29"/>
  <c r="K86" i="29"/>
  <c r="L86" i="29"/>
  <c r="N86" i="29"/>
  <c r="O86" i="29"/>
  <c r="E87" i="29"/>
  <c r="F87" i="29"/>
  <c r="H87" i="29"/>
  <c r="I87" i="29"/>
  <c r="K87" i="29"/>
  <c r="L87" i="29"/>
  <c r="N87" i="29"/>
  <c r="O87" i="29"/>
  <c r="E88" i="29"/>
  <c r="F88" i="29"/>
  <c r="H88" i="29"/>
  <c r="I88" i="29"/>
  <c r="K88" i="29"/>
  <c r="L88" i="29"/>
  <c r="N88" i="29"/>
  <c r="O88" i="29"/>
  <c r="E89" i="29"/>
  <c r="F89" i="29"/>
  <c r="H89" i="29"/>
  <c r="I89" i="29"/>
  <c r="K89" i="29"/>
  <c r="L89" i="29"/>
  <c r="N89" i="29"/>
  <c r="O89" i="29"/>
  <c r="E90" i="29"/>
  <c r="F90" i="29"/>
  <c r="H90" i="29"/>
  <c r="I90" i="29"/>
  <c r="K90" i="29"/>
  <c r="L90" i="29"/>
  <c r="N90" i="29"/>
  <c r="O90" i="29"/>
  <c r="E91" i="29"/>
  <c r="F91" i="29"/>
  <c r="H91" i="29"/>
  <c r="I91" i="29"/>
  <c r="K91" i="29"/>
  <c r="L91" i="29"/>
  <c r="N91" i="29"/>
  <c r="O91" i="29"/>
  <c r="E92" i="29"/>
  <c r="F92" i="29"/>
  <c r="H92" i="29"/>
  <c r="I92" i="29"/>
  <c r="K92" i="29"/>
  <c r="L92" i="29"/>
  <c r="N92" i="29"/>
  <c r="O92" i="29"/>
  <c r="E93" i="29"/>
  <c r="F93" i="29"/>
  <c r="H93" i="29"/>
  <c r="I93" i="29"/>
  <c r="K93" i="29"/>
  <c r="L93" i="29"/>
  <c r="N93" i="29"/>
  <c r="O93" i="29"/>
  <c r="E94" i="29"/>
  <c r="F94" i="29"/>
  <c r="H94" i="29"/>
  <c r="I94" i="29"/>
  <c r="I95" i="29" s="1"/>
  <c r="K94" i="29"/>
  <c r="L94" i="29"/>
  <c r="N94" i="29"/>
  <c r="O94" i="29"/>
  <c r="E95" i="29"/>
  <c r="F95" i="29"/>
  <c r="H95" i="29"/>
  <c r="E102" i="29"/>
  <c r="F102" i="29" s="1"/>
  <c r="H102" i="29"/>
  <c r="I102" i="29"/>
  <c r="K102" i="29"/>
  <c r="L102" i="29" s="1"/>
  <c r="N102" i="29"/>
  <c r="O102" i="29"/>
  <c r="E103" i="29"/>
  <c r="F103" i="29" s="1"/>
  <c r="H103" i="29"/>
  <c r="I103" i="29"/>
  <c r="K103" i="29"/>
  <c r="L103" i="29" s="1"/>
  <c r="N103" i="29"/>
  <c r="O103" i="29"/>
  <c r="E104" i="29"/>
  <c r="F104" i="29" s="1"/>
  <c r="H104" i="29"/>
  <c r="I104" i="29"/>
  <c r="K104" i="29"/>
  <c r="L104" i="29" s="1"/>
  <c r="N104" i="29"/>
  <c r="O104" i="29"/>
  <c r="E105" i="29"/>
  <c r="F105" i="29" s="1"/>
  <c r="H105" i="29"/>
  <c r="I105" i="29"/>
  <c r="K105" i="29"/>
  <c r="L105" i="29" s="1"/>
  <c r="N105" i="29"/>
  <c r="O105" i="29"/>
  <c r="E106" i="29"/>
  <c r="F106" i="29" s="1"/>
  <c r="H106" i="29"/>
  <c r="I106" i="29"/>
  <c r="K106" i="29"/>
  <c r="L106" i="29" s="1"/>
  <c r="N106" i="29"/>
  <c r="O106" i="29"/>
  <c r="E107" i="29"/>
  <c r="F107" i="29" s="1"/>
  <c r="H107" i="29"/>
  <c r="I107" i="29"/>
  <c r="K107" i="29"/>
  <c r="L107" i="29" s="1"/>
  <c r="N107" i="29"/>
  <c r="O107" i="29"/>
  <c r="E108" i="29"/>
  <c r="F108" i="29" s="1"/>
  <c r="H108" i="29"/>
  <c r="I108" i="29"/>
  <c r="K108" i="29"/>
  <c r="L108" i="29" s="1"/>
  <c r="N108" i="29"/>
  <c r="O108" i="29"/>
  <c r="E109" i="29"/>
  <c r="F109" i="29" s="1"/>
  <c r="H109" i="29"/>
  <c r="I109" i="29"/>
  <c r="K109" i="29"/>
  <c r="L109" i="29" s="1"/>
  <c r="N109" i="29"/>
  <c r="O109" i="29"/>
  <c r="E110" i="29"/>
  <c r="F110" i="29" s="1"/>
  <c r="H110" i="29"/>
  <c r="I110" i="29"/>
  <c r="K110" i="29"/>
  <c r="L110" i="29" s="1"/>
  <c r="N110" i="29"/>
  <c r="O110" i="29"/>
  <c r="E111" i="29"/>
  <c r="F111" i="29" s="1"/>
  <c r="H111" i="29"/>
  <c r="I111" i="29"/>
  <c r="K111" i="29"/>
  <c r="L111" i="29" s="1"/>
  <c r="N111" i="29"/>
  <c r="O111" i="29"/>
  <c r="M17" i="21"/>
  <c r="M18" i="21"/>
  <c r="M19" i="21"/>
  <c r="M20" i="21"/>
  <c r="M21" i="21"/>
  <c r="M22" i="21"/>
  <c r="M23" i="21"/>
  <c r="N111" i="22"/>
  <c r="O111" i="22" s="1"/>
  <c r="K111" i="22"/>
  <c r="L111" i="22" s="1"/>
  <c r="H111" i="22"/>
  <c r="I111" i="22" s="1"/>
  <c r="E111" i="22"/>
  <c r="F111" i="22" s="1"/>
  <c r="N110" i="22"/>
  <c r="O110" i="22" s="1"/>
  <c r="K110" i="22"/>
  <c r="L110" i="22" s="1"/>
  <c r="H110" i="22"/>
  <c r="I110" i="22" s="1"/>
  <c r="E110" i="22"/>
  <c r="F110" i="22" s="1"/>
  <c r="N109" i="22"/>
  <c r="O109" i="22" s="1"/>
  <c r="K109" i="22"/>
  <c r="L109" i="22" s="1"/>
  <c r="H109" i="22"/>
  <c r="I109" i="22" s="1"/>
  <c r="E109" i="22"/>
  <c r="F109" i="22" s="1"/>
  <c r="N108" i="22"/>
  <c r="O108" i="22" s="1"/>
  <c r="K108" i="22"/>
  <c r="L108" i="22" s="1"/>
  <c r="H108" i="22"/>
  <c r="I108" i="22" s="1"/>
  <c r="E108" i="22"/>
  <c r="F108" i="22" s="1"/>
  <c r="N107" i="22"/>
  <c r="O107" i="22" s="1"/>
  <c r="K107" i="22"/>
  <c r="L107" i="22" s="1"/>
  <c r="H107" i="22"/>
  <c r="I107" i="22" s="1"/>
  <c r="E107" i="22"/>
  <c r="F107" i="22" s="1"/>
  <c r="N106" i="22"/>
  <c r="O106" i="22" s="1"/>
  <c r="K106" i="22"/>
  <c r="L106" i="22" s="1"/>
  <c r="H106" i="22"/>
  <c r="I106" i="22" s="1"/>
  <c r="E106" i="22"/>
  <c r="F106" i="22" s="1"/>
  <c r="N105" i="22"/>
  <c r="O105" i="22" s="1"/>
  <c r="K105" i="22"/>
  <c r="L105" i="22" s="1"/>
  <c r="H105" i="22"/>
  <c r="I105" i="22" s="1"/>
  <c r="E105" i="22"/>
  <c r="F105" i="22" s="1"/>
  <c r="N104" i="22"/>
  <c r="O104" i="22" s="1"/>
  <c r="K104" i="22"/>
  <c r="L104" i="22" s="1"/>
  <c r="H104" i="22"/>
  <c r="I104" i="22" s="1"/>
  <c r="E104" i="22"/>
  <c r="F104" i="22" s="1"/>
  <c r="N103" i="22"/>
  <c r="O103" i="22" s="1"/>
  <c r="K103" i="22"/>
  <c r="L103" i="22" s="1"/>
  <c r="H103" i="22"/>
  <c r="I103" i="22" s="1"/>
  <c r="E103" i="22"/>
  <c r="F103" i="22" s="1"/>
  <c r="N102" i="22"/>
  <c r="O102" i="22" s="1"/>
  <c r="K102" i="22"/>
  <c r="L102" i="22" s="1"/>
  <c r="H102" i="22"/>
  <c r="I102" i="22" s="1"/>
  <c r="E102" i="22"/>
  <c r="O94" i="22"/>
  <c r="N94" i="22"/>
  <c r="L94" i="22"/>
  <c r="K94" i="22"/>
  <c r="I94" i="22"/>
  <c r="H94" i="22"/>
  <c r="F94" i="22"/>
  <c r="E94" i="22"/>
  <c r="O93" i="22"/>
  <c r="N93" i="22"/>
  <c r="L93" i="22"/>
  <c r="K93" i="22"/>
  <c r="I93" i="22"/>
  <c r="H93" i="22"/>
  <c r="F93" i="22"/>
  <c r="E93" i="22"/>
  <c r="O92" i="22"/>
  <c r="N92" i="22"/>
  <c r="L92" i="22"/>
  <c r="K92" i="22"/>
  <c r="I92" i="22"/>
  <c r="H92" i="22"/>
  <c r="F92" i="22"/>
  <c r="E92" i="22"/>
  <c r="N91" i="22"/>
  <c r="O91" i="22" s="1"/>
  <c r="K91" i="22"/>
  <c r="L91" i="22" s="1"/>
  <c r="H91" i="22"/>
  <c r="I91" i="22" s="1"/>
  <c r="E91" i="22"/>
  <c r="F91" i="22" s="1"/>
  <c r="N90" i="22"/>
  <c r="O90" i="22" s="1"/>
  <c r="O18" i="22" s="1"/>
  <c r="K90" i="22"/>
  <c r="L90" i="22" s="1"/>
  <c r="L18" i="22" s="1"/>
  <c r="H90" i="22"/>
  <c r="I90" i="22" s="1"/>
  <c r="I18" i="22" s="1"/>
  <c r="E90" i="22"/>
  <c r="N89" i="22"/>
  <c r="O89" i="22" s="1"/>
  <c r="O19" i="22" s="1"/>
  <c r="K89" i="22"/>
  <c r="H89" i="22"/>
  <c r="I89" i="22" s="1"/>
  <c r="I19" i="22" s="1"/>
  <c r="E89" i="22"/>
  <c r="F89" i="22" s="1"/>
  <c r="F19" i="22" s="1"/>
  <c r="N88" i="22"/>
  <c r="N21" i="22" s="1"/>
  <c r="K88" i="22"/>
  <c r="L88" i="22" s="1"/>
  <c r="L21" i="22" s="1"/>
  <c r="H88" i="22"/>
  <c r="I88" i="22" s="1"/>
  <c r="I21" i="22" s="1"/>
  <c r="E88" i="22"/>
  <c r="F88" i="22" s="1"/>
  <c r="F21" i="22" s="1"/>
  <c r="N87" i="22"/>
  <c r="O87" i="22" s="1"/>
  <c r="O22" i="22" s="1"/>
  <c r="K87" i="22"/>
  <c r="L87" i="22" s="1"/>
  <c r="L22" i="22" s="1"/>
  <c r="H87" i="22"/>
  <c r="H22" i="22" s="1"/>
  <c r="E87" i="22"/>
  <c r="F87" i="22" s="1"/>
  <c r="F22" i="22" s="1"/>
  <c r="N86" i="22"/>
  <c r="N17" i="22" s="1"/>
  <c r="K86" i="22"/>
  <c r="L86" i="22" s="1"/>
  <c r="L17" i="22" s="1"/>
  <c r="H86" i="22"/>
  <c r="I86" i="22" s="1"/>
  <c r="I17" i="22" s="1"/>
  <c r="E86" i="22"/>
  <c r="N85" i="22"/>
  <c r="O85" i="22" s="1"/>
  <c r="K85" i="22"/>
  <c r="H85" i="22"/>
  <c r="E85" i="22"/>
  <c r="N77" i="22"/>
  <c r="O77" i="22" s="1"/>
  <c r="K77" i="22"/>
  <c r="L77" i="22" s="1"/>
  <c r="H77" i="22"/>
  <c r="I77" i="22" s="1"/>
  <c r="E77" i="22"/>
  <c r="F77" i="22" s="1"/>
  <c r="N76" i="22"/>
  <c r="O76" i="22" s="1"/>
  <c r="K76" i="22"/>
  <c r="L76" i="22" s="1"/>
  <c r="H76" i="22"/>
  <c r="I76" i="22" s="1"/>
  <c r="E76" i="22"/>
  <c r="F76" i="22" s="1"/>
  <c r="N75" i="22"/>
  <c r="O75" i="22" s="1"/>
  <c r="K75" i="22"/>
  <c r="L75" i="22" s="1"/>
  <c r="H75" i="22"/>
  <c r="I75" i="22" s="1"/>
  <c r="E75" i="22"/>
  <c r="F75" i="22" s="1"/>
  <c r="N74" i="22"/>
  <c r="O74" i="22" s="1"/>
  <c r="K74" i="22"/>
  <c r="L74" i="22" s="1"/>
  <c r="H74" i="22"/>
  <c r="I74" i="22" s="1"/>
  <c r="E74" i="22"/>
  <c r="F74" i="22" s="1"/>
  <c r="N73" i="22"/>
  <c r="O73" i="22" s="1"/>
  <c r="K73" i="22"/>
  <c r="L73" i="22" s="1"/>
  <c r="H73" i="22"/>
  <c r="I73" i="22" s="1"/>
  <c r="E73" i="22"/>
  <c r="F73" i="22" s="1"/>
  <c r="N72" i="22"/>
  <c r="O72" i="22" s="1"/>
  <c r="K72" i="22"/>
  <c r="L72" i="22" s="1"/>
  <c r="H72" i="22"/>
  <c r="I72" i="22" s="1"/>
  <c r="E72" i="22"/>
  <c r="F72" i="22" s="1"/>
  <c r="N71" i="22"/>
  <c r="O71" i="22" s="1"/>
  <c r="K71" i="22"/>
  <c r="L71" i="22" s="1"/>
  <c r="H71" i="22"/>
  <c r="I71" i="22" s="1"/>
  <c r="E71" i="22"/>
  <c r="F71" i="22" s="1"/>
  <c r="N70" i="22"/>
  <c r="O70" i="22" s="1"/>
  <c r="K70" i="22"/>
  <c r="L70" i="22" s="1"/>
  <c r="H70" i="22"/>
  <c r="I70" i="22" s="1"/>
  <c r="E70" i="22"/>
  <c r="F70" i="22" s="1"/>
  <c r="N69" i="22"/>
  <c r="O69" i="22" s="1"/>
  <c r="K69" i="22"/>
  <c r="L69" i="22" s="1"/>
  <c r="H69" i="22"/>
  <c r="I69" i="22" s="1"/>
  <c r="E69" i="22"/>
  <c r="F69" i="22" s="1"/>
  <c r="N68" i="22"/>
  <c r="O68" i="22" s="1"/>
  <c r="K68" i="22"/>
  <c r="H68" i="22"/>
  <c r="I68" i="22" s="1"/>
  <c r="E68" i="22"/>
  <c r="O60" i="22"/>
  <c r="N60" i="22"/>
  <c r="L60" i="22"/>
  <c r="K60" i="22"/>
  <c r="I60" i="22"/>
  <c r="H60" i="22"/>
  <c r="F60" i="22"/>
  <c r="E60" i="22"/>
  <c r="O59" i="22"/>
  <c r="N59" i="22"/>
  <c r="L59" i="22"/>
  <c r="K59" i="22"/>
  <c r="I59" i="22"/>
  <c r="H59" i="22"/>
  <c r="F59" i="22"/>
  <c r="E59" i="22"/>
  <c r="O58" i="22"/>
  <c r="N58" i="22"/>
  <c r="L58" i="22"/>
  <c r="K58" i="22"/>
  <c r="I58" i="22"/>
  <c r="H58" i="22"/>
  <c r="F58" i="22"/>
  <c r="E58" i="22"/>
  <c r="O57" i="22"/>
  <c r="N57" i="22"/>
  <c r="L57" i="22"/>
  <c r="K57" i="22"/>
  <c r="I57" i="22"/>
  <c r="H57" i="22"/>
  <c r="F57" i="22"/>
  <c r="E57" i="22"/>
  <c r="O56" i="22"/>
  <c r="N56" i="22"/>
  <c r="L56" i="22"/>
  <c r="K56" i="22"/>
  <c r="I56" i="22"/>
  <c r="H56" i="22"/>
  <c r="F56" i="22"/>
  <c r="E56" i="22"/>
  <c r="O55" i="22"/>
  <c r="N55" i="22"/>
  <c r="L55" i="22"/>
  <c r="K55" i="22"/>
  <c r="I55" i="22"/>
  <c r="H55" i="22"/>
  <c r="F55" i="22"/>
  <c r="E55" i="22"/>
  <c r="O54" i="22"/>
  <c r="N54" i="22"/>
  <c r="L54" i="22"/>
  <c r="K54" i="22"/>
  <c r="I54" i="22"/>
  <c r="H54" i="22"/>
  <c r="F54" i="22"/>
  <c r="E54" i="22"/>
  <c r="O53" i="22"/>
  <c r="N53" i="22"/>
  <c r="L53" i="22"/>
  <c r="K53" i="22"/>
  <c r="I53" i="22"/>
  <c r="H53" i="22"/>
  <c r="F53" i="22"/>
  <c r="E53" i="22"/>
  <c r="N52" i="22"/>
  <c r="O52" i="22" s="1"/>
  <c r="K52" i="22"/>
  <c r="L52" i="22" s="1"/>
  <c r="H52" i="22"/>
  <c r="I52" i="22" s="1"/>
  <c r="E52" i="22"/>
  <c r="F52" i="22" s="1"/>
  <c r="N51" i="22"/>
  <c r="O51" i="22" s="1"/>
  <c r="O20" i="22" s="1"/>
  <c r="K51" i="22"/>
  <c r="K20" i="22" s="1"/>
  <c r="H51" i="22"/>
  <c r="H20" i="22" s="1"/>
  <c r="E51" i="22"/>
  <c r="E20" i="22" s="1"/>
  <c r="O43" i="22"/>
  <c r="N43" i="22"/>
  <c r="L43" i="22"/>
  <c r="K43" i="22"/>
  <c r="I43" i="22"/>
  <c r="H43" i="22"/>
  <c r="F43" i="22"/>
  <c r="E43" i="22"/>
  <c r="O42" i="22"/>
  <c r="N42" i="22"/>
  <c r="K42" i="22"/>
  <c r="L42" i="22" s="1"/>
  <c r="I42" i="22"/>
  <c r="H42" i="22"/>
  <c r="F42" i="22"/>
  <c r="E42" i="22"/>
  <c r="N41" i="22"/>
  <c r="O41" i="22" s="1"/>
  <c r="K41" i="22"/>
  <c r="L41" i="22" s="1"/>
  <c r="H41" i="22"/>
  <c r="I41" i="22" s="1"/>
  <c r="E41" i="22"/>
  <c r="F41" i="22" s="1"/>
  <c r="N40" i="22"/>
  <c r="O40" i="22" s="1"/>
  <c r="K40" i="22"/>
  <c r="L40" i="22" s="1"/>
  <c r="H40" i="22"/>
  <c r="I40" i="22" s="1"/>
  <c r="E40" i="22"/>
  <c r="F40" i="22" s="1"/>
  <c r="N39" i="22"/>
  <c r="O39" i="22" s="1"/>
  <c r="K39" i="22"/>
  <c r="L39" i="22" s="1"/>
  <c r="H39" i="22"/>
  <c r="I39" i="22" s="1"/>
  <c r="E39" i="22"/>
  <c r="F39" i="22" s="1"/>
  <c r="N38" i="22"/>
  <c r="O38" i="22" s="1"/>
  <c r="K38" i="22"/>
  <c r="L38" i="22" s="1"/>
  <c r="H38" i="22"/>
  <c r="I38" i="22" s="1"/>
  <c r="E38" i="22"/>
  <c r="F38" i="22" s="1"/>
  <c r="N37" i="22"/>
  <c r="N23" i="22" s="1"/>
  <c r="K37" i="22"/>
  <c r="L37" i="22" s="1"/>
  <c r="L23" i="22" s="1"/>
  <c r="H37" i="22"/>
  <c r="E37" i="22"/>
  <c r="F37" i="22" s="1"/>
  <c r="F23" i="22" s="1"/>
  <c r="N36" i="22"/>
  <c r="O36" i="22" s="1"/>
  <c r="K36" i="22"/>
  <c r="L36" i="22" s="1"/>
  <c r="H36" i="22"/>
  <c r="I36" i="22" s="1"/>
  <c r="E36" i="22"/>
  <c r="F36" i="22" s="1"/>
  <c r="N35" i="22"/>
  <c r="O35" i="22" s="1"/>
  <c r="K35" i="22"/>
  <c r="L35" i="22" s="1"/>
  <c r="H35" i="22"/>
  <c r="I35" i="22" s="1"/>
  <c r="E35" i="22"/>
  <c r="F35" i="22" s="1"/>
  <c r="N34" i="22"/>
  <c r="O34" i="22" s="1"/>
  <c r="K34" i="22"/>
  <c r="H34" i="22"/>
  <c r="I34" i="22" s="1"/>
  <c r="E34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M23" i="22"/>
  <c r="J23" i="22"/>
  <c r="G23" i="22"/>
  <c r="D23" i="22"/>
  <c r="C23" i="22"/>
  <c r="B23" i="22"/>
  <c r="M22" i="22"/>
  <c r="J22" i="22"/>
  <c r="G22" i="22"/>
  <c r="D22" i="22"/>
  <c r="C22" i="22"/>
  <c r="B22" i="22"/>
  <c r="M21" i="22"/>
  <c r="J21" i="22"/>
  <c r="G21" i="22"/>
  <c r="D21" i="22"/>
  <c r="C21" i="22"/>
  <c r="B21" i="22"/>
  <c r="M20" i="22"/>
  <c r="J20" i="22"/>
  <c r="G20" i="22"/>
  <c r="D20" i="22"/>
  <c r="C20" i="22"/>
  <c r="B20" i="22"/>
  <c r="M19" i="22"/>
  <c r="J19" i="22"/>
  <c r="G19" i="22"/>
  <c r="D19" i="22"/>
  <c r="C19" i="22"/>
  <c r="B19" i="22"/>
  <c r="M18" i="22"/>
  <c r="J18" i="22"/>
  <c r="G18" i="22"/>
  <c r="D18" i="22"/>
  <c r="C18" i="22"/>
  <c r="B18" i="22"/>
  <c r="M17" i="22"/>
  <c r="J17" i="22"/>
  <c r="G17" i="22"/>
  <c r="D17" i="22"/>
  <c r="C17" i="22"/>
  <c r="B17" i="22"/>
  <c r="N111" i="21"/>
  <c r="O111" i="21" s="1"/>
  <c r="O23" i="21" s="1"/>
  <c r="K111" i="21"/>
  <c r="H111" i="21"/>
  <c r="E111" i="21"/>
  <c r="E23" i="21" s="1"/>
  <c r="N110" i="21"/>
  <c r="O110" i="21" s="1"/>
  <c r="K110" i="21"/>
  <c r="L110" i="21" s="1"/>
  <c r="H110" i="21"/>
  <c r="I110" i="21" s="1"/>
  <c r="E110" i="21"/>
  <c r="F110" i="21" s="1"/>
  <c r="N109" i="21"/>
  <c r="O109" i="21" s="1"/>
  <c r="O22" i="21" s="1"/>
  <c r="K109" i="21"/>
  <c r="L109" i="21" s="1"/>
  <c r="L22" i="21" s="1"/>
  <c r="H109" i="21"/>
  <c r="I109" i="21" s="1"/>
  <c r="I22" i="21" s="1"/>
  <c r="E109" i="21"/>
  <c r="F109" i="21" s="1"/>
  <c r="F22" i="21" s="1"/>
  <c r="N108" i="21"/>
  <c r="O108" i="21" s="1"/>
  <c r="O21" i="21" s="1"/>
  <c r="K108" i="21"/>
  <c r="H108" i="21"/>
  <c r="I108" i="21" s="1"/>
  <c r="I21" i="21" s="1"/>
  <c r="E108" i="21"/>
  <c r="F108" i="21" s="1"/>
  <c r="F21" i="21" s="1"/>
  <c r="N107" i="21"/>
  <c r="K107" i="21"/>
  <c r="H107" i="21"/>
  <c r="I107" i="21" s="1"/>
  <c r="I20" i="21" s="1"/>
  <c r="E107" i="21"/>
  <c r="F107" i="21" s="1"/>
  <c r="F20" i="21" s="1"/>
  <c r="N106" i="21"/>
  <c r="O106" i="21" s="1"/>
  <c r="O19" i="21" s="1"/>
  <c r="K106" i="21"/>
  <c r="L106" i="21" s="1"/>
  <c r="L19" i="21" s="1"/>
  <c r="H106" i="21"/>
  <c r="I106" i="21" s="1"/>
  <c r="I19" i="21" s="1"/>
  <c r="E106" i="21"/>
  <c r="F106" i="21" s="1"/>
  <c r="F19" i="21" s="1"/>
  <c r="N105" i="21"/>
  <c r="N18" i="21" s="1"/>
  <c r="K105" i="21"/>
  <c r="L105" i="21" s="1"/>
  <c r="L18" i="21" s="1"/>
  <c r="H105" i="21"/>
  <c r="H18" i="21" s="1"/>
  <c r="E105" i="21"/>
  <c r="F105" i="21" s="1"/>
  <c r="F18" i="21" s="1"/>
  <c r="N104" i="21"/>
  <c r="O104" i="21" s="1"/>
  <c r="K104" i="21"/>
  <c r="L104" i="21" s="1"/>
  <c r="H104" i="21"/>
  <c r="I104" i="21" s="1"/>
  <c r="E104" i="21"/>
  <c r="F104" i="21" s="1"/>
  <c r="N103" i="21"/>
  <c r="O103" i="21" s="1"/>
  <c r="O17" i="21" s="1"/>
  <c r="K103" i="21"/>
  <c r="L103" i="21" s="1"/>
  <c r="L17" i="21" s="1"/>
  <c r="H103" i="21"/>
  <c r="I103" i="21" s="1"/>
  <c r="I17" i="21" s="1"/>
  <c r="E103" i="21"/>
  <c r="F103" i="21" s="1"/>
  <c r="F17" i="21" s="1"/>
  <c r="N102" i="21"/>
  <c r="O102" i="21" s="1"/>
  <c r="K102" i="21"/>
  <c r="L102" i="21" s="1"/>
  <c r="H102" i="21"/>
  <c r="I102" i="21" s="1"/>
  <c r="E102" i="21"/>
  <c r="O94" i="21"/>
  <c r="N94" i="21"/>
  <c r="L94" i="21"/>
  <c r="K94" i="21"/>
  <c r="I94" i="21"/>
  <c r="H94" i="21"/>
  <c r="F94" i="21"/>
  <c r="E94" i="21"/>
  <c r="O93" i="21"/>
  <c r="N93" i="21"/>
  <c r="L93" i="21"/>
  <c r="K93" i="21"/>
  <c r="I93" i="21"/>
  <c r="H93" i="21"/>
  <c r="F93" i="21"/>
  <c r="E93" i="21"/>
  <c r="O92" i="21"/>
  <c r="N92" i="21"/>
  <c r="L92" i="21"/>
  <c r="K92" i="21"/>
  <c r="I92" i="21"/>
  <c r="H92" i="21"/>
  <c r="F92" i="21"/>
  <c r="E92" i="21"/>
  <c r="O91" i="21"/>
  <c r="N91" i="21"/>
  <c r="L91" i="21"/>
  <c r="K91" i="21"/>
  <c r="I91" i="21"/>
  <c r="H91" i="21"/>
  <c r="F91" i="21"/>
  <c r="E91" i="21"/>
  <c r="O90" i="21"/>
  <c r="N90" i="21"/>
  <c r="L90" i="21"/>
  <c r="K90" i="21"/>
  <c r="I90" i="21"/>
  <c r="H90" i="21"/>
  <c r="F90" i="21"/>
  <c r="E90" i="21"/>
  <c r="O89" i="21"/>
  <c r="N89" i="21"/>
  <c r="L89" i="21"/>
  <c r="K89" i="21"/>
  <c r="I89" i="21"/>
  <c r="H89" i="21"/>
  <c r="F89" i="21"/>
  <c r="E89" i="21"/>
  <c r="O88" i="21"/>
  <c r="N88" i="21"/>
  <c r="L88" i="21"/>
  <c r="K88" i="21"/>
  <c r="I88" i="21"/>
  <c r="H88" i="21"/>
  <c r="F88" i="21"/>
  <c r="E88" i="21"/>
  <c r="O87" i="21"/>
  <c r="N87" i="21"/>
  <c r="L87" i="21"/>
  <c r="K87" i="21"/>
  <c r="I87" i="21"/>
  <c r="H87" i="21"/>
  <c r="F87" i="21"/>
  <c r="E87" i="21"/>
  <c r="O86" i="21"/>
  <c r="N86" i="21"/>
  <c r="L86" i="21"/>
  <c r="K86" i="21"/>
  <c r="I86" i="21"/>
  <c r="H86" i="21"/>
  <c r="F86" i="21"/>
  <c r="E86" i="21"/>
  <c r="O85" i="21"/>
  <c r="N85" i="21"/>
  <c r="N95" i="21" s="1"/>
  <c r="L85" i="21"/>
  <c r="K85" i="21"/>
  <c r="K95" i="21" s="1"/>
  <c r="I85" i="21"/>
  <c r="I95" i="21" s="1"/>
  <c r="H85" i="21"/>
  <c r="H95" i="21" s="1"/>
  <c r="F85" i="21"/>
  <c r="F95" i="21" s="1"/>
  <c r="E85" i="21"/>
  <c r="E95" i="21" s="1"/>
  <c r="O77" i="21"/>
  <c r="N77" i="21"/>
  <c r="L77" i="21"/>
  <c r="K77" i="21"/>
  <c r="I77" i="21"/>
  <c r="H77" i="21"/>
  <c r="F77" i="21"/>
  <c r="E77" i="21"/>
  <c r="O76" i="21"/>
  <c r="N76" i="21"/>
  <c r="L76" i="21"/>
  <c r="K76" i="21"/>
  <c r="I76" i="21"/>
  <c r="H76" i="21"/>
  <c r="F76" i="21"/>
  <c r="E76" i="21"/>
  <c r="O75" i="21"/>
  <c r="N75" i="21"/>
  <c r="L75" i="21"/>
  <c r="K75" i="21"/>
  <c r="I75" i="21"/>
  <c r="H75" i="21"/>
  <c r="F75" i="21"/>
  <c r="E75" i="21"/>
  <c r="O74" i="21"/>
  <c r="N74" i="21"/>
  <c r="L74" i="21"/>
  <c r="K74" i="21"/>
  <c r="I74" i="21"/>
  <c r="H74" i="21"/>
  <c r="F74" i="21"/>
  <c r="E74" i="21"/>
  <c r="O73" i="21"/>
  <c r="N73" i="21"/>
  <c r="L73" i="21"/>
  <c r="K73" i="21"/>
  <c r="I73" i="21"/>
  <c r="H73" i="21"/>
  <c r="F73" i="21"/>
  <c r="E73" i="21"/>
  <c r="O72" i="21"/>
  <c r="N72" i="21"/>
  <c r="L72" i="21"/>
  <c r="K72" i="21"/>
  <c r="I72" i="21"/>
  <c r="H72" i="21"/>
  <c r="F72" i="21"/>
  <c r="E72" i="21"/>
  <c r="O71" i="21"/>
  <c r="N71" i="21"/>
  <c r="L71" i="21"/>
  <c r="K71" i="21"/>
  <c r="I71" i="21"/>
  <c r="H71" i="21"/>
  <c r="F71" i="21"/>
  <c r="E71" i="21"/>
  <c r="O70" i="21"/>
  <c r="N70" i="21"/>
  <c r="L70" i="21"/>
  <c r="K70" i="21"/>
  <c r="I70" i="21"/>
  <c r="H70" i="21"/>
  <c r="F70" i="21"/>
  <c r="E70" i="21"/>
  <c r="O69" i="21"/>
  <c r="N69" i="21"/>
  <c r="L69" i="21"/>
  <c r="K69" i="21"/>
  <c r="I69" i="21"/>
  <c r="H69" i="21"/>
  <c r="F69" i="21"/>
  <c r="E69" i="21"/>
  <c r="O68" i="21"/>
  <c r="O78" i="21" s="1"/>
  <c r="N68" i="21"/>
  <c r="L68" i="21"/>
  <c r="K68" i="21"/>
  <c r="K78" i="21" s="1"/>
  <c r="I68" i="21"/>
  <c r="H68" i="21"/>
  <c r="H78" i="21" s="1"/>
  <c r="F68" i="21"/>
  <c r="E68" i="21"/>
  <c r="E78" i="21" s="1"/>
  <c r="O60" i="21"/>
  <c r="N60" i="21"/>
  <c r="L60" i="21"/>
  <c r="K60" i="21"/>
  <c r="I60" i="21"/>
  <c r="H60" i="21"/>
  <c r="F60" i="21"/>
  <c r="E60" i="21"/>
  <c r="O59" i="21"/>
  <c r="N59" i="21"/>
  <c r="L59" i="21"/>
  <c r="K59" i="21"/>
  <c r="I59" i="21"/>
  <c r="H59" i="21"/>
  <c r="F59" i="21"/>
  <c r="E59" i="21"/>
  <c r="O58" i="21"/>
  <c r="N58" i="21"/>
  <c r="L58" i="21"/>
  <c r="K58" i="21"/>
  <c r="I58" i="21"/>
  <c r="H58" i="21"/>
  <c r="F58" i="21"/>
  <c r="E58" i="21"/>
  <c r="O57" i="21"/>
  <c r="N57" i="21"/>
  <c r="L57" i="21"/>
  <c r="K57" i="21"/>
  <c r="I57" i="21"/>
  <c r="H57" i="21"/>
  <c r="F57" i="21"/>
  <c r="E57" i="21"/>
  <c r="O56" i="21"/>
  <c r="N56" i="21"/>
  <c r="L56" i="21"/>
  <c r="K56" i="21"/>
  <c r="I56" i="21"/>
  <c r="H56" i="21"/>
  <c r="F56" i="21"/>
  <c r="E56" i="21"/>
  <c r="O55" i="21"/>
  <c r="N55" i="21"/>
  <c r="L55" i="21"/>
  <c r="K55" i="21"/>
  <c r="I55" i="21"/>
  <c r="H55" i="21"/>
  <c r="F55" i="21"/>
  <c r="E55" i="21"/>
  <c r="O54" i="21"/>
  <c r="N54" i="21"/>
  <c r="L54" i="21"/>
  <c r="K54" i="21"/>
  <c r="I54" i="21"/>
  <c r="H54" i="21"/>
  <c r="F54" i="21"/>
  <c r="E54" i="21"/>
  <c r="O53" i="21"/>
  <c r="N53" i="21"/>
  <c r="L53" i="21"/>
  <c r="K53" i="21"/>
  <c r="I53" i="21"/>
  <c r="H53" i="21"/>
  <c r="F53" i="21"/>
  <c r="E53" i="21"/>
  <c r="O52" i="21"/>
  <c r="N52" i="21"/>
  <c r="L52" i="21"/>
  <c r="K52" i="21"/>
  <c r="I52" i="21"/>
  <c r="H52" i="21"/>
  <c r="F52" i="21"/>
  <c r="E52" i="21"/>
  <c r="O51" i="21"/>
  <c r="O61" i="21" s="1"/>
  <c r="N51" i="21"/>
  <c r="N61" i="21" s="1"/>
  <c r="L51" i="21"/>
  <c r="K51" i="21"/>
  <c r="K61" i="21" s="1"/>
  <c r="I51" i="21"/>
  <c r="I61" i="21" s="1"/>
  <c r="H51" i="21"/>
  <c r="H61" i="21" s="1"/>
  <c r="F51" i="21"/>
  <c r="F61" i="21" s="1"/>
  <c r="E51" i="21"/>
  <c r="E61" i="21" s="1"/>
  <c r="O43" i="21"/>
  <c r="N43" i="21"/>
  <c r="L43" i="21"/>
  <c r="K43" i="21"/>
  <c r="I43" i="21"/>
  <c r="H43" i="21"/>
  <c r="F43" i="21"/>
  <c r="E43" i="21"/>
  <c r="O42" i="21"/>
  <c r="N42" i="21"/>
  <c r="L42" i="21"/>
  <c r="K42" i="21"/>
  <c r="I42" i="21"/>
  <c r="H42" i="21"/>
  <c r="F42" i="21"/>
  <c r="E42" i="21"/>
  <c r="O41" i="21"/>
  <c r="N41" i="21"/>
  <c r="L41" i="21"/>
  <c r="K41" i="21"/>
  <c r="I41" i="21"/>
  <c r="H41" i="21"/>
  <c r="F41" i="21"/>
  <c r="E41" i="21"/>
  <c r="O40" i="21"/>
  <c r="N40" i="21"/>
  <c r="L40" i="21"/>
  <c r="K40" i="21"/>
  <c r="I40" i="21"/>
  <c r="H40" i="21"/>
  <c r="F40" i="21"/>
  <c r="E40" i="21"/>
  <c r="O39" i="21"/>
  <c r="N39" i="21"/>
  <c r="L39" i="21"/>
  <c r="K39" i="21"/>
  <c r="I39" i="21"/>
  <c r="H39" i="21"/>
  <c r="F39" i="21"/>
  <c r="E39" i="21"/>
  <c r="O38" i="21"/>
  <c r="N38" i="21"/>
  <c r="L38" i="21"/>
  <c r="K38" i="21"/>
  <c r="I38" i="21"/>
  <c r="H38" i="21"/>
  <c r="F38" i="21"/>
  <c r="E38" i="21"/>
  <c r="O37" i="21"/>
  <c r="N37" i="21"/>
  <c r="L37" i="21"/>
  <c r="K37" i="21"/>
  <c r="I37" i="21"/>
  <c r="H37" i="21"/>
  <c r="F37" i="21"/>
  <c r="E37" i="21"/>
  <c r="O36" i="21"/>
  <c r="N36" i="21"/>
  <c r="L36" i="21"/>
  <c r="K36" i="21"/>
  <c r="I36" i="21"/>
  <c r="H36" i="21"/>
  <c r="F36" i="21"/>
  <c r="E36" i="21"/>
  <c r="O35" i="21"/>
  <c r="N35" i="21"/>
  <c r="L35" i="21"/>
  <c r="K35" i="21"/>
  <c r="I35" i="21"/>
  <c r="H35" i="21"/>
  <c r="F35" i="21"/>
  <c r="E35" i="21"/>
  <c r="N34" i="21"/>
  <c r="K34" i="21"/>
  <c r="H34" i="21"/>
  <c r="E34" i="21"/>
  <c r="E44" i="21" s="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B26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B25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B24" i="21"/>
  <c r="J23" i="21"/>
  <c r="G23" i="21"/>
  <c r="D23" i="21"/>
  <c r="C23" i="21"/>
  <c r="B23" i="21"/>
  <c r="J22" i="21"/>
  <c r="G22" i="21"/>
  <c r="D22" i="21"/>
  <c r="C22" i="21"/>
  <c r="B22" i="21"/>
  <c r="J21" i="21"/>
  <c r="G21" i="21"/>
  <c r="D21" i="21"/>
  <c r="C21" i="21"/>
  <c r="B21" i="21"/>
  <c r="J20" i="21"/>
  <c r="G20" i="21"/>
  <c r="D20" i="21"/>
  <c r="C20" i="21"/>
  <c r="B20" i="21"/>
  <c r="J19" i="21"/>
  <c r="G19" i="21"/>
  <c r="D19" i="21"/>
  <c r="C19" i="21"/>
  <c r="B19" i="21"/>
  <c r="J18" i="21"/>
  <c r="G18" i="21"/>
  <c r="D18" i="21"/>
  <c r="C18" i="21"/>
  <c r="B18" i="21"/>
  <c r="J17" i="21"/>
  <c r="G17" i="21"/>
  <c r="D17" i="21"/>
  <c r="C17" i="21"/>
  <c r="B17" i="21"/>
  <c r="L108" i="56" l="1"/>
  <c r="L23" i="56" s="1"/>
  <c r="K111" i="56"/>
  <c r="L111" i="56"/>
  <c r="K94" i="56"/>
  <c r="L94" i="56" s="1"/>
  <c r="K87" i="56"/>
  <c r="L87" i="56" s="1"/>
  <c r="K91" i="56"/>
  <c r="L91" i="56" s="1"/>
  <c r="K77" i="56"/>
  <c r="L77" i="56" s="1"/>
  <c r="K70" i="56"/>
  <c r="K26" i="56" s="1"/>
  <c r="K74" i="56"/>
  <c r="L74" i="56" s="1"/>
  <c r="K58" i="56"/>
  <c r="L58" i="56" s="1"/>
  <c r="L51" i="56"/>
  <c r="K43" i="56"/>
  <c r="L43" i="56" s="1"/>
  <c r="L36" i="56"/>
  <c r="H111" i="56"/>
  <c r="I111" i="56" s="1"/>
  <c r="H109" i="56"/>
  <c r="I109" i="56" s="1"/>
  <c r="H108" i="56"/>
  <c r="I108" i="56" s="1"/>
  <c r="I23" i="56" s="1"/>
  <c r="G23" i="56"/>
  <c r="H94" i="56"/>
  <c r="I94" i="56"/>
  <c r="H91" i="56"/>
  <c r="I91" i="56" s="1"/>
  <c r="I77" i="56"/>
  <c r="H77" i="56"/>
  <c r="H74" i="56"/>
  <c r="I74" i="56" s="1"/>
  <c r="H55" i="56"/>
  <c r="I55" i="56" s="1"/>
  <c r="H58" i="56"/>
  <c r="I58" i="56" s="1"/>
  <c r="I36" i="56"/>
  <c r="H36" i="56"/>
  <c r="H43" i="56"/>
  <c r="I43" i="56" s="1"/>
  <c r="E111" i="56"/>
  <c r="F111" i="56" s="1"/>
  <c r="E94" i="56"/>
  <c r="F94" i="56" s="1"/>
  <c r="E77" i="56"/>
  <c r="F77" i="56" s="1"/>
  <c r="D26" i="56"/>
  <c r="E70" i="56"/>
  <c r="E26" i="56" s="1"/>
  <c r="E55" i="56"/>
  <c r="F55" i="56"/>
  <c r="E58" i="56"/>
  <c r="F58" i="56"/>
  <c r="F43" i="56"/>
  <c r="E43" i="56"/>
  <c r="E36" i="56"/>
  <c r="F36" i="56" s="1"/>
  <c r="N111" i="55"/>
  <c r="O111" i="55" s="1"/>
  <c r="O94" i="55"/>
  <c r="N94" i="55"/>
  <c r="N77" i="55"/>
  <c r="O77" i="55"/>
  <c r="M26" i="55"/>
  <c r="N58" i="55"/>
  <c r="N26" i="55" s="1"/>
  <c r="O58" i="55"/>
  <c r="O26" i="55" s="1"/>
  <c r="M18" i="55"/>
  <c r="N43" i="55"/>
  <c r="N18" i="55" s="1"/>
  <c r="H20" i="36"/>
  <c r="K111" i="55"/>
  <c r="L111" i="55" s="1"/>
  <c r="K105" i="55"/>
  <c r="L105" i="55" s="1"/>
  <c r="K87" i="55"/>
  <c r="L87" i="55" s="1"/>
  <c r="K94" i="55"/>
  <c r="L94" i="55" s="1"/>
  <c r="K70" i="55"/>
  <c r="L70" i="55" s="1"/>
  <c r="K77" i="55"/>
  <c r="L77" i="55" s="1"/>
  <c r="K58" i="55"/>
  <c r="K26" i="55" s="1"/>
  <c r="J26" i="55"/>
  <c r="K43" i="55"/>
  <c r="K18" i="55" s="1"/>
  <c r="J18" i="55"/>
  <c r="L43" i="55"/>
  <c r="L18" i="55" s="1"/>
  <c r="L36" i="55"/>
  <c r="L40" i="55"/>
  <c r="N27" i="56"/>
  <c r="O27" i="56"/>
  <c r="G19" i="55"/>
  <c r="H51" i="55"/>
  <c r="H108" i="55"/>
  <c r="I108" i="55" s="1"/>
  <c r="H111" i="55"/>
  <c r="I111" i="55" s="1"/>
  <c r="H87" i="55"/>
  <c r="I87" i="55" s="1"/>
  <c r="H94" i="55"/>
  <c r="I94" i="55"/>
  <c r="H75" i="55"/>
  <c r="I75" i="55" s="1"/>
  <c r="H77" i="55"/>
  <c r="I77" i="55" s="1"/>
  <c r="H59" i="55"/>
  <c r="I59" i="55" s="1"/>
  <c r="H43" i="55"/>
  <c r="H18" i="55" s="1"/>
  <c r="G18" i="55"/>
  <c r="E111" i="55"/>
  <c r="F111" i="55" s="1"/>
  <c r="F94" i="55"/>
  <c r="E94" i="55"/>
  <c r="E77" i="55"/>
  <c r="F77" i="55"/>
  <c r="D19" i="55"/>
  <c r="E51" i="55"/>
  <c r="F51" i="55" s="1"/>
  <c r="E56" i="55"/>
  <c r="E24" i="55" s="1"/>
  <c r="F56" i="55"/>
  <c r="F24" i="55" s="1"/>
  <c r="D24" i="55"/>
  <c r="E58" i="55"/>
  <c r="E26" i="55" s="1"/>
  <c r="D26" i="55"/>
  <c r="F58" i="55"/>
  <c r="F26" i="55" s="1"/>
  <c r="E43" i="55"/>
  <c r="E18" i="55" s="1"/>
  <c r="F43" i="55"/>
  <c r="F18" i="55" s="1"/>
  <c r="D18" i="55"/>
  <c r="F35" i="55"/>
  <c r="F39" i="55"/>
  <c r="M22" i="53"/>
  <c r="N109" i="53"/>
  <c r="N22" i="53" s="1"/>
  <c r="M24" i="53"/>
  <c r="N111" i="53"/>
  <c r="N24" i="53" s="1"/>
  <c r="N104" i="53"/>
  <c r="O104" i="53" s="1"/>
  <c r="N87" i="53"/>
  <c r="O87" i="53"/>
  <c r="N94" i="53"/>
  <c r="O94" i="53" s="1"/>
  <c r="N77" i="53"/>
  <c r="O77" i="53"/>
  <c r="N70" i="53"/>
  <c r="N26" i="53" s="1"/>
  <c r="M26" i="53"/>
  <c r="N55" i="53"/>
  <c r="O55" i="53" s="1"/>
  <c r="N43" i="53"/>
  <c r="O43" i="53" s="1"/>
  <c r="L111" i="53"/>
  <c r="L24" i="53" s="1"/>
  <c r="K111" i="53"/>
  <c r="K24" i="53" s="1"/>
  <c r="J24" i="53"/>
  <c r="K104" i="53"/>
  <c r="L104" i="53" s="1"/>
  <c r="K94" i="53"/>
  <c r="L94" i="53" s="1"/>
  <c r="K93" i="53"/>
  <c r="L93" i="53" s="1"/>
  <c r="K70" i="53"/>
  <c r="K26" i="53" s="1"/>
  <c r="J26" i="53"/>
  <c r="K77" i="53"/>
  <c r="L77" i="53" s="1"/>
  <c r="K55" i="53"/>
  <c r="L55" i="53" s="1"/>
  <c r="K43" i="53"/>
  <c r="L43" i="53" s="1"/>
  <c r="G24" i="53"/>
  <c r="H111" i="53"/>
  <c r="H24" i="53" s="1"/>
  <c r="H108" i="53"/>
  <c r="I108" i="53" s="1"/>
  <c r="H91" i="53"/>
  <c r="I91" i="53" s="1"/>
  <c r="H94" i="53"/>
  <c r="I94" i="53" s="1"/>
  <c r="H77" i="53"/>
  <c r="I77" i="53" s="1"/>
  <c r="H74" i="53"/>
  <c r="I74" i="53" s="1"/>
  <c r="H55" i="53"/>
  <c r="I55" i="53"/>
  <c r="H43" i="53"/>
  <c r="I43" i="53" s="1"/>
  <c r="G21" i="53"/>
  <c r="H38" i="53"/>
  <c r="H21" i="53" s="1"/>
  <c r="D24" i="53"/>
  <c r="E111" i="53"/>
  <c r="E24" i="53" s="1"/>
  <c r="E104" i="53"/>
  <c r="F104" i="53" s="1"/>
  <c r="E94" i="53"/>
  <c r="F94" i="53" s="1"/>
  <c r="E87" i="53"/>
  <c r="F87" i="53" s="1"/>
  <c r="E77" i="53"/>
  <c r="F77" i="53" s="1"/>
  <c r="E74" i="53"/>
  <c r="F74" i="53" s="1"/>
  <c r="E55" i="53"/>
  <c r="F55" i="53" s="1"/>
  <c r="E43" i="53"/>
  <c r="F43" i="53" s="1"/>
  <c r="N94" i="52"/>
  <c r="O94" i="52" s="1"/>
  <c r="N77" i="52"/>
  <c r="O77" i="52" s="1"/>
  <c r="N74" i="52"/>
  <c r="O74" i="52" s="1"/>
  <c r="N55" i="52"/>
  <c r="N24" i="52" s="1"/>
  <c r="M24" i="52"/>
  <c r="N54" i="52"/>
  <c r="N23" i="52" s="1"/>
  <c r="M23" i="52"/>
  <c r="M26" i="52"/>
  <c r="N57" i="52"/>
  <c r="N26" i="52" s="1"/>
  <c r="N43" i="52"/>
  <c r="O43" i="52" s="1"/>
  <c r="N108" i="52"/>
  <c r="O108" i="52" s="1"/>
  <c r="N111" i="52"/>
  <c r="O111" i="52" s="1"/>
  <c r="K111" i="52"/>
  <c r="L111" i="52" s="1"/>
  <c r="K106" i="52"/>
  <c r="L106" i="52" s="1"/>
  <c r="K94" i="52"/>
  <c r="L94" i="52" s="1"/>
  <c r="K91" i="52"/>
  <c r="L91" i="52" s="1"/>
  <c r="K77" i="52"/>
  <c r="L77" i="52" s="1"/>
  <c r="J26" i="52"/>
  <c r="K57" i="52"/>
  <c r="K26" i="52" s="1"/>
  <c r="J24" i="52"/>
  <c r="K55" i="52"/>
  <c r="K24" i="52" s="1"/>
  <c r="J23" i="52"/>
  <c r="K54" i="52"/>
  <c r="K23" i="52" s="1"/>
  <c r="K43" i="52"/>
  <c r="L43" i="52" s="1"/>
  <c r="H111" i="52"/>
  <c r="I111" i="52" s="1"/>
  <c r="H104" i="52"/>
  <c r="I104" i="52" s="1"/>
  <c r="H94" i="52"/>
  <c r="I94" i="52" s="1"/>
  <c r="H91" i="52"/>
  <c r="I91" i="52" s="1"/>
  <c r="H92" i="52"/>
  <c r="I92" i="52" s="1"/>
  <c r="H77" i="52"/>
  <c r="I77" i="52" s="1"/>
  <c r="G26" i="52"/>
  <c r="H57" i="52"/>
  <c r="H26" i="52" s="1"/>
  <c r="H54" i="52"/>
  <c r="H23" i="52" s="1"/>
  <c r="G23" i="52"/>
  <c r="H43" i="52"/>
  <c r="I43" i="52" s="1"/>
  <c r="H39" i="52"/>
  <c r="I39" i="52" s="1"/>
  <c r="E104" i="52"/>
  <c r="F104" i="52" s="1"/>
  <c r="E111" i="52"/>
  <c r="F111" i="52" s="1"/>
  <c r="E94" i="52"/>
  <c r="F94" i="52" s="1"/>
  <c r="E88" i="52"/>
  <c r="F88" i="52" s="1"/>
  <c r="E77" i="52"/>
  <c r="F77" i="52" s="1"/>
  <c r="D26" i="52"/>
  <c r="E57" i="52"/>
  <c r="E26" i="52" s="1"/>
  <c r="D23" i="52"/>
  <c r="E54" i="52"/>
  <c r="E23" i="52" s="1"/>
  <c r="E43" i="52"/>
  <c r="F43" i="52" s="1"/>
  <c r="N111" i="51"/>
  <c r="O111" i="51" s="1"/>
  <c r="N104" i="51"/>
  <c r="O104" i="51" s="1"/>
  <c r="N91" i="51"/>
  <c r="O91" i="51" s="1"/>
  <c r="N94" i="51"/>
  <c r="O94" i="51" s="1"/>
  <c r="M17" i="51"/>
  <c r="N70" i="51"/>
  <c r="N17" i="51" s="1"/>
  <c r="N77" i="51"/>
  <c r="O77" i="51" s="1"/>
  <c r="N53" i="51"/>
  <c r="O53" i="51" s="1"/>
  <c r="N56" i="51"/>
  <c r="O56" i="51" s="1"/>
  <c r="N40" i="51"/>
  <c r="O40" i="51" s="1"/>
  <c r="N43" i="51"/>
  <c r="O43" i="51" s="1"/>
  <c r="K111" i="51"/>
  <c r="L111" i="51" s="1"/>
  <c r="K104" i="51"/>
  <c r="L104" i="51" s="1"/>
  <c r="K91" i="51"/>
  <c r="L91" i="51" s="1"/>
  <c r="K94" i="51"/>
  <c r="L94" i="51" s="1"/>
  <c r="K75" i="51"/>
  <c r="L75" i="51" s="1"/>
  <c r="K74" i="51"/>
  <c r="K24" i="51" s="1"/>
  <c r="J24" i="51"/>
  <c r="K77" i="51"/>
  <c r="L77" i="51" s="1"/>
  <c r="K56" i="51"/>
  <c r="L56" i="51" s="1"/>
  <c r="K53" i="51"/>
  <c r="L53" i="51" s="1"/>
  <c r="K43" i="51"/>
  <c r="L43" i="51" s="1"/>
  <c r="K38" i="51"/>
  <c r="L38" i="51" s="1"/>
  <c r="K39" i="51"/>
  <c r="L39" i="51" s="1"/>
  <c r="H104" i="51"/>
  <c r="I104" i="51" s="1"/>
  <c r="H111" i="51"/>
  <c r="I111" i="51" s="1"/>
  <c r="H94" i="51"/>
  <c r="I94" i="51" s="1"/>
  <c r="H87" i="51"/>
  <c r="I87" i="51" s="1"/>
  <c r="H77" i="51"/>
  <c r="I77" i="51" s="1"/>
  <c r="H70" i="51"/>
  <c r="H17" i="51" s="1"/>
  <c r="G17" i="51"/>
  <c r="H56" i="51"/>
  <c r="I56" i="51" s="1"/>
  <c r="H53" i="51"/>
  <c r="I53" i="51" s="1"/>
  <c r="H43" i="51"/>
  <c r="I43" i="51" s="1"/>
  <c r="H38" i="51"/>
  <c r="I38" i="51" s="1"/>
  <c r="E111" i="51"/>
  <c r="F111" i="51" s="1"/>
  <c r="E108" i="51"/>
  <c r="F108" i="51" s="1"/>
  <c r="E87" i="51"/>
  <c r="F87" i="51" s="1"/>
  <c r="E94" i="51"/>
  <c r="F94" i="51" s="1"/>
  <c r="D24" i="51"/>
  <c r="E74" i="51"/>
  <c r="E24" i="51" s="1"/>
  <c r="E77" i="51"/>
  <c r="F77" i="51" s="1"/>
  <c r="E56" i="51"/>
  <c r="F56" i="51" s="1"/>
  <c r="E53" i="51"/>
  <c r="F53" i="51" s="1"/>
  <c r="E42" i="51"/>
  <c r="F42" i="51" s="1"/>
  <c r="E43" i="51"/>
  <c r="F43" i="51" s="1"/>
  <c r="N111" i="49"/>
  <c r="O111" i="49" s="1"/>
  <c r="N94" i="49"/>
  <c r="O94" i="49" s="1"/>
  <c r="N70" i="49"/>
  <c r="O70" i="49" s="1"/>
  <c r="O77" i="49"/>
  <c r="N77" i="49"/>
  <c r="N56" i="49"/>
  <c r="O56" i="49" s="1"/>
  <c r="N53" i="49"/>
  <c r="O53" i="49" s="1"/>
  <c r="N43" i="49"/>
  <c r="O43" i="49" s="1"/>
  <c r="N36" i="49"/>
  <c r="O36" i="49" s="1"/>
  <c r="E19" i="22"/>
  <c r="H19" i="36"/>
  <c r="E21" i="22"/>
  <c r="K111" i="49"/>
  <c r="L111" i="49" s="1"/>
  <c r="K109" i="49"/>
  <c r="K22" i="49" s="1"/>
  <c r="J22" i="49"/>
  <c r="K104" i="49"/>
  <c r="L104" i="49" s="1"/>
  <c r="K94" i="49"/>
  <c r="L94" i="49" s="1"/>
  <c r="K87" i="49"/>
  <c r="L87" i="49" s="1"/>
  <c r="K77" i="49"/>
  <c r="L77" i="49" s="1"/>
  <c r="K70" i="49"/>
  <c r="L70" i="49" s="1"/>
  <c r="K53" i="49"/>
  <c r="L53" i="49" s="1"/>
  <c r="K56" i="49"/>
  <c r="L56" i="49" s="1"/>
  <c r="K43" i="49"/>
  <c r="L43" i="49" s="1"/>
  <c r="H111" i="49"/>
  <c r="I111" i="49" s="1"/>
  <c r="H104" i="49"/>
  <c r="I104" i="49" s="1"/>
  <c r="H87" i="49"/>
  <c r="I87" i="49" s="1"/>
  <c r="H94" i="49"/>
  <c r="I94" i="49" s="1"/>
  <c r="H74" i="49"/>
  <c r="I74" i="49" s="1"/>
  <c r="H76" i="49"/>
  <c r="I76" i="49" s="1"/>
  <c r="H75" i="49"/>
  <c r="I75" i="49" s="1"/>
  <c r="H77" i="49"/>
  <c r="I77" i="49" s="1"/>
  <c r="H56" i="49"/>
  <c r="I56" i="49" s="1"/>
  <c r="H53" i="49"/>
  <c r="I53" i="49" s="1"/>
  <c r="H43" i="49"/>
  <c r="I43" i="49"/>
  <c r="H35" i="49"/>
  <c r="I35" i="49" s="1"/>
  <c r="E70" i="49"/>
  <c r="F70" i="49" s="1"/>
  <c r="E77" i="49"/>
  <c r="F77" i="49" s="1"/>
  <c r="E111" i="49"/>
  <c r="F111" i="49" s="1"/>
  <c r="E104" i="49"/>
  <c r="F104" i="49" s="1"/>
  <c r="E86" i="49"/>
  <c r="F86" i="49" s="1"/>
  <c r="E94" i="49"/>
  <c r="F94" i="49" s="1"/>
  <c r="E56" i="49"/>
  <c r="F56" i="49" s="1"/>
  <c r="F53" i="49"/>
  <c r="E43" i="49"/>
  <c r="F43" i="49" s="1"/>
  <c r="E36" i="49"/>
  <c r="F36" i="49" s="1"/>
  <c r="M17" i="48"/>
  <c r="N104" i="48"/>
  <c r="N17" i="48" s="1"/>
  <c r="N111" i="48"/>
  <c r="O111" i="48" s="1"/>
  <c r="N94" i="48"/>
  <c r="O94" i="48" s="1"/>
  <c r="N87" i="48"/>
  <c r="O87" i="48" s="1"/>
  <c r="N77" i="48"/>
  <c r="O77" i="48" s="1"/>
  <c r="N70" i="48"/>
  <c r="N74" i="48"/>
  <c r="O74" i="48" s="1"/>
  <c r="M26" i="48"/>
  <c r="N56" i="48"/>
  <c r="N26" i="48" s="1"/>
  <c r="N53" i="48"/>
  <c r="O53" i="48" s="1"/>
  <c r="N43" i="48"/>
  <c r="O43" i="48" s="1"/>
  <c r="K111" i="48"/>
  <c r="L111" i="48" s="1"/>
  <c r="K108" i="48"/>
  <c r="K21" i="48" s="1"/>
  <c r="J21" i="48"/>
  <c r="K94" i="48"/>
  <c r="L94" i="48" s="1"/>
  <c r="K77" i="48"/>
  <c r="L77" i="48" s="1"/>
  <c r="J22" i="48"/>
  <c r="K70" i="48"/>
  <c r="K74" i="48"/>
  <c r="L74" i="48" s="1"/>
  <c r="J26" i="48"/>
  <c r="K56" i="48"/>
  <c r="K26" i="48" s="1"/>
  <c r="K43" i="48"/>
  <c r="L43" i="48" s="1"/>
  <c r="H111" i="48"/>
  <c r="I111" i="48" s="1"/>
  <c r="G17" i="48"/>
  <c r="H104" i="48"/>
  <c r="H17" i="48" s="1"/>
  <c r="H91" i="48"/>
  <c r="I91" i="48" s="1"/>
  <c r="H94" i="48"/>
  <c r="I94" i="48" s="1"/>
  <c r="H70" i="48"/>
  <c r="H22" i="48" s="1"/>
  <c r="G22" i="48"/>
  <c r="H77" i="48"/>
  <c r="I77" i="48" s="1"/>
  <c r="H56" i="48"/>
  <c r="H26" i="48" s="1"/>
  <c r="G26" i="48"/>
  <c r="H43" i="48"/>
  <c r="I43" i="48" s="1"/>
  <c r="H37" i="48"/>
  <c r="I37" i="48"/>
  <c r="E111" i="48"/>
  <c r="F111" i="48" s="1"/>
  <c r="D17" i="48"/>
  <c r="E104" i="48"/>
  <c r="E17" i="48" s="1"/>
  <c r="E87" i="48"/>
  <c r="F87" i="48" s="1"/>
  <c r="E94" i="48"/>
  <c r="F94" i="48" s="1"/>
  <c r="E77" i="48"/>
  <c r="F77" i="48" s="1"/>
  <c r="D22" i="48"/>
  <c r="E70" i="48"/>
  <c r="E74" i="48"/>
  <c r="F74" i="48" s="1"/>
  <c r="E53" i="48"/>
  <c r="F53" i="48" s="1"/>
  <c r="E56" i="48"/>
  <c r="E26" i="48" s="1"/>
  <c r="D26" i="48"/>
  <c r="E43" i="48"/>
  <c r="F43" i="48" s="1"/>
  <c r="E37" i="48"/>
  <c r="F37" i="48" s="1"/>
  <c r="E41" i="48"/>
  <c r="F41" i="48" s="1"/>
  <c r="N108" i="47"/>
  <c r="N21" i="47" s="1"/>
  <c r="M21" i="47"/>
  <c r="N111" i="47"/>
  <c r="O111" i="47" s="1"/>
  <c r="N91" i="47"/>
  <c r="O91" i="47" s="1"/>
  <c r="N94" i="47"/>
  <c r="O94" i="47" s="1"/>
  <c r="N77" i="47"/>
  <c r="O77" i="47" s="1"/>
  <c r="N74" i="47"/>
  <c r="O74" i="47" s="1"/>
  <c r="N53" i="47"/>
  <c r="O53" i="47" s="1"/>
  <c r="N56" i="47"/>
  <c r="O56" i="47" s="1"/>
  <c r="N43" i="47"/>
  <c r="O43" i="47" s="1"/>
  <c r="N40" i="47"/>
  <c r="O40" i="47" s="1"/>
  <c r="K108" i="47"/>
  <c r="K21" i="47" s="1"/>
  <c r="J21" i="47"/>
  <c r="L108" i="47"/>
  <c r="L21" i="47" s="1"/>
  <c r="K111" i="47"/>
  <c r="L111" i="47" s="1"/>
  <c r="K91" i="47"/>
  <c r="L91" i="47" s="1"/>
  <c r="K94" i="47"/>
  <c r="L94" i="47" s="1"/>
  <c r="K77" i="47"/>
  <c r="L77" i="47" s="1"/>
  <c r="L74" i="47"/>
  <c r="K56" i="47"/>
  <c r="L56" i="47" s="1"/>
  <c r="K43" i="47"/>
  <c r="L43" i="47" s="1"/>
  <c r="H111" i="47"/>
  <c r="I111" i="47" s="1"/>
  <c r="H105" i="47"/>
  <c r="H18" i="47" s="1"/>
  <c r="G18" i="47"/>
  <c r="H108" i="47"/>
  <c r="H21" i="47" s="1"/>
  <c r="G21" i="47"/>
  <c r="H91" i="47"/>
  <c r="I91" i="47" s="1"/>
  <c r="H94" i="47"/>
  <c r="I94" i="47" s="1"/>
  <c r="H77" i="47"/>
  <c r="I77" i="47" s="1"/>
  <c r="H56" i="47"/>
  <c r="I56" i="47" s="1"/>
  <c r="H43" i="47"/>
  <c r="I43" i="47" s="1"/>
  <c r="E108" i="47"/>
  <c r="E21" i="47" s="1"/>
  <c r="D21" i="47"/>
  <c r="E111" i="47"/>
  <c r="F111" i="47" s="1"/>
  <c r="E87" i="47"/>
  <c r="F87" i="47" s="1"/>
  <c r="E94" i="47"/>
  <c r="F94" i="47" s="1"/>
  <c r="E77" i="47"/>
  <c r="F77" i="47" s="1"/>
  <c r="E74" i="47"/>
  <c r="F74" i="47" s="1"/>
  <c r="E56" i="47"/>
  <c r="F56" i="47" s="1"/>
  <c r="E53" i="47"/>
  <c r="F53" i="47" s="1"/>
  <c r="E42" i="47"/>
  <c r="F42" i="47" s="1"/>
  <c r="N43" i="45"/>
  <c r="O43" i="45" s="1"/>
  <c r="N56" i="45"/>
  <c r="O56" i="45" s="1"/>
  <c r="N74" i="45"/>
  <c r="O74" i="45" s="1"/>
  <c r="N77" i="45"/>
  <c r="O77" i="45" s="1"/>
  <c r="N94" i="45"/>
  <c r="O94" i="45" s="1"/>
  <c r="N87" i="45"/>
  <c r="O87" i="45" s="1"/>
  <c r="N111" i="45"/>
  <c r="O111" i="45" s="1"/>
  <c r="N108" i="45"/>
  <c r="O108" i="45" s="1"/>
  <c r="N23" i="21"/>
  <c r="N17" i="21"/>
  <c r="H21" i="22"/>
  <c r="O95" i="21"/>
  <c r="G9" i="21" s="1"/>
  <c r="I78" i="21"/>
  <c r="K111" i="45"/>
  <c r="L111" i="45" s="1"/>
  <c r="K94" i="45"/>
  <c r="L94" i="45" s="1"/>
  <c r="K77" i="45"/>
  <c r="L77" i="45" s="1"/>
  <c r="K75" i="45"/>
  <c r="L75" i="45" s="1"/>
  <c r="K56" i="45"/>
  <c r="L56" i="45" s="1"/>
  <c r="K53" i="45"/>
  <c r="L53" i="45" s="1"/>
  <c r="K43" i="45"/>
  <c r="L43" i="45" s="1"/>
  <c r="K37" i="45"/>
  <c r="L37" i="45" s="1"/>
  <c r="K41" i="45"/>
  <c r="L41" i="45" s="1"/>
  <c r="H111" i="45"/>
  <c r="I111" i="45" s="1"/>
  <c r="H104" i="45"/>
  <c r="I104" i="45" s="1"/>
  <c r="H87" i="45"/>
  <c r="I87" i="45" s="1"/>
  <c r="H94" i="45"/>
  <c r="I94" i="45" s="1"/>
  <c r="H77" i="45"/>
  <c r="I77" i="45" s="1"/>
  <c r="H56" i="45"/>
  <c r="I56" i="45" s="1"/>
  <c r="H40" i="45"/>
  <c r="I40" i="45" s="1"/>
  <c r="H43" i="45"/>
  <c r="I43" i="45" s="1"/>
  <c r="E111" i="45"/>
  <c r="F111" i="45" s="1"/>
  <c r="E94" i="45"/>
  <c r="F94" i="45" s="1"/>
  <c r="E77" i="45"/>
  <c r="F77" i="45" s="1"/>
  <c r="E74" i="45"/>
  <c r="F74" i="45" s="1"/>
  <c r="E71" i="45"/>
  <c r="F71" i="45" s="1"/>
  <c r="E56" i="45"/>
  <c r="F56" i="45" s="1"/>
  <c r="E43" i="45"/>
  <c r="F43" i="45" s="1"/>
  <c r="N111" i="44"/>
  <c r="N26" i="44" s="1"/>
  <c r="M26" i="44"/>
  <c r="M24" i="44"/>
  <c r="N109" i="44"/>
  <c r="N24" i="44" s="1"/>
  <c r="N88" i="44"/>
  <c r="N22" i="44" s="1"/>
  <c r="M22" i="44"/>
  <c r="N85" i="44"/>
  <c r="N18" i="44" s="1"/>
  <c r="M18" i="44"/>
  <c r="N70" i="44"/>
  <c r="O70" i="44" s="1"/>
  <c r="N77" i="44"/>
  <c r="O77" i="44" s="1"/>
  <c r="N53" i="44"/>
  <c r="O53" i="44" s="1"/>
  <c r="N56" i="44"/>
  <c r="O56" i="44" s="1"/>
  <c r="N36" i="44"/>
  <c r="O36" i="44" s="1"/>
  <c r="N43" i="44"/>
  <c r="O43" i="44" s="1"/>
  <c r="N78" i="21"/>
  <c r="K18" i="21"/>
  <c r="H23" i="36"/>
  <c r="K17" i="22"/>
  <c r="H21" i="36"/>
  <c r="J22" i="44"/>
  <c r="K88" i="44"/>
  <c r="K22" i="44" s="1"/>
  <c r="K77" i="44"/>
  <c r="L77" i="44" s="1"/>
  <c r="K56" i="44"/>
  <c r="L56" i="44"/>
  <c r="K53" i="44"/>
  <c r="L53" i="44" s="1"/>
  <c r="K43" i="44"/>
  <c r="L43" i="44" s="1"/>
  <c r="K36" i="44"/>
  <c r="L36" i="44" s="1"/>
  <c r="K111" i="44"/>
  <c r="K26" i="44" s="1"/>
  <c r="J26" i="44"/>
  <c r="G26" i="44"/>
  <c r="H111" i="44"/>
  <c r="H26" i="44" s="1"/>
  <c r="H108" i="44"/>
  <c r="H23" i="44" s="1"/>
  <c r="G23" i="44"/>
  <c r="H88" i="44"/>
  <c r="H22" i="44" s="1"/>
  <c r="G22" i="44"/>
  <c r="H70" i="44"/>
  <c r="I70" i="44" s="1"/>
  <c r="H77" i="44"/>
  <c r="I77" i="44" s="1"/>
  <c r="H56" i="44"/>
  <c r="I56" i="44" s="1"/>
  <c r="H53" i="44"/>
  <c r="I53" i="44" s="1"/>
  <c r="H43" i="44"/>
  <c r="I43" i="44" s="1"/>
  <c r="D26" i="44"/>
  <c r="E111" i="44"/>
  <c r="E26" i="44" s="1"/>
  <c r="E108" i="44"/>
  <c r="E23" i="44" s="1"/>
  <c r="D23" i="44"/>
  <c r="E85" i="44"/>
  <c r="F85" i="44" s="1"/>
  <c r="D18" i="44"/>
  <c r="E88" i="44"/>
  <c r="E22" i="44" s="1"/>
  <c r="D22" i="44"/>
  <c r="E77" i="44"/>
  <c r="F77" i="44" s="1"/>
  <c r="E56" i="44"/>
  <c r="F56" i="44" s="1"/>
  <c r="E43" i="44"/>
  <c r="F43" i="44" s="1"/>
  <c r="M21" i="43"/>
  <c r="N111" i="43"/>
  <c r="N21" i="43" s="1"/>
  <c r="M19" i="43"/>
  <c r="N109" i="43"/>
  <c r="N19" i="43" s="1"/>
  <c r="M23" i="43"/>
  <c r="N86" i="43"/>
  <c r="N23" i="43" s="1"/>
  <c r="N93" i="43"/>
  <c r="O93" i="43" s="1"/>
  <c r="N71" i="43"/>
  <c r="O71" i="43" s="1"/>
  <c r="N77" i="43"/>
  <c r="O77" i="43" s="1"/>
  <c r="N51" i="43"/>
  <c r="N61" i="43" s="1"/>
  <c r="N39" i="43"/>
  <c r="O39" i="43" s="1"/>
  <c r="K19" i="36"/>
  <c r="K21" i="36"/>
  <c r="E19" i="21"/>
  <c r="K23" i="36"/>
  <c r="K17" i="21"/>
  <c r="K17" i="36"/>
  <c r="F53" i="41"/>
  <c r="F25" i="41" s="1"/>
  <c r="K104" i="43"/>
  <c r="L104" i="43" s="1"/>
  <c r="K111" i="43"/>
  <c r="K21" i="43" s="1"/>
  <c r="J21" i="43"/>
  <c r="K93" i="43"/>
  <c r="L93" i="43" s="1"/>
  <c r="J23" i="43"/>
  <c r="K86" i="43"/>
  <c r="K90" i="43"/>
  <c r="L90" i="43" s="1"/>
  <c r="K77" i="43"/>
  <c r="L77" i="43" s="1"/>
  <c r="K70" i="43"/>
  <c r="K74" i="43"/>
  <c r="L74" i="43" s="1"/>
  <c r="K51" i="43"/>
  <c r="K61" i="43" s="1"/>
  <c r="K39" i="43"/>
  <c r="L39" i="43" s="1"/>
  <c r="G21" i="43"/>
  <c r="H111" i="43"/>
  <c r="H21" i="43" s="1"/>
  <c r="H93" i="43"/>
  <c r="I93" i="43" s="1"/>
  <c r="H77" i="43"/>
  <c r="I77" i="43" s="1"/>
  <c r="H51" i="43"/>
  <c r="H61" i="43" s="1"/>
  <c r="H35" i="43"/>
  <c r="I35" i="43" s="1"/>
  <c r="H39" i="43"/>
  <c r="I39" i="43" s="1"/>
  <c r="E111" i="43"/>
  <c r="E21" i="43" s="1"/>
  <c r="D21" i="43"/>
  <c r="E104" i="43"/>
  <c r="F104" i="43" s="1"/>
  <c r="E93" i="43"/>
  <c r="F93" i="43" s="1"/>
  <c r="E86" i="43"/>
  <c r="E23" i="43" s="1"/>
  <c r="D23" i="43"/>
  <c r="E70" i="43"/>
  <c r="E22" i="43" s="1"/>
  <c r="D22" i="43"/>
  <c r="E77" i="43"/>
  <c r="F77" i="43" s="1"/>
  <c r="E51" i="43"/>
  <c r="E61" i="43" s="1"/>
  <c r="E39" i="43"/>
  <c r="F39" i="43" s="1"/>
  <c r="N111" i="41"/>
  <c r="O111" i="41" s="1"/>
  <c r="N104" i="41"/>
  <c r="N18" i="41" s="1"/>
  <c r="M18" i="41"/>
  <c r="N87" i="41"/>
  <c r="O87" i="41" s="1"/>
  <c r="N94" i="41"/>
  <c r="O94" i="41" s="1"/>
  <c r="N77" i="41"/>
  <c r="O77" i="41" s="1"/>
  <c r="N75" i="41"/>
  <c r="O75" i="41" s="1"/>
  <c r="N60" i="41"/>
  <c r="O60" i="41" s="1"/>
  <c r="M25" i="41"/>
  <c r="N53" i="41"/>
  <c r="N25" i="41" s="1"/>
  <c r="N35" i="41"/>
  <c r="O35" i="41" s="1"/>
  <c r="K105" i="41"/>
  <c r="K19" i="41" s="1"/>
  <c r="J19" i="41"/>
  <c r="K111" i="41"/>
  <c r="L111" i="41" s="1"/>
  <c r="K94" i="41"/>
  <c r="L94" i="41" s="1"/>
  <c r="K77" i="41"/>
  <c r="L77" i="41" s="1"/>
  <c r="K60" i="41"/>
  <c r="L60" i="41" s="1"/>
  <c r="K53" i="41"/>
  <c r="J25" i="41"/>
  <c r="K57" i="41"/>
  <c r="L57" i="41" s="1"/>
  <c r="K35" i="41"/>
  <c r="L35" i="41" s="1"/>
  <c r="H94" i="41"/>
  <c r="I94" i="41" s="1"/>
  <c r="H77" i="41"/>
  <c r="I77" i="41" s="1"/>
  <c r="H60" i="41"/>
  <c r="I60" i="41" s="1"/>
  <c r="H57" i="41"/>
  <c r="I57" i="41" s="1"/>
  <c r="H35" i="41"/>
  <c r="I35" i="41" s="1"/>
  <c r="H111" i="41"/>
  <c r="I111" i="41" s="1"/>
  <c r="H104" i="41"/>
  <c r="H18" i="41" s="1"/>
  <c r="G18" i="41"/>
  <c r="E104" i="41"/>
  <c r="E18" i="41" s="1"/>
  <c r="D18" i="41"/>
  <c r="E111" i="41"/>
  <c r="F111" i="41" s="1"/>
  <c r="E94" i="41"/>
  <c r="F94" i="41" s="1"/>
  <c r="E77" i="41"/>
  <c r="F77" i="41" s="1"/>
  <c r="E60" i="41"/>
  <c r="F60" i="41" s="1"/>
  <c r="D25" i="41"/>
  <c r="E34" i="41"/>
  <c r="F34" i="41" s="1"/>
  <c r="F35" i="41"/>
  <c r="N107" i="40"/>
  <c r="N22" i="40" s="1"/>
  <c r="M22" i="40"/>
  <c r="N111" i="40"/>
  <c r="N26" i="40" s="1"/>
  <c r="M26" i="40"/>
  <c r="N94" i="40"/>
  <c r="O94" i="40" s="1"/>
  <c r="N77" i="40"/>
  <c r="O77" i="40" s="1"/>
  <c r="N59" i="40"/>
  <c r="O59" i="40" s="1"/>
  <c r="N52" i="40"/>
  <c r="O52" i="40" s="1"/>
  <c r="N56" i="40"/>
  <c r="O56" i="40" s="1"/>
  <c r="N43" i="40"/>
  <c r="O43" i="40" s="1"/>
  <c r="E44" i="41"/>
  <c r="K95" i="29"/>
  <c r="K44" i="36"/>
  <c r="L95" i="30"/>
  <c r="N78" i="29"/>
  <c r="K111" i="40"/>
  <c r="K26" i="40" s="1"/>
  <c r="J26" i="40"/>
  <c r="K94" i="40"/>
  <c r="L94" i="40" s="1"/>
  <c r="K77" i="40"/>
  <c r="L77" i="40" s="1"/>
  <c r="K59" i="40"/>
  <c r="L59" i="40" s="1"/>
  <c r="K52" i="40"/>
  <c r="L52" i="40" s="1"/>
  <c r="K56" i="40"/>
  <c r="L56" i="40" s="1"/>
  <c r="K43" i="40"/>
  <c r="L43" i="40" s="1"/>
  <c r="H111" i="40"/>
  <c r="H26" i="40" s="1"/>
  <c r="G26" i="40"/>
  <c r="H94" i="40"/>
  <c r="I94" i="40" s="1"/>
  <c r="H77" i="40"/>
  <c r="I77" i="40" s="1"/>
  <c r="H52" i="40"/>
  <c r="I52" i="40" s="1"/>
  <c r="H59" i="40"/>
  <c r="I59" i="40" s="1"/>
  <c r="H43" i="40"/>
  <c r="I43" i="40" s="1"/>
  <c r="H36" i="40"/>
  <c r="I36" i="40" s="1"/>
  <c r="H40" i="40"/>
  <c r="I40" i="40" s="1"/>
  <c r="E108" i="40"/>
  <c r="E23" i="40" s="1"/>
  <c r="D23" i="40"/>
  <c r="E104" i="40"/>
  <c r="E19" i="40" s="1"/>
  <c r="D19" i="40"/>
  <c r="E111" i="40"/>
  <c r="E26" i="40" s="1"/>
  <c r="D26" i="40"/>
  <c r="E94" i="40"/>
  <c r="F94" i="40" s="1"/>
  <c r="E77" i="40"/>
  <c r="F77" i="40" s="1"/>
  <c r="E70" i="40"/>
  <c r="F70" i="40" s="1"/>
  <c r="E74" i="40"/>
  <c r="F74" i="40" s="1"/>
  <c r="E56" i="40"/>
  <c r="F56" i="40" s="1"/>
  <c r="E59" i="40"/>
  <c r="F59" i="40" s="1"/>
  <c r="E52" i="40"/>
  <c r="F52" i="40" s="1"/>
  <c r="E43" i="40"/>
  <c r="F43" i="40" s="1"/>
  <c r="E36" i="40"/>
  <c r="F36" i="40" s="1"/>
  <c r="E40" i="40"/>
  <c r="F40" i="40" s="1"/>
  <c r="K18" i="36"/>
  <c r="K61" i="36"/>
  <c r="E22" i="21"/>
  <c r="E20" i="21"/>
  <c r="N22" i="22"/>
  <c r="F95" i="30"/>
  <c r="M23" i="38"/>
  <c r="N34" i="38"/>
  <c r="O34" i="38" s="1"/>
  <c r="N70" i="38"/>
  <c r="N26" i="38" s="1"/>
  <c r="M26" i="38"/>
  <c r="N111" i="38"/>
  <c r="O111" i="38" s="1"/>
  <c r="K111" i="38"/>
  <c r="L111" i="38" s="1"/>
  <c r="J18" i="38"/>
  <c r="K104" i="38"/>
  <c r="K18" i="38" s="1"/>
  <c r="K70" i="38"/>
  <c r="K26" i="38" s="1"/>
  <c r="J26" i="38"/>
  <c r="K34" i="38"/>
  <c r="L34" i="38" s="1"/>
  <c r="J23" i="38"/>
  <c r="H70" i="38"/>
  <c r="H26" i="38" s="1"/>
  <c r="G26" i="38"/>
  <c r="H34" i="38"/>
  <c r="I34" i="38" s="1"/>
  <c r="G23" i="38"/>
  <c r="H111" i="38"/>
  <c r="I111" i="38" s="1"/>
  <c r="H104" i="38"/>
  <c r="H18" i="38" s="1"/>
  <c r="G18" i="38"/>
  <c r="E108" i="38"/>
  <c r="E22" i="38" s="1"/>
  <c r="D22" i="38"/>
  <c r="E111" i="38"/>
  <c r="F111" i="38" s="1"/>
  <c r="E104" i="38"/>
  <c r="E18" i="38" s="1"/>
  <c r="D18" i="38"/>
  <c r="D26" i="38"/>
  <c r="E70" i="38"/>
  <c r="E26" i="38" s="1"/>
  <c r="E69" i="38"/>
  <c r="E25" i="38" s="1"/>
  <c r="D25" i="38"/>
  <c r="E34" i="38"/>
  <c r="F34" i="38" s="1"/>
  <c r="D23" i="38"/>
  <c r="L95" i="21"/>
  <c r="F78" i="21"/>
  <c r="L78" i="21"/>
  <c r="G7" i="21" s="1"/>
  <c r="H20" i="21"/>
  <c r="N44" i="21"/>
  <c r="H19" i="21"/>
  <c r="H22" i="21"/>
  <c r="L61" i="21"/>
  <c r="G5" i="21" s="1"/>
  <c r="H17" i="21"/>
  <c r="H21" i="21"/>
  <c r="K78" i="30"/>
  <c r="N95" i="30"/>
  <c r="L78" i="30"/>
  <c r="H95" i="30"/>
  <c r="L53" i="30"/>
  <c r="L21" i="30" s="1"/>
  <c r="O78" i="30"/>
  <c r="I78" i="30"/>
  <c r="K95" i="30"/>
  <c r="O95" i="30"/>
  <c r="I95" i="30"/>
  <c r="N78" i="30"/>
  <c r="H78" i="30"/>
  <c r="E112" i="30"/>
  <c r="L58" i="30"/>
  <c r="L22" i="30" s="1"/>
  <c r="E44" i="30"/>
  <c r="F35" i="30"/>
  <c r="F17" i="30" s="1"/>
  <c r="N95" i="29"/>
  <c r="O95" i="29"/>
  <c r="L95" i="29"/>
  <c r="I112" i="29"/>
  <c r="O78" i="29"/>
  <c r="K112" i="29"/>
  <c r="I78" i="29"/>
  <c r="O112" i="29"/>
  <c r="H112" i="29"/>
  <c r="O44" i="29"/>
  <c r="N112" i="29"/>
  <c r="H27" i="29"/>
  <c r="E112" i="29"/>
  <c r="N61" i="29"/>
  <c r="N104" i="36"/>
  <c r="O104" i="36" s="1"/>
  <c r="N111" i="36"/>
  <c r="O111" i="36" s="1"/>
  <c r="N88" i="36"/>
  <c r="N21" i="36" s="1"/>
  <c r="M21" i="36"/>
  <c r="N85" i="36"/>
  <c r="O85" i="36" s="1"/>
  <c r="N70" i="36"/>
  <c r="O70" i="36" s="1"/>
  <c r="N52" i="36"/>
  <c r="N17" i="36" s="1"/>
  <c r="M17" i="36"/>
  <c r="N34" i="36"/>
  <c r="O34" i="36" s="1"/>
  <c r="M18" i="36"/>
  <c r="G5" i="38"/>
  <c r="G9" i="38"/>
  <c r="F112" i="29"/>
  <c r="L112" i="29"/>
  <c r="O105" i="21"/>
  <c r="O18" i="21" s="1"/>
  <c r="E18" i="21"/>
  <c r="N19" i="21"/>
  <c r="N18" i="22"/>
  <c r="N19" i="22"/>
  <c r="K21" i="22"/>
  <c r="K78" i="29"/>
  <c r="F36" i="30"/>
  <c r="F18" i="30" s="1"/>
  <c r="L35" i="30"/>
  <c r="L17" i="30" s="1"/>
  <c r="H78" i="29"/>
  <c r="F61" i="29"/>
  <c r="L61" i="29"/>
  <c r="K44" i="29"/>
  <c r="N61" i="30"/>
  <c r="O86" i="22"/>
  <c r="O17" i="22" s="1"/>
  <c r="K19" i="21"/>
  <c r="K22" i="22"/>
  <c r="E61" i="29"/>
  <c r="F58" i="30"/>
  <c r="F22" i="30" s="1"/>
  <c r="H44" i="36"/>
  <c r="H61" i="36"/>
  <c r="K112" i="36"/>
  <c r="L102" i="36"/>
  <c r="L112" i="36" s="1"/>
  <c r="L95" i="36"/>
  <c r="K95" i="36"/>
  <c r="L78" i="36"/>
  <c r="K78" i="36"/>
  <c r="L51" i="36"/>
  <c r="L61" i="36" s="1"/>
  <c r="L34" i="36"/>
  <c r="I112" i="36"/>
  <c r="H112" i="36"/>
  <c r="H95" i="36"/>
  <c r="I85" i="36"/>
  <c r="I95" i="36" s="1"/>
  <c r="H78" i="36"/>
  <c r="I68" i="36"/>
  <c r="I78" i="36" s="1"/>
  <c r="I51" i="36"/>
  <c r="I61" i="36" s="1"/>
  <c r="I34" i="36"/>
  <c r="I44" i="36" s="1"/>
  <c r="E111" i="36"/>
  <c r="F111" i="36" s="1"/>
  <c r="E104" i="36"/>
  <c r="F104" i="36" s="1"/>
  <c r="E108" i="36"/>
  <c r="F108" i="36" s="1"/>
  <c r="D21" i="36"/>
  <c r="E88" i="36"/>
  <c r="E21" i="36" s="1"/>
  <c r="E70" i="36"/>
  <c r="F70" i="36" s="1"/>
  <c r="D17" i="36"/>
  <c r="E52" i="36"/>
  <c r="E17" i="36" s="1"/>
  <c r="E34" i="36"/>
  <c r="F34" i="36" s="1"/>
  <c r="D18" i="36"/>
  <c r="O88" i="22"/>
  <c r="O21" i="22" s="1"/>
  <c r="O37" i="22"/>
  <c r="O23" i="22" s="1"/>
  <c r="E22" i="22"/>
  <c r="H17" i="22"/>
  <c r="H18" i="22"/>
  <c r="E23" i="22"/>
  <c r="K23" i="22"/>
  <c r="O61" i="22"/>
  <c r="L112" i="30"/>
  <c r="N61" i="22"/>
  <c r="N20" i="22"/>
  <c r="N22" i="21"/>
  <c r="L107" i="21"/>
  <c r="L20" i="21" s="1"/>
  <c r="K20" i="21"/>
  <c r="L108" i="21"/>
  <c r="L21" i="21" s="1"/>
  <c r="K21" i="21"/>
  <c r="K23" i="21"/>
  <c r="L111" i="21"/>
  <c r="L23" i="21" s="1"/>
  <c r="O78" i="22"/>
  <c r="F86" i="22"/>
  <c r="F17" i="22" s="1"/>
  <c r="E17" i="22"/>
  <c r="F78" i="29"/>
  <c r="L78" i="29"/>
  <c r="O61" i="29"/>
  <c r="H44" i="29"/>
  <c r="E19" i="30"/>
  <c r="E27" i="30" s="1"/>
  <c r="F37" i="30"/>
  <c r="F19" i="30" s="1"/>
  <c r="L38" i="29"/>
  <c r="L44" i="29" s="1"/>
  <c r="K112" i="30"/>
  <c r="O112" i="30"/>
  <c r="I102" i="30"/>
  <c r="I112" i="30" s="1"/>
  <c r="H112" i="30"/>
  <c r="K61" i="30"/>
  <c r="I51" i="30"/>
  <c r="I61" i="30" s="1"/>
  <c r="H61" i="30"/>
  <c r="L37" i="30"/>
  <c r="L19" i="30" s="1"/>
  <c r="F34" i="29"/>
  <c r="F44" i="29" s="1"/>
  <c r="E44" i="29"/>
  <c r="N112" i="30"/>
  <c r="F112" i="30"/>
  <c r="O107" i="21"/>
  <c r="O20" i="21" s="1"/>
  <c r="N20" i="21"/>
  <c r="F90" i="22"/>
  <c r="F18" i="22" s="1"/>
  <c r="E18" i="22"/>
  <c r="I105" i="21"/>
  <c r="I18" i="21" s="1"/>
  <c r="L89" i="22"/>
  <c r="L19" i="22" s="1"/>
  <c r="K19" i="22"/>
  <c r="N21" i="21"/>
  <c r="K22" i="21"/>
  <c r="I111" i="21"/>
  <c r="I23" i="21" s="1"/>
  <c r="H23" i="21"/>
  <c r="H19" i="22"/>
  <c r="I37" i="22"/>
  <c r="I23" i="22" s="1"/>
  <c r="H23" i="22"/>
  <c r="N78" i="22"/>
  <c r="I87" i="22"/>
  <c r="I22" i="22" s="1"/>
  <c r="K61" i="29"/>
  <c r="N44" i="29"/>
  <c r="N44" i="30"/>
  <c r="K18" i="30"/>
  <c r="K27" i="30" s="1"/>
  <c r="L36" i="30"/>
  <c r="K44" i="30"/>
  <c r="O17" i="30"/>
  <c r="O27" i="30" s="1"/>
  <c r="O44" i="30"/>
  <c r="I35" i="30"/>
  <c r="I17" i="30" s="1"/>
  <c r="H44" i="30"/>
  <c r="N112" i="22"/>
  <c r="E17" i="21"/>
  <c r="E21" i="21"/>
  <c r="K44" i="21"/>
  <c r="K18" i="22"/>
  <c r="N44" i="22"/>
  <c r="N95" i="22"/>
  <c r="O112" i="22"/>
  <c r="H61" i="29"/>
  <c r="N27" i="29"/>
  <c r="O61" i="30"/>
  <c r="E61" i="30"/>
  <c r="K112" i="22"/>
  <c r="L112" i="22"/>
  <c r="K95" i="22"/>
  <c r="L85" i="22"/>
  <c r="K78" i="22"/>
  <c r="L68" i="22"/>
  <c r="L78" i="22" s="1"/>
  <c r="K61" i="22"/>
  <c r="L51" i="22"/>
  <c r="K44" i="22"/>
  <c r="L34" i="22"/>
  <c r="L44" i="22" s="1"/>
  <c r="H95" i="22"/>
  <c r="I85" i="22"/>
  <c r="H78" i="22"/>
  <c r="I78" i="22"/>
  <c r="H61" i="22"/>
  <c r="I51" i="22"/>
  <c r="H44" i="22"/>
  <c r="H112" i="22"/>
  <c r="I112" i="22"/>
  <c r="E112" i="22"/>
  <c r="F102" i="22"/>
  <c r="F112" i="22" s="1"/>
  <c r="E95" i="22"/>
  <c r="F85" i="22"/>
  <c r="E78" i="22"/>
  <c r="F68" i="22"/>
  <c r="F78" i="22" s="1"/>
  <c r="E61" i="22"/>
  <c r="F51" i="22"/>
  <c r="E44" i="22"/>
  <c r="F34" i="22"/>
  <c r="F44" i="22" s="1"/>
  <c r="H27" i="34"/>
  <c r="K27" i="34"/>
  <c r="O27" i="34"/>
  <c r="F112" i="34"/>
  <c r="G11" i="34" s="1"/>
  <c r="L27" i="34"/>
  <c r="E27" i="34"/>
  <c r="I27" i="34"/>
  <c r="F27" i="34"/>
  <c r="N27" i="34"/>
  <c r="G3" i="34"/>
  <c r="G5" i="34"/>
  <c r="G7" i="34"/>
  <c r="G9" i="34"/>
  <c r="N27" i="30"/>
  <c r="H21" i="30"/>
  <c r="F53" i="30"/>
  <c r="F21" i="30" s="1"/>
  <c r="L51" i="30"/>
  <c r="F51" i="30"/>
  <c r="H17" i="30"/>
  <c r="H22" i="30"/>
  <c r="H20" i="30"/>
  <c r="H18" i="30"/>
  <c r="H19" i="30"/>
  <c r="F27" i="29"/>
  <c r="L27" i="29"/>
  <c r="I27" i="29"/>
  <c r="E27" i="29"/>
  <c r="O27" i="29"/>
  <c r="K27" i="29"/>
  <c r="I61" i="29"/>
  <c r="I44" i="29"/>
  <c r="O34" i="21"/>
  <c r="O44" i="21" s="1"/>
  <c r="L34" i="21"/>
  <c r="L44" i="21" s="1"/>
  <c r="H44" i="21"/>
  <c r="F111" i="21"/>
  <c r="F23" i="21" s="1"/>
  <c r="F27" i="21" s="1"/>
  <c r="K112" i="21"/>
  <c r="H112" i="21"/>
  <c r="N112" i="21"/>
  <c r="I34" i="21"/>
  <c r="I44" i="21" s="1"/>
  <c r="F34" i="21"/>
  <c r="F44" i="21" s="1"/>
  <c r="E112" i="21"/>
  <c r="F102" i="21"/>
  <c r="K109" i="56" l="1"/>
  <c r="L109" i="56"/>
  <c r="K110" i="56"/>
  <c r="K25" i="56" s="1"/>
  <c r="L110" i="56"/>
  <c r="L25" i="56" s="1"/>
  <c r="J25" i="56"/>
  <c r="J20" i="56"/>
  <c r="K105" i="56"/>
  <c r="K20" i="56" s="1"/>
  <c r="L105" i="56"/>
  <c r="L20" i="56" s="1"/>
  <c r="K103" i="56"/>
  <c r="K18" i="56" s="1"/>
  <c r="J18" i="56"/>
  <c r="J21" i="56"/>
  <c r="K106" i="56"/>
  <c r="K21" i="56" s="1"/>
  <c r="K107" i="56"/>
  <c r="L107" i="56"/>
  <c r="J17" i="56"/>
  <c r="K102" i="56"/>
  <c r="L102" i="56"/>
  <c r="K92" i="56"/>
  <c r="L92" i="56" s="1"/>
  <c r="K90" i="56"/>
  <c r="L90" i="56" s="1"/>
  <c r="L85" i="56"/>
  <c r="K85" i="56"/>
  <c r="K88" i="56"/>
  <c r="L88" i="56" s="1"/>
  <c r="L89" i="56"/>
  <c r="K89" i="56"/>
  <c r="K86" i="56"/>
  <c r="L86" i="56" s="1"/>
  <c r="L93" i="56"/>
  <c r="K93" i="56"/>
  <c r="L70" i="56"/>
  <c r="L26" i="56" s="1"/>
  <c r="J24" i="56"/>
  <c r="L69" i="56"/>
  <c r="L24" i="56" s="1"/>
  <c r="K69" i="56"/>
  <c r="K24" i="56" s="1"/>
  <c r="J22" i="56"/>
  <c r="K68" i="56"/>
  <c r="L68" i="56" s="1"/>
  <c r="K76" i="56"/>
  <c r="L76" i="56" s="1"/>
  <c r="K75" i="56"/>
  <c r="L75" i="56" s="1"/>
  <c r="K73" i="56"/>
  <c r="L73" i="56" s="1"/>
  <c r="K72" i="56"/>
  <c r="L72" i="56" s="1"/>
  <c r="K71" i="56"/>
  <c r="L71" i="56" s="1"/>
  <c r="K57" i="56"/>
  <c r="L57" i="56"/>
  <c r="K53" i="56"/>
  <c r="L53" i="56"/>
  <c r="K52" i="56"/>
  <c r="L52" i="56"/>
  <c r="K54" i="56"/>
  <c r="L54" i="56"/>
  <c r="K56" i="56"/>
  <c r="L56" i="56"/>
  <c r="K35" i="56"/>
  <c r="L35" i="56"/>
  <c r="K37" i="56"/>
  <c r="L37" i="56"/>
  <c r="K38" i="56"/>
  <c r="L38" i="56"/>
  <c r="K41" i="56"/>
  <c r="L41" i="56"/>
  <c r="K42" i="56"/>
  <c r="L42" i="56"/>
  <c r="K39" i="56"/>
  <c r="L39" i="56"/>
  <c r="K34" i="56"/>
  <c r="L34" i="56"/>
  <c r="H102" i="56"/>
  <c r="I102" i="56" s="1"/>
  <c r="G17" i="56"/>
  <c r="H104" i="56"/>
  <c r="I104" i="56" s="1"/>
  <c r="I19" i="56" s="1"/>
  <c r="G19" i="56"/>
  <c r="H105" i="56"/>
  <c r="H20" i="56" s="1"/>
  <c r="G20" i="56"/>
  <c r="H110" i="56"/>
  <c r="H25" i="56" s="1"/>
  <c r="G25" i="56"/>
  <c r="I107" i="56"/>
  <c r="H107" i="56"/>
  <c r="G21" i="56"/>
  <c r="H106" i="56"/>
  <c r="H21" i="56" s="1"/>
  <c r="I106" i="56"/>
  <c r="I21" i="56" s="1"/>
  <c r="H19" i="56"/>
  <c r="H23" i="56"/>
  <c r="G18" i="56"/>
  <c r="H103" i="56"/>
  <c r="H18" i="56" s="1"/>
  <c r="H90" i="56"/>
  <c r="I90" i="56"/>
  <c r="H85" i="56"/>
  <c r="I85" i="56" s="1"/>
  <c r="H86" i="56"/>
  <c r="I86" i="56"/>
  <c r="H87" i="56"/>
  <c r="I87" i="56" s="1"/>
  <c r="H93" i="56"/>
  <c r="I93" i="56" s="1"/>
  <c r="H92" i="56"/>
  <c r="I92" i="56"/>
  <c r="H89" i="56"/>
  <c r="I89" i="56" s="1"/>
  <c r="H88" i="56"/>
  <c r="I88" i="56"/>
  <c r="G24" i="56"/>
  <c r="H69" i="56"/>
  <c r="H24" i="56" s="1"/>
  <c r="I75" i="56"/>
  <c r="H75" i="56"/>
  <c r="I68" i="56"/>
  <c r="G22" i="56"/>
  <c r="H68" i="56"/>
  <c r="H76" i="56"/>
  <c r="I76" i="56"/>
  <c r="I71" i="56"/>
  <c r="H71" i="56"/>
  <c r="H73" i="56"/>
  <c r="I73" i="56" s="1"/>
  <c r="I72" i="56"/>
  <c r="H72" i="56"/>
  <c r="H70" i="56"/>
  <c r="H26" i="56" s="1"/>
  <c r="I70" i="56"/>
  <c r="I26" i="56" s="1"/>
  <c r="G26" i="56"/>
  <c r="H53" i="56"/>
  <c r="I53" i="56" s="1"/>
  <c r="H56" i="56"/>
  <c r="I56" i="56" s="1"/>
  <c r="I54" i="56"/>
  <c r="H54" i="56"/>
  <c r="H52" i="56"/>
  <c r="I52" i="56" s="1"/>
  <c r="H57" i="56"/>
  <c r="I57" i="56" s="1"/>
  <c r="H51" i="56"/>
  <c r="I51" i="56"/>
  <c r="I39" i="56"/>
  <c r="H39" i="56"/>
  <c r="H34" i="56"/>
  <c r="I34" i="56" s="1"/>
  <c r="I35" i="56"/>
  <c r="H35" i="56"/>
  <c r="H41" i="56"/>
  <c r="I41" i="56" s="1"/>
  <c r="I37" i="56"/>
  <c r="H37" i="56"/>
  <c r="H42" i="56"/>
  <c r="I42" i="56" s="1"/>
  <c r="I38" i="56"/>
  <c r="H38" i="56"/>
  <c r="H40" i="56"/>
  <c r="I40" i="56" s="1"/>
  <c r="D25" i="56"/>
  <c r="E110" i="56"/>
  <c r="E25" i="56" s="1"/>
  <c r="F110" i="56"/>
  <c r="F25" i="56" s="1"/>
  <c r="E109" i="56"/>
  <c r="F109" i="56" s="1"/>
  <c r="E107" i="56"/>
  <c r="F107" i="56"/>
  <c r="D21" i="56"/>
  <c r="E106" i="56"/>
  <c r="E21" i="56" s="1"/>
  <c r="F106" i="56"/>
  <c r="F21" i="56" s="1"/>
  <c r="D20" i="56"/>
  <c r="F105" i="56"/>
  <c r="F20" i="56" s="1"/>
  <c r="E105" i="56"/>
  <c r="E20" i="56" s="1"/>
  <c r="E103" i="56"/>
  <c r="E18" i="56" s="1"/>
  <c r="D18" i="56"/>
  <c r="F103" i="56"/>
  <c r="F18" i="56" s="1"/>
  <c r="D17" i="56"/>
  <c r="E102" i="56"/>
  <c r="F102" i="56"/>
  <c r="D19" i="56"/>
  <c r="E104" i="56"/>
  <c r="E19" i="56" s="1"/>
  <c r="D23" i="56"/>
  <c r="E108" i="56"/>
  <c r="E23" i="56" s="1"/>
  <c r="E93" i="56"/>
  <c r="F93" i="56" s="1"/>
  <c r="E92" i="56"/>
  <c r="F92" i="56" s="1"/>
  <c r="E90" i="56"/>
  <c r="F90" i="56" s="1"/>
  <c r="E89" i="56"/>
  <c r="F89" i="56" s="1"/>
  <c r="E88" i="56"/>
  <c r="F88" i="56" s="1"/>
  <c r="E86" i="56"/>
  <c r="F86" i="56" s="1"/>
  <c r="E85" i="56"/>
  <c r="F85" i="56" s="1"/>
  <c r="E87" i="56"/>
  <c r="F87" i="56" s="1"/>
  <c r="E91" i="56"/>
  <c r="F91" i="56" s="1"/>
  <c r="F70" i="56"/>
  <c r="F26" i="56" s="1"/>
  <c r="D24" i="56"/>
  <c r="E69" i="56"/>
  <c r="E24" i="56" s="1"/>
  <c r="E76" i="56"/>
  <c r="F76" i="56" s="1"/>
  <c r="E71" i="56"/>
  <c r="F71" i="56" s="1"/>
  <c r="E75" i="56"/>
  <c r="F75" i="56"/>
  <c r="E72" i="56"/>
  <c r="F72" i="56" s="1"/>
  <c r="E74" i="56"/>
  <c r="F74" i="56" s="1"/>
  <c r="E73" i="56"/>
  <c r="F73" i="56" s="1"/>
  <c r="D22" i="56"/>
  <c r="F68" i="56"/>
  <c r="E68" i="56"/>
  <c r="E53" i="56"/>
  <c r="F53" i="56"/>
  <c r="E51" i="56"/>
  <c r="F51" i="56" s="1"/>
  <c r="E54" i="56"/>
  <c r="F54" i="56"/>
  <c r="E56" i="56"/>
  <c r="F56" i="56" s="1"/>
  <c r="E57" i="56"/>
  <c r="F57" i="56"/>
  <c r="E52" i="56"/>
  <c r="F52" i="56" s="1"/>
  <c r="E35" i="56"/>
  <c r="F35" i="56"/>
  <c r="E42" i="56"/>
  <c r="F42" i="56"/>
  <c r="E37" i="56"/>
  <c r="F37" i="56"/>
  <c r="E39" i="56"/>
  <c r="F39" i="56" s="1"/>
  <c r="E34" i="56"/>
  <c r="F34" i="56"/>
  <c r="E41" i="56"/>
  <c r="F41" i="56"/>
  <c r="E38" i="56"/>
  <c r="F38" i="56"/>
  <c r="E40" i="56"/>
  <c r="F40" i="56"/>
  <c r="N106" i="55"/>
  <c r="O106" i="55" s="1"/>
  <c r="N108" i="55"/>
  <c r="O108" i="55" s="1"/>
  <c r="N107" i="55"/>
  <c r="O107" i="55" s="1"/>
  <c r="N102" i="55"/>
  <c r="O102" i="55" s="1"/>
  <c r="N104" i="55"/>
  <c r="O104" i="55" s="1"/>
  <c r="N103" i="55"/>
  <c r="O103" i="55" s="1"/>
  <c r="N109" i="55"/>
  <c r="O109" i="55" s="1"/>
  <c r="N110" i="55"/>
  <c r="O110" i="55" s="1"/>
  <c r="N105" i="55"/>
  <c r="O105" i="55" s="1"/>
  <c r="N92" i="55"/>
  <c r="O92" i="55" s="1"/>
  <c r="N91" i="55"/>
  <c r="O91" i="55" s="1"/>
  <c r="N88" i="55"/>
  <c r="O88" i="55" s="1"/>
  <c r="N90" i="55"/>
  <c r="O90" i="55" s="1"/>
  <c r="N93" i="55"/>
  <c r="O93" i="55" s="1"/>
  <c r="N87" i="55"/>
  <c r="O87" i="55"/>
  <c r="N85" i="55"/>
  <c r="O85" i="55" s="1"/>
  <c r="N86" i="55"/>
  <c r="O86" i="55" s="1"/>
  <c r="N89" i="55"/>
  <c r="O89" i="55" s="1"/>
  <c r="N71" i="55"/>
  <c r="O71" i="55" s="1"/>
  <c r="N73" i="55"/>
  <c r="O73" i="55"/>
  <c r="N68" i="55"/>
  <c r="O68" i="55" s="1"/>
  <c r="N70" i="55"/>
  <c r="O70" i="55" s="1"/>
  <c r="O72" i="55"/>
  <c r="N72" i="55"/>
  <c r="N69" i="55"/>
  <c r="O69" i="55" s="1"/>
  <c r="O74" i="55"/>
  <c r="N74" i="55"/>
  <c r="N76" i="55"/>
  <c r="O76" i="55" s="1"/>
  <c r="N75" i="55"/>
  <c r="O75" i="55" s="1"/>
  <c r="N51" i="55"/>
  <c r="O51" i="55" s="1"/>
  <c r="M19" i="55"/>
  <c r="M23" i="55"/>
  <c r="N55" i="55"/>
  <c r="N23" i="55" s="1"/>
  <c r="O53" i="55"/>
  <c r="O21" i="55" s="1"/>
  <c r="N53" i="55"/>
  <c r="N21" i="55" s="1"/>
  <c r="M21" i="55"/>
  <c r="M22" i="55"/>
  <c r="O54" i="55"/>
  <c r="O22" i="55" s="1"/>
  <c r="N54" i="55"/>
  <c r="N22" i="55" s="1"/>
  <c r="M24" i="55"/>
  <c r="N56" i="55"/>
  <c r="N24" i="55" s="1"/>
  <c r="O57" i="55"/>
  <c r="O25" i="55" s="1"/>
  <c r="N57" i="55"/>
  <c r="N25" i="55" s="1"/>
  <c r="M25" i="55"/>
  <c r="N52" i="55"/>
  <c r="N20" i="55" s="1"/>
  <c r="M20" i="55"/>
  <c r="O43" i="55"/>
  <c r="O18" i="55" s="1"/>
  <c r="O39" i="55"/>
  <c r="N39" i="55"/>
  <c r="N34" i="55"/>
  <c r="O34" i="55" s="1"/>
  <c r="O36" i="55"/>
  <c r="N36" i="55"/>
  <c r="N35" i="55"/>
  <c r="O35" i="55" s="1"/>
  <c r="O41" i="55"/>
  <c r="N41" i="55"/>
  <c r="M17" i="55"/>
  <c r="N42" i="55"/>
  <c r="N17" i="55" s="1"/>
  <c r="N37" i="55"/>
  <c r="O37" i="55" s="1"/>
  <c r="N38" i="55"/>
  <c r="O38" i="55" s="1"/>
  <c r="N40" i="55"/>
  <c r="O40" i="55" s="1"/>
  <c r="O109" i="53"/>
  <c r="O22" i="53" s="1"/>
  <c r="K107" i="55"/>
  <c r="L107" i="55" s="1"/>
  <c r="K106" i="55"/>
  <c r="L106" i="55" s="1"/>
  <c r="K103" i="55"/>
  <c r="L103" i="55" s="1"/>
  <c r="L102" i="55"/>
  <c r="K102" i="55"/>
  <c r="K104" i="55"/>
  <c r="L104" i="55" s="1"/>
  <c r="K109" i="55"/>
  <c r="L109" i="55" s="1"/>
  <c r="K110" i="55"/>
  <c r="L110" i="55" s="1"/>
  <c r="K108" i="55"/>
  <c r="L108" i="55" s="1"/>
  <c r="K86" i="55"/>
  <c r="L86" i="55" s="1"/>
  <c r="K91" i="55"/>
  <c r="L91" i="55"/>
  <c r="K85" i="55"/>
  <c r="L85" i="55" s="1"/>
  <c r="K93" i="55"/>
  <c r="L93" i="55" s="1"/>
  <c r="K92" i="55"/>
  <c r="L92" i="55" s="1"/>
  <c r="K90" i="55"/>
  <c r="L90" i="55"/>
  <c r="L89" i="55"/>
  <c r="K89" i="55"/>
  <c r="K88" i="55"/>
  <c r="L88" i="55"/>
  <c r="K69" i="55"/>
  <c r="L69" i="55" s="1"/>
  <c r="K74" i="55"/>
  <c r="L74" i="55" s="1"/>
  <c r="K73" i="55"/>
  <c r="L73" i="55" s="1"/>
  <c r="K76" i="55"/>
  <c r="L76" i="55" s="1"/>
  <c r="K75" i="55"/>
  <c r="L75" i="55" s="1"/>
  <c r="K68" i="55"/>
  <c r="L72" i="55"/>
  <c r="K72" i="55"/>
  <c r="K71" i="55"/>
  <c r="L71" i="55" s="1"/>
  <c r="L58" i="55"/>
  <c r="L26" i="55" s="1"/>
  <c r="K53" i="55"/>
  <c r="K21" i="55" s="1"/>
  <c r="J21" i="55"/>
  <c r="K51" i="55"/>
  <c r="L51" i="55" s="1"/>
  <c r="J19" i="55"/>
  <c r="K56" i="55"/>
  <c r="K24" i="55" s="1"/>
  <c r="J24" i="55"/>
  <c r="K54" i="55"/>
  <c r="K22" i="55" s="1"/>
  <c r="J22" i="55"/>
  <c r="K52" i="55"/>
  <c r="K20" i="55" s="1"/>
  <c r="J20" i="55"/>
  <c r="L57" i="55"/>
  <c r="L25" i="55" s="1"/>
  <c r="K57" i="55"/>
  <c r="K25" i="55" s="1"/>
  <c r="J25" i="55"/>
  <c r="K55" i="55"/>
  <c r="K23" i="55" s="1"/>
  <c r="J23" i="55"/>
  <c r="K35" i="55"/>
  <c r="L35" i="55" s="1"/>
  <c r="K41" i="55"/>
  <c r="L41" i="55"/>
  <c r="K34" i="55"/>
  <c r="L34" i="55" s="1"/>
  <c r="K42" i="55"/>
  <c r="K17" i="55" s="1"/>
  <c r="J17" i="55"/>
  <c r="K37" i="55"/>
  <c r="L37" i="55" s="1"/>
  <c r="K39" i="55"/>
  <c r="L39" i="55" s="1"/>
  <c r="K38" i="55"/>
  <c r="L38" i="55" s="1"/>
  <c r="H19" i="55"/>
  <c r="I51" i="55"/>
  <c r="I19" i="55" s="1"/>
  <c r="H107" i="55"/>
  <c r="I107" i="55" s="1"/>
  <c r="I106" i="55"/>
  <c r="H106" i="55"/>
  <c r="H103" i="55"/>
  <c r="I103" i="55" s="1"/>
  <c r="H102" i="55"/>
  <c r="I102" i="55" s="1"/>
  <c r="H105" i="55"/>
  <c r="I105" i="55" s="1"/>
  <c r="H109" i="55"/>
  <c r="I109" i="55" s="1"/>
  <c r="H110" i="55"/>
  <c r="I110" i="55" s="1"/>
  <c r="I104" i="55"/>
  <c r="H104" i="55"/>
  <c r="H90" i="55"/>
  <c r="I90" i="55"/>
  <c r="I85" i="55"/>
  <c r="H85" i="55"/>
  <c r="H86" i="55"/>
  <c r="I86" i="55"/>
  <c r="H92" i="55"/>
  <c r="I92" i="55" s="1"/>
  <c r="H93" i="55"/>
  <c r="I93" i="55" s="1"/>
  <c r="H88" i="55"/>
  <c r="I88" i="55" s="1"/>
  <c r="H89" i="55"/>
  <c r="I89" i="55" s="1"/>
  <c r="I91" i="55"/>
  <c r="H91" i="55"/>
  <c r="H72" i="55"/>
  <c r="I72" i="55" s="1"/>
  <c r="H76" i="55"/>
  <c r="I76" i="55" s="1"/>
  <c r="H73" i="55"/>
  <c r="I73" i="55" s="1"/>
  <c r="H68" i="55"/>
  <c r="I68" i="55" s="1"/>
  <c r="H69" i="55"/>
  <c r="I69" i="55" s="1"/>
  <c r="H71" i="55"/>
  <c r="I71" i="55" s="1"/>
  <c r="H56" i="55"/>
  <c r="H24" i="55" s="1"/>
  <c r="G24" i="55"/>
  <c r="H52" i="55"/>
  <c r="I52" i="55" s="1"/>
  <c r="G20" i="55"/>
  <c r="G23" i="55"/>
  <c r="H55" i="55"/>
  <c r="H23" i="55" s="1"/>
  <c r="G26" i="55"/>
  <c r="H58" i="55"/>
  <c r="H26" i="55" s="1"/>
  <c r="H53" i="55"/>
  <c r="H21" i="55" s="1"/>
  <c r="G21" i="55"/>
  <c r="G22" i="55"/>
  <c r="H54" i="55"/>
  <c r="H22" i="55" s="1"/>
  <c r="G25" i="55"/>
  <c r="H57" i="55"/>
  <c r="H25" i="55" s="1"/>
  <c r="I43" i="55"/>
  <c r="I18" i="55" s="1"/>
  <c r="H40" i="55"/>
  <c r="I40" i="55" s="1"/>
  <c r="H35" i="55"/>
  <c r="I35" i="55" s="1"/>
  <c r="H36" i="55"/>
  <c r="I36" i="55" s="1"/>
  <c r="H34" i="55"/>
  <c r="I34" i="55" s="1"/>
  <c r="G17" i="55"/>
  <c r="H42" i="55"/>
  <c r="H17" i="55" s="1"/>
  <c r="H41" i="55"/>
  <c r="I41" i="55" s="1"/>
  <c r="H39" i="55"/>
  <c r="I39" i="55" s="1"/>
  <c r="H38" i="55"/>
  <c r="I38" i="55" s="1"/>
  <c r="H37" i="55"/>
  <c r="I37" i="55" s="1"/>
  <c r="E105" i="55"/>
  <c r="F105" i="55" s="1"/>
  <c r="E107" i="55"/>
  <c r="F107" i="55" s="1"/>
  <c r="E102" i="55"/>
  <c r="F102" i="55" s="1"/>
  <c r="E108" i="55"/>
  <c r="F108" i="55" s="1"/>
  <c r="E106" i="55"/>
  <c r="F106" i="55" s="1"/>
  <c r="F103" i="55"/>
  <c r="E103" i="55"/>
  <c r="E104" i="55"/>
  <c r="F104" i="55" s="1"/>
  <c r="F110" i="55"/>
  <c r="E110" i="55"/>
  <c r="E109" i="55"/>
  <c r="F109" i="55" s="1"/>
  <c r="E90" i="55"/>
  <c r="F90" i="55" s="1"/>
  <c r="E85" i="55"/>
  <c r="F85" i="55" s="1"/>
  <c r="F91" i="55"/>
  <c r="E91" i="55"/>
  <c r="E89" i="55"/>
  <c r="F89" i="55" s="1"/>
  <c r="F86" i="55"/>
  <c r="E86" i="55"/>
  <c r="E87" i="55"/>
  <c r="F87" i="55" s="1"/>
  <c r="E88" i="55"/>
  <c r="F88" i="55" s="1"/>
  <c r="E93" i="55"/>
  <c r="F93" i="55" s="1"/>
  <c r="E92" i="55"/>
  <c r="F92" i="55" s="1"/>
  <c r="E76" i="55"/>
  <c r="F76" i="55" s="1"/>
  <c r="E73" i="55"/>
  <c r="F73" i="55" s="1"/>
  <c r="E72" i="55"/>
  <c r="F72" i="55"/>
  <c r="E71" i="55"/>
  <c r="F71" i="55" s="1"/>
  <c r="E75" i="55"/>
  <c r="F75" i="55"/>
  <c r="E69" i="55"/>
  <c r="F69" i="55" s="1"/>
  <c r="E68" i="55"/>
  <c r="F68" i="55" s="1"/>
  <c r="E74" i="55"/>
  <c r="F74" i="55" s="1"/>
  <c r="E70" i="55"/>
  <c r="F70" i="55" s="1"/>
  <c r="D21" i="55"/>
  <c r="E53" i="55"/>
  <c r="E21" i="55" s="1"/>
  <c r="F53" i="55"/>
  <c r="F21" i="55" s="1"/>
  <c r="D23" i="55"/>
  <c r="E55" i="55"/>
  <c r="E23" i="55" s="1"/>
  <c r="F19" i="55"/>
  <c r="E54" i="55"/>
  <c r="E22" i="55" s="1"/>
  <c r="D22" i="55"/>
  <c r="E52" i="55"/>
  <c r="E20" i="55" s="1"/>
  <c r="F52" i="55"/>
  <c r="F20" i="55" s="1"/>
  <c r="D20" i="55"/>
  <c r="E19" i="55"/>
  <c r="D25" i="55"/>
  <c r="E57" i="55"/>
  <c r="E25" i="55" s="1"/>
  <c r="E38" i="55"/>
  <c r="F38" i="55" s="1"/>
  <c r="E41" i="55"/>
  <c r="F41" i="55" s="1"/>
  <c r="E36" i="55"/>
  <c r="F36" i="55" s="1"/>
  <c r="E34" i="55"/>
  <c r="F34" i="55"/>
  <c r="E37" i="55"/>
  <c r="F37" i="55" s="1"/>
  <c r="E42" i="55"/>
  <c r="E17" i="55" s="1"/>
  <c r="D17" i="55"/>
  <c r="E40" i="55"/>
  <c r="F40" i="55"/>
  <c r="O111" i="53"/>
  <c r="O24" i="53" s="1"/>
  <c r="N106" i="53"/>
  <c r="O106" i="53" s="1"/>
  <c r="M20" i="53"/>
  <c r="O107" i="53"/>
  <c r="O20" i="53" s="1"/>
  <c r="N107" i="53"/>
  <c r="N20" i="53" s="1"/>
  <c r="N102" i="53"/>
  <c r="O102" i="53" s="1"/>
  <c r="O103" i="53"/>
  <c r="N103" i="53"/>
  <c r="N108" i="53"/>
  <c r="O108" i="53" s="1"/>
  <c r="O110" i="53"/>
  <c r="N110" i="53"/>
  <c r="N105" i="53"/>
  <c r="O105" i="53" s="1"/>
  <c r="N92" i="53"/>
  <c r="O92" i="53" s="1"/>
  <c r="N93" i="53"/>
  <c r="O93" i="53"/>
  <c r="N88" i="53"/>
  <c r="O88" i="53" s="1"/>
  <c r="N90" i="53"/>
  <c r="O90" i="53" s="1"/>
  <c r="N85" i="53"/>
  <c r="O85" i="53"/>
  <c r="N86" i="53"/>
  <c r="O86" i="53" s="1"/>
  <c r="N89" i="53"/>
  <c r="O89" i="53" s="1"/>
  <c r="N91" i="53"/>
  <c r="O91" i="53"/>
  <c r="O70" i="53"/>
  <c r="O26" i="53" s="1"/>
  <c r="N76" i="53"/>
  <c r="O76" i="53" s="1"/>
  <c r="N71" i="53"/>
  <c r="O71" i="53"/>
  <c r="N69" i="53"/>
  <c r="O69" i="53" s="1"/>
  <c r="N75" i="53"/>
  <c r="O75" i="53"/>
  <c r="N72" i="53"/>
  <c r="O72" i="53" s="1"/>
  <c r="N74" i="53"/>
  <c r="O74" i="53" s="1"/>
  <c r="N73" i="53"/>
  <c r="O73" i="53"/>
  <c r="O68" i="53"/>
  <c r="M19" i="53"/>
  <c r="N68" i="53"/>
  <c r="N52" i="53"/>
  <c r="O52" i="53" s="1"/>
  <c r="N53" i="53"/>
  <c r="O53" i="53" s="1"/>
  <c r="N51" i="53"/>
  <c r="O51" i="53" s="1"/>
  <c r="N54" i="53"/>
  <c r="O54" i="53" s="1"/>
  <c r="O42" i="53"/>
  <c r="N42" i="53"/>
  <c r="M18" i="53"/>
  <c r="N37" i="53"/>
  <c r="N18" i="53" s="1"/>
  <c r="N39" i="53"/>
  <c r="N23" i="53" s="1"/>
  <c r="M23" i="53"/>
  <c r="M21" i="53"/>
  <c r="N38" i="53"/>
  <c r="N21" i="53" s="1"/>
  <c r="M25" i="53"/>
  <c r="N40" i="53"/>
  <c r="N25" i="53" s="1"/>
  <c r="N35" i="53"/>
  <c r="O35" i="53" s="1"/>
  <c r="N34" i="53"/>
  <c r="O34" i="53" s="1"/>
  <c r="M17" i="53"/>
  <c r="O36" i="53"/>
  <c r="O17" i="53" s="1"/>
  <c r="N36" i="53"/>
  <c r="N17" i="53" s="1"/>
  <c r="N41" i="53"/>
  <c r="O41" i="53" s="1"/>
  <c r="F54" i="52"/>
  <c r="F23" i="52" s="1"/>
  <c r="I54" i="52"/>
  <c r="I23" i="52" s="1"/>
  <c r="O57" i="52"/>
  <c r="O26" i="52" s="1"/>
  <c r="I111" i="53"/>
  <c r="I24" i="53" s="1"/>
  <c r="I38" i="53"/>
  <c r="I21" i="53" s="1"/>
  <c r="K103" i="53"/>
  <c r="L103" i="53" s="1"/>
  <c r="K110" i="53"/>
  <c r="L110" i="53" s="1"/>
  <c r="K109" i="53"/>
  <c r="K22" i="53" s="1"/>
  <c r="J22" i="53"/>
  <c r="K108" i="53"/>
  <c r="L108" i="53" s="1"/>
  <c r="K106" i="53"/>
  <c r="L106" i="53" s="1"/>
  <c r="K105" i="53"/>
  <c r="L105" i="53" s="1"/>
  <c r="J20" i="53"/>
  <c r="K107" i="53"/>
  <c r="K20" i="53" s="1"/>
  <c r="K102" i="53"/>
  <c r="L102" i="53" s="1"/>
  <c r="K90" i="53"/>
  <c r="L90" i="53" s="1"/>
  <c r="K91" i="53"/>
  <c r="L91" i="53" s="1"/>
  <c r="K86" i="53"/>
  <c r="L86" i="53" s="1"/>
  <c r="K92" i="53"/>
  <c r="L92" i="53" s="1"/>
  <c r="K89" i="53"/>
  <c r="L89" i="53" s="1"/>
  <c r="K88" i="53"/>
  <c r="L88" i="53" s="1"/>
  <c r="K85" i="53"/>
  <c r="L85" i="53" s="1"/>
  <c r="K87" i="53"/>
  <c r="L87" i="53" s="1"/>
  <c r="L70" i="53"/>
  <c r="L26" i="53" s="1"/>
  <c r="K69" i="53"/>
  <c r="L69" i="53" s="1"/>
  <c r="K75" i="53"/>
  <c r="L75" i="53" s="1"/>
  <c r="K76" i="53"/>
  <c r="L76" i="53" s="1"/>
  <c r="L71" i="53"/>
  <c r="K71" i="53"/>
  <c r="K72" i="53"/>
  <c r="L72" i="53" s="1"/>
  <c r="K74" i="53"/>
  <c r="L74" i="53" s="1"/>
  <c r="K73" i="53"/>
  <c r="L73" i="53" s="1"/>
  <c r="K68" i="53"/>
  <c r="L68" i="53" s="1"/>
  <c r="J19" i="53"/>
  <c r="K53" i="53"/>
  <c r="L53" i="53" s="1"/>
  <c r="K52" i="53"/>
  <c r="L52" i="53" s="1"/>
  <c r="K51" i="53"/>
  <c r="L51" i="53" s="1"/>
  <c r="K54" i="53"/>
  <c r="L54" i="53" s="1"/>
  <c r="K38" i="53"/>
  <c r="K21" i="53" s="1"/>
  <c r="J21" i="53"/>
  <c r="K37" i="53"/>
  <c r="K18" i="53" s="1"/>
  <c r="J18" i="53"/>
  <c r="K39" i="53"/>
  <c r="K23" i="53" s="1"/>
  <c r="J23" i="53"/>
  <c r="K34" i="53"/>
  <c r="L34" i="53" s="1"/>
  <c r="K36" i="53"/>
  <c r="K17" i="53" s="1"/>
  <c r="J17" i="53"/>
  <c r="K35" i="53"/>
  <c r="L35" i="53" s="1"/>
  <c r="K40" i="53"/>
  <c r="K25" i="53" s="1"/>
  <c r="J25" i="53"/>
  <c r="K42" i="53"/>
  <c r="L42" i="53" s="1"/>
  <c r="K41" i="53"/>
  <c r="L41" i="53" s="1"/>
  <c r="H110" i="53"/>
  <c r="I110" i="53" s="1"/>
  <c r="H105" i="53"/>
  <c r="I105" i="53" s="1"/>
  <c r="H103" i="53"/>
  <c r="I103" i="53" s="1"/>
  <c r="H106" i="53"/>
  <c r="I106" i="53" s="1"/>
  <c r="H104" i="53"/>
  <c r="I104" i="53" s="1"/>
  <c r="H109" i="53"/>
  <c r="H22" i="53" s="1"/>
  <c r="G22" i="53"/>
  <c r="H107" i="53"/>
  <c r="H20" i="53" s="1"/>
  <c r="I107" i="53"/>
  <c r="I20" i="53" s="1"/>
  <c r="G20" i="53"/>
  <c r="H102" i="53"/>
  <c r="I102" i="53" s="1"/>
  <c r="H86" i="53"/>
  <c r="I86" i="53" s="1"/>
  <c r="H87" i="53"/>
  <c r="I87" i="53" s="1"/>
  <c r="H90" i="53"/>
  <c r="I90" i="53" s="1"/>
  <c r="H93" i="53"/>
  <c r="I93" i="53" s="1"/>
  <c r="H92" i="53"/>
  <c r="I92" i="53" s="1"/>
  <c r="H85" i="53"/>
  <c r="I85" i="53" s="1"/>
  <c r="H89" i="53"/>
  <c r="I89" i="53" s="1"/>
  <c r="H88" i="53"/>
  <c r="I88" i="53" s="1"/>
  <c r="H72" i="53"/>
  <c r="I72" i="53" s="1"/>
  <c r="H69" i="53"/>
  <c r="I69" i="53" s="1"/>
  <c r="G19" i="53"/>
  <c r="H68" i="53"/>
  <c r="I68" i="53" s="1"/>
  <c r="H71" i="53"/>
  <c r="I71" i="53" s="1"/>
  <c r="I75" i="53"/>
  <c r="H75" i="53"/>
  <c r="H73" i="53"/>
  <c r="I73" i="53" s="1"/>
  <c r="H76" i="53"/>
  <c r="I76" i="53" s="1"/>
  <c r="G26" i="53"/>
  <c r="H70" i="53"/>
  <c r="H26" i="53" s="1"/>
  <c r="H53" i="53"/>
  <c r="I53" i="53" s="1"/>
  <c r="H52" i="53"/>
  <c r="I52" i="53" s="1"/>
  <c r="H51" i="53"/>
  <c r="I51" i="53" s="1"/>
  <c r="H54" i="53"/>
  <c r="I54" i="53" s="1"/>
  <c r="H41" i="53"/>
  <c r="I41" i="53" s="1"/>
  <c r="H34" i="53"/>
  <c r="I34" i="53" s="1"/>
  <c r="H35" i="53"/>
  <c r="I35" i="53" s="1"/>
  <c r="G25" i="53"/>
  <c r="H40" i="53"/>
  <c r="H25" i="53" s="1"/>
  <c r="H42" i="53"/>
  <c r="I42" i="53" s="1"/>
  <c r="H36" i="53"/>
  <c r="H17" i="53" s="1"/>
  <c r="G17" i="53"/>
  <c r="H39" i="53"/>
  <c r="H23" i="53" s="1"/>
  <c r="G23" i="53"/>
  <c r="H37" i="53"/>
  <c r="H18" i="53" s="1"/>
  <c r="G18" i="53"/>
  <c r="F111" i="53"/>
  <c r="F24" i="53" s="1"/>
  <c r="E108" i="53"/>
  <c r="F108" i="53" s="1"/>
  <c r="E110" i="53"/>
  <c r="F110" i="53" s="1"/>
  <c r="D22" i="53"/>
  <c r="E109" i="53"/>
  <c r="E22" i="53" s="1"/>
  <c r="E103" i="53"/>
  <c r="F103" i="53" s="1"/>
  <c r="E106" i="53"/>
  <c r="F106" i="53" s="1"/>
  <c r="E105" i="53"/>
  <c r="F105" i="53" s="1"/>
  <c r="E107" i="53"/>
  <c r="E20" i="53" s="1"/>
  <c r="D20" i="53"/>
  <c r="E102" i="53"/>
  <c r="F102" i="53" s="1"/>
  <c r="E90" i="53"/>
  <c r="F90" i="53"/>
  <c r="E85" i="53"/>
  <c r="F85" i="53" s="1"/>
  <c r="E86" i="53"/>
  <c r="F86" i="53" s="1"/>
  <c r="E92" i="53"/>
  <c r="F92" i="53" s="1"/>
  <c r="E93" i="53"/>
  <c r="F93" i="53" s="1"/>
  <c r="E88" i="53"/>
  <c r="F88" i="53" s="1"/>
  <c r="E89" i="53"/>
  <c r="F89" i="53" s="1"/>
  <c r="E91" i="53"/>
  <c r="F91" i="53" s="1"/>
  <c r="E69" i="53"/>
  <c r="F69" i="53" s="1"/>
  <c r="E75" i="53"/>
  <c r="F75" i="53" s="1"/>
  <c r="E68" i="53"/>
  <c r="F68" i="53" s="1"/>
  <c r="D19" i="53"/>
  <c r="E76" i="53"/>
  <c r="F76" i="53" s="1"/>
  <c r="E71" i="53"/>
  <c r="F71" i="53" s="1"/>
  <c r="E73" i="53"/>
  <c r="F73" i="53" s="1"/>
  <c r="E72" i="53"/>
  <c r="F72" i="53" s="1"/>
  <c r="E70" i="53"/>
  <c r="E26" i="53" s="1"/>
  <c r="D26" i="53"/>
  <c r="E52" i="53"/>
  <c r="F52" i="53" s="1"/>
  <c r="E53" i="53"/>
  <c r="F53" i="53" s="1"/>
  <c r="E51" i="53"/>
  <c r="F51" i="53" s="1"/>
  <c r="F54" i="53"/>
  <c r="E54" i="53"/>
  <c r="E38" i="53"/>
  <c r="E21" i="53" s="1"/>
  <c r="D21" i="53"/>
  <c r="F40" i="53"/>
  <c r="F25" i="53" s="1"/>
  <c r="E40" i="53"/>
  <c r="E25" i="53" s="1"/>
  <c r="D25" i="53"/>
  <c r="E35" i="53"/>
  <c r="F35" i="53" s="1"/>
  <c r="E41" i="53"/>
  <c r="F41" i="53" s="1"/>
  <c r="E36" i="53"/>
  <c r="E17" i="53" s="1"/>
  <c r="D17" i="53"/>
  <c r="E39" i="53"/>
  <c r="E23" i="53" s="1"/>
  <c r="D23" i="53"/>
  <c r="E34" i="53"/>
  <c r="F34" i="53" s="1"/>
  <c r="E42" i="53"/>
  <c r="F42" i="53" s="1"/>
  <c r="E37" i="53"/>
  <c r="E18" i="53" s="1"/>
  <c r="D18" i="53"/>
  <c r="N88" i="52"/>
  <c r="O88" i="52" s="1"/>
  <c r="N90" i="52"/>
  <c r="O90" i="52" s="1"/>
  <c r="N85" i="52"/>
  <c r="O85" i="52" s="1"/>
  <c r="N91" i="52"/>
  <c r="O91" i="52" s="1"/>
  <c r="N89" i="52"/>
  <c r="O89" i="52" s="1"/>
  <c r="N86" i="52"/>
  <c r="O86" i="52" s="1"/>
  <c r="N87" i="52"/>
  <c r="O87" i="52" s="1"/>
  <c r="N93" i="52"/>
  <c r="O93" i="52" s="1"/>
  <c r="N92" i="52"/>
  <c r="O92" i="52" s="1"/>
  <c r="N73" i="52"/>
  <c r="O73" i="52" s="1"/>
  <c r="N69" i="52"/>
  <c r="O69" i="52" s="1"/>
  <c r="N75" i="52"/>
  <c r="O75" i="52" s="1"/>
  <c r="N68" i="52"/>
  <c r="O68" i="52" s="1"/>
  <c r="N76" i="52"/>
  <c r="O76" i="52" s="1"/>
  <c r="N71" i="52"/>
  <c r="O71" i="52" s="1"/>
  <c r="N72" i="52"/>
  <c r="O72" i="52" s="1"/>
  <c r="M20" i="52"/>
  <c r="N70" i="52"/>
  <c r="N20" i="52" s="1"/>
  <c r="O54" i="52"/>
  <c r="O23" i="52" s="1"/>
  <c r="O55" i="52"/>
  <c r="O24" i="52" s="1"/>
  <c r="N52" i="52"/>
  <c r="N21" i="52" s="1"/>
  <c r="M21" i="52"/>
  <c r="N56" i="52"/>
  <c r="N25" i="52" s="1"/>
  <c r="M25" i="52"/>
  <c r="O56" i="52"/>
  <c r="O25" i="52" s="1"/>
  <c r="N51" i="52"/>
  <c r="O51" i="52" s="1"/>
  <c r="M22" i="52"/>
  <c r="N53" i="52"/>
  <c r="N22" i="52" s="1"/>
  <c r="N37" i="52"/>
  <c r="O37" i="52" s="1"/>
  <c r="N39" i="52"/>
  <c r="O39" i="52" s="1"/>
  <c r="N34" i="52"/>
  <c r="O34" i="52" s="1"/>
  <c r="N40" i="52"/>
  <c r="O40" i="52" s="1"/>
  <c r="N38" i="52"/>
  <c r="O38" i="52" s="1"/>
  <c r="N35" i="52"/>
  <c r="O35" i="52" s="1"/>
  <c r="N36" i="52"/>
  <c r="O36" i="52" s="1"/>
  <c r="N42" i="52"/>
  <c r="O42" i="52" s="1"/>
  <c r="N41" i="52"/>
  <c r="O41" i="52" s="1"/>
  <c r="N103" i="52"/>
  <c r="O103" i="52" s="1"/>
  <c r="M18" i="52"/>
  <c r="N109" i="52"/>
  <c r="N18" i="52" s="1"/>
  <c r="N102" i="52"/>
  <c r="O102" i="52" s="1"/>
  <c r="O110" i="52"/>
  <c r="O19" i="52" s="1"/>
  <c r="M19" i="52"/>
  <c r="N110" i="52"/>
  <c r="N19" i="52" s="1"/>
  <c r="N105" i="52"/>
  <c r="O105" i="52" s="1"/>
  <c r="O107" i="52"/>
  <c r="O17" i="52" s="1"/>
  <c r="M17" i="52"/>
  <c r="N107" i="52"/>
  <c r="N17" i="52" s="1"/>
  <c r="N106" i="52"/>
  <c r="O106" i="52" s="1"/>
  <c r="O104" i="52"/>
  <c r="N104" i="52"/>
  <c r="L54" i="52"/>
  <c r="L23" i="52" s="1"/>
  <c r="L55" i="52"/>
  <c r="L24" i="52" s="1"/>
  <c r="G7" i="30"/>
  <c r="K109" i="52"/>
  <c r="K18" i="52" s="1"/>
  <c r="J18" i="52"/>
  <c r="K103" i="52"/>
  <c r="L103" i="52" s="1"/>
  <c r="K105" i="52"/>
  <c r="L105" i="52" s="1"/>
  <c r="K107" i="52"/>
  <c r="K17" i="52" s="1"/>
  <c r="J17" i="52"/>
  <c r="L107" i="52"/>
  <c r="L17" i="52" s="1"/>
  <c r="K102" i="52"/>
  <c r="L102" i="52" s="1"/>
  <c r="K108" i="52"/>
  <c r="L108" i="52" s="1"/>
  <c r="J19" i="52"/>
  <c r="K110" i="52"/>
  <c r="K19" i="52" s="1"/>
  <c r="K104" i="52"/>
  <c r="L104" i="52" s="1"/>
  <c r="K85" i="52"/>
  <c r="L85" i="52" s="1"/>
  <c r="K86" i="52"/>
  <c r="L86" i="52" s="1"/>
  <c r="K87" i="52"/>
  <c r="L87" i="52" s="1"/>
  <c r="K93" i="52"/>
  <c r="L93" i="52" s="1"/>
  <c r="K92" i="52"/>
  <c r="L92" i="52" s="1"/>
  <c r="K90" i="52"/>
  <c r="L90" i="52" s="1"/>
  <c r="K89" i="52"/>
  <c r="L89" i="52" s="1"/>
  <c r="K88" i="52"/>
  <c r="L88" i="52" s="1"/>
  <c r="K74" i="52"/>
  <c r="L74" i="52" s="1"/>
  <c r="K73" i="52"/>
  <c r="L73" i="52" s="1"/>
  <c r="K68" i="52"/>
  <c r="L68" i="52" s="1"/>
  <c r="J20" i="52"/>
  <c r="K70" i="52"/>
  <c r="K20" i="52" s="1"/>
  <c r="K72" i="52"/>
  <c r="L72" i="52" s="1"/>
  <c r="K69" i="52"/>
  <c r="L69" i="52" s="1"/>
  <c r="K75" i="52"/>
  <c r="L75" i="52" s="1"/>
  <c r="K76" i="52"/>
  <c r="L76" i="52" s="1"/>
  <c r="K71" i="52"/>
  <c r="L71" i="52" s="1"/>
  <c r="L57" i="52"/>
  <c r="L26" i="52" s="1"/>
  <c r="J25" i="52"/>
  <c r="K56" i="52"/>
  <c r="K25" i="52" s="1"/>
  <c r="J21" i="52"/>
  <c r="K52" i="52"/>
  <c r="K21" i="52" s="1"/>
  <c r="K51" i="52"/>
  <c r="J22" i="52"/>
  <c r="K53" i="52"/>
  <c r="K22" i="52" s="1"/>
  <c r="K41" i="52"/>
  <c r="L41" i="52" s="1"/>
  <c r="K39" i="52"/>
  <c r="L39" i="52" s="1"/>
  <c r="K38" i="52"/>
  <c r="L38" i="52" s="1"/>
  <c r="K37" i="52"/>
  <c r="L37" i="52" s="1"/>
  <c r="K42" i="52"/>
  <c r="L42" i="52" s="1"/>
  <c r="K35" i="52"/>
  <c r="L35" i="52" s="1"/>
  <c r="K34" i="52"/>
  <c r="L34" i="52" s="1"/>
  <c r="K40" i="52"/>
  <c r="L40" i="52" s="1"/>
  <c r="K36" i="52"/>
  <c r="L36" i="52"/>
  <c r="H103" i="52"/>
  <c r="I103" i="52" s="1"/>
  <c r="H109" i="52"/>
  <c r="H18" i="52" s="1"/>
  <c r="G18" i="52"/>
  <c r="H107" i="52"/>
  <c r="H17" i="52" s="1"/>
  <c r="G17" i="52"/>
  <c r="G19" i="52"/>
  <c r="H110" i="52"/>
  <c r="H19" i="52" s="1"/>
  <c r="H105" i="52"/>
  <c r="I105" i="52" s="1"/>
  <c r="H102" i="52"/>
  <c r="I102" i="52" s="1"/>
  <c r="H106" i="52"/>
  <c r="I106" i="52" s="1"/>
  <c r="H108" i="52"/>
  <c r="I108" i="52" s="1"/>
  <c r="H90" i="52"/>
  <c r="I90" i="52" s="1"/>
  <c r="H86" i="52"/>
  <c r="I86" i="52" s="1"/>
  <c r="H88" i="52"/>
  <c r="I88" i="52" s="1"/>
  <c r="H93" i="52"/>
  <c r="I93" i="52" s="1"/>
  <c r="H87" i="52"/>
  <c r="I87" i="52" s="1"/>
  <c r="H89" i="52"/>
  <c r="I89" i="52" s="1"/>
  <c r="H85" i="52"/>
  <c r="I85" i="52" s="1"/>
  <c r="H76" i="52"/>
  <c r="I76" i="52" s="1"/>
  <c r="H73" i="52"/>
  <c r="I73" i="52" s="1"/>
  <c r="H72" i="52"/>
  <c r="I72" i="52" s="1"/>
  <c r="G20" i="52"/>
  <c r="H70" i="52"/>
  <c r="H20" i="52" s="1"/>
  <c r="H71" i="52"/>
  <c r="I71" i="52" s="1"/>
  <c r="H69" i="52"/>
  <c r="I69" i="52" s="1"/>
  <c r="H68" i="52"/>
  <c r="I68" i="52" s="1"/>
  <c r="H74" i="52"/>
  <c r="I74" i="52" s="1"/>
  <c r="H75" i="52"/>
  <c r="I75" i="52" s="1"/>
  <c r="I57" i="52"/>
  <c r="I26" i="52" s="1"/>
  <c r="G24" i="52"/>
  <c r="H55" i="52"/>
  <c r="H24" i="52" s="1"/>
  <c r="G22" i="52"/>
  <c r="H53" i="52"/>
  <c r="H22" i="52" s="1"/>
  <c r="H51" i="52"/>
  <c r="I51" i="52" s="1"/>
  <c r="H56" i="52"/>
  <c r="H25" i="52" s="1"/>
  <c r="I56" i="52"/>
  <c r="I25" i="52" s="1"/>
  <c r="G25" i="52"/>
  <c r="H52" i="52"/>
  <c r="H21" i="52" s="1"/>
  <c r="G21" i="52"/>
  <c r="H38" i="52"/>
  <c r="I38" i="52" s="1"/>
  <c r="H40" i="52"/>
  <c r="I40" i="52" s="1"/>
  <c r="H42" i="52"/>
  <c r="I42" i="52" s="1"/>
  <c r="H34" i="52"/>
  <c r="I34" i="52" s="1"/>
  <c r="H36" i="52"/>
  <c r="I36" i="52" s="1"/>
  <c r="H37" i="52"/>
  <c r="I37" i="52" s="1"/>
  <c r="H41" i="52"/>
  <c r="I41" i="52" s="1"/>
  <c r="H35" i="52"/>
  <c r="I35" i="52" s="1"/>
  <c r="E103" i="52"/>
  <c r="F103" i="52" s="1"/>
  <c r="E109" i="52"/>
  <c r="E18" i="52" s="1"/>
  <c r="D18" i="52"/>
  <c r="D19" i="52"/>
  <c r="E110" i="52"/>
  <c r="E19" i="52" s="1"/>
  <c r="E105" i="52"/>
  <c r="F105" i="52" s="1"/>
  <c r="E107" i="52"/>
  <c r="E17" i="52" s="1"/>
  <c r="D17" i="52"/>
  <c r="E102" i="52"/>
  <c r="F102" i="52" s="1"/>
  <c r="E106" i="52"/>
  <c r="F106" i="52" s="1"/>
  <c r="E108" i="52"/>
  <c r="F108" i="52" s="1"/>
  <c r="E86" i="52"/>
  <c r="F86" i="52" s="1"/>
  <c r="E89" i="52"/>
  <c r="F89" i="52" s="1"/>
  <c r="E93" i="52"/>
  <c r="F93" i="52" s="1"/>
  <c r="E91" i="52"/>
  <c r="F91" i="52" s="1"/>
  <c r="E85" i="52"/>
  <c r="F85" i="52" s="1"/>
  <c r="E90" i="52"/>
  <c r="F90" i="52" s="1"/>
  <c r="E87" i="52"/>
  <c r="F87" i="52"/>
  <c r="E92" i="52"/>
  <c r="F92" i="52" s="1"/>
  <c r="E75" i="52"/>
  <c r="F75" i="52" s="1"/>
  <c r="E73" i="52"/>
  <c r="F73" i="52" s="1"/>
  <c r="E72" i="52"/>
  <c r="F72" i="52" s="1"/>
  <c r="E71" i="52"/>
  <c r="F71" i="52" s="1"/>
  <c r="E76" i="52"/>
  <c r="F76" i="52" s="1"/>
  <c r="E69" i="52"/>
  <c r="F69" i="52" s="1"/>
  <c r="E68" i="52"/>
  <c r="F68" i="52" s="1"/>
  <c r="E74" i="52"/>
  <c r="F74" i="52" s="1"/>
  <c r="D20" i="52"/>
  <c r="E70" i="52"/>
  <c r="E20" i="52" s="1"/>
  <c r="F57" i="52"/>
  <c r="F26" i="52" s="1"/>
  <c r="D24" i="52"/>
  <c r="E55" i="52"/>
  <c r="E24" i="52" s="1"/>
  <c r="D22" i="52"/>
  <c r="E53" i="52"/>
  <c r="E22" i="52" s="1"/>
  <c r="E51" i="52"/>
  <c r="F51" i="52" s="1"/>
  <c r="E56" i="52"/>
  <c r="E25" i="52" s="1"/>
  <c r="D25" i="52"/>
  <c r="D21" i="52"/>
  <c r="E52" i="52"/>
  <c r="E21" i="52" s="1"/>
  <c r="E39" i="52"/>
  <c r="F39" i="52" s="1"/>
  <c r="E34" i="52"/>
  <c r="F34" i="52" s="1"/>
  <c r="E40" i="52"/>
  <c r="F40" i="52" s="1"/>
  <c r="E36" i="52"/>
  <c r="F36" i="52" s="1"/>
  <c r="E35" i="52"/>
  <c r="F35" i="52" s="1"/>
  <c r="E41" i="52"/>
  <c r="F41" i="52" s="1"/>
  <c r="E38" i="52"/>
  <c r="F38" i="52" s="1"/>
  <c r="E42" i="52"/>
  <c r="F42" i="52" s="1"/>
  <c r="E37" i="52"/>
  <c r="F37" i="52" s="1"/>
  <c r="N107" i="51"/>
  <c r="O107" i="51" s="1"/>
  <c r="N103" i="51"/>
  <c r="O103" i="51" s="1"/>
  <c r="N108" i="51"/>
  <c r="O108" i="51" s="1"/>
  <c r="N102" i="51"/>
  <c r="O102" i="51" s="1"/>
  <c r="O110" i="51"/>
  <c r="N110" i="51"/>
  <c r="N109" i="51"/>
  <c r="O109" i="51" s="1"/>
  <c r="M19" i="51"/>
  <c r="N106" i="51"/>
  <c r="N19" i="51" s="1"/>
  <c r="N105" i="51"/>
  <c r="O105" i="51" s="1"/>
  <c r="N86" i="51"/>
  <c r="O86" i="51" s="1"/>
  <c r="N85" i="51"/>
  <c r="O85" i="51" s="1"/>
  <c r="N89" i="51"/>
  <c r="O89" i="51" s="1"/>
  <c r="N92" i="51"/>
  <c r="O92" i="51" s="1"/>
  <c r="N88" i="51"/>
  <c r="O88" i="51" s="1"/>
  <c r="N90" i="51"/>
  <c r="O90" i="51" s="1"/>
  <c r="N93" i="51"/>
  <c r="O93" i="51" s="1"/>
  <c r="N87" i="51"/>
  <c r="O87" i="51" s="1"/>
  <c r="O70" i="51"/>
  <c r="O17" i="51" s="1"/>
  <c r="N69" i="51"/>
  <c r="O69" i="51" s="1"/>
  <c r="M21" i="51"/>
  <c r="N72" i="51"/>
  <c r="N21" i="51" s="1"/>
  <c r="N74" i="51"/>
  <c r="N24" i="51" s="1"/>
  <c r="M24" i="51"/>
  <c r="N75" i="51"/>
  <c r="O75" i="51" s="1"/>
  <c r="N76" i="51"/>
  <c r="O76" i="51" s="1"/>
  <c r="M18" i="51"/>
  <c r="N71" i="51"/>
  <c r="N18" i="51" s="1"/>
  <c r="M22" i="51"/>
  <c r="N73" i="51"/>
  <c r="N22" i="51" s="1"/>
  <c r="N68" i="51"/>
  <c r="O68" i="51" s="1"/>
  <c r="N54" i="51"/>
  <c r="O54" i="51" s="1"/>
  <c r="N55" i="51"/>
  <c r="O55" i="51" s="1"/>
  <c r="N51" i="51"/>
  <c r="O51" i="51"/>
  <c r="N52" i="51"/>
  <c r="O52" i="51" s="1"/>
  <c r="N39" i="51"/>
  <c r="O39" i="51"/>
  <c r="O34" i="51"/>
  <c r="M20" i="51"/>
  <c r="N34" i="51"/>
  <c r="M23" i="51"/>
  <c r="N35" i="51"/>
  <c r="N23" i="51" s="1"/>
  <c r="N41" i="51"/>
  <c r="O41" i="51" s="1"/>
  <c r="N42" i="51"/>
  <c r="O42" i="51" s="1"/>
  <c r="N37" i="51"/>
  <c r="N26" i="51" s="1"/>
  <c r="M26" i="51"/>
  <c r="N38" i="51"/>
  <c r="O38" i="51" s="1"/>
  <c r="N36" i="51"/>
  <c r="N25" i="51" s="1"/>
  <c r="M25" i="51"/>
  <c r="I104" i="48"/>
  <c r="I17" i="48" s="1"/>
  <c r="K107" i="51"/>
  <c r="L107" i="51" s="1"/>
  <c r="K102" i="51"/>
  <c r="L102" i="51" s="1"/>
  <c r="K103" i="51"/>
  <c r="L103" i="51" s="1"/>
  <c r="K109" i="51"/>
  <c r="L109" i="51" s="1"/>
  <c r="K110" i="51"/>
  <c r="L110" i="51" s="1"/>
  <c r="K105" i="51"/>
  <c r="L105" i="51" s="1"/>
  <c r="K106" i="51"/>
  <c r="K19" i="51" s="1"/>
  <c r="J19" i="51"/>
  <c r="K108" i="51"/>
  <c r="L108" i="51" s="1"/>
  <c r="K86" i="51"/>
  <c r="L86" i="51" s="1"/>
  <c r="K87" i="51"/>
  <c r="L87" i="51" s="1"/>
  <c r="K90" i="51"/>
  <c r="L90" i="51" s="1"/>
  <c r="K85" i="51"/>
  <c r="L85" i="51" s="1"/>
  <c r="K93" i="51"/>
  <c r="L93" i="51" s="1"/>
  <c r="K92" i="51"/>
  <c r="L92" i="51" s="1"/>
  <c r="K89" i="51"/>
  <c r="L89" i="51" s="1"/>
  <c r="K88" i="51"/>
  <c r="L88" i="51" s="1"/>
  <c r="L74" i="51"/>
  <c r="L24" i="51" s="1"/>
  <c r="K73" i="51"/>
  <c r="K22" i="51" s="1"/>
  <c r="J22" i="51"/>
  <c r="K70" i="51"/>
  <c r="K17" i="51" s="1"/>
  <c r="J17" i="51"/>
  <c r="K76" i="51"/>
  <c r="L76" i="51" s="1"/>
  <c r="K71" i="51"/>
  <c r="K18" i="51" s="1"/>
  <c r="J18" i="51"/>
  <c r="K68" i="51"/>
  <c r="L68" i="51" s="1"/>
  <c r="K69" i="51"/>
  <c r="L69" i="51" s="1"/>
  <c r="K72" i="51"/>
  <c r="K21" i="51" s="1"/>
  <c r="J21" i="51"/>
  <c r="K52" i="51"/>
  <c r="L52" i="51" s="1"/>
  <c r="K55" i="51"/>
  <c r="L55" i="51" s="1"/>
  <c r="K51" i="51"/>
  <c r="L51" i="51" s="1"/>
  <c r="K54" i="51"/>
  <c r="L54" i="51" s="1"/>
  <c r="J26" i="51"/>
  <c r="K37" i="51"/>
  <c r="K26" i="51" s="1"/>
  <c r="J20" i="51"/>
  <c r="K34" i="51"/>
  <c r="L34" i="51" s="1"/>
  <c r="K41" i="51"/>
  <c r="L41" i="51" s="1"/>
  <c r="K40" i="51"/>
  <c r="L40" i="51" s="1"/>
  <c r="J23" i="51"/>
  <c r="K35" i="51"/>
  <c r="K23" i="51" s="1"/>
  <c r="K42" i="51"/>
  <c r="L42" i="51" s="1"/>
  <c r="K36" i="51"/>
  <c r="K25" i="51" s="1"/>
  <c r="J25" i="51"/>
  <c r="H107" i="51"/>
  <c r="I107" i="51" s="1"/>
  <c r="H102" i="51"/>
  <c r="I102" i="51" s="1"/>
  <c r="H103" i="51"/>
  <c r="I103" i="51" s="1"/>
  <c r="H109" i="51"/>
  <c r="I109" i="51" s="1"/>
  <c r="H110" i="51"/>
  <c r="I110" i="51" s="1"/>
  <c r="H105" i="51"/>
  <c r="I105" i="51" s="1"/>
  <c r="H106" i="51"/>
  <c r="H19" i="51" s="1"/>
  <c r="G19" i="51"/>
  <c r="H108" i="51"/>
  <c r="I108" i="51" s="1"/>
  <c r="H90" i="51"/>
  <c r="I90" i="51" s="1"/>
  <c r="H85" i="51"/>
  <c r="I85" i="51" s="1"/>
  <c r="H86" i="51"/>
  <c r="I86" i="51" s="1"/>
  <c r="H92" i="51"/>
  <c r="I92" i="51" s="1"/>
  <c r="H93" i="51"/>
  <c r="I93" i="51" s="1"/>
  <c r="H88" i="51"/>
  <c r="I88" i="51" s="1"/>
  <c r="H89" i="51"/>
  <c r="I89" i="51" s="1"/>
  <c r="H91" i="51"/>
  <c r="I91" i="51" s="1"/>
  <c r="I70" i="51"/>
  <c r="I17" i="51" s="1"/>
  <c r="H69" i="51"/>
  <c r="I69" i="51" s="1"/>
  <c r="H75" i="51"/>
  <c r="I75" i="51" s="1"/>
  <c r="H76" i="51"/>
  <c r="I76" i="51" s="1"/>
  <c r="G18" i="51"/>
  <c r="H71" i="51"/>
  <c r="H18" i="51" s="1"/>
  <c r="H72" i="51"/>
  <c r="H21" i="51" s="1"/>
  <c r="G21" i="51"/>
  <c r="H74" i="51"/>
  <c r="H24" i="51" s="1"/>
  <c r="G24" i="51"/>
  <c r="G22" i="51"/>
  <c r="H73" i="51"/>
  <c r="H22" i="51" s="1"/>
  <c r="I73" i="51"/>
  <c r="I22" i="51" s="1"/>
  <c r="H68" i="51"/>
  <c r="I68" i="51" s="1"/>
  <c r="H52" i="51"/>
  <c r="I52" i="51" s="1"/>
  <c r="H55" i="51"/>
  <c r="I55" i="51" s="1"/>
  <c r="H51" i="51"/>
  <c r="I51" i="51" s="1"/>
  <c r="H54" i="51"/>
  <c r="I54" i="51" s="1"/>
  <c r="H35" i="51"/>
  <c r="H23" i="51" s="1"/>
  <c r="G23" i="51"/>
  <c r="G26" i="51"/>
  <c r="H37" i="51"/>
  <c r="H26" i="51" s="1"/>
  <c r="H41" i="51"/>
  <c r="I41" i="51" s="1"/>
  <c r="H42" i="51"/>
  <c r="I42" i="51" s="1"/>
  <c r="H40" i="51"/>
  <c r="I40" i="51" s="1"/>
  <c r="H39" i="51"/>
  <c r="I39" i="51" s="1"/>
  <c r="G20" i="51"/>
  <c r="H34" i="51"/>
  <c r="I34" i="51" s="1"/>
  <c r="H36" i="51"/>
  <c r="H25" i="51" s="1"/>
  <c r="G25" i="51"/>
  <c r="E103" i="51"/>
  <c r="F103" i="51" s="1"/>
  <c r="E109" i="51"/>
  <c r="F109" i="51" s="1"/>
  <c r="E107" i="51"/>
  <c r="F107" i="51" s="1"/>
  <c r="E110" i="51"/>
  <c r="F110" i="51" s="1"/>
  <c r="E105" i="51"/>
  <c r="F105" i="51" s="1"/>
  <c r="E102" i="51"/>
  <c r="F102" i="51" s="1"/>
  <c r="D19" i="51"/>
  <c r="E106" i="51"/>
  <c r="E19" i="51" s="1"/>
  <c r="E104" i="51"/>
  <c r="F104" i="51" s="1"/>
  <c r="E90" i="51"/>
  <c r="F90" i="51" s="1"/>
  <c r="E86" i="51"/>
  <c r="F86" i="51" s="1"/>
  <c r="E85" i="51"/>
  <c r="F85" i="51" s="1"/>
  <c r="E89" i="51"/>
  <c r="F89" i="51" s="1"/>
  <c r="E92" i="51"/>
  <c r="F92" i="51" s="1"/>
  <c r="E91" i="51"/>
  <c r="F91" i="51" s="1"/>
  <c r="E93" i="51"/>
  <c r="F93" i="51" s="1"/>
  <c r="E88" i="51"/>
  <c r="F88" i="51" s="1"/>
  <c r="F74" i="51"/>
  <c r="F24" i="51" s="1"/>
  <c r="E76" i="51"/>
  <c r="F76" i="51" s="1"/>
  <c r="E71" i="51"/>
  <c r="E18" i="51" s="1"/>
  <c r="D18" i="51"/>
  <c r="E75" i="51"/>
  <c r="F75" i="51" s="1"/>
  <c r="E72" i="51"/>
  <c r="E21" i="51" s="1"/>
  <c r="D21" i="51"/>
  <c r="E70" i="51"/>
  <c r="E17" i="51" s="1"/>
  <c r="D17" i="51"/>
  <c r="E69" i="51"/>
  <c r="F69" i="51" s="1"/>
  <c r="E73" i="51"/>
  <c r="E22" i="51" s="1"/>
  <c r="D22" i="51"/>
  <c r="E68" i="51"/>
  <c r="E52" i="51"/>
  <c r="F52" i="51" s="1"/>
  <c r="E55" i="51"/>
  <c r="F55" i="51" s="1"/>
  <c r="E51" i="51"/>
  <c r="F51" i="51" s="1"/>
  <c r="E54" i="51"/>
  <c r="F54" i="51" s="1"/>
  <c r="E35" i="51"/>
  <c r="E23" i="51" s="1"/>
  <c r="D23" i="51"/>
  <c r="E37" i="51"/>
  <c r="E26" i="51" s="1"/>
  <c r="D26" i="51"/>
  <c r="E39" i="51"/>
  <c r="F39" i="51" s="1"/>
  <c r="E38" i="51"/>
  <c r="F38" i="51" s="1"/>
  <c r="E40" i="51"/>
  <c r="F40" i="51" s="1"/>
  <c r="E41" i="51"/>
  <c r="F41" i="51" s="1"/>
  <c r="E34" i="51"/>
  <c r="F34" i="51" s="1"/>
  <c r="D20" i="51"/>
  <c r="E36" i="51"/>
  <c r="E25" i="51" s="1"/>
  <c r="D25" i="51"/>
  <c r="N107" i="49"/>
  <c r="O107" i="49" s="1"/>
  <c r="N106" i="49"/>
  <c r="N18" i="49" s="1"/>
  <c r="M18" i="49"/>
  <c r="N105" i="49"/>
  <c r="O105" i="49" s="1"/>
  <c r="M22" i="49"/>
  <c r="N109" i="49"/>
  <c r="N22" i="49" s="1"/>
  <c r="N103" i="49"/>
  <c r="O103" i="49" s="1"/>
  <c r="N102" i="49"/>
  <c r="O102" i="49" s="1"/>
  <c r="N110" i="49"/>
  <c r="O110" i="49" s="1"/>
  <c r="N104" i="49"/>
  <c r="O104" i="49" s="1"/>
  <c r="N108" i="49"/>
  <c r="N20" i="49" s="1"/>
  <c r="M20" i="49"/>
  <c r="N93" i="49"/>
  <c r="O93" i="49" s="1"/>
  <c r="N92" i="49"/>
  <c r="O92" i="49" s="1"/>
  <c r="N89" i="49"/>
  <c r="O89" i="49" s="1"/>
  <c r="N88" i="49"/>
  <c r="O88" i="49" s="1"/>
  <c r="N90" i="49"/>
  <c r="O90" i="49" s="1"/>
  <c r="N85" i="49"/>
  <c r="O85" i="49" s="1"/>
  <c r="N91" i="49"/>
  <c r="O91" i="49" s="1"/>
  <c r="N86" i="49"/>
  <c r="O86" i="49" s="1"/>
  <c r="N87" i="49"/>
  <c r="O87" i="49" s="1"/>
  <c r="N68" i="49"/>
  <c r="O68" i="49" s="1"/>
  <c r="N69" i="49"/>
  <c r="O69" i="49" s="1"/>
  <c r="N75" i="49"/>
  <c r="O75" i="49" s="1"/>
  <c r="N73" i="49"/>
  <c r="O73" i="49" s="1"/>
  <c r="N76" i="49"/>
  <c r="O76" i="49" s="1"/>
  <c r="N71" i="49"/>
  <c r="N19" i="49" s="1"/>
  <c r="M19" i="49"/>
  <c r="N72" i="49"/>
  <c r="N21" i="49" s="1"/>
  <c r="M21" i="49"/>
  <c r="N74" i="49"/>
  <c r="O74" i="49" s="1"/>
  <c r="N52" i="49"/>
  <c r="O52" i="49" s="1"/>
  <c r="N55" i="49"/>
  <c r="O55" i="49" s="1"/>
  <c r="N51" i="49"/>
  <c r="O51" i="49" s="1"/>
  <c r="N54" i="49"/>
  <c r="O54" i="49" s="1"/>
  <c r="N39" i="49"/>
  <c r="O39" i="49" s="1"/>
  <c r="N34" i="49"/>
  <c r="O34" i="49" s="1"/>
  <c r="M17" i="49"/>
  <c r="O35" i="49"/>
  <c r="N35" i="49"/>
  <c r="N41" i="49"/>
  <c r="O41" i="49" s="1"/>
  <c r="N42" i="49"/>
  <c r="O42" i="49" s="1"/>
  <c r="N37" i="49"/>
  <c r="O37" i="49" s="1"/>
  <c r="N38" i="49"/>
  <c r="O38" i="49" s="1"/>
  <c r="N40" i="49"/>
  <c r="O40" i="49" s="1"/>
  <c r="L109" i="49"/>
  <c r="L22" i="49" s="1"/>
  <c r="K110" i="49"/>
  <c r="L110" i="49" s="1"/>
  <c r="J20" i="49"/>
  <c r="K108" i="49"/>
  <c r="K20" i="49" s="1"/>
  <c r="J18" i="49"/>
  <c r="K106" i="49"/>
  <c r="K18" i="49" s="1"/>
  <c r="K107" i="49"/>
  <c r="L107" i="49" s="1"/>
  <c r="K102" i="49"/>
  <c r="L102" i="49" s="1"/>
  <c r="K103" i="49"/>
  <c r="L103" i="49" s="1"/>
  <c r="K105" i="49"/>
  <c r="L105" i="49" s="1"/>
  <c r="K85" i="49"/>
  <c r="L85" i="49" s="1"/>
  <c r="K86" i="49"/>
  <c r="L86" i="49" s="1"/>
  <c r="K93" i="49"/>
  <c r="L93" i="49" s="1"/>
  <c r="K88" i="49"/>
  <c r="L88" i="49" s="1"/>
  <c r="K90" i="49"/>
  <c r="L90" i="49" s="1"/>
  <c r="K92" i="49"/>
  <c r="L92" i="49" s="1"/>
  <c r="K89" i="49"/>
  <c r="L89" i="49" s="1"/>
  <c r="K91" i="49"/>
  <c r="L91" i="49" s="1"/>
  <c r="K69" i="49"/>
  <c r="L69" i="49" s="1"/>
  <c r="K74" i="49"/>
  <c r="L74" i="49" s="1"/>
  <c r="K68" i="49"/>
  <c r="L68" i="49" s="1"/>
  <c r="K76" i="49"/>
  <c r="L76" i="49" s="1"/>
  <c r="K75" i="49"/>
  <c r="L75" i="49" s="1"/>
  <c r="K73" i="49"/>
  <c r="L73" i="49" s="1"/>
  <c r="K72" i="49"/>
  <c r="K21" i="49" s="1"/>
  <c r="J21" i="49"/>
  <c r="K71" i="49"/>
  <c r="K19" i="49" s="1"/>
  <c r="J19" i="49"/>
  <c r="K55" i="49"/>
  <c r="L55" i="49" s="1"/>
  <c r="K51" i="49"/>
  <c r="L51" i="49" s="1"/>
  <c r="K52" i="49"/>
  <c r="L52" i="49" s="1"/>
  <c r="K54" i="49"/>
  <c r="L54" i="49" s="1"/>
  <c r="K36" i="49"/>
  <c r="L36" i="49" s="1"/>
  <c r="K39" i="49"/>
  <c r="L39" i="49" s="1"/>
  <c r="K41" i="49"/>
  <c r="L41" i="49" s="1"/>
  <c r="K34" i="49"/>
  <c r="L34" i="49" s="1"/>
  <c r="J17" i="49"/>
  <c r="K42" i="49"/>
  <c r="L42" i="49" s="1"/>
  <c r="K35" i="49"/>
  <c r="L35" i="49" s="1"/>
  <c r="K37" i="49"/>
  <c r="L37" i="49" s="1"/>
  <c r="K38" i="49"/>
  <c r="L38" i="49" s="1"/>
  <c r="K40" i="49"/>
  <c r="L40" i="49" s="1"/>
  <c r="H107" i="49"/>
  <c r="I107" i="49" s="1"/>
  <c r="H102" i="49"/>
  <c r="I102" i="49" s="1"/>
  <c r="H103" i="49"/>
  <c r="I103" i="49" s="1"/>
  <c r="G20" i="49"/>
  <c r="H108" i="49"/>
  <c r="H20" i="49" s="1"/>
  <c r="H110" i="49"/>
  <c r="I110" i="49" s="1"/>
  <c r="H109" i="49"/>
  <c r="H22" i="49" s="1"/>
  <c r="G22" i="49"/>
  <c r="G18" i="49"/>
  <c r="H106" i="49"/>
  <c r="H18" i="49" s="1"/>
  <c r="H105" i="49"/>
  <c r="I105" i="49" s="1"/>
  <c r="H85" i="49"/>
  <c r="I85" i="49" s="1"/>
  <c r="H86" i="49"/>
  <c r="I86" i="49" s="1"/>
  <c r="H92" i="49"/>
  <c r="I92" i="49" s="1"/>
  <c r="H90" i="49"/>
  <c r="I90" i="49" s="1"/>
  <c r="H93" i="49"/>
  <c r="I93" i="49" s="1"/>
  <c r="H88" i="49"/>
  <c r="I88" i="49" s="1"/>
  <c r="H89" i="49"/>
  <c r="I89" i="49" s="1"/>
  <c r="H91" i="49"/>
  <c r="I91" i="49" s="1"/>
  <c r="H70" i="49"/>
  <c r="I70" i="49" s="1"/>
  <c r="H73" i="49"/>
  <c r="I73" i="49" s="1"/>
  <c r="H72" i="49"/>
  <c r="H21" i="49" s="1"/>
  <c r="G21" i="49"/>
  <c r="G19" i="49"/>
  <c r="H71" i="49"/>
  <c r="H19" i="49" s="1"/>
  <c r="H69" i="49"/>
  <c r="I69" i="49" s="1"/>
  <c r="H68" i="49"/>
  <c r="I68" i="49" s="1"/>
  <c r="H52" i="49"/>
  <c r="I52" i="49" s="1"/>
  <c r="H55" i="49"/>
  <c r="I55" i="49" s="1"/>
  <c r="H51" i="49"/>
  <c r="I51" i="49" s="1"/>
  <c r="H54" i="49"/>
  <c r="I54" i="49" s="1"/>
  <c r="H38" i="49"/>
  <c r="I38" i="49" s="1"/>
  <c r="H40" i="49"/>
  <c r="I40" i="49" s="1"/>
  <c r="H42" i="49"/>
  <c r="I42" i="49" s="1"/>
  <c r="G17" i="49"/>
  <c r="H34" i="49"/>
  <c r="I34" i="49" s="1"/>
  <c r="H36" i="49"/>
  <c r="I36" i="49" s="1"/>
  <c r="H37" i="49"/>
  <c r="I37" i="49" s="1"/>
  <c r="H41" i="49"/>
  <c r="I41" i="49" s="1"/>
  <c r="H39" i="49"/>
  <c r="I39" i="49" s="1"/>
  <c r="E68" i="49"/>
  <c r="F68" i="49" s="1"/>
  <c r="E69" i="49"/>
  <c r="F69" i="49" s="1"/>
  <c r="E75" i="49"/>
  <c r="F75" i="49" s="1"/>
  <c r="E73" i="49"/>
  <c r="F73" i="49" s="1"/>
  <c r="E76" i="49"/>
  <c r="F76" i="49" s="1"/>
  <c r="D19" i="49"/>
  <c r="E71" i="49"/>
  <c r="E19" i="49" s="1"/>
  <c r="D21" i="49"/>
  <c r="E72" i="49"/>
  <c r="E21" i="49" s="1"/>
  <c r="E74" i="49"/>
  <c r="F74" i="49" s="1"/>
  <c r="E102" i="49"/>
  <c r="F102" i="49" s="1"/>
  <c r="E103" i="49"/>
  <c r="F103" i="49" s="1"/>
  <c r="E110" i="49"/>
  <c r="F110" i="49" s="1"/>
  <c r="D22" i="49"/>
  <c r="E109" i="49"/>
  <c r="E22" i="49" s="1"/>
  <c r="E107" i="49"/>
  <c r="F107" i="49" s="1"/>
  <c r="E108" i="49"/>
  <c r="E20" i="49" s="1"/>
  <c r="D20" i="49"/>
  <c r="E106" i="49"/>
  <c r="E18" i="49" s="1"/>
  <c r="D18" i="49"/>
  <c r="E105" i="49"/>
  <c r="F105" i="49" s="1"/>
  <c r="E93" i="49"/>
  <c r="F93" i="49" s="1"/>
  <c r="E87" i="49"/>
  <c r="F87" i="49" s="1"/>
  <c r="E90" i="49"/>
  <c r="F90" i="49" s="1"/>
  <c r="E89" i="49"/>
  <c r="F89" i="49" s="1"/>
  <c r="E92" i="49"/>
  <c r="F92" i="49" s="1"/>
  <c r="E91" i="49"/>
  <c r="F91" i="49" s="1"/>
  <c r="E85" i="49"/>
  <c r="F85" i="49" s="1"/>
  <c r="E88" i="49"/>
  <c r="F88" i="49" s="1"/>
  <c r="E52" i="49"/>
  <c r="F52" i="49" s="1"/>
  <c r="E54" i="49"/>
  <c r="F54" i="49" s="1"/>
  <c r="E55" i="49"/>
  <c r="F55" i="49" s="1"/>
  <c r="E51" i="49"/>
  <c r="F51" i="49" s="1"/>
  <c r="E39" i="49"/>
  <c r="F39" i="49" s="1"/>
  <c r="E34" i="49"/>
  <c r="F34" i="49" s="1"/>
  <c r="D17" i="49"/>
  <c r="E40" i="49"/>
  <c r="F40" i="49" s="1"/>
  <c r="E35" i="49"/>
  <c r="F35" i="49" s="1"/>
  <c r="E41" i="49"/>
  <c r="F41" i="49" s="1"/>
  <c r="E38" i="49"/>
  <c r="F38" i="49" s="1"/>
  <c r="E42" i="49"/>
  <c r="F42" i="49" s="1"/>
  <c r="E37" i="49"/>
  <c r="F37" i="49" s="1"/>
  <c r="O104" i="48"/>
  <c r="O17" i="48" s="1"/>
  <c r="N109" i="48"/>
  <c r="O109" i="48" s="1"/>
  <c r="M23" i="48"/>
  <c r="N110" i="48"/>
  <c r="N23" i="48" s="1"/>
  <c r="N105" i="48"/>
  <c r="N18" i="48" s="1"/>
  <c r="M18" i="48"/>
  <c r="N103" i="48"/>
  <c r="O103" i="48" s="1"/>
  <c r="N106" i="48"/>
  <c r="O106" i="48" s="1"/>
  <c r="M21" i="48"/>
  <c r="N108" i="48"/>
  <c r="N21" i="48" s="1"/>
  <c r="M20" i="48"/>
  <c r="N107" i="48"/>
  <c r="N20" i="48" s="1"/>
  <c r="N102" i="48"/>
  <c r="O102" i="48" s="1"/>
  <c r="N90" i="48"/>
  <c r="O90" i="48" s="1"/>
  <c r="N85" i="48"/>
  <c r="O85" i="48" s="1"/>
  <c r="N86" i="48"/>
  <c r="O86" i="48" s="1"/>
  <c r="N92" i="48"/>
  <c r="O92" i="48" s="1"/>
  <c r="N93" i="48"/>
  <c r="O93" i="48" s="1"/>
  <c r="N88" i="48"/>
  <c r="O88" i="48" s="1"/>
  <c r="N89" i="48"/>
  <c r="O89" i="48" s="1"/>
  <c r="N91" i="48"/>
  <c r="O91" i="48" s="1"/>
  <c r="N22" i="48"/>
  <c r="O70" i="48"/>
  <c r="O22" i="48" s="1"/>
  <c r="N73" i="48"/>
  <c r="O73" i="48" s="1"/>
  <c r="N68" i="48"/>
  <c r="O68" i="48" s="1"/>
  <c r="M19" i="48"/>
  <c r="N69" i="48"/>
  <c r="N19" i="48" s="1"/>
  <c r="N75" i="48"/>
  <c r="O75" i="48" s="1"/>
  <c r="M25" i="48"/>
  <c r="N72" i="48"/>
  <c r="N25" i="48" s="1"/>
  <c r="N76" i="48"/>
  <c r="O76" i="48" s="1"/>
  <c r="N71" i="48"/>
  <c r="N24" i="48" s="1"/>
  <c r="M24" i="48"/>
  <c r="O56" i="48"/>
  <c r="O26" i="48" s="1"/>
  <c r="N52" i="48"/>
  <c r="O52" i="48" s="1"/>
  <c r="N55" i="48"/>
  <c r="O55" i="48" s="1"/>
  <c r="N54" i="48"/>
  <c r="O54" i="48" s="1"/>
  <c r="N51" i="48"/>
  <c r="N35" i="48"/>
  <c r="O35" i="48" s="1"/>
  <c r="N42" i="48"/>
  <c r="O42" i="48" s="1"/>
  <c r="N37" i="48"/>
  <c r="O37" i="48" s="1"/>
  <c r="N41" i="48"/>
  <c r="O41" i="48" s="1"/>
  <c r="N38" i="48"/>
  <c r="O38" i="48" s="1"/>
  <c r="N39" i="48"/>
  <c r="O39" i="48" s="1"/>
  <c r="N34" i="48"/>
  <c r="O34" i="48" s="1"/>
  <c r="F108" i="44"/>
  <c r="F23" i="44" s="1"/>
  <c r="F108" i="47"/>
  <c r="F21" i="47" s="1"/>
  <c r="O108" i="47"/>
  <c r="O21" i="47" s="1"/>
  <c r="L108" i="48"/>
  <c r="L21" i="48" s="1"/>
  <c r="K103" i="48"/>
  <c r="L103" i="48" s="1"/>
  <c r="K104" i="48"/>
  <c r="K17" i="48" s="1"/>
  <c r="J17" i="48"/>
  <c r="J23" i="48"/>
  <c r="K110" i="48"/>
  <c r="K23" i="48" s="1"/>
  <c r="K109" i="48"/>
  <c r="L109" i="48" s="1"/>
  <c r="K106" i="48"/>
  <c r="L106" i="48" s="1"/>
  <c r="J18" i="48"/>
  <c r="K105" i="48"/>
  <c r="K18" i="48" s="1"/>
  <c r="K107" i="48"/>
  <c r="K20" i="48" s="1"/>
  <c r="J20" i="48"/>
  <c r="K102" i="48"/>
  <c r="L102" i="48" s="1"/>
  <c r="K88" i="48"/>
  <c r="L88" i="48" s="1"/>
  <c r="K90" i="48"/>
  <c r="L90" i="48" s="1"/>
  <c r="K85" i="48"/>
  <c r="L85" i="48" s="1"/>
  <c r="K87" i="48"/>
  <c r="L87" i="48" s="1"/>
  <c r="K89" i="48"/>
  <c r="L89" i="48" s="1"/>
  <c r="K86" i="48"/>
  <c r="L86" i="48" s="1"/>
  <c r="K91" i="48"/>
  <c r="L91" i="48" s="1"/>
  <c r="K93" i="48"/>
  <c r="L93" i="48" s="1"/>
  <c r="K92" i="48"/>
  <c r="L92" i="48" s="1"/>
  <c r="K22" i="48"/>
  <c r="L70" i="48"/>
  <c r="L22" i="48" s="1"/>
  <c r="K68" i="48"/>
  <c r="L68" i="48" s="1"/>
  <c r="K69" i="48"/>
  <c r="K19" i="48" s="1"/>
  <c r="J19" i="48"/>
  <c r="K73" i="48"/>
  <c r="L73" i="48" s="1"/>
  <c r="K76" i="48"/>
  <c r="L76" i="48" s="1"/>
  <c r="K71" i="48"/>
  <c r="K24" i="48" s="1"/>
  <c r="J24" i="48"/>
  <c r="K72" i="48"/>
  <c r="K25" i="48" s="1"/>
  <c r="J25" i="48"/>
  <c r="K75" i="48"/>
  <c r="L75" i="48" s="1"/>
  <c r="L56" i="48"/>
  <c r="L26" i="48" s="1"/>
  <c r="K52" i="48"/>
  <c r="L52" i="48" s="1"/>
  <c r="K53" i="48"/>
  <c r="L53" i="48" s="1"/>
  <c r="K55" i="48"/>
  <c r="L55" i="48" s="1"/>
  <c r="K51" i="48"/>
  <c r="K54" i="48"/>
  <c r="L54" i="48" s="1"/>
  <c r="K42" i="48"/>
  <c r="L42" i="48" s="1"/>
  <c r="K40" i="48"/>
  <c r="L40" i="48" s="1"/>
  <c r="K39" i="48"/>
  <c r="L39" i="48" s="1"/>
  <c r="K38" i="48"/>
  <c r="L38" i="48" s="1"/>
  <c r="K36" i="48"/>
  <c r="L36" i="48" s="1"/>
  <c r="K35" i="48"/>
  <c r="L35" i="48" s="1"/>
  <c r="K34" i="48"/>
  <c r="L34" i="48" s="1"/>
  <c r="K41" i="48"/>
  <c r="L41" i="48" s="1"/>
  <c r="K37" i="48"/>
  <c r="L37" i="48" s="1"/>
  <c r="H109" i="48"/>
  <c r="I109" i="48" s="1"/>
  <c r="G23" i="48"/>
  <c r="H110" i="48"/>
  <c r="H23" i="48" s="1"/>
  <c r="H105" i="48"/>
  <c r="H18" i="48" s="1"/>
  <c r="G18" i="48"/>
  <c r="H106" i="48"/>
  <c r="I106" i="48" s="1"/>
  <c r="H108" i="48"/>
  <c r="H21" i="48" s="1"/>
  <c r="G21" i="48"/>
  <c r="H103" i="48"/>
  <c r="I103" i="48" s="1"/>
  <c r="H107" i="48"/>
  <c r="H20" i="48" s="1"/>
  <c r="G20" i="48"/>
  <c r="H102" i="48"/>
  <c r="H90" i="48"/>
  <c r="I90" i="48" s="1"/>
  <c r="H85" i="48"/>
  <c r="I85" i="48" s="1"/>
  <c r="H86" i="48"/>
  <c r="I86" i="48" s="1"/>
  <c r="H87" i="48"/>
  <c r="I87" i="48" s="1"/>
  <c r="H93" i="48"/>
  <c r="I93" i="48" s="1"/>
  <c r="H92" i="48"/>
  <c r="I92" i="48" s="1"/>
  <c r="H89" i="48"/>
  <c r="I89" i="48" s="1"/>
  <c r="H88" i="48"/>
  <c r="I88" i="48" s="1"/>
  <c r="I70" i="48"/>
  <c r="I22" i="48" s="1"/>
  <c r="H75" i="48"/>
  <c r="I75" i="48" s="1"/>
  <c r="H76" i="48"/>
  <c r="I76" i="48" s="1"/>
  <c r="H71" i="48"/>
  <c r="H24" i="48" s="1"/>
  <c r="G24" i="48"/>
  <c r="H74" i="48"/>
  <c r="I74" i="48" s="1"/>
  <c r="H69" i="48"/>
  <c r="H19" i="48" s="1"/>
  <c r="G19" i="48"/>
  <c r="G25" i="48"/>
  <c r="H72" i="48"/>
  <c r="H25" i="48" s="1"/>
  <c r="H73" i="48"/>
  <c r="I73" i="48" s="1"/>
  <c r="H68" i="48"/>
  <c r="I68" i="48" s="1"/>
  <c r="I56" i="48"/>
  <c r="I26" i="48" s="1"/>
  <c r="H53" i="48"/>
  <c r="I53" i="48" s="1"/>
  <c r="H55" i="48"/>
  <c r="I55" i="48" s="1"/>
  <c r="H52" i="48"/>
  <c r="I52" i="48" s="1"/>
  <c r="H51" i="48"/>
  <c r="H54" i="48"/>
  <c r="I54" i="48" s="1"/>
  <c r="H35" i="48"/>
  <c r="I35" i="48" s="1"/>
  <c r="H41" i="48"/>
  <c r="I41" i="48" s="1"/>
  <c r="H34" i="48"/>
  <c r="I34" i="48" s="1"/>
  <c r="H42" i="48"/>
  <c r="I42" i="48" s="1"/>
  <c r="H40" i="48"/>
  <c r="I40" i="48" s="1"/>
  <c r="H39" i="48"/>
  <c r="I39" i="48" s="1"/>
  <c r="H38" i="48"/>
  <c r="I38" i="48" s="1"/>
  <c r="H36" i="48"/>
  <c r="I36" i="48" s="1"/>
  <c r="F104" i="48"/>
  <c r="F17" i="48" s="1"/>
  <c r="E110" i="48"/>
  <c r="E23" i="48" s="1"/>
  <c r="D23" i="48"/>
  <c r="E105" i="48"/>
  <c r="E18" i="48" s="1"/>
  <c r="D18" i="48"/>
  <c r="E109" i="48"/>
  <c r="F109" i="48" s="1"/>
  <c r="E106" i="48"/>
  <c r="F106" i="48" s="1"/>
  <c r="E108" i="48"/>
  <c r="E21" i="48" s="1"/>
  <c r="D21" i="48"/>
  <c r="E103" i="48"/>
  <c r="F103" i="48" s="1"/>
  <c r="E107" i="48"/>
  <c r="E20" i="48" s="1"/>
  <c r="D20" i="48"/>
  <c r="E102" i="48"/>
  <c r="F102" i="48" s="1"/>
  <c r="E86" i="48"/>
  <c r="F86" i="48" s="1"/>
  <c r="E92" i="48"/>
  <c r="F92" i="48" s="1"/>
  <c r="E90" i="48"/>
  <c r="F90" i="48" s="1"/>
  <c r="E93" i="48"/>
  <c r="F93" i="48" s="1"/>
  <c r="E88" i="48"/>
  <c r="F88" i="48" s="1"/>
  <c r="E85" i="48"/>
  <c r="E89" i="48"/>
  <c r="F89" i="48" s="1"/>
  <c r="E91" i="48"/>
  <c r="F91" i="48" s="1"/>
  <c r="E22" i="48"/>
  <c r="F70" i="48"/>
  <c r="F22" i="48" s="1"/>
  <c r="E73" i="48"/>
  <c r="F73" i="48" s="1"/>
  <c r="E68" i="48"/>
  <c r="F68" i="48" s="1"/>
  <c r="E71" i="48"/>
  <c r="E24" i="48" s="1"/>
  <c r="D24" i="48"/>
  <c r="D19" i="48"/>
  <c r="E69" i="48"/>
  <c r="E19" i="48" s="1"/>
  <c r="E76" i="48"/>
  <c r="F76" i="48" s="1"/>
  <c r="D25" i="48"/>
  <c r="E72" i="48"/>
  <c r="E25" i="48" s="1"/>
  <c r="E75" i="48"/>
  <c r="F75" i="48" s="1"/>
  <c r="F56" i="48"/>
  <c r="F26" i="48" s="1"/>
  <c r="E54" i="48"/>
  <c r="F54" i="48" s="1"/>
  <c r="E55" i="48"/>
  <c r="F55" i="48" s="1"/>
  <c r="E51" i="48"/>
  <c r="F51" i="48" s="1"/>
  <c r="E52" i="48"/>
  <c r="F52" i="48" s="1"/>
  <c r="E40" i="48"/>
  <c r="F40" i="48" s="1"/>
  <c r="E39" i="48"/>
  <c r="F39" i="48" s="1"/>
  <c r="E34" i="48"/>
  <c r="F34" i="48" s="1"/>
  <c r="E36" i="48"/>
  <c r="F36" i="48" s="1"/>
  <c r="E38" i="48"/>
  <c r="F38" i="48" s="1"/>
  <c r="E35" i="48"/>
  <c r="F35" i="48" s="1"/>
  <c r="E42" i="48"/>
  <c r="F42" i="48" s="1"/>
  <c r="N103" i="47"/>
  <c r="O103" i="47" s="1"/>
  <c r="N109" i="47"/>
  <c r="N22" i="47" s="1"/>
  <c r="M22" i="47"/>
  <c r="N110" i="47"/>
  <c r="O110" i="47" s="1"/>
  <c r="M18" i="47"/>
  <c r="N105" i="47"/>
  <c r="N18" i="47" s="1"/>
  <c r="N106" i="47"/>
  <c r="N19" i="47" s="1"/>
  <c r="M19" i="47"/>
  <c r="N104" i="47"/>
  <c r="N17" i="47" s="1"/>
  <c r="M17" i="47"/>
  <c r="N107" i="47"/>
  <c r="O107" i="47" s="1"/>
  <c r="N102" i="47"/>
  <c r="O102" i="47" s="1"/>
  <c r="N93" i="47"/>
  <c r="O93" i="47" s="1"/>
  <c r="N92" i="47"/>
  <c r="O92" i="47" s="1"/>
  <c r="N90" i="47"/>
  <c r="O90" i="47" s="1"/>
  <c r="N85" i="47"/>
  <c r="N86" i="47"/>
  <c r="N25" i="47" s="1"/>
  <c r="M25" i="47"/>
  <c r="N87" i="47"/>
  <c r="O87" i="47" s="1"/>
  <c r="N89" i="47"/>
  <c r="O89" i="47" s="1"/>
  <c r="N88" i="47"/>
  <c r="N26" i="47" s="1"/>
  <c r="M26" i="47"/>
  <c r="M20" i="47"/>
  <c r="N68" i="47"/>
  <c r="O68" i="47" s="1"/>
  <c r="M23" i="47"/>
  <c r="N69" i="47"/>
  <c r="N23" i="47" s="1"/>
  <c r="N75" i="47"/>
  <c r="O75" i="47" s="1"/>
  <c r="N73" i="47"/>
  <c r="O73" i="47" s="1"/>
  <c r="N76" i="47"/>
  <c r="O76" i="47" s="1"/>
  <c r="N71" i="47"/>
  <c r="O71" i="47" s="1"/>
  <c r="N72" i="47"/>
  <c r="O72" i="47" s="1"/>
  <c r="N70" i="47"/>
  <c r="N24" i="47" s="1"/>
  <c r="M24" i="47"/>
  <c r="N55" i="47"/>
  <c r="O55" i="47" s="1"/>
  <c r="N51" i="47"/>
  <c r="O51" i="47" s="1"/>
  <c r="N52" i="47"/>
  <c r="O52" i="47" s="1"/>
  <c r="N54" i="47"/>
  <c r="O54" i="47" s="1"/>
  <c r="N34" i="47"/>
  <c r="O34" i="47" s="1"/>
  <c r="N35" i="47"/>
  <c r="O35" i="47" s="1"/>
  <c r="N41" i="47"/>
  <c r="O41" i="47" s="1"/>
  <c r="N39" i="47"/>
  <c r="O39" i="47" s="1"/>
  <c r="N42" i="47"/>
  <c r="O42" i="47" s="1"/>
  <c r="N37" i="47"/>
  <c r="O37" i="47" s="1"/>
  <c r="N38" i="47"/>
  <c r="O38" i="47" s="1"/>
  <c r="N36" i="47"/>
  <c r="O36" i="47" s="1"/>
  <c r="I108" i="47"/>
  <c r="I21" i="47" s="1"/>
  <c r="I51" i="43"/>
  <c r="I61" i="43" s="1"/>
  <c r="J18" i="47"/>
  <c r="K105" i="47"/>
  <c r="K18" i="47" s="1"/>
  <c r="K102" i="47"/>
  <c r="L102" i="47" s="1"/>
  <c r="K109" i="47"/>
  <c r="K22" i="47" s="1"/>
  <c r="J22" i="47"/>
  <c r="K110" i="47"/>
  <c r="L110" i="47" s="1"/>
  <c r="J17" i="47"/>
  <c r="K104" i="47"/>
  <c r="K17" i="47" s="1"/>
  <c r="K103" i="47"/>
  <c r="L103" i="47" s="1"/>
  <c r="K107" i="47"/>
  <c r="L107" i="47" s="1"/>
  <c r="J19" i="47"/>
  <c r="K106" i="47"/>
  <c r="K19" i="47" s="1"/>
  <c r="K90" i="47"/>
  <c r="L90" i="47" s="1"/>
  <c r="K86" i="47"/>
  <c r="K25" i="47" s="1"/>
  <c r="J25" i="47"/>
  <c r="K87" i="47"/>
  <c r="L87" i="47" s="1"/>
  <c r="K85" i="47"/>
  <c r="L85" i="47" s="1"/>
  <c r="K93" i="47"/>
  <c r="L93" i="47" s="1"/>
  <c r="K92" i="47"/>
  <c r="L92" i="47" s="1"/>
  <c r="K89" i="47"/>
  <c r="L89" i="47" s="1"/>
  <c r="K88" i="47"/>
  <c r="K26" i="47" s="1"/>
  <c r="J26" i="47"/>
  <c r="K76" i="47"/>
  <c r="L76" i="47" s="1"/>
  <c r="K71" i="47"/>
  <c r="L71" i="47" s="1"/>
  <c r="K73" i="47"/>
  <c r="L73" i="47" s="1"/>
  <c r="K72" i="47"/>
  <c r="L72" i="47" s="1"/>
  <c r="K75" i="47"/>
  <c r="L75" i="47" s="1"/>
  <c r="K69" i="47"/>
  <c r="K23" i="47" s="1"/>
  <c r="J23" i="47"/>
  <c r="K68" i="47"/>
  <c r="L68" i="47" s="1"/>
  <c r="J20" i="47"/>
  <c r="K54" i="47"/>
  <c r="L54" i="47" s="1"/>
  <c r="K52" i="47"/>
  <c r="L52" i="47" s="1"/>
  <c r="K53" i="47"/>
  <c r="L53" i="47" s="1"/>
  <c r="K55" i="47"/>
  <c r="L55" i="47" s="1"/>
  <c r="K51" i="47"/>
  <c r="L51" i="47" s="1"/>
  <c r="K39" i="47"/>
  <c r="L39" i="47" s="1"/>
  <c r="K34" i="47"/>
  <c r="L34" i="47" s="1"/>
  <c r="K36" i="47"/>
  <c r="L36" i="47" s="1"/>
  <c r="K40" i="47"/>
  <c r="L40" i="47" s="1"/>
  <c r="K35" i="47"/>
  <c r="L35" i="47" s="1"/>
  <c r="K41" i="47"/>
  <c r="L41" i="47" s="1"/>
  <c r="K38" i="47"/>
  <c r="L38" i="47" s="1"/>
  <c r="K42" i="47"/>
  <c r="L42" i="47" s="1"/>
  <c r="K37" i="47"/>
  <c r="L37" i="47" s="1"/>
  <c r="I105" i="47"/>
  <c r="I18" i="47" s="1"/>
  <c r="H106" i="47"/>
  <c r="H19" i="47" s="1"/>
  <c r="G19" i="47"/>
  <c r="H107" i="47"/>
  <c r="I107" i="47" s="1"/>
  <c r="H102" i="47"/>
  <c r="I102" i="47" s="1"/>
  <c r="H103" i="47"/>
  <c r="I103" i="47" s="1"/>
  <c r="G22" i="47"/>
  <c r="H109" i="47"/>
  <c r="H22" i="47" s="1"/>
  <c r="H110" i="47"/>
  <c r="I110" i="47" s="1"/>
  <c r="H104" i="47"/>
  <c r="H17" i="47" s="1"/>
  <c r="G17" i="47"/>
  <c r="H90" i="47"/>
  <c r="I90" i="47" s="1"/>
  <c r="H85" i="47"/>
  <c r="I85" i="47" s="1"/>
  <c r="H86" i="47"/>
  <c r="H25" i="47" s="1"/>
  <c r="G25" i="47"/>
  <c r="H92" i="47"/>
  <c r="I92" i="47" s="1"/>
  <c r="H93" i="47"/>
  <c r="I93" i="47" s="1"/>
  <c r="H88" i="47"/>
  <c r="H26" i="47" s="1"/>
  <c r="G26" i="47"/>
  <c r="H89" i="47"/>
  <c r="I89" i="47" s="1"/>
  <c r="H87" i="47"/>
  <c r="I87" i="47" s="1"/>
  <c r="H76" i="47"/>
  <c r="I76" i="47" s="1"/>
  <c r="H74" i="47"/>
  <c r="I74" i="47" s="1"/>
  <c r="H73" i="47"/>
  <c r="I73" i="47" s="1"/>
  <c r="H72" i="47"/>
  <c r="I72" i="47" s="1"/>
  <c r="H70" i="47"/>
  <c r="H24" i="47" s="1"/>
  <c r="G24" i="47"/>
  <c r="H69" i="47"/>
  <c r="H23" i="47" s="1"/>
  <c r="G23" i="47"/>
  <c r="H68" i="47"/>
  <c r="I68" i="47" s="1"/>
  <c r="G20" i="47"/>
  <c r="H71" i="47"/>
  <c r="I71" i="47" s="1"/>
  <c r="H75" i="47"/>
  <c r="I75" i="47" s="1"/>
  <c r="H54" i="47"/>
  <c r="I54" i="47" s="1"/>
  <c r="H52" i="47"/>
  <c r="I52" i="47" s="1"/>
  <c r="H53" i="47"/>
  <c r="I53" i="47" s="1"/>
  <c r="H55" i="47"/>
  <c r="I55" i="47" s="1"/>
  <c r="H51" i="47"/>
  <c r="I51" i="47" s="1"/>
  <c r="H38" i="47"/>
  <c r="I38" i="47" s="1"/>
  <c r="H37" i="47"/>
  <c r="I37" i="47" s="1"/>
  <c r="H39" i="47"/>
  <c r="I39" i="47" s="1"/>
  <c r="H34" i="47"/>
  <c r="I34" i="47" s="1"/>
  <c r="H40" i="47"/>
  <c r="I40" i="47" s="1"/>
  <c r="H35" i="47"/>
  <c r="I35" i="47" s="1"/>
  <c r="H36" i="47"/>
  <c r="I36" i="47" s="1"/>
  <c r="H42" i="47"/>
  <c r="I42" i="47" s="1"/>
  <c r="H41" i="47"/>
  <c r="I41" i="47" s="1"/>
  <c r="E104" i="47"/>
  <c r="E17" i="47" s="1"/>
  <c r="D17" i="47"/>
  <c r="E103" i="47"/>
  <c r="F103" i="47" s="1"/>
  <c r="E109" i="47"/>
  <c r="E22" i="47" s="1"/>
  <c r="D22" i="47"/>
  <c r="E106" i="47"/>
  <c r="E19" i="47" s="1"/>
  <c r="D19" i="47"/>
  <c r="E110" i="47"/>
  <c r="F110" i="47" s="1"/>
  <c r="E105" i="47"/>
  <c r="E18" i="47" s="1"/>
  <c r="D18" i="47"/>
  <c r="E107" i="47"/>
  <c r="F107" i="47" s="1"/>
  <c r="E102" i="47"/>
  <c r="F102" i="47" s="1"/>
  <c r="D25" i="47"/>
  <c r="E86" i="47"/>
  <c r="E25" i="47" s="1"/>
  <c r="E90" i="47"/>
  <c r="F90" i="47" s="1"/>
  <c r="E85" i="47"/>
  <c r="F85" i="47" s="1"/>
  <c r="E92" i="47"/>
  <c r="F92" i="47" s="1"/>
  <c r="E93" i="47"/>
  <c r="F93" i="47" s="1"/>
  <c r="D26" i="47"/>
  <c r="E88" i="47"/>
  <c r="E26" i="47" s="1"/>
  <c r="E89" i="47"/>
  <c r="F89" i="47" s="1"/>
  <c r="E91" i="47"/>
  <c r="F91" i="47" s="1"/>
  <c r="E73" i="47"/>
  <c r="F73" i="47" s="1"/>
  <c r="E68" i="47"/>
  <c r="F68" i="47" s="1"/>
  <c r="D20" i="47"/>
  <c r="E69" i="47"/>
  <c r="E23" i="47" s="1"/>
  <c r="D23" i="47"/>
  <c r="E70" i="47"/>
  <c r="E24" i="47" s="1"/>
  <c r="D24" i="47"/>
  <c r="E76" i="47"/>
  <c r="F76" i="47" s="1"/>
  <c r="E75" i="47"/>
  <c r="F75" i="47" s="1"/>
  <c r="E72" i="47"/>
  <c r="F72" i="47" s="1"/>
  <c r="E71" i="47"/>
  <c r="F71" i="47" s="1"/>
  <c r="E52" i="47"/>
  <c r="F52" i="47" s="1"/>
  <c r="E55" i="47"/>
  <c r="F55" i="47" s="1"/>
  <c r="E51" i="47"/>
  <c r="F51" i="47" s="1"/>
  <c r="E54" i="47"/>
  <c r="F54" i="47" s="1"/>
  <c r="E40" i="47"/>
  <c r="F40" i="47" s="1"/>
  <c r="E34" i="47"/>
  <c r="F34" i="47" s="1"/>
  <c r="E36" i="47"/>
  <c r="F36" i="47" s="1"/>
  <c r="E38" i="47"/>
  <c r="F38" i="47" s="1"/>
  <c r="E41" i="47"/>
  <c r="F41" i="47" s="1"/>
  <c r="E37" i="47"/>
  <c r="F37" i="47" s="1"/>
  <c r="N37" i="45"/>
  <c r="O37" i="45" s="1"/>
  <c r="N39" i="45"/>
  <c r="O39" i="45" s="1"/>
  <c r="N34" i="45"/>
  <c r="O34" i="45" s="1"/>
  <c r="M17" i="45"/>
  <c r="N36" i="45"/>
  <c r="O36" i="45" s="1"/>
  <c r="N38" i="45"/>
  <c r="O38" i="45" s="1"/>
  <c r="M22" i="45"/>
  <c r="N35" i="45"/>
  <c r="N22" i="45" s="1"/>
  <c r="N40" i="45"/>
  <c r="O40" i="45" s="1"/>
  <c r="N42" i="45"/>
  <c r="O42" i="45" s="1"/>
  <c r="N41" i="45"/>
  <c r="O41" i="45" s="1"/>
  <c r="N52" i="45"/>
  <c r="O52" i="45" s="1"/>
  <c r="N54" i="45"/>
  <c r="O54" i="45" s="1"/>
  <c r="N53" i="45"/>
  <c r="O53" i="45" s="1"/>
  <c r="N55" i="45"/>
  <c r="O55" i="45" s="1"/>
  <c r="N51" i="45"/>
  <c r="O51" i="45" s="1"/>
  <c r="N73" i="45"/>
  <c r="O73" i="45" s="1"/>
  <c r="N68" i="45"/>
  <c r="O68" i="45" s="1"/>
  <c r="M18" i="45"/>
  <c r="N69" i="45"/>
  <c r="O69" i="45" s="1"/>
  <c r="N75" i="45"/>
  <c r="O75" i="45" s="1"/>
  <c r="N76" i="45"/>
  <c r="O76" i="45" s="1"/>
  <c r="N71" i="45"/>
  <c r="O71" i="45" s="1"/>
  <c r="N72" i="45"/>
  <c r="O72" i="45" s="1"/>
  <c r="N70" i="45"/>
  <c r="N19" i="45" s="1"/>
  <c r="M19" i="45"/>
  <c r="N89" i="45"/>
  <c r="N24" i="45" s="1"/>
  <c r="M24" i="45"/>
  <c r="N90" i="45"/>
  <c r="N25" i="45" s="1"/>
  <c r="M25" i="45"/>
  <c r="N86" i="45"/>
  <c r="O86" i="45" s="1"/>
  <c r="N92" i="45"/>
  <c r="O92" i="45" s="1"/>
  <c r="N85" i="45"/>
  <c r="O85" i="45" s="1"/>
  <c r="N93" i="45"/>
  <c r="O93" i="45" s="1"/>
  <c r="N88" i="45"/>
  <c r="N23" i="45" s="1"/>
  <c r="M23" i="45"/>
  <c r="M26" i="45"/>
  <c r="N91" i="45"/>
  <c r="N26" i="45" s="1"/>
  <c r="M20" i="45"/>
  <c r="N106" i="45"/>
  <c r="N20" i="45" s="1"/>
  <c r="N107" i="45"/>
  <c r="N21" i="45" s="1"/>
  <c r="M21" i="45"/>
  <c r="N102" i="45"/>
  <c r="O102" i="45" s="1"/>
  <c r="N105" i="45"/>
  <c r="O105" i="45" s="1"/>
  <c r="N109" i="45"/>
  <c r="O109" i="45" s="1"/>
  <c r="N103" i="45"/>
  <c r="O103" i="45" s="1"/>
  <c r="N110" i="45"/>
  <c r="O110" i="45" s="1"/>
  <c r="N104" i="45"/>
  <c r="O104" i="45" s="1"/>
  <c r="L105" i="41"/>
  <c r="L19" i="41" s="1"/>
  <c r="O109" i="43"/>
  <c r="O19" i="43" s="1"/>
  <c r="O104" i="41"/>
  <c r="O18" i="41" s="1"/>
  <c r="F95" i="22"/>
  <c r="K110" i="45"/>
  <c r="L110" i="45" s="1"/>
  <c r="K103" i="45"/>
  <c r="L103" i="45" s="1"/>
  <c r="K102" i="45"/>
  <c r="L102" i="45" s="1"/>
  <c r="K105" i="45"/>
  <c r="L105" i="45" s="1"/>
  <c r="K107" i="45"/>
  <c r="K21" i="45" s="1"/>
  <c r="J21" i="45"/>
  <c r="K106" i="45"/>
  <c r="K20" i="45" s="1"/>
  <c r="J20" i="45"/>
  <c r="K108" i="45"/>
  <c r="L108" i="45" s="1"/>
  <c r="K104" i="45"/>
  <c r="L104" i="45" s="1"/>
  <c r="K109" i="45"/>
  <c r="L109" i="45" s="1"/>
  <c r="K92" i="45"/>
  <c r="L92" i="45" s="1"/>
  <c r="J25" i="45"/>
  <c r="K90" i="45"/>
  <c r="K25" i="45" s="1"/>
  <c r="K93" i="45"/>
  <c r="L93" i="45" s="1"/>
  <c r="K87" i="45"/>
  <c r="L87" i="45" s="1"/>
  <c r="K91" i="45"/>
  <c r="K26" i="45" s="1"/>
  <c r="J26" i="45"/>
  <c r="K86" i="45"/>
  <c r="L86" i="45" s="1"/>
  <c r="K89" i="45"/>
  <c r="K24" i="45" s="1"/>
  <c r="J24" i="45"/>
  <c r="J23" i="45"/>
  <c r="K88" i="45"/>
  <c r="K23" i="45" s="1"/>
  <c r="K85" i="45"/>
  <c r="L85" i="45" s="1"/>
  <c r="K73" i="45"/>
  <c r="L73" i="45" s="1"/>
  <c r="K72" i="45"/>
  <c r="L72" i="45" s="1"/>
  <c r="K69" i="45"/>
  <c r="L69" i="45" s="1"/>
  <c r="K68" i="45"/>
  <c r="L68" i="45" s="1"/>
  <c r="J18" i="45"/>
  <c r="K74" i="45"/>
  <c r="L74" i="45" s="1"/>
  <c r="K71" i="45"/>
  <c r="L71" i="45" s="1"/>
  <c r="K76" i="45"/>
  <c r="L76" i="45" s="1"/>
  <c r="J19" i="45"/>
  <c r="K70" i="45"/>
  <c r="K19" i="45" s="1"/>
  <c r="K52" i="45"/>
  <c r="L52" i="45" s="1"/>
  <c r="K51" i="45"/>
  <c r="L51" i="45" s="1"/>
  <c r="K55" i="45"/>
  <c r="L55" i="45" s="1"/>
  <c r="K54" i="45"/>
  <c r="L54" i="45" s="1"/>
  <c r="K38" i="45"/>
  <c r="L38" i="45" s="1"/>
  <c r="K40" i="45"/>
  <c r="L40" i="45" s="1"/>
  <c r="K39" i="45"/>
  <c r="L39" i="45" s="1"/>
  <c r="K34" i="45"/>
  <c r="L34" i="45" s="1"/>
  <c r="J17" i="45"/>
  <c r="K36" i="45"/>
  <c r="L36" i="45" s="1"/>
  <c r="J22" i="45"/>
  <c r="K35" i="45"/>
  <c r="K22" i="45" s="1"/>
  <c r="K42" i="45"/>
  <c r="L42" i="45" s="1"/>
  <c r="H103" i="45"/>
  <c r="I103" i="45" s="1"/>
  <c r="H109" i="45"/>
  <c r="I109" i="45" s="1"/>
  <c r="G21" i="45"/>
  <c r="H107" i="45"/>
  <c r="H21" i="45" s="1"/>
  <c r="H110" i="45"/>
  <c r="I110" i="45" s="1"/>
  <c r="H105" i="45"/>
  <c r="I105" i="45" s="1"/>
  <c r="H102" i="45"/>
  <c r="I102" i="45" s="1"/>
  <c r="H106" i="45"/>
  <c r="H20" i="45" s="1"/>
  <c r="G20" i="45"/>
  <c r="H108" i="45"/>
  <c r="I108" i="45" s="1"/>
  <c r="G25" i="45"/>
  <c r="H90" i="45"/>
  <c r="H25" i="45" s="1"/>
  <c r="H85" i="45"/>
  <c r="I85" i="45" s="1"/>
  <c r="H86" i="45"/>
  <c r="I86" i="45" s="1"/>
  <c r="H92" i="45"/>
  <c r="I92" i="45" s="1"/>
  <c r="H93" i="45"/>
  <c r="I93" i="45" s="1"/>
  <c r="H88" i="45"/>
  <c r="H23" i="45" s="1"/>
  <c r="G23" i="45"/>
  <c r="H89" i="45"/>
  <c r="H24" i="45" s="1"/>
  <c r="G24" i="45"/>
  <c r="G26" i="45"/>
  <c r="H91" i="45"/>
  <c r="H26" i="45" s="1"/>
  <c r="H71" i="45"/>
  <c r="I71" i="45" s="1"/>
  <c r="H73" i="45"/>
  <c r="I73" i="45" s="1"/>
  <c r="H68" i="45"/>
  <c r="I68" i="45" s="1"/>
  <c r="G18" i="45"/>
  <c r="H74" i="45"/>
  <c r="I74" i="45" s="1"/>
  <c r="H72" i="45"/>
  <c r="I72" i="45" s="1"/>
  <c r="H69" i="45"/>
  <c r="I69" i="45" s="1"/>
  <c r="H70" i="45"/>
  <c r="H19" i="45" s="1"/>
  <c r="G19" i="45"/>
  <c r="H76" i="45"/>
  <c r="I76" i="45" s="1"/>
  <c r="H75" i="45"/>
  <c r="I75" i="45" s="1"/>
  <c r="H54" i="45"/>
  <c r="I54" i="45" s="1"/>
  <c r="H52" i="45"/>
  <c r="I52" i="45" s="1"/>
  <c r="H53" i="45"/>
  <c r="I53" i="45" s="1"/>
  <c r="H55" i="45"/>
  <c r="I55" i="45" s="1"/>
  <c r="H51" i="45"/>
  <c r="I51" i="45" s="1"/>
  <c r="H39" i="45"/>
  <c r="I39" i="45" s="1"/>
  <c r="G22" i="45"/>
  <c r="H35" i="45"/>
  <c r="H22" i="45" s="1"/>
  <c r="H42" i="45"/>
  <c r="I42" i="45" s="1"/>
  <c r="H37" i="45"/>
  <c r="I37" i="45" s="1"/>
  <c r="H34" i="45"/>
  <c r="I34" i="45" s="1"/>
  <c r="G17" i="45"/>
  <c r="H41" i="45"/>
  <c r="I41" i="45" s="1"/>
  <c r="H38" i="45"/>
  <c r="I38" i="45" s="1"/>
  <c r="H36" i="45"/>
  <c r="I36" i="45" s="1"/>
  <c r="E107" i="45"/>
  <c r="E21" i="45" s="1"/>
  <c r="D21" i="45"/>
  <c r="E102" i="45"/>
  <c r="F102" i="45" s="1"/>
  <c r="E104" i="45"/>
  <c r="F104" i="45" s="1"/>
  <c r="D20" i="45"/>
  <c r="E106" i="45"/>
  <c r="E20" i="45" s="1"/>
  <c r="E103" i="45"/>
  <c r="F103" i="45" s="1"/>
  <c r="E109" i="45"/>
  <c r="F109" i="45" s="1"/>
  <c r="E108" i="45"/>
  <c r="F108" i="45" s="1"/>
  <c r="E110" i="45"/>
  <c r="F110" i="45" s="1"/>
  <c r="E105" i="45"/>
  <c r="F105" i="45" s="1"/>
  <c r="E92" i="45"/>
  <c r="F92" i="45" s="1"/>
  <c r="D25" i="45"/>
  <c r="E90" i="45"/>
  <c r="E25" i="45" s="1"/>
  <c r="E89" i="45"/>
  <c r="E24" i="45" s="1"/>
  <c r="D24" i="45"/>
  <c r="D23" i="45"/>
  <c r="E88" i="45"/>
  <c r="E23" i="45" s="1"/>
  <c r="E93" i="45"/>
  <c r="F93" i="45" s="1"/>
  <c r="E86" i="45"/>
  <c r="F86" i="45" s="1"/>
  <c r="E85" i="45"/>
  <c r="F85" i="45" s="1"/>
  <c r="D26" i="45"/>
  <c r="E91" i="45"/>
  <c r="E26" i="45" s="1"/>
  <c r="E87" i="45"/>
  <c r="F87" i="45" s="1"/>
  <c r="E69" i="45"/>
  <c r="F69" i="45" s="1"/>
  <c r="E75" i="45"/>
  <c r="F75" i="45" s="1"/>
  <c r="E76" i="45"/>
  <c r="F76" i="45" s="1"/>
  <c r="D19" i="45"/>
  <c r="E70" i="45"/>
  <c r="E19" i="45" s="1"/>
  <c r="E72" i="45"/>
  <c r="F72" i="45" s="1"/>
  <c r="E73" i="45"/>
  <c r="F73" i="45" s="1"/>
  <c r="D18" i="45"/>
  <c r="E68" i="45"/>
  <c r="F68" i="45" s="1"/>
  <c r="E54" i="45"/>
  <c r="F54" i="45" s="1"/>
  <c r="E52" i="45"/>
  <c r="F52" i="45" s="1"/>
  <c r="E53" i="45"/>
  <c r="F53" i="45" s="1"/>
  <c r="E55" i="45"/>
  <c r="F55" i="45" s="1"/>
  <c r="E51" i="45"/>
  <c r="F51" i="45" s="1"/>
  <c r="E38" i="45"/>
  <c r="F38" i="45" s="1"/>
  <c r="E40" i="45"/>
  <c r="F40" i="45" s="1"/>
  <c r="E39" i="45"/>
  <c r="F39" i="45" s="1"/>
  <c r="E34" i="45"/>
  <c r="F34" i="45" s="1"/>
  <c r="D17" i="45"/>
  <c r="E36" i="45"/>
  <c r="F36" i="45" s="1"/>
  <c r="E35" i="45"/>
  <c r="E22" i="45" s="1"/>
  <c r="D22" i="45"/>
  <c r="E41" i="45"/>
  <c r="F41" i="45" s="1"/>
  <c r="E42" i="45"/>
  <c r="F42" i="45" s="1"/>
  <c r="E37" i="45"/>
  <c r="F37" i="45" s="1"/>
  <c r="O109" i="44"/>
  <c r="O24" i="44" s="1"/>
  <c r="O111" i="44"/>
  <c r="O26" i="44" s="1"/>
  <c r="N104" i="44"/>
  <c r="O104" i="44" s="1"/>
  <c r="N105" i="44"/>
  <c r="O105" i="44" s="1"/>
  <c r="N110" i="44"/>
  <c r="O110" i="44" s="1"/>
  <c r="N108" i="44"/>
  <c r="N23" i="44" s="1"/>
  <c r="M23" i="44"/>
  <c r="N107" i="44"/>
  <c r="O107" i="44" s="1"/>
  <c r="N106" i="44"/>
  <c r="N21" i="44" s="1"/>
  <c r="M21" i="44"/>
  <c r="N103" i="44"/>
  <c r="O103" i="44" s="1"/>
  <c r="N102" i="44"/>
  <c r="O102" i="44" s="1"/>
  <c r="M17" i="44"/>
  <c r="O85" i="44"/>
  <c r="O18" i="44" s="1"/>
  <c r="O88" i="44"/>
  <c r="O22" i="44" s="1"/>
  <c r="M19" i="44"/>
  <c r="N86" i="44"/>
  <c r="N19" i="44" s="1"/>
  <c r="N87" i="44"/>
  <c r="N20" i="44" s="1"/>
  <c r="M20" i="44"/>
  <c r="N73" i="44"/>
  <c r="O73" i="44" s="1"/>
  <c r="N69" i="44"/>
  <c r="O69" i="44" s="1"/>
  <c r="N75" i="44"/>
  <c r="O75" i="44" s="1"/>
  <c r="N68" i="44"/>
  <c r="O68" i="44" s="1"/>
  <c r="M25" i="44"/>
  <c r="N76" i="44"/>
  <c r="O76" i="44" s="1"/>
  <c r="N71" i="44"/>
  <c r="O71" i="44" s="1"/>
  <c r="N72" i="44"/>
  <c r="O72" i="44" s="1"/>
  <c r="N74" i="44"/>
  <c r="O74" i="44" s="1"/>
  <c r="N52" i="44"/>
  <c r="O52" i="44" s="1"/>
  <c r="N51" i="44"/>
  <c r="N55" i="44"/>
  <c r="O55" i="44" s="1"/>
  <c r="N54" i="44"/>
  <c r="O54" i="44" s="1"/>
  <c r="N39" i="44"/>
  <c r="O39" i="44" s="1"/>
  <c r="N34" i="44"/>
  <c r="O34" i="44" s="1"/>
  <c r="N35" i="44"/>
  <c r="O35" i="44" s="1"/>
  <c r="N41" i="44"/>
  <c r="O41" i="44" s="1"/>
  <c r="N42" i="44"/>
  <c r="O42" i="44" s="1"/>
  <c r="N37" i="44"/>
  <c r="O37" i="44" s="1"/>
  <c r="N38" i="44"/>
  <c r="O38" i="44" s="1"/>
  <c r="N40" i="44"/>
  <c r="O40" i="44" s="1"/>
  <c r="H27" i="36"/>
  <c r="F88" i="44"/>
  <c r="F22" i="44" s="1"/>
  <c r="I88" i="44"/>
  <c r="I22" i="44" s="1"/>
  <c r="I108" i="44"/>
  <c r="I23" i="44" s="1"/>
  <c r="L88" i="44"/>
  <c r="L22" i="44" s="1"/>
  <c r="J20" i="44"/>
  <c r="K87" i="44"/>
  <c r="K20" i="44" s="1"/>
  <c r="J19" i="44"/>
  <c r="K86" i="44"/>
  <c r="K19" i="44" s="1"/>
  <c r="J18" i="44"/>
  <c r="K85" i="44"/>
  <c r="L85" i="44" s="1"/>
  <c r="K72" i="44"/>
  <c r="L72" i="44" s="1"/>
  <c r="K74" i="44"/>
  <c r="L74" i="44" s="1"/>
  <c r="K73" i="44"/>
  <c r="L73" i="44" s="1"/>
  <c r="K68" i="44"/>
  <c r="L68" i="44" s="1"/>
  <c r="J25" i="44"/>
  <c r="K70" i="44"/>
  <c r="L70" i="44" s="1"/>
  <c r="K69" i="44"/>
  <c r="L69" i="44" s="1"/>
  <c r="K75" i="44"/>
  <c r="L75" i="44" s="1"/>
  <c r="K76" i="44"/>
  <c r="L76" i="44" s="1"/>
  <c r="K71" i="44"/>
  <c r="L71" i="44" s="1"/>
  <c r="K52" i="44"/>
  <c r="L52" i="44" s="1"/>
  <c r="K55" i="44"/>
  <c r="L55" i="44" s="1"/>
  <c r="K51" i="44"/>
  <c r="L51" i="44" s="1"/>
  <c r="K54" i="44"/>
  <c r="L54" i="44" s="1"/>
  <c r="K39" i="44"/>
  <c r="L39" i="44" s="1"/>
  <c r="K34" i="44"/>
  <c r="L34" i="44" s="1"/>
  <c r="K35" i="44"/>
  <c r="L35" i="44" s="1"/>
  <c r="K41" i="44"/>
  <c r="L41" i="44" s="1"/>
  <c r="K42" i="44"/>
  <c r="L42" i="44" s="1"/>
  <c r="K37" i="44"/>
  <c r="L37" i="44" s="1"/>
  <c r="K38" i="44"/>
  <c r="L38" i="44" s="1"/>
  <c r="K40" i="44"/>
  <c r="L40" i="44" s="1"/>
  <c r="L111" i="44"/>
  <c r="L26" i="44" s="1"/>
  <c r="K104" i="44"/>
  <c r="L104" i="44" s="1"/>
  <c r="K107" i="44"/>
  <c r="L107" i="44" s="1"/>
  <c r="K103" i="44"/>
  <c r="L103" i="44" s="1"/>
  <c r="K109" i="44"/>
  <c r="K24" i="44" s="1"/>
  <c r="J24" i="44"/>
  <c r="K110" i="44"/>
  <c r="L110" i="44" s="1"/>
  <c r="K106" i="44"/>
  <c r="K21" i="44" s="1"/>
  <c r="J21" i="44"/>
  <c r="K105" i="44"/>
  <c r="L105" i="44" s="1"/>
  <c r="K102" i="44"/>
  <c r="L102" i="44" s="1"/>
  <c r="J17" i="44"/>
  <c r="K108" i="44"/>
  <c r="K23" i="44" s="1"/>
  <c r="J23" i="44"/>
  <c r="I111" i="44"/>
  <c r="I26" i="44" s="1"/>
  <c r="H107" i="44"/>
  <c r="I107" i="44" s="1"/>
  <c r="G17" i="44"/>
  <c r="H102" i="44"/>
  <c r="I102" i="44" s="1"/>
  <c r="H110" i="44"/>
  <c r="I110" i="44" s="1"/>
  <c r="H105" i="44"/>
  <c r="I105" i="44" s="1"/>
  <c r="H106" i="44"/>
  <c r="H21" i="44" s="1"/>
  <c r="G21" i="44"/>
  <c r="H104" i="44"/>
  <c r="I104" i="44" s="1"/>
  <c r="H103" i="44"/>
  <c r="I103" i="44" s="1"/>
  <c r="G24" i="44"/>
  <c r="H109" i="44"/>
  <c r="H24" i="44" s="1"/>
  <c r="H85" i="44"/>
  <c r="I85" i="44" s="1"/>
  <c r="G18" i="44"/>
  <c r="H87" i="44"/>
  <c r="H20" i="44" s="1"/>
  <c r="G20" i="44"/>
  <c r="G19" i="44"/>
  <c r="H86" i="44"/>
  <c r="H19" i="44" s="1"/>
  <c r="H73" i="44"/>
  <c r="I73" i="44" s="1"/>
  <c r="H68" i="44"/>
  <c r="I68" i="44" s="1"/>
  <c r="G25" i="44"/>
  <c r="H69" i="44"/>
  <c r="I69" i="44" s="1"/>
  <c r="H75" i="44"/>
  <c r="I75" i="44" s="1"/>
  <c r="H76" i="44"/>
  <c r="I76" i="44" s="1"/>
  <c r="H71" i="44"/>
  <c r="I71" i="44" s="1"/>
  <c r="H72" i="44"/>
  <c r="I72" i="44" s="1"/>
  <c r="H74" i="44"/>
  <c r="I74" i="44" s="1"/>
  <c r="H55" i="44"/>
  <c r="I55" i="44" s="1"/>
  <c r="H52" i="44"/>
  <c r="I52" i="44" s="1"/>
  <c r="H51" i="44"/>
  <c r="I51" i="44" s="1"/>
  <c r="H54" i="44"/>
  <c r="I54" i="44" s="1"/>
  <c r="H40" i="44"/>
  <c r="I40" i="44" s="1"/>
  <c r="H39" i="44"/>
  <c r="I39" i="44" s="1"/>
  <c r="H34" i="44"/>
  <c r="I34" i="44" s="1"/>
  <c r="H36" i="44"/>
  <c r="I36" i="44" s="1"/>
  <c r="H38" i="44"/>
  <c r="I38" i="44" s="1"/>
  <c r="H35" i="44"/>
  <c r="I35" i="44" s="1"/>
  <c r="H41" i="44"/>
  <c r="I41" i="44" s="1"/>
  <c r="H42" i="44"/>
  <c r="I42" i="44" s="1"/>
  <c r="H37" i="44"/>
  <c r="I37" i="44" s="1"/>
  <c r="F111" i="44"/>
  <c r="F26" i="44" s="1"/>
  <c r="E110" i="44"/>
  <c r="F110" i="44" s="1"/>
  <c r="E105" i="44"/>
  <c r="F105" i="44" s="1"/>
  <c r="D21" i="44"/>
  <c r="E106" i="44"/>
  <c r="E21" i="44" s="1"/>
  <c r="E104" i="44"/>
  <c r="F104" i="44" s="1"/>
  <c r="E107" i="44"/>
  <c r="F107" i="44" s="1"/>
  <c r="E102" i="44"/>
  <c r="F102" i="44" s="1"/>
  <c r="D17" i="44"/>
  <c r="E103" i="44"/>
  <c r="F103" i="44" s="1"/>
  <c r="D24" i="44"/>
  <c r="E109" i="44"/>
  <c r="E24" i="44" s="1"/>
  <c r="E87" i="44"/>
  <c r="E20" i="44" s="1"/>
  <c r="D20" i="44"/>
  <c r="D19" i="44"/>
  <c r="E86" i="44"/>
  <c r="E19" i="44" s="1"/>
  <c r="E18" i="44"/>
  <c r="F18" i="44"/>
  <c r="E76" i="44"/>
  <c r="F76" i="44" s="1"/>
  <c r="E75" i="44"/>
  <c r="F75" i="44" s="1"/>
  <c r="E68" i="44"/>
  <c r="F68" i="44" s="1"/>
  <c r="D25" i="44"/>
  <c r="E73" i="44"/>
  <c r="F73" i="44" s="1"/>
  <c r="E72" i="44"/>
  <c r="F72" i="44" s="1"/>
  <c r="E71" i="44"/>
  <c r="F71" i="44" s="1"/>
  <c r="E69" i="44"/>
  <c r="F69" i="44" s="1"/>
  <c r="E70" i="44"/>
  <c r="F70" i="44" s="1"/>
  <c r="E74" i="44"/>
  <c r="F74" i="44" s="1"/>
  <c r="E53" i="44"/>
  <c r="F53" i="44" s="1"/>
  <c r="E54" i="44"/>
  <c r="F54" i="44" s="1"/>
  <c r="E55" i="44"/>
  <c r="F55" i="44" s="1"/>
  <c r="E52" i="44"/>
  <c r="F52" i="44" s="1"/>
  <c r="E51" i="44"/>
  <c r="F51" i="44" s="1"/>
  <c r="E36" i="44"/>
  <c r="F36" i="44" s="1"/>
  <c r="E39" i="44"/>
  <c r="F39" i="44" s="1"/>
  <c r="E34" i="44"/>
  <c r="F34" i="44" s="1"/>
  <c r="E40" i="44"/>
  <c r="F40" i="44" s="1"/>
  <c r="E38" i="44"/>
  <c r="F38" i="44" s="1"/>
  <c r="E35" i="44"/>
  <c r="F35" i="44" s="1"/>
  <c r="E41" i="44"/>
  <c r="F41" i="44" s="1"/>
  <c r="E42" i="44"/>
  <c r="F42" i="44" s="1"/>
  <c r="E37" i="44"/>
  <c r="F37" i="44" s="1"/>
  <c r="O111" i="43"/>
  <c r="O21" i="43" s="1"/>
  <c r="N104" i="43"/>
  <c r="O104" i="43" s="1"/>
  <c r="N105" i="43"/>
  <c r="O105" i="43" s="1"/>
  <c r="N110" i="43"/>
  <c r="O110" i="43" s="1"/>
  <c r="N108" i="43"/>
  <c r="N18" i="43" s="1"/>
  <c r="M18" i="43"/>
  <c r="M17" i="43"/>
  <c r="N107" i="43"/>
  <c r="N17" i="43" s="1"/>
  <c r="N106" i="43"/>
  <c r="O106" i="43" s="1"/>
  <c r="N103" i="43"/>
  <c r="O103" i="43" s="1"/>
  <c r="N102" i="43"/>
  <c r="O102" i="43" s="1"/>
  <c r="O86" i="43"/>
  <c r="O23" i="43" s="1"/>
  <c r="N89" i="43"/>
  <c r="N26" i="43" s="1"/>
  <c r="M26" i="43"/>
  <c r="M25" i="43"/>
  <c r="N88" i="43"/>
  <c r="N25" i="43" s="1"/>
  <c r="N85" i="43"/>
  <c r="O85" i="43" s="1"/>
  <c r="M20" i="43"/>
  <c r="N91" i="43"/>
  <c r="O91" i="43" s="1"/>
  <c r="N87" i="43"/>
  <c r="N24" i="43" s="1"/>
  <c r="M24" i="43"/>
  <c r="N90" i="43"/>
  <c r="O90" i="43" s="1"/>
  <c r="N92" i="43"/>
  <c r="O92" i="43" s="1"/>
  <c r="N73" i="43"/>
  <c r="O73" i="43" s="1"/>
  <c r="N72" i="43"/>
  <c r="O72" i="43" s="1"/>
  <c r="N69" i="43"/>
  <c r="O69" i="43" s="1"/>
  <c r="N68" i="43"/>
  <c r="M22" i="43"/>
  <c r="N70" i="43"/>
  <c r="N22" i="43" s="1"/>
  <c r="N74" i="43"/>
  <c r="O74" i="43" s="1"/>
  <c r="N76" i="43"/>
  <c r="O76" i="43" s="1"/>
  <c r="N75" i="43"/>
  <c r="O75" i="43" s="1"/>
  <c r="O51" i="43"/>
  <c r="O61" i="43" s="1"/>
  <c r="N34" i="43"/>
  <c r="O34" i="43" s="1"/>
  <c r="N35" i="43"/>
  <c r="O35" i="43" s="1"/>
  <c r="N37" i="43"/>
  <c r="O37" i="43" s="1"/>
  <c r="N36" i="43"/>
  <c r="O36" i="43" s="1"/>
  <c r="N38" i="43"/>
  <c r="O38" i="43" s="1"/>
  <c r="K27" i="36"/>
  <c r="G11" i="29"/>
  <c r="O53" i="41"/>
  <c r="O25" i="41" s="1"/>
  <c r="L111" i="43"/>
  <c r="L21" i="43" s="1"/>
  <c r="K103" i="43"/>
  <c r="L103" i="43" s="1"/>
  <c r="J19" i="43"/>
  <c r="K109" i="43"/>
  <c r="K19" i="43" s="1"/>
  <c r="K110" i="43"/>
  <c r="L110" i="43" s="1"/>
  <c r="K105" i="43"/>
  <c r="L105" i="43" s="1"/>
  <c r="K106" i="43"/>
  <c r="L106" i="43" s="1"/>
  <c r="J18" i="43"/>
  <c r="K108" i="43"/>
  <c r="K18" i="43" s="1"/>
  <c r="J17" i="43"/>
  <c r="K107" i="43"/>
  <c r="K17" i="43" s="1"/>
  <c r="K102" i="43"/>
  <c r="K23" i="43"/>
  <c r="L86" i="43"/>
  <c r="L23" i="43" s="1"/>
  <c r="K89" i="43"/>
  <c r="K26" i="43" s="1"/>
  <c r="J26" i="43"/>
  <c r="K91" i="43"/>
  <c r="L91" i="43" s="1"/>
  <c r="J20" i="43"/>
  <c r="K85" i="43"/>
  <c r="L85" i="43" s="1"/>
  <c r="K87" i="43"/>
  <c r="K24" i="43" s="1"/>
  <c r="J24" i="43"/>
  <c r="K88" i="43"/>
  <c r="K25" i="43" s="1"/>
  <c r="J25" i="43"/>
  <c r="K92" i="43"/>
  <c r="L92" i="43" s="1"/>
  <c r="K22" i="43"/>
  <c r="L70" i="43"/>
  <c r="L22" i="43" s="1"/>
  <c r="K73" i="43"/>
  <c r="L73" i="43" s="1"/>
  <c r="K76" i="43"/>
  <c r="L76" i="43" s="1"/>
  <c r="K71" i="43"/>
  <c r="L71" i="43" s="1"/>
  <c r="K75" i="43"/>
  <c r="L75" i="43" s="1"/>
  <c r="K69" i="43"/>
  <c r="L69" i="43" s="1"/>
  <c r="K72" i="43"/>
  <c r="L72" i="43" s="1"/>
  <c r="K68" i="43"/>
  <c r="L68" i="43" s="1"/>
  <c r="L51" i="43"/>
  <c r="L61" i="43" s="1"/>
  <c r="K37" i="43"/>
  <c r="L37" i="43" s="1"/>
  <c r="K35" i="43"/>
  <c r="L35" i="43" s="1"/>
  <c r="K36" i="43"/>
  <c r="L36" i="43" s="1"/>
  <c r="K38" i="43"/>
  <c r="L38" i="43" s="1"/>
  <c r="K34" i="43"/>
  <c r="L34" i="43" s="1"/>
  <c r="I111" i="43"/>
  <c r="I21" i="43" s="1"/>
  <c r="H102" i="43"/>
  <c r="I102" i="43" s="1"/>
  <c r="H103" i="43"/>
  <c r="I103" i="43" s="1"/>
  <c r="G19" i="43"/>
  <c r="H109" i="43"/>
  <c r="H19" i="43" s="1"/>
  <c r="G17" i="43"/>
  <c r="H107" i="43"/>
  <c r="H17" i="43" s="1"/>
  <c r="H104" i="43"/>
  <c r="I104" i="43" s="1"/>
  <c r="H110" i="43"/>
  <c r="I110" i="43" s="1"/>
  <c r="H105" i="43"/>
  <c r="I105" i="43" s="1"/>
  <c r="H106" i="43"/>
  <c r="I106" i="43" s="1"/>
  <c r="H108" i="43"/>
  <c r="H18" i="43" s="1"/>
  <c r="G18" i="43"/>
  <c r="H86" i="43"/>
  <c r="H23" i="43" s="1"/>
  <c r="G23" i="43"/>
  <c r="H91" i="43"/>
  <c r="I91" i="43" s="1"/>
  <c r="H92" i="43"/>
  <c r="I92" i="43" s="1"/>
  <c r="G24" i="43"/>
  <c r="H87" i="43"/>
  <c r="H24" i="43" s="1"/>
  <c r="G26" i="43"/>
  <c r="H89" i="43"/>
  <c r="H26" i="43" s="1"/>
  <c r="G25" i="43"/>
  <c r="H88" i="43"/>
  <c r="H25" i="43" s="1"/>
  <c r="G20" i="43"/>
  <c r="H85" i="43"/>
  <c r="I85" i="43" s="1"/>
  <c r="H90" i="43"/>
  <c r="I90" i="43" s="1"/>
  <c r="G22" i="43"/>
  <c r="H70" i="43"/>
  <c r="H22" i="43" s="1"/>
  <c r="H71" i="43"/>
  <c r="I71" i="43" s="1"/>
  <c r="H73" i="43"/>
  <c r="I73" i="43" s="1"/>
  <c r="H76" i="43"/>
  <c r="I76" i="43" s="1"/>
  <c r="H74" i="43"/>
  <c r="I74" i="43" s="1"/>
  <c r="H69" i="43"/>
  <c r="I69" i="43" s="1"/>
  <c r="H72" i="43"/>
  <c r="I72" i="43" s="1"/>
  <c r="H75" i="43"/>
  <c r="I75" i="43" s="1"/>
  <c r="H68" i="43"/>
  <c r="I68" i="43" s="1"/>
  <c r="H38" i="43"/>
  <c r="I38" i="43" s="1"/>
  <c r="H34" i="43"/>
  <c r="I34" i="43" s="1"/>
  <c r="H37" i="43"/>
  <c r="I37" i="43" s="1"/>
  <c r="H36" i="43"/>
  <c r="I36" i="43" s="1"/>
  <c r="F111" i="43"/>
  <c r="F21" i="43" s="1"/>
  <c r="E103" i="43"/>
  <c r="F103" i="43" s="1"/>
  <c r="D19" i="43"/>
  <c r="E109" i="43"/>
  <c r="E19" i="43" s="1"/>
  <c r="E110" i="43"/>
  <c r="F110" i="43" s="1"/>
  <c r="E105" i="43"/>
  <c r="F105" i="43" s="1"/>
  <c r="E106" i="43"/>
  <c r="F106" i="43" s="1"/>
  <c r="E108" i="43"/>
  <c r="E18" i="43" s="1"/>
  <c r="D18" i="43"/>
  <c r="D17" i="43"/>
  <c r="E107" i="43"/>
  <c r="E17" i="43" s="1"/>
  <c r="E102" i="43"/>
  <c r="F86" i="43"/>
  <c r="F23" i="43" s="1"/>
  <c r="D20" i="43"/>
  <c r="E85" i="43"/>
  <c r="F85" i="43" s="1"/>
  <c r="D24" i="43"/>
  <c r="E87" i="43"/>
  <c r="E24" i="43" s="1"/>
  <c r="E91" i="43"/>
  <c r="F91" i="43" s="1"/>
  <c r="E92" i="43"/>
  <c r="F92" i="43" s="1"/>
  <c r="E90" i="43"/>
  <c r="F90" i="43" s="1"/>
  <c r="D26" i="43"/>
  <c r="E89" i="43"/>
  <c r="E26" i="43" s="1"/>
  <c r="E88" i="43"/>
  <c r="E25" i="43" s="1"/>
  <c r="D25" i="43"/>
  <c r="F70" i="43"/>
  <c r="F22" i="43" s="1"/>
  <c r="E75" i="43"/>
  <c r="F75" i="43" s="1"/>
  <c r="E76" i="43"/>
  <c r="F76" i="43" s="1"/>
  <c r="E71" i="43"/>
  <c r="F71" i="43" s="1"/>
  <c r="E69" i="43"/>
  <c r="F69" i="43" s="1"/>
  <c r="E72" i="43"/>
  <c r="F72" i="43" s="1"/>
  <c r="E74" i="43"/>
  <c r="F74" i="43" s="1"/>
  <c r="E73" i="43"/>
  <c r="F73" i="43" s="1"/>
  <c r="E68" i="43"/>
  <c r="F68" i="43" s="1"/>
  <c r="F51" i="43"/>
  <c r="F61" i="43" s="1"/>
  <c r="E35" i="43"/>
  <c r="F35" i="43" s="1"/>
  <c r="E36" i="43"/>
  <c r="F36" i="43" s="1"/>
  <c r="E37" i="43"/>
  <c r="F37" i="43" s="1"/>
  <c r="E38" i="43"/>
  <c r="F38" i="43" s="1"/>
  <c r="E34" i="43"/>
  <c r="F34" i="43" s="1"/>
  <c r="M17" i="41"/>
  <c r="N103" i="41"/>
  <c r="N17" i="41" s="1"/>
  <c r="N109" i="41"/>
  <c r="O109" i="41" s="1"/>
  <c r="N110" i="41"/>
  <c r="N24" i="41" s="1"/>
  <c r="M24" i="41"/>
  <c r="N106" i="41"/>
  <c r="N20" i="41" s="1"/>
  <c r="M20" i="41"/>
  <c r="N108" i="41"/>
  <c r="N22" i="41" s="1"/>
  <c r="M22" i="41"/>
  <c r="N105" i="41"/>
  <c r="N19" i="41" s="1"/>
  <c r="M19" i="41"/>
  <c r="N107" i="41"/>
  <c r="O107" i="41" s="1"/>
  <c r="N102" i="41"/>
  <c r="N85" i="41"/>
  <c r="O85" i="41" s="1"/>
  <c r="M26" i="41"/>
  <c r="N86" i="41"/>
  <c r="O86" i="41" s="1"/>
  <c r="N92" i="41"/>
  <c r="O92" i="41" s="1"/>
  <c r="N90" i="41"/>
  <c r="O90" i="41" s="1"/>
  <c r="N93" i="41"/>
  <c r="O93" i="41" s="1"/>
  <c r="N88" i="41"/>
  <c r="O88" i="41" s="1"/>
  <c r="N89" i="41"/>
  <c r="O89" i="41" s="1"/>
  <c r="N91" i="41"/>
  <c r="O91" i="41" s="1"/>
  <c r="N73" i="41"/>
  <c r="O73" i="41" s="1"/>
  <c r="N69" i="41"/>
  <c r="O69" i="41" s="1"/>
  <c r="N72" i="41"/>
  <c r="O72" i="41" s="1"/>
  <c r="N76" i="41"/>
  <c r="O76" i="41" s="1"/>
  <c r="N71" i="41"/>
  <c r="O71" i="41" s="1"/>
  <c r="N68" i="41"/>
  <c r="O68" i="41" s="1"/>
  <c r="N74" i="41"/>
  <c r="O74" i="41" s="1"/>
  <c r="N70" i="41"/>
  <c r="O70" i="41" s="1"/>
  <c r="N52" i="41"/>
  <c r="N23" i="41" s="1"/>
  <c r="M23" i="41"/>
  <c r="N59" i="41"/>
  <c r="O59" i="41" s="1"/>
  <c r="N54" i="41"/>
  <c r="O54" i="41" s="1"/>
  <c r="N58" i="41"/>
  <c r="O58" i="41" s="1"/>
  <c r="N55" i="41"/>
  <c r="O55" i="41" s="1"/>
  <c r="N57" i="41"/>
  <c r="O57" i="41" s="1"/>
  <c r="N56" i="41"/>
  <c r="O56" i="41" s="1"/>
  <c r="N51" i="41"/>
  <c r="O51" i="41" s="1"/>
  <c r="M21" i="41"/>
  <c r="N34" i="41"/>
  <c r="N44" i="41" s="1"/>
  <c r="I70" i="38"/>
  <c r="I26" i="38" s="1"/>
  <c r="I111" i="40"/>
  <c r="I26" i="40" s="1"/>
  <c r="F104" i="41"/>
  <c r="F18" i="41" s="1"/>
  <c r="N27" i="22"/>
  <c r="O52" i="36"/>
  <c r="O17" i="36" s="1"/>
  <c r="K102" i="41"/>
  <c r="L102" i="41" s="1"/>
  <c r="K108" i="41"/>
  <c r="K22" i="41" s="1"/>
  <c r="J22" i="41"/>
  <c r="K109" i="41"/>
  <c r="L109" i="41" s="1"/>
  <c r="K110" i="41"/>
  <c r="K24" i="41" s="1"/>
  <c r="J24" i="41"/>
  <c r="K104" i="41"/>
  <c r="K18" i="41" s="1"/>
  <c r="J18" i="41"/>
  <c r="K103" i="41"/>
  <c r="K17" i="41" s="1"/>
  <c r="J17" i="41"/>
  <c r="K107" i="41"/>
  <c r="L107" i="41" s="1"/>
  <c r="K106" i="41"/>
  <c r="K20" i="41" s="1"/>
  <c r="J20" i="41"/>
  <c r="K90" i="41"/>
  <c r="L90" i="41" s="1"/>
  <c r="K85" i="41"/>
  <c r="L85" i="41" s="1"/>
  <c r="J26" i="41"/>
  <c r="K91" i="41"/>
  <c r="L91" i="41" s="1"/>
  <c r="K89" i="41"/>
  <c r="L89" i="41" s="1"/>
  <c r="K86" i="41"/>
  <c r="L86" i="41" s="1"/>
  <c r="K87" i="41"/>
  <c r="L87" i="41" s="1"/>
  <c r="K88" i="41"/>
  <c r="L88" i="41" s="1"/>
  <c r="K93" i="41"/>
  <c r="L93" i="41" s="1"/>
  <c r="K92" i="41"/>
  <c r="L92" i="41" s="1"/>
  <c r="K72" i="41"/>
  <c r="L72" i="41" s="1"/>
  <c r="K73" i="41"/>
  <c r="L73" i="41" s="1"/>
  <c r="K68" i="41"/>
  <c r="L68" i="41" s="1"/>
  <c r="K70" i="41"/>
  <c r="L70" i="41" s="1"/>
  <c r="K71" i="41"/>
  <c r="L71" i="41" s="1"/>
  <c r="K69" i="41"/>
  <c r="L69" i="41" s="1"/>
  <c r="K74" i="41"/>
  <c r="L74" i="41" s="1"/>
  <c r="K76" i="41"/>
  <c r="L76" i="41" s="1"/>
  <c r="K75" i="41"/>
  <c r="L75" i="41" s="1"/>
  <c r="K25" i="41"/>
  <c r="L53" i="41"/>
  <c r="L25" i="41" s="1"/>
  <c r="K51" i="41"/>
  <c r="L51" i="41" s="1"/>
  <c r="J21" i="41"/>
  <c r="K52" i="41"/>
  <c r="K23" i="41" s="1"/>
  <c r="J23" i="41"/>
  <c r="K58" i="41"/>
  <c r="L58" i="41" s="1"/>
  <c r="K56" i="41"/>
  <c r="L56" i="41" s="1"/>
  <c r="K59" i="41"/>
  <c r="L59" i="41" s="1"/>
  <c r="K54" i="41"/>
  <c r="L54" i="41" s="1"/>
  <c r="K55" i="41"/>
  <c r="L55" i="41" s="1"/>
  <c r="K34" i="41"/>
  <c r="K44" i="41" s="1"/>
  <c r="H88" i="41"/>
  <c r="I88" i="41" s="1"/>
  <c r="H90" i="41"/>
  <c r="I90" i="41" s="1"/>
  <c r="H89" i="41"/>
  <c r="I89" i="41" s="1"/>
  <c r="H91" i="41"/>
  <c r="I91" i="41" s="1"/>
  <c r="H86" i="41"/>
  <c r="I86" i="41" s="1"/>
  <c r="G26" i="41"/>
  <c r="H85" i="41"/>
  <c r="I85" i="41" s="1"/>
  <c r="H93" i="41"/>
  <c r="I93" i="41" s="1"/>
  <c r="H87" i="41"/>
  <c r="I87" i="41" s="1"/>
  <c r="H92" i="41"/>
  <c r="I92" i="41" s="1"/>
  <c r="H72" i="41"/>
  <c r="I72" i="41" s="1"/>
  <c r="H73" i="41"/>
  <c r="I73" i="41" s="1"/>
  <c r="H68" i="41"/>
  <c r="I68" i="41" s="1"/>
  <c r="H70" i="41"/>
  <c r="I70" i="41" s="1"/>
  <c r="H69" i="41"/>
  <c r="I69" i="41" s="1"/>
  <c r="H75" i="41"/>
  <c r="I75" i="41" s="1"/>
  <c r="H74" i="41"/>
  <c r="I74" i="41" s="1"/>
  <c r="H76" i="41"/>
  <c r="I76" i="41" s="1"/>
  <c r="H71" i="41"/>
  <c r="I71" i="41" s="1"/>
  <c r="H56" i="41"/>
  <c r="I56" i="41" s="1"/>
  <c r="H51" i="41"/>
  <c r="I51" i="41" s="1"/>
  <c r="G21" i="41"/>
  <c r="H52" i="41"/>
  <c r="H23" i="41" s="1"/>
  <c r="G23" i="41"/>
  <c r="G25" i="41"/>
  <c r="H53" i="41"/>
  <c r="H25" i="41" s="1"/>
  <c r="H59" i="41"/>
  <c r="I59" i="41" s="1"/>
  <c r="H58" i="41"/>
  <c r="I58" i="41" s="1"/>
  <c r="H55" i="41"/>
  <c r="I55" i="41" s="1"/>
  <c r="H54" i="41"/>
  <c r="I54" i="41" s="1"/>
  <c r="H34" i="41"/>
  <c r="H44" i="41" s="1"/>
  <c r="I104" i="41"/>
  <c r="I18" i="41" s="1"/>
  <c r="G17" i="41"/>
  <c r="H103" i="41"/>
  <c r="H17" i="41" s="1"/>
  <c r="H110" i="41"/>
  <c r="H24" i="41" s="1"/>
  <c r="G24" i="41"/>
  <c r="H105" i="41"/>
  <c r="H19" i="41" s="1"/>
  <c r="G19" i="41"/>
  <c r="H106" i="41"/>
  <c r="H20" i="41" s="1"/>
  <c r="G20" i="41"/>
  <c r="H108" i="41"/>
  <c r="H22" i="41" s="1"/>
  <c r="G22" i="41"/>
  <c r="H109" i="41"/>
  <c r="I109" i="41" s="1"/>
  <c r="H107" i="41"/>
  <c r="I107" i="41" s="1"/>
  <c r="H102" i="41"/>
  <c r="I102" i="41" s="1"/>
  <c r="E106" i="41"/>
  <c r="E20" i="41" s="1"/>
  <c r="D20" i="41"/>
  <c r="E102" i="41"/>
  <c r="F102" i="41" s="1"/>
  <c r="E103" i="41"/>
  <c r="E17" i="41" s="1"/>
  <c r="D17" i="41"/>
  <c r="E109" i="41"/>
  <c r="F109" i="41" s="1"/>
  <c r="E110" i="41"/>
  <c r="E24" i="41" s="1"/>
  <c r="D24" i="41"/>
  <c r="E105" i="41"/>
  <c r="E19" i="41" s="1"/>
  <c r="D19" i="41"/>
  <c r="E108" i="41"/>
  <c r="E22" i="41" s="1"/>
  <c r="D22" i="41"/>
  <c r="E107" i="41"/>
  <c r="F107" i="41" s="1"/>
  <c r="E89" i="41"/>
  <c r="F89" i="41" s="1"/>
  <c r="E88" i="41"/>
  <c r="F88" i="41" s="1"/>
  <c r="E90" i="41"/>
  <c r="F90" i="41" s="1"/>
  <c r="D26" i="41"/>
  <c r="E85" i="41"/>
  <c r="F85" i="41" s="1"/>
  <c r="E91" i="41"/>
  <c r="F91" i="41" s="1"/>
  <c r="E86" i="41"/>
  <c r="F86" i="41" s="1"/>
  <c r="E87" i="41"/>
  <c r="F87" i="41" s="1"/>
  <c r="E93" i="41"/>
  <c r="F93" i="41" s="1"/>
  <c r="E92" i="41"/>
  <c r="F92" i="41" s="1"/>
  <c r="E72" i="41"/>
  <c r="F72" i="41" s="1"/>
  <c r="E75" i="41"/>
  <c r="F75" i="41" s="1"/>
  <c r="E73" i="41"/>
  <c r="F73" i="41" s="1"/>
  <c r="E68" i="41"/>
  <c r="F68" i="41" s="1"/>
  <c r="E71" i="41"/>
  <c r="F71" i="41" s="1"/>
  <c r="E69" i="41"/>
  <c r="F69" i="41" s="1"/>
  <c r="E74" i="41"/>
  <c r="F74" i="41" s="1"/>
  <c r="E76" i="41"/>
  <c r="F76" i="41" s="1"/>
  <c r="E70" i="41"/>
  <c r="F70" i="41" s="1"/>
  <c r="E55" i="41"/>
  <c r="F55" i="41" s="1"/>
  <c r="E54" i="41"/>
  <c r="F54" i="41" s="1"/>
  <c r="E56" i="41"/>
  <c r="F56" i="41" s="1"/>
  <c r="E51" i="41"/>
  <c r="F51" i="41" s="1"/>
  <c r="D21" i="41"/>
  <c r="E59" i="41"/>
  <c r="F59" i="41" s="1"/>
  <c r="E52" i="41"/>
  <c r="E23" i="41" s="1"/>
  <c r="D23" i="41"/>
  <c r="E58" i="41"/>
  <c r="F58" i="41" s="1"/>
  <c r="F44" i="41"/>
  <c r="O107" i="40"/>
  <c r="O22" i="40" s="1"/>
  <c r="O111" i="40"/>
  <c r="O26" i="40" s="1"/>
  <c r="M21" i="40"/>
  <c r="N106" i="40"/>
  <c r="N21" i="40" s="1"/>
  <c r="N108" i="40"/>
  <c r="N23" i="40" s="1"/>
  <c r="M23" i="40"/>
  <c r="M17" i="40"/>
  <c r="N102" i="40"/>
  <c r="O102" i="40" s="1"/>
  <c r="N104" i="40"/>
  <c r="N19" i="40" s="1"/>
  <c r="M19" i="40"/>
  <c r="N103" i="40"/>
  <c r="N18" i="40" s="1"/>
  <c r="M18" i="40"/>
  <c r="N109" i="40"/>
  <c r="N24" i="40" s="1"/>
  <c r="M24" i="40"/>
  <c r="N110" i="40"/>
  <c r="O110" i="40" s="1"/>
  <c r="N105" i="40"/>
  <c r="N20" i="40" s="1"/>
  <c r="M20" i="40"/>
  <c r="N89" i="40"/>
  <c r="O89" i="40" s="1"/>
  <c r="N91" i="40"/>
  <c r="O91" i="40" s="1"/>
  <c r="N90" i="40"/>
  <c r="O90" i="40" s="1"/>
  <c r="N85" i="40"/>
  <c r="O85" i="40" s="1"/>
  <c r="N87" i="40"/>
  <c r="O87" i="40" s="1"/>
  <c r="N86" i="40"/>
  <c r="O86" i="40" s="1"/>
  <c r="N92" i="40"/>
  <c r="O92" i="40" s="1"/>
  <c r="N93" i="40"/>
  <c r="O93" i="40" s="1"/>
  <c r="N88" i="40"/>
  <c r="O88" i="40" s="1"/>
  <c r="N76" i="40"/>
  <c r="O76" i="40" s="1"/>
  <c r="N75" i="40"/>
  <c r="O75" i="40" s="1"/>
  <c r="N73" i="40"/>
  <c r="O73" i="40" s="1"/>
  <c r="N72" i="40"/>
  <c r="O72" i="40" s="1"/>
  <c r="N71" i="40"/>
  <c r="O71" i="40" s="1"/>
  <c r="N69" i="40"/>
  <c r="O69" i="40" s="1"/>
  <c r="N68" i="40"/>
  <c r="O68" i="40" s="1"/>
  <c r="M25" i="40"/>
  <c r="N74" i="40"/>
  <c r="O74" i="40" s="1"/>
  <c r="N70" i="40"/>
  <c r="O70" i="40" s="1"/>
  <c r="N57" i="40"/>
  <c r="O57" i="40" s="1"/>
  <c r="N54" i="40"/>
  <c r="O54" i="40" s="1"/>
  <c r="N53" i="40"/>
  <c r="O53" i="40" s="1"/>
  <c r="N55" i="40"/>
  <c r="O55" i="40" s="1"/>
  <c r="N58" i="40"/>
  <c r="O58" i="40" s="1"/>
  <c r="N51" i="40"/>
  <c r="O51" i="40" s="1"/>
  <c r="N39" i="40"/>
  <c r="O39" i="40" s="1"/>
  <c r="N34" i="40"/>
  <c r="O34" i="40" s="1"/>
  <c r="N40" i="40"/>
  <c r="O40" i="40" s="1"/>
  <c r="N37" i="40"/>
  <c r="O37" i="40" s="1"/>
  <c r="N35" i="40"/>
  <c r="O35" i="40" s="1"/>
  <c r="N36" i="40"/>
  <c r="O36" i="40" s="1"/>
  <c r="N38" i="40"/>
  <c r="O38" i="40" s="1"/>
  <c r="N42" i="40"/>
  <c r="O42" i="40" s="1"/>
  <c r="N41" i="40"/>
  <c r="O41" i="40" s="1"/>
  <c r="O44" i="22"/>
  <c r="G3" i="22" s="1"/>
  <c r="F111" i="40"/>
  <c r="F26" i="40" s="1"/>
  <c r="L111" i="40"/>
  <c r="L26" i="40" s="1"/>
  <c r="J22" i="40"/>
  <c r="K107" i="40"/>
  <c r="K22" i="40" s="1"/>
  <c r="J21" i="40"/>
  <c r="K106" i="40"/>
  <c r="K21" i="40" s="1"/>
  <c r="J23" i="40"/>
  <c r="K108" i="40"/>
  <c r="K23" i="40" s="1"/>
  <c r="K103" i="40"/>
  <c r="K18" i="40" s="1"/>
  <c r="J18" i="40"/>
  <c r="J17" i="40"/>
  <c r="K102" i="40"/>
  <c r="L102" i="40" s="1"/>
  <c r="J19" i="40"/>
  <c r="K104" i="40"/>
  <c r="K19" i="40" s="1"/>
  <c r="K109" i="40"/>
  <c r="K24" i="40" s="1"/>
  <c r="J24" i="40"/>
  <c r="K110" i="40"/>
  <c r="L110" i="40" s="1"/>
  <c r="K105" i="40"/>
  <c r="K20" i="40" s="1"/>
  <c r="J20" i="40"/>
  <c r="K88" i="40"/>
  <c r="L88" i="40" s="1"/>
  <c r="K90" i="40"/>
  <c r="L90" i="40" s="1"/>
  <c r="K89" i="40"/>
  <c r="L89" i="40" s="1"/>
  <c r="K91" i="40"/>
  <c r="L91" i="40" s="1"/>
  <c r="K86" i="40"/>
  <c r="L86" i="40" s="1"/>
  <c r="K85" i="40"/>
  <c r="L85" i="40" s="1"/>
  <c r="K93" i="40"/>
  <c r="L93" i="40" s="1"/>
  <c r="K87" i="40"/>
  <c r="L87" i="40" s="1"/>
  <c r="K92" i="40"/>
  <c r="L92" i="40" s="1"/>
  <c r="K71" i="40"/>
  <c r="L71" i="40" s="1"/>
  <c r="K72" i="40"/>
  <c r="L72" i="40" s="1"/>
  <c r="K73" i="40"/>
  <c r="L73" i="40" s="1"/>
  <c r="K68" i="40"/>
  <c r="L68" i="40" s="1"/>
  <c r="J25" i="40"/>
  <c r="K70" i="40"/>
  <c r="L70" i="40" s="1"/>
  <c r="K69" i="40"/>
  <c r="L69" i="40" s="1"/>
  <c r="K74" i="40"/>
  <c r="L74" i="40" s="1"/>
  <c r="K76" i="40"/>
  <c r="L76" i="40" s="1"/>
  <c r="K75" i="40"/>
  <c r="L75" i="40" s="1"/>
  <c r="K58" i="40"/>
  <c r="L58" i="40" s="1"/>
  <c r="K53" i="40"/>
  <c r="L53" i="40" s="1"/>
  <c r="K55" i="40"/>
  <c r="L55" i="40" s="1"/>
  <c r="K54" i="40"/>
  <c r="L54" i="40" s="1"/>
  <c r="K51" i="40"/>
  <c r="L51" i="40" s="1"/>
  <c r="K57" i="40"/>
  <c r="L57" i="40" s="1"/>
  <c r="K38" i="40"/>
  <c r="L38" i="40" s="1"/>
  <c r="K37" i="40"/>
  <c r="L37" i="40" s="1"/>
  <c r="K39" i="40"/>
  <c r="L39" i="40" s="1"/>
  <c r="K34" i="40"/>
  <c r="L34" i="40" s="1"/>
  <c r="K40" i="40"/>
  <c r="L40" i="40" s="1"/>
  <c r="K35" i="40"/>
  <c r="L35" i="40" s="1"/>
  <c r="K36" i="40"/>
  <c r="L36" i="40" s="1"/>
  <c r="K42" i="40"/>
  <c r="L42" i="40" s="1"/>
  <c r="K41" i="40"/>
  <c r="L41" i="40" s="1"/>
  <c r="G17" i="40"/>
  <c r="H102" i="40"/>
  <c r="I102" i="40" s="1"/>
  <c r="H103" i="40"/>
  <c r="H18" i="40" s="1"/>
  <c r="G18" i="40"/>
  <c r="H104" i="40"/>
  <c r="H19" i="40" s="1"/>
  <c r="G19" i="40"/>
  <c r="H107" i="40"/>
  <c r="H22" i="40" s="1"/>
  <c r="G22" i="40"/>
  <c r="H108" i="40"/>
  <c r="H23" i="40" s="1"/>
  <c r="G23" i="40"/>
  <c r="H110" i="40"/>
  <c r="I110" i="40" s="1"/>
  <c r="H109" i="40"/>
  <c r="H24" i="40" s="1"/>
  <c r="G24" i="40"/>
  <c r="G21" i="40"/>
  <c r="H106" i="40"/>
  <c r="H21" i="40" s="1"/>
  <c r="H105" i="40"/>
  <c r="H20" i="40" s="1"/>
  <c r="G20" i="40"/>
  <c r="H93" i="40"/>
  <c r="I93" i="40" s="1"/>
  <c r="H88" i="40"/>
  <c r="I88" i="40" s="1"/>
  <c r="H86" i="40"/>
  <c r="I86" i="40" s="1"/>
  <c r="H92" i="40"/>
  <c r="I92" i="40" s="1"/>
  <c r="H89" i="40"/>
  <c r="I89" i="40" s="1"/>
  <c r="H90" i="40"/>
  <c r="I90" i="40" s="1"/>
  <c r="H85" i="40"/>
  <c r="I85" i="40" s="1"/>
  <c r="H69" i="40"/>
  <c r="I69" i="40" s="1"/>
  <c r="G25" i="40"/>
  <c r="H68" i="40"/>
  <c r="I68" i="40" s="1"/>
  <c r="H71" i="40"/>
  <c r="I71" i="40" s="1"/>
  <c r="H75" i="40"/>
  <c r="I75" i="40" s="1"/>
  <c r="H76" i="40"/>
  <c r="I76" i="40" s="1"/>
  <c r="H73" i="40"/>
  <c r="I73" i="40" s="1"/>
  <c r="H72" i="40"/>
  <c r="I72" i="40" s="1"/>
  <c r="H54" i="40"/>
  <c r="I54" i="40" s="1"/>
  <c r="H57" i="40"/>
  <c r="I57" i="40" s="1"/>
  <c r="H55" i="40"/>
  <c r="I55" i="40" s="1"/>
  <c r="H51" i="40"/>
  <c r="I51" i="40" s="1"/>
  <c r="H53" i="40"/>
  <c r="I53" i="40" s="1"/>
  <c r="H58" i="40"/>
  <c r="I58" i="40" s="1"/>
  <c r="H56" i="40"/>
  <c r="I56" i="40" s="1"/>
  <c r="H38" i="40"/>
  <c r="I38" i="40" s="1"/>
  <c r="H41" i="40"/>
  <c r="I41" i="40" s="1"/>
  <c r="H39" i="40"/>
  <c r="I39" i="40" s="1"/>
  <c r="H34" i="40"/>
  <c r="I34" i="40" s="1"/>
  <c r="H37" i="40"/>
  <c r="I37" i="40" s="1"/>
  <c r="H35" i="40"/>
  <c r="I35" i="40" s="1"/>
  <c r="H42" i="40"/>
  <c r="I42" i="40" s="1"/>
  <c r="E107" i="40"/>
  <c r="E22" i="40" s="1"/>
  <c r="D22" i="40"/>
  <c r="D17" i="40"/>
  <c r="E102" i="40"/>
  <c r="F102" i="40" s="1"/>
  <c r="F104" i="40"/>
  <c r="F19" i="40" s="1"/>
  <c r="E110" i="40"/>
  <c r="F110" i="40" s="1"/>
  <c r="E105" i="40"/>
  <c r="E20" i="40" s="1"/>
  <c r="D20" i="40"/>
  <c r="E103" i="40"/>
  <c r="E18" i="40" s="1"/>
  <c r="D18" i="40"/>
  <c r="D24" i="40"/>
  <c r="E109" i="40"/>
  <c r="E24" i="40" s="1"/>
  <c r="E106" i="40"/>
  <c r="E21" i="40" s="1"/>
  <c r="D21" i="40"/>
  <c r="F108" i="40"/>
  <c r="F23" i="40" s="1"/>
  <c r="E86" i="40"/>
  <c r="F86" i="40" s="1"/>
  <c r="E92" i="40"/>
  <c r="F92" i="40" s="1"/>
  <c r="E93" i="40"/>
  <c r="F93" i="40" s="1"/>
  <c r="E88" i="40"/>
  <c r="F88" i="40" s="1"/>
  <c r="E89" i="40"/>
  <c r="F89" i="40" s="1"/>
  <c r="E90" i="40"/>
  <c r="F90" i="40" s="1"/>
  <c r="E85" i="40"/>
  <c r="E73" i="40"/>
  <c r="F73" i="40" s="1"/>
  <c r="E76" i="40"/>
  <c r="F76" i="40" s="1"/>
  <c r="E68" i="40"/>
  <c r="F68" i="40" s="1"/>
  <c r="D25" i="40"/>
  <c r="E69" i="40"/>
  <c r="F69" i="40" s="1"/>
  <c r="E72" i="40"/>
  <c r="F72" i="40" s="1"/>
  <c r="E75" i="40"/>
  <c r="F75" i="40" s="1"/>
  <c r="E71" i="40"/>
  <c r="F71" i="40" s="1"/>
  <c r="E51" i="40"/>
  <c r="E53" i="40"/>
  <c r="F53" i="40" s="1"/>
  <c r="E55" i="40"/>
  <c r="F55" i="40" s="1"/>
  <c r="E57" i="40"/>
  <c r="F57" i="40" s="1"/>
  <c r="E58" i="40"/>
  <c r="F58" i="40" s="1"/>
  <c r="E54" i="40"/>
  <c r="F54" i="40" s="1"/>
  <c r="E35" i="40"/>
  <c r="F35" i="40" s="1"/>
  <c r="E42" i="40"/>
  <c r="F42" i="40" s="1"/>
  <c r="E39" i="40"/>
  <c r="F39" i="40" s="1"/>
  <c r="E34" i="40"/>
  <c r="E38" i="40"/>
  <c r="F38" i="40" s="1"/>
  <c r="E41" i="40"/>
  <c r="F41" i="40" s="1"/>
  <c r="E37" i="40"/>
  <c r="F37" i="40" s="1"/>
  <c r="O70" i="38"/>
  <c r="O26" i="38" s="1"/>
  <c r="O88" i="36"/>
  <c r="O21" i="36" s="1"/>
  <c r="L104" i="38"/>
  <c r="L18" i="38" s="1"/>
  <c r="L95" i="22"/>
  <c r="N44" i="38"/>
  <c r="N23" i="38"/>
  <c r="O44" i="38"/>
  <c r="O23" i="38"/>
  <c r="N68" i="38"/>
  <c r="O68" i="38" s="1"/>
  <c r="M20" i="38"/>
  <c r="N69" i="38"/>
  <c r="N25" i="38" s="1"/>
  <c r="M25" i="38"/>
  <c r="N110" i="38"/>
  <c r="N24" i="38" s="1"/>
  <c r="M24" i="38"/>
  <c r="N106" i="38"/>
  <c r="O106" i="38" s="1"/>
  <c r="N108" i="38"/>
  <c r="N22" i="38" s="1"/>
  <c r="M22" i="38"/>
  <c r="M21" i="38"/>
  <c r="N107" i="38"/>
  <c r="N21" i="38" s="1"/>
  <c r="N102" i="38"/>
  <c r="O102" i="38" s="1"/>
  <c r="N104" i="38"/>
  <c r="N18" i="38" s="1"/>
  <c r="M18" i="38"/>
  <c r="M19" i="38"/>
  <c r="N105" i="38"/>
  <c r="N19" i="38" s="1"/>
  <c r="M17" i="38"/>
  <c r="N103" i="38"/>
  <c r="N17" i="38" s="1"/>
  <c r="N109" i="38"/>
  <c r="O109" i="38" s="1"/>
  <c r="J17" i="38"/>
  <c r="K103" i="38"/>
  <c r="K17" i="38" s="1"/>
  <c r="K109" i="38"/>
  <c r="L109" i="38" s="1"/>
  <c r="K110" i="38"/>
  <c r="K24" i="38" s="1"/>
  <c r="J24" i="38"/>
  <c r="J19" i="38"/>
  <c r="K105" i="38"/>
  <c r="K19" i="38" s="1"/>
  <c r="K107" i="38"/>
  <c r="K21" i="38" s="1"/>
  <c r="J21" i="38"/>
  <c r="K102" i="38"/>
  <c r="L102" i="38" s="1"/>
  <c r="K106" i="38"/>
  <c r="L106" i="38" s="1"/>
  <c r="K108" i="38"/>
  <c r="K22" i="38" s="1"/>
  <c r="J22" i="38"/>
  <c r="L70" i="38"/>
  <c r="L26" i="38" s="1"/>
  <c r="J20" i="38"/>
  <c r="K68" i="38"/>
  <c r="L68" i="38" s="1"/>
  <c r="K69" i="38"/>
  <c r="K25" i="38" s="1"/>
  <c r="J25" i="38"/>
  <c r="L44" i="38"/>
  <c r="L23" i="38"/>
  <c r="K44" i="38"/>
  <c r="K23" i="38"/>
  <c r="H68" i="38"/>
  <c r="I68" i="38" s="1"/>
  <c r="G20" i="38"/>
  <c r="G25" i="38"/>
  <c r="H69" i="38"/>
  <c r="H25" i="38" s="1"/>
  <c r="I44" i="38"/>
  <c r="I23" i="38"/>
  <c r="H44" i="38"/>
  <c r="H23" i="38"/>
  <c r="I104" i="38"/>
  <c r="I18" i="38" s="1"/>
  <c r="H103" i="38"/>
  <c r="H17" i="38" s="1"/>
  <c r="G17" i="38"/>
  <c r="H109" i="38"/>
  <c r="I109" i="38" s="1"/>
  <c r="H110" i="38"/>
  <c r="H24" i="38" s="1"/>
  <c r="G24" i="38"/>
  <c r="G19" i="38"/>
  <c r="H105" i="38"/>
  <c r="H19" i="38" s="1"/>
  <c r="H106" i="38"/>
  <c r="I106" i="38" s="1"/>
  <c r="H108" i="38"/>
  <c r="H22" i="38" s="1"/>
  <c r="G22" i="38"/>
  <c r="H107" i="38"/>
  <c r="H21" i="38" s="1"/>
  <c r="G21" i="38"/>
  <c r="H102" i="38"/>
  <c r="I102" i="38" s="1"/>
  <c r="D21" i="38"/>
  <c r="E107" i="38"/>
  <c r="E21" i="38" s="1"/>
  <c r="D24" i="38"/>
  <c r="E110" i="38"/>
  <c r="E24" i="38" s="1"/>
  <c r="D17" i="38"/>
  <c r="E103" i="38"/>
  <c r="E17" i="38" s="1"/>
  <c r="E106" i="38"/>
  <c r="F106" i="38" s="1"/>
  <c r="F104" i="38"/>
  <c r="F18" i="38" s="1"/>
  <c r="D19" i="38"/>
  <c r="E105" i="38"/>
  <c r="E19" i="38" s="1"/>
  <c r="E109" i="38"/>
  <c r="F109" i="38" s="1"/>
  <c r="E102" i="38"/>
  <c r="F108" i="38"/>
  <c r="F22" i="38" s="1"/>
  <c r="F70" i="38"/>
  <c r="F26" i="38" s="1"/>
  <c r="F69" i="38"/>
  <c r="F25" i="38" s="1"/>
  <c r="E68" i="38"/>
  <c r="F68" i="38" s="1"/>
  <c r="D20" i="38"/>
  <c r="F44" i="38"/>
  <c r="F23" i="38"/>
  <c r="E44" i="38"/>
  <c r="E23" i="38"/>
  <c r="O27" i="21"/>
  <c r="I112" i="21"/>
  <c r="E27" i="21"/>
  <c r="I27" i="21"/>
  <c r="K27" i="21"/>
  <c r="H27" i="21"/>
  <c r="O112" i="21"/>
  <c r="G11" i="21" s="1"/>
  <c r="N27" i="21"/>
  <c r="I20" i="30"/>
  <c r="I27" i="30" s="1"/>
  <c r="G9" i="30"/>
  <c r="G9" i="29"/>
  <c r="G7" i="29"/>
  <c r="N102" i="36"/>
  <c r="O102" i="36" s="1"/>
  <c r="N108" i="36"/>
  <c r="O108" i="36" s="1"/>
  <c r="N110" i="36"/>
  <c r="O110" i="36" s="1"/>
  <c r="N109" i="36"/>
  <c r="N23" i="36" s="1"/>
  <c r="M23" i="36"/>
  <c r="N107" i="36"/>
  <c r="O107" i="36" s="1"/>
  <c r="N103" i="36"/>
  <c r="O103" i="36" s="1"/>
  <c r="N106" i="36"/>
  <c r="N22" i="36" s="1"/>
  <c r="M22" i="36"/>
  <c r="N105" i="36"/>
  <c r="O105" i="36" s="1"/>
  <c r="N87" i="36"/>
  <c r="N20" i="36" s="1"/>
  <c r="M20" i="36"/>
  <c r="N86" i="36"/>
  <c r="N19" i="36" s="1"/>
  <c r="M19" i="36"/>
  <c r="N69" i="36"/>
  <c r="O69" i="36" s="1"/>
  <c r="N68" i="36"/>
  <c r="N51" i="36"/>
  <c r="N61" i="36" s="1"/>
  <c r="N44" i="36"/>
  <c r="N18" i="36"/>
  <c r="O44" i="36"/>
  <c r="O18" i="36"/>
  <c r="I44" i="30"/>
  <c r="L27" i="21"/>
  <c r="L112" i="21"/>
  <c r="G3" i="29"/>
  <c r="O95" i="22"/>
  <c r="G9" i="22" s="1"/>
  <c r="I18" i="36"/>
  <c r="I27" i="36" s="1"/>
  <c r="L44" i="36"/>
  <c r="L18" i="36"/>
  <c r="L27" i="36" s="1"/>
  <c r="D24" i="36"/>
  <c r="E110" i="36"/>
  <c r="E24" i="36" s="1"/>
  <c r="E106" i="36"/>
  <c r="E22" i="36" s="1"/>
  <c r="D22" i="36"/>
  <c r="E107" i="36"/>
  <c r="F107" i="36" s="1"/>
  <c r="E102" i="36"/>
  <c r="E103" i="36"/>
  <c r="F103" i="36" s="1"/>
  <c r="E109" i="36"/>
  <c r="E23" i="36" s="1"/>
  <c r="D23" i="36"/>
  <c r="E105" i="36"/>
  <c r="F105" i="36" s="1"/>
  <c r="D19" i="36"/>
  <c r="E86" i="36"/>
  <c r="E19" i="36" s="1"/>
  <c r="E87" i="36"/>
  <c r="E20" i="36" s="1"/>
  <c r="D20" i="36"/>
  <c r="E85" i="36"/>
  <c r="F88" i="36"/>
  <c r="F21" i="36" s="1"/>
  <c r="E69" i="36"/>
  <c r="F69" i="36" s="1"/>
  <c r="E68" i="36"/>
  <c r="F52" i="36"/>
  <c r="F17" i="36" s="1"/>
  <c r="E51" i="36"/>
  <c r="E61" i="36" s="1"/>
  <c r="F44" i="36"/>
  <c r="F18" i="36"/>
  <c r="E44" i="36"/>
  <c r="E18" i="36"/>
  <c r="O27" i="22"/>
  <c r="I44" i="22"/>
  <c r="K27" i="22"/>
  <c r="I95" i="22"/>
  <c r="E27" i="22"/>
  <c r="H27" i="22"/>
  <c r="G3" i="21"/>
  <c r="L18" i="30"/>
  <c r="L44" i="30"/>
  <c r="G3" i="30" s="1"/>
  <c r="G11" i="30"/>
  <c r="G5" i="29"/>
  <c r="F44" i="30"/>
  <c r="G7" i="22"/>
  <c r="L61" i="22"/>
  <c r="L20" i="22"/>
  <c r="L27" i="22" s="1"/>
  <c r="I61" i="22"/>
  <c r="I20" i="22"/>
  <c r="I27" i="22" s="1"/>
  <c r="G11" i="22"/>
  <c r="F61" i="22"/>
  <c r="F20" i="22"/>
  <c r="F27" i="22" s="1"/>
  <c r="H27" i="30"/>
  <c r="F20" i="30"/>
  <c r="F27" i="30" s="1"/>
  <c r="F61" i="30"/>
  <c r="L20" i="30"/>
  <c r="L61" i="30"/>
  <c r="G5" i="30" s="1"/>
  <c r="F112" i="21"/>
  <c r="L106" i="56" l="1"/>
  <c r="L21" i="56" s="1"/>
  <c r="L103" i="56"/>
  <c r="L18" i="56" s="1"/>
  <c r="L112" i="56"/>
  <c r="L17" i="56"/>
  <c r="K112" i="56"/>
  <c r="K17" i="56"/>
  <c r="K95" i="56"/>
  <c r="L95" i="56"/>
  <c r="K78" i="56"/>
  <c r="K22" i="56"/>
  <c r="L78" i="56"/>
  <c r="L22" i="56"/>
  <c r="L27" i="56" s="1"/>
  <c r="L61" i="56"/>
  <c r="K61" i="56"/>
  <c r="L44" i="56"/>
  <c r="K44" i="56"/>
  <c r="I103" i="56"/>
  <c r="I18" i="56" s="1"/>
  <c r="I110" i="56"/>
  <c r="I25" i="56" s="1"/>
  <c r="I105" i="56"/>
  <c r="I20" i="56" s="1"/>
  <c r="I17" i="56"/>
  <c r="H112" i="56"/>
  <c r="H17" i="56"/>
  <c r="H95" i="56"/>
  <c r="I95" i="56"/>
  <c r="I69" i="56"/>
  <c r="I24" i="56" s="1"/>
  <c r="H78" i="56"/>
  <c r="H22" i="56"/>
  <c r="I78" i="56"/>
  <c r="I22" i="56"/>
  <c r="H61" i="56"/>
  <c r="I61" i="56"/>
  <c r="H44" i="56"/>
  <c r="I44" i="56"/>
  <c r="F104" i="56"/>
  <c r="F19" i="56" s="1"/>
  <c r="F108" i="56"/>
  <c r="F23" i="56" s="1"/>
  <c r="F112" i="56"/>
  <c r="F17" i="56"/>
  <c r="E112" i="56"/>
  <c r="E17" i="56"/>
  <c r="E95" i="56"/>
  <c r="F95" i="56"/>
  <c r="F69" i="56"/>
  <c r="F24" i="56" s="1"/>
  <c r="E78" i="56"/>
  <c r="E22" i="56"/>
  <c r="F22" i="56"/>
  <c r="F61" i="56"/>
  <c r="G5" i="56" s="1"/>
  <c r="E61" i="56"/>
  <c r="F44" i="56"/>
  <c r="E44" i="56"/>
  <c r="N112" i="55"/>
  <c r="O112" i="55"/>
  <c r="N95" i="55"/>
  <c r="O95" i="55"/>
  <c r="O78" i="55"/>
  <c r="N78" i="55"/>
  <c r="O55" i="55"/>
  <c r="O23" i="55" s="1"/>
  <c r="O56" i="55"/>
  <c r="O24" i="55" s="1"/>
  <c r="O52" i="55"/>
  <c r="O20" i="55" s="1"/>
  <c r="N19" i="55"/>
  <c r="N27" i="55" s="1"/>
  <c r="N61" i="55"/>
  <c r="O19" i="55"/>
  <c r="O61" i="55"/>
  <c r="O42" i="55"/>
  <c r="O17" i="55" s="1"/>
  <c r="N44" i="55"/>
  <c r="O44" i="55"/>
  <c r="O53" i="52"/>
  <c r="O22" i="52" s="1"/>
  <c r="L37" i="53"/>
  <c r="L18" i="53" s="1"/>
  <c r="L54" i="55"/>
  <c r="L22" i="55" s="1"/>
  <c r="K61" i="48"/>
  <c r="L70" i="52"/>
  <c r="L20" i="52" s="1"/>
  <c r="O40" i="53"/>
  <c r="O25" i="53" s="1"/>
  <c r="O37" i="53"/>
  <c r="O18" i="53" s="1"/>
  <c r="F42" i="55"/>
  <c r="F17" i="55" s="1"/>
  <c r="O105" i="47"/>
  <c r="O18" i="47" s="1"/>
  <c r="O108" i="49"/>
  <c r="O20" i="49" s="1"/>
  <c r="F37" i="51"/>
  <c r="F26" i="51" s="1"/>
  <c r="L110" i="52"/>
  <c r="L19" i="52" s="1"/>
  <c r="F36" i="53"/>
  <c r="F17" i="53" s="1"/>
  <c r="F70" i="53"/>
  <c r="F26" i="53" s="1"/>
  <c r="L36" i="53"/>
  <c r="L17" i="53" s="1"/>
  <c r="F57" i="55"/>
  <c r="F25" i="55" s="1"/>
  <c r="F54" i="55"/>
  <c r="F22" i="55" s="1"/>
  <c r="K112" i="55"/>
  <c r="L112" i="55"/>
  <c r="K95" i="55"/>
  <c r="L95" i="55"/>
  <c r="K78" i="55"/>
  <c r="L68" i="55"/>
  <c r="L78" i="55"/>
  <c r="L55" i="55"/>
  <c r="L23" i="55" s="1"/>
  <c r="L56" i="55"/>
  <c r="L24" i="55" s="1"/>
  <c r="L52" i="55"/>
  <c r="L20" i="55" s="1"/>
  <c r="L53" i="55"/>
  <c r="L21" i="55" s="1"/>
  <c r="L19" i="55"/>
  <c r="K61" i="55"/>
  <c r="K19" i="55"/>
  <c r="K27" i="55" s="1"/>
  <c r="L42" i="55"/>
  <c r="L17" i="55" s="1"/>
  <c r="K44" i="55"/>
  <c r="I55" i="55"/>
  <c r="I23" i="55" s="1"/>
  <c r="H112" i="55"/>
  <c r="I112" i="55"/>
  <c r="H95" i="55"/>
  <c r="I95" i="55"/>
  <c r="I78" i="55"/>
  <c r="H78" i="55"/>
  <c r="I57" i="55"/>
  <c r="I25" i="55" s="1"/>
  <c r="I54" i="55"/>
  <c r="I22" i="55" s="1"/>
  <c r="I58" i="55"/>
  <c r="I26" i="55" s="1"/>
  <c r="I53" i="55"/>
  <c r="I21" i="55" s="1"/>
  <c r="I56" i="55"/>
  <c r="I24" i="55" s="1"/>
  <c r="I20" i="55"/>
  <c r="H20" i="55"/>
  <c r="H27" i="55" s="1"/>
  <c r="H61" i="55"/>
  <c r="I42" i="55"/>
  <c r="I17" i="55" s="1"/>
  <c r="H44" i="55"/>
  <c r="E112" i="55"/>
  <c r="F112" i="55"/>
  <c r="E95" i="55"/>
  <c r="F95" i="55"/>
  <c r="F78" i="55"/>
  <c r="G7" i="55" s="1"/>
  <c r="E78" i="55"/>
  <c r="F55" i="55"/>
  <c r="F23" i="55" s="1"/>
  <c r="E61" i="55"/>
  <c r="F61" i="55"/>
  <c r="E27" i="55"/>
  <c r="E44" i="55"/>
  <c r="N112" i="53"/>
  <c r="O112" i="53"/>
  <c r="O95" i="53"/>
  <c r="N95" i="53"/>
  <c r="O19" i="53"/>
  <c r="O78" i="53"/>
  <c r="N19" i="53"/>
  <c r="N27" i="53" s="1"/>
  <c r="N78" i="53"/>
  <c r="O61" i="53"/>
  <c r="N61" i="53"/>
  <c r="O38" i="53"/>
  <c r="O21" i="53" s="1"/>
  <c r="O39" i="53"/>
  <c r="O23" i="53" s="1"/>
  <c r="N44" i="53"/>
  <c r="L36" i="51"/>
  <c r="L25" i="51" s="1"/>
  <c r="O36" i="51"/>
  <c r="O25" i="51" s="1"/>
  <c r="O70" i="52"/>
  <c r="O20" i="52" s="1"/>
  <c r="I40" i="53"/>
  <c r="I25" i="53" s="1"/>
  <c r="L108" i="49"/>
  <c r="L20" i="49" s="1"/>
  <c r="I106" i="51"/>
  <c r="I19" i="51" s="1"/>
  <c r="O73" i="51"/>
  <c r="O22" i="51" s="1"/>
  <c r="I70" i="52"/>
  <c r="I20" i="52" s="1"/>
  <c r="O109" i="52"/>
  <c r="O18" i="52" s="1"/>
  <c r="O52" i="52"/>
  <c r="O21" i="52" s="1"/>
  <c r="I36" i="53"/>
  <c r="I17" i="53" s="1"/>
  <c r="L107" i="53"/>
  <c r="L20" i="53" s="1"/>
  <c r="L109" i="53"/>
  <c r="L22" i="53" s="1"/>
  <c r="K112" i="53"/>
  <c r="L112" i="53"/>
  <c r="K95" i="53"/>
  <c r="L95" i="53"/>
  <c r="L78" i="53"/>
  <c r="L19" i="53"/>
  <c r="K78" i="53"/>
  <c r="K19" i="53"/>
  <c r="K27" i="53" s="1"/>
  <c r="K61" i="53"/>
  <c r="L61" i="53"/>
  <c r="L39" i="53"/>
  <c r="L23" i="53" s="1"/>
  <c r="L40" i="53"/>
  <c r="L25" i="53" s="1"/>
  <c r="L38" i="53"/>
  <c r="L21" i="53" s="1"/>
  <c r="K44" i="53"/>
  <c r="I109" i="53"/>
  <c r="I22" i="53" s="1"/>
  <c r="H112" i="53"/>
  <c r="H95" i="53"/>
  <c r="I95" i="53"/>
  <c r="I70" i="53"/>
  <c r="I26" i="53" s="1"/>
  <c r="H78" i="53"/>
  <c r="H19" i="53"/>
  <c r="H27" i="53" s="1"/>
  <c r="I78" i="53"/>
  <c r="I19" i="53"/>
  <c r="I61" i="53"/>
  <c r="H61" i="53"/>
  <c r="I39" i="53"/>
  <c r="I23" i="53" s="1"/>
  <c r="I37" i="53"/>
  <c r="I18" i="53" s="1"/>
  <c r="H44" i="53"/>
  <c r="F107" i="53"/>
  <c r="F20" i="53" s="1"/>
  <c r="F109" i="53"/>
  <c r="F22" i="53" s="1"/>
  <c r="E112" i="53"/>
  <c r="F95" i="53"/>
  <c r="E95" i="53"/>
  <c r="E78" i="53"/>
  <c r="E19" i="53"/>
  <c r="E27" i="53" s="1"/>
  <c r="F78" i="53"/>
  <c r="G7" i="53" s="1"/>
  <c r="F19" i="53"/>
  <c r="E61" i="53"/>
  <c r="F61" i="53"/>
  <c r="F39" i="53"/>
  <c r="F23" i="53" s="1"/>
  <c r="F37" i="53"/>
  <c r="F18" i="53" s="1"/>
  <c r="F38" i="53"/>
  <c r="F21" i="53" s="1"/>
  <c r="E44" i="53"/>
  <c r="N95" i="52"/>
  <c r="O95" i="52"/>
  <c r="N78" i="52"/>
  <c r="N61" i="52"/>
  <c r="O44" i="52"/>
  <c r="N44" i="52"/>
  <c r="N27" i="52"/>
  <c r="N112" i="52"/>
  <c r="O112" i="52"/>
  <c r="I69" i="48"/>
  <c r="I19" i="48" s="1"/>
  <c r="I71" i="48"/>
  <c r="I24" i="48" s="1"/>
  <c r="O110" i="48"/>
  <c r="O23" i="48" s="1"/>
  <c r="F72" i="51"/>
  <c r="F21" i="51" s="1"/>
  <c r="L72" i="51"/>
  <c r="L21" i="51" s="1"/>
  <c r="L53" i="52"/>
  <c r="L22" i="52" s="1"/>
  <c r="L52" i="52"/>
  <c r="L21" i="52" s="1"/>
  <c r="G5" i="43"/>
  <c r="L35" i="51"/>
  <c r="L23" i="51" s="1"/>
  <c r="I52" i="52"/>
  <c r="I21" i="52" s="1"/>
  <c r="I107" i="52"/>
  <c r="I17" i="52" s="1"/>
  <c r="L109" i="52"/>
  <c r="L18" i="52" s="1"/>
  <c r="O37" i="51"/>
  <c r="O26" i="51" s="1"/>
  <c r="O106" i="51"/>
  <c r="O19" i="51" s="1"/>
  <c r="K61" i="52"/>
  <c r="L112" i="52"/>
  <c r="K112" i="52"/>
  <c r="K95" i="52"/>
  <c r="L95" i="52"/>
  <c r="K78" i="52"/>
  <c r="L78" i="52"/>
  <c r="L51" i="52"/>
  <c r="L56" i="52"/>
  <c r="L25" i="52" s="1"/>
  <c r="K27" i="52"/>
  <c r="L44" i="52"/>
  <c r="K44" i="52"/>
  <c r="I110" i="52"/>
  <c r="I19" i="52" s="1"/>
  <c r="I109" i="52"/>
  <c r="I18" i="52" s="1"/>
  <c r="H112" i="52"/>
  <c r="H95" i="52"/>
  <c r="I95" i="52"/>
  <c r="H78" i="52"/>
  <c r="I78" i="52"/>
  <c r="I55" i="52"/>
  <c r="I24" i="52" s="1"/>
  <c r="H27" i="52"/>
  <c r="I53" i="52"/>
  <c r="I22" i="52" s="1"/>
  <c r="H61" i="52"/>
  <c r="I61" i="52"/>
  <c r="H44" i="52"/>
  <c r="I44" i="52"/>
  <c r="F110" i="52"/>
  <c r="F19" i="52" s="1"/>
  <c r="F107" i="52"/>
  <c r="F17" i="52" s="1"/>
  <c r="F109" i="52"/>
  <c r="F18" i="52" s="1"/>
  <c r="E112" i="52"/>
  <c r="F95" i="52"/>
  <c r="E95" i="52"/>
  <c r="F70" i="52"/>
  <c r="F20" i="52" s="1"/>
  <c r="E78" i="52"/>
  <c r="F52" i="52"/>
  <c r="F21" i="52" s="1"/>
  <c r="F56" i="52"/>
  <c r="F25" i="52" s="1"/>
  <c r="F53" i="52"/>
  <c r="F22" i="52" s="1"/>
  <c r="F55" i="52"/>
  <c r="F24" i="52" s="1"/>
  <c r="E27" i="52"/>
  <c r="E61" i="52"/>
  <c r="F44" i="52"/>
  <c r="E44" i="52"/>
  <c r="O112" i="51"/>
  <c r="N112" i="51"/>
  <c r="O95" i="51"/>
  <c r="N95" i="51"/>
  <c r="O72" i="51"/>
  <c r="O21" i="51" s="1"/>
  <c r="O71" i="51"/>
  <c r="O18" i="51" s="1"/>
  <c r="O74" i="51"/>
  <c r="O24" i="51" s="1"/>
  <c r="N78" i="51"/>
  <c r="N61" i="51"/>
  <c r="O61" i="51"/>
  <c r="O35" i="51"/>
  <c r="O23" i="51" s="1"/>
  <c r="O20" i="51"/>
  <c r="N20" i="51"/>
  <c r="N27" i="51" s="1"/>
  <c r="N44" i="51"/>
  <c r="F73" i="51"/>
  <c r="F22" i="51" s="1"/>
  <c r="I106" i="47"/>
  <c r="I19" i="47" s="1"/>
  <c r="F107" i="48"/>
  <c r="F20" i="48" s="1"/>
  <c r="F108" i="48"/>
  <c r="F21" i="48" s="1"/>
  <c r="O71" i="49"/>
  <c r="O19" i="49" s="1"/>
  <c r="F36" i="51"/>
  <c r="F25" i="51" s="1"/>
  <c r="E78" i="51"/>
  <c r="L70" i="51"/>
  <c r="L17" i="51" s="1"/>
  <c r="F88" i="47"/>
  <c r="F26" i="47" s="1"/>
  <c r="F106" i="47"/>
  <c r="F19" i="47" s="1"/>
  <c r="O70" i="47"/>
  <c r="O24" i="47" s="1"/>
  <c r="O69" i="47"/>
  <c r="O23" i="47" s="1"/>
  <c r="L106" i="51"/>
  <c r="L19" i="51" s="1"/>
  <c r="K112" i="51"/>
  <c r="L95" i="51"/>
  <c r="K95" i="51"/>
  <c r="L71" i="51"/>
  <c r="L18" i="51" s="1"/>
  <c r="L73" i="51"/>
  <c r="L22" i="51" s="1"/>
  <c r="K78" i="51"/>
  <c r="L61" i="51"/>
  <c r="K61" i="51"/>
  <c r="L37" i="51"/>
  <c r="L26" i="51" s="1"/>
  <c r="K44" i="51"/>
  <c r="K20" i="51"/>
  <c r="K27" i="51" s="1"/>
  <c r="L20" i="51"/>
  <c r="H112" i="51"/>
  <c r="I112" i="51"/>
  <c r="H95" i="51"/>
  <c r="I95" i="51"/>
  <c r="I72" i="51"/>
  <c r="I21" i="51" s="1"/>
  <c r="I74" i="51"/>
  <c r="I24" i="51" s="1"/>
  <c r="I71" i="51"/>
  <c r="I18" i="51" s="1"/>
  <c r="H78" i="51"/>
  <c r="H61" i="51"/>
  <c r="I61" i="51"/>
  <c r="I37" i="51"/>
  <c r="I26" i="51" s="1"/>
  <c r="I36" i="51"/>
  <c r="I25" i="51" s="1"/>
  <c r="I35" i="51"/>
  <c r="I23" i="51" s="1"/>
  <c r="I20" i="51"/>
  <c r="H44" i="51"/>
  <c r="H20" i="51"/>
  <c r="H27" i="51" s="1"/>
  <c r="F106" i="51"/>
  <c r="F19" i="51" s="1"/>
  <c r="E112" i="51"/>
  <c r="E95" i="51"/>
  <c r="F95" i="51"/>
  <c r="F68" i="51"/>
  <c r="F70" i="51"/>
  <c r="F17" i="51" s="1"/>
  <c r="F71" i="51"/>
  <c r="F18" i="51" s="1"/>
  <c r="E61" i="51"/>
  <c r="F61" i="51"/>
  <c r="F35" i="51"/>
  <c r="F23" i="51" s="1"/>
  <c r="F20" i="51"/>
  <c r="E44" i="51"/>
  <c r="E20" i="51"/>
  <c r="E27" i="51" s="1"/>
  <c r="O109" i="49"/>
  <c r="O22" i="49" s="1"/>
  <c r="O106" i="49"/>
  <c r="O18" i="49" s="1"/>
  <c r="N112" i="49"/>
  <c r="N95" i="49"/>
  <c r="O95" i="49"/>
  <c r="O72" i="49"/>
  <c r="O21" i="49" s="1"/>
  <c r="N78" i="49"/>
  <c r="N61" i="49"/>
  <c r="O61" i="49"/>
  <c r="N17" i="49"/>
  <c r="N27" i="49" s="1"/>
  <c r="N44" i="49"/>
  <c r="O44" i="49"/>
  <c r="O17" i="49"/>
  <c r="L69" i="47"/>
  <c r="L23" i="47" s="1"/>
  <c r="H112" i="48"/>
  <c r="O107" i="48"/>
  <c r="O20" i="48" s="1"/>
  <c r="F61" i="49"/>
  <c r="I109" i="49"/>
  <c r="I22" i="49" s="1"/>
  <c r="L72" i="49"/>
  <c r="L21" i="49" s="1"/>
  <c r="L109" i="47"/>
  <c r="L22" i="47" s="1"/>
  <c r="O86" i="47"/>
  <c r="O25" i="47" s="1"/>
  <c r="O104" i="47"/>
  <c r="O17" i="47" s="1"/>
  <c r="O106" i="47"/>
  <c r="O19" i="47" s="1"/>
  <c r="F105" i="48"/>
  <c r="F18" i="48" s="1"/>
  <c r="I108" i="48"/>
  <c r="I21" i="48" s="1"/>
  <c r="N61" i="48"/>
  <c r="O72" i="48"/>
  <c r="O25" i="48" s="1"/>
  <c r="I71" i="49"/>
  <c r="I19" i="49" s="1"/>
  <c r="L106" i="49"/>
  <c r="L18" i="49" s="1"/>
  <c r="K112" i="49"/>
  <c r="K95" i="49"/>
  <c r="L95" i="49"/>
  <c r="L71" i="49"/>
  <c r="L19" i="49" s="1"/>
  <c r="K78" i="49"/>
  <c r="K61" i="49"/>
  <c r="L61" i="49"/>
  <c r="L44" i="49"/>
  <c r="L17" i="49"/>
  <c r="K44" i="49"/>
  <c r="K17" i="49"/>
  <c r="K27" i="49" s="1"/>
  <c r="I106" i="49"/>
  <c r="I18" i="49" s="1"/>
  <c r="I108" i="49"/>
  <c r="I20" i="49" s="1"/>
  <c r="H112" i="49"/>
  <c r="H95" i="49"/>
  <c r="I95" i="49"/>
  <c r="I72" i="49"/>
  <c r="I21" i="49" s="1"/>
  <c r="H78" i="49"/>
  <c r="H61" i="49"/>
  <c r="I61" i="49"/>
  <c r="I44" i="49"/>
  <c r="I17" i="49"/>
  <c r="H44" i="49"/>
  <c r="H17" i="49"/>
  <c r="H27" i="49" s="1"/>
  <c r="F72" i="49"/>
  <c r="F21" i="49" s="1"/>
  <c r="F71" i="49"/>
  <c r="F19" i="49" s="1"/>
  <c r="E78" i="49"/>
  <c r="F108" i="49"/>
  <c r="F20" i="49" s="1"/>
  <c r="F106" i="49"/>
  <c r="F18" i="49" s="1"/>
  <c r="F109" i="49"/>
  <c r="F22" i="49" s="1"/>
  <c r="E112" i="49"/>
  <c r="E95" i="49"/>
  <c r="F95" i="49"/>
  <c r="E61" i="49"/>
  <c r="E44" i="49"/>
  <c r="E17" i="49"/>
  <c r="E27" i="49" s="1"/>
  <c r="F44" i="49"/>
  <c r="F17" i="49"/>
  <c r="O108" i="48"/>
  <c r="O21" i="48" s="1"/>
  <c r="O105" i="48"/>
  <c r="O18" i="48" s="1"/>
  <c r="N112" i="48"/>
  <c r="N95" i="48"/>
  <c r="O95" i="48"/>
  <c r="O71" i="48"/>
  <c r="O24" i="48" s="1"/>
  <c r="O69" i="48"/>
  <c r="O19" i="48" s="1"/>
  <c r="N78" i="48"/>
  <c r="N27" i="48"/>
  <c r="O51" i="48"/>
  <c r="O61" i="48" s="1"/>
  <c r="O44" i="48"/>
  <c r="N44" i="48"/>
  <c r="O91" i="45"/>
  <c r="O26" i="45" s="1"/>
  <c r="O89" i="45"/>
  <c r="O24" i="45" s="1"/>
  <c r="I105" i="48"/>
  <c r="I18" i="48" s="1"/>
  <c r="L104" i="48"/>
  <c r="L17" i="48" s="1"/>
  <c r="I88" i="45"/>
  <c r="I23" i="45" s="1"/>
  <c r="O107" i="45"/>
  <c r="O21" i="45" s="1"/>
  <c r="O35" i="45"/>
  <c r="O22" i="45" s="1"/>
  <c r="L106" i="47"/>
  <c r="L19" i="47" s="1"/>
  <c r="N95" i="47"/>
  <c r="H61" i="48"/>
  <c r="I110" i="48"/>
  <c r="I23" i="48" s="1"/>
  <c r="L72" i="48"/>
  <c r="L25" i="48" s="1"/>
  <c r="L107" i="48"/>
  <c r="L20" i="48" s="1"/>
  <c r="L110" i="48"/>
  <c r="L23" i="48" s="1"/>
  <c r="L105" i="48"/>
  <c r="L18" i="48" s="1"/>
  <c r="K112" i="48"/>
  <c r="K27" i="48"/>
  <c r="L95" i="48"/>
  <c r="K95" i="48"/>
  <c r="L71" i="48"/>
  <c r="L24" i="48" s="1"/>
  <c r="L69" i="48"/>
  <c r="L19" i="48" s="1"/>
  <c r="K78" i="48"/>
  <c r="L51" i="48"/>
  <c r="L61" i="48" s="1"/>
  <c r="K44" i="48"/>
  <c r="L44" i="48"/>
  <c r="I102" i="48"/>
  <c r="I107" i="48"/>
  <c r="I20" i="48" s="1"/>
  <c r="H95" i="48"/>
  <c r="I95" i="48"/>
  <c r="I72" i="48"/>
  <c r="I25" i="48" s="1"/>
  <c r="H78" i="48"/>
  <c r="H27" i="48"/>
  <c r="I51" i="48"/>
  <c r="I61" i="48" s="1"/>
  <c r="H44" i="48"/>
  <c r="I44" i="48"/>
  <c r="F110" i="48"/>
  <c r="F23" i="48" s="1"/>
  <c r="E112" i="48"/>
  <c r="E95" i="48"/>
  <c r="F85" i="48"/>
  <c r="F95" i="48" s="1"/>
  <c r="E27" i="48"/>
  <c r="F72" i="48"/>
  <c r="F25" i="48" s="1"/>
  <c r="F71" i="48"/>
  <c r="F24" i="48" s="1"/>
  <c r="F69" i="48"/>
  <c r="F19" i="48" s="1"/>
  <c r="E78" i="48"/>
  <c r="F61" i="48"/>
  <c r="E61" i="48"/>
  <c r="E44" i="48"/>
  <c r="F44" i="48"/>
  <c r="O109" i="47"/>
  <c r="O22" i="47" s="1"/>
  <c r="N112" i="47"/>
  <c r="O85" i="47"/>
  <c r="O88" i="47"/>
  <c r="O26" i="47" s="1"/>
  <c r="N78" i="47"/>
  <c r="N20" i="47"/>
  <c r="N27" i="47" s="1"/>
  <c r="O20" i="47"/>
  <c r="O61" i="47"/>
  <c r="N61" i="47"/>
  <c r="O44" i="47"/>
  <c r="N44" i="47"/>
  <c r="F91" i="45"/>
  <c r="F26" i="45" s="1"/>
  <c r="O70" i="45"/>
  <c r="O19" i="45" s="1"/>
  <c r="I109" i="47"/>
  <c r="I22" i="47" s="1"/>
  <c r="F108" i="41"/>
  <c r="F22" i="41" s="1"/>
  <c r="F70" i="45"/>
  <c r="F19" i="45" s="1"/>
  <c r="L88" i="45"/>
  <c r="L23" i="45" s="1"/>
  <c r="F69" i="47"/>
  <c r="F23" i="47" s="1"/>
  <c r="I70" i="47"/>
  <c r="I24" i="47" s="1"/>
  <c r="I86" i="47"/>
  <c r="I25" i="47" s="1"/>
  <c r="L88" i="47"/>
  <c r="L26" i="47" s="1"/>
  <c r="L88" i="43"/>
  <c r="L25" i="43" s="1"/>
  <c r="I35" i="45"/>
  <c r="I22" i="45" s="1"/>
  <c r="I107" i="45"/>
  <c r="I21" i="45" s="1"/>
  <c r="L35" i="45"/>
  <c r="L22" i="45" s="1"/>
  <c r="O90" i="45"/>
  <c r="O25" i="45" s="1"/>
  <c r="F70" i="47"/>
  <c r="F24" i="47" s="1"/>
  <c r="F104" i="47"/>
  <c r="F17" i="47" s="1"/>
  <c r="L105" i="47"/>
  <c r="L18" i="47" s="1"/>
  <c r="L104" i="47"/>
  <c r="L17" i="47" s="1"/>
  <c r="K112" i="47"/>
  <c r="L86" i="47"/>
  <c r="L25" i="47" s="1"/>
  <c r="K95" i="47"/>
  <c r="L78" i="47"/>
  <c r="L20" i="47"/>
  <c r="K20" i="47"/>
  <c r="K27" i="47" s="1"/>
  <c r="K78" i="47"/>
  <c r="K61" i="47"/>
  <c r="L61" i="47"/>
  <c r="K44" i="47"/>
  <c r="L44" i="47"/>
  <c r="I104" i="47"/>
  <c r="I17" i="47" s="1"/>
  <c r="H112" i="47"/>
  <c r="I88" i="47"/>
  <c r="I26" i="47" s="1"/>
  <c r="H95" i="47"/>
  <c r="I69" i="47"/>
  <c r="I23" i="47" s="1"/>
  <c r="H78" i="47"/>
  <c r="H20" i="47"/>
  <c r="H27" i="47" s="1"/>
  <c r="I20" i="47"/>
  <c r="H61" i="47"/>
  <c r="I61" i="47"/>
  <c r="H44" i="47"/>
  <c r="I44" i="47"/>
  <c r="F105" i="47"/>
  <c r="F18" i="47" s="1"/>
  <c r="F109" i="47"/>
  <c r="F22" i="47" s="1"/>
  <c r="E112" i="47"/>
  <c r="F86" i="47"/>
  <c r="F25" i="47" s="1"/>
  <c r="E95" i="47"/>
  <c r="F20" i="47"/>
  <c r="E78" i="47"/>
  <c r="E20" i="47"/>
  <c r="E27" i="47" s="1"/>
  <c r="E61" i="47"/>
  <c r="F61" i="47"/>
  <c r="F44" i="47"/>
  <c r="E44" i="47"/>
  <c r="G3" i="47" s="1"/>
  <c r="N44" i="45"/>
  <c r="N17" i="45"/>
  <c r="O44" i="45"/>
  <c r="O17" i="45"/>
  <c r="N61" i="45"/>
  <c r="O61" i="45"/>
  <c r="O18" i="45"/>
  <c r="N18" i="45"/>
  <c r="N78" i="45"/>
  <c r="O88" i="45"/>
  <c r="O23" i="45" s="1"/>
  <c r="N95" i="45"/>
  <c r="N112" i="45"/>
  <c r="O106" i="45"/>
  <c r="O20" i="45" s="1"/>
  <c r="L104" i="41"/>
  <c r="L18" i="41" s="1"/>
  <c r="F88" i="43"/>
  <c r="F25" i="43" s="1"/>
  <c r="L109" i="43"/>
  <c r="L19" i="43" s="1"/>
  <c r="L106" i="44"/>
  <c r="L21" i="44" s="1"/>
  <c r="O87" i="44"/>
  <c r="O20" i="44" s="1"/>
  <c r="O106" i="44"/>
  <c r="O21" i="44" s="1"/>
  <c r="F90" i="45"/>
  <c r="F25" i="45" s="1"/>
  <c r="L70" i="45"/>
  <c r="L19" i="45" s="1"/>
  <c r="L106" i="45"/>
  <c r="L20" i="45" s="1"/>
  <c r="F109" i="44"/>
  <c r="F24" i="44" s="1"/>
  <c r="N61" i="44"/>
  <c r="O108" i="44"/>
  <c r="O23" i="44" s="1"/>
  <c r="L90" i="45"/>
  <c r="L25" i="45" s="1"/>
  <c r="I91" i="45"/>
  <c r="I26" i="45" s="1"/>
  <c r="I89" i="45"/>
  <c r="I24" i="45" s="1"/>
  <c r="L107" i="45"/>
  <c r="L21" i="45" s="1"/>
  <c r="K112" i="45"/>
  <c r="L91" i="45"/>
  <c r="L26" i="45" s="1"/>
  <c r="L89" i="45"/>
  <c r="L24" i="45" s="1"/>
  <c r="K95" i="45"/>
  <c r="L18" i="45"/>
  <c r="K78" i="45"/>
  <c r="K18" i="45"/>
  <c r="K61" i="45"/>
  <c r="L61" i="45"/>
  <c r="K44" i="45"/>
  <c r="K17" i="45"/>
  <c r="L17" i="45"/>
  <c r="I106" i="45"/>
  <c r="I20" i="45" s="1"/>
  <c r="H112" i="45"/>
  <c r="I90" i="45"/>
  <c r="I25" i="45" s="1"/>
  <c r="H95" i="45"/>
  <c r="I70" i="45"/>
  <c r="I19" i="45" s="1"/>
  <c r="H78" i="45"/>
  <c r="H18" i="45"/>
  <c r="I18" i="45"/>
  <c r="I61" i="45"/>
  <c r="H61" i="45"/>
  <c r="H44" i="45"/>
  <c r="H17" i="45"/>
  <c r="I44" i="45"/>
  <c r="I17" i="45"/>
  <c r="F106" i="45"/>
  <c r="F20" i="45" s="1"/>
  <c r="F107" i="45"/>
  <c r="F21" i="45" s="1"/>
  <c r="E112" i="45"/>
  <c r="F88" i="45"/>
  <c r="F23" i="45" s="1"/>
  <c r="F89" i="45"/>
  <c r="F24" i="45" s="1"/>
  <c r="E95" i="45"/>
  <c r="E78" i="45"/>
  <c r="E18" i="45"/>
  <c r="F18" i="45"/>
  <c r="E61" i="45"/>
  <c r="F61" i="45"/>
  <c r="F35" i="45"/>
  <c r="F22" i="45" s="1"/>
  <c r="E44" i="45"/>
  <c r="E17" i="45"/>
  <c r="F17" i="45"/>
  <c r="O17" i="44"/>
  <c r="N112" i="44"/>
  <c r="N17" i="44"/>
  <c r="O86" i="44"/>
  <c r="N95" i="44"/>
  <c r="N78" i="44"/>
  <c r="N25" i="44"/>
  <c r="O78" i="44"/>
  <c r="O25" i="44"/>
  <c r="O51" i="44"/>
  <c r="O61" i="44" s="1"/>
  <c r="N44" i="44"/>
  <c r="O44" i="44"/>
  <c r="F109" i="43"/>
  <c r="F19" i="43" s="1"/>
  <c r="I88" i="43"/>
  <c r="I25" i="43" s="1"/>
  <c r="N78" i="43"/>
  <c r="O88" i="43"/>
  <c r="O25" i="43" s="1"/>
  <c r="F106" i="44"/>
  <c r="F21" i="44" s="1"/>
  <c r="I87" i="44"/>
  <c r="I20" i="44" s="1"/>
  <c r="E112" i="43"/>
  <c r="O108" i="43"/>
  <c r="O18" i="43" s="1"/>
  <c r="L108" i="44"/>
  <c r="L23" i="44" s="1"/>
  <c r="L87" i="44"/>
  <c r="L20" i="44" s="1"/>
  <c r="L86" i="44"/>
  <c r="L19" i="44" s="1"/>
  <c r="L18" i="44"/>
  <c r="K95" i="44"/>
  <c r="K18" i="44"/>
  <c r="K25" i="44"/>
  <c r="K78" i="44"/>
  <c r="L78" i="44"/>
  <c r="L25" i="44"/>
  <c r="L61" i="44"/>
  <c r="K61" i="44"/>
  <c r="K44" i="44"/>
  <c r="L44" i="44"/>
  <c r="L109" i="44"/>
  <c r="L24" i="44" s="1"/>
  <c r="K112" i="44"/>
  <c r="K17" i="44"/>
  <c r="L17" i="44"/>
  <c r="I109" i="44"/>
  <c r="I24" i="44" s="1"/>
  <c r="I106" i="44"/>
  <c r="I21" i="44" s="1"/>
  <c r="I17" i="44"/>
  <c r="H112" i="44"/>
  <c r="H17" i="44"/>
  <c r="I86" i="44"/>
  <c r="I19" i="44" s="1"/>
  <c r="H95" i="44"/>
  <c r="H18" i="44"/>
  <c r="I18" i="44"/>
  <c r="H78" i="44"/>
  <c r="H25" i="44"/>
  <c r="I78" i="44"/>
  <c r="I25" i="44"/>
  <c r="H61" i="44"/>
  <c r="I61" i="44"/>
  <c r="H44" i="44"/>
  <c r="I44" i="44"/>
  <c r="F17" i="44"/>
  <c r="E17" i="44"/>
  <c r="E112" i="44"/>
  <c r="F86" i="44"/>
  <c r="F19" i="44" s="1"/>
  <c r="F87" i="44"/>
  <c r="F20" i="44" s="1"/>
  <c r="E95" i="44"/>
  <c r="E25" i="44"/>
  <c r="E78" i="44"/>
  <c r="F78" i="44"/>
  <c r="F25" i="44"/>
  <c r="E61" i="44"/>
  <c r="F61" i="44"/>
  <c r="E44" i="44"/>
  <c r="F44" i="44"/>
  <c r="O107" i="43"/>
  <c r="O17" i="43" s="1"/>
  <c r="N112" i="43"/>
  <c r="O87" i="43"/>
  <c r="O24" i="43" s="1"/>
  <c r="O89" i="43"/>
  <c r="O26" i="43" s="1"/>
  <c r="N20" i="43"/>
  <c r="N27" i="43" s="1"/>
  <c r="N95" i="43"/>
  <c r="O20" i="43"/>
  <c r="O68" i="43"/>
  <c r="O70" i="43"/>
  <c r="O22" i="43" s="1"/>
  <c r="N44" i="43"/>
  <c r="O44" i="43"/>
  <c r="I108" i="40"/>
  <c r="I23" i="40" s="1"/>
  <c r="L108" i="43"/>
  <c r="L18" i="43" s="1"/>
  <c r="O105" i="40"/>
  <c r="O20" i="40" s="1"/>
  <c r="O103" i="40"/>
  <c r="O18" i="40" s="1"/>
  <c r="N112" i="41"/>
  <c r="F89" i="43"/>
  <c r="F26" i="43" s="1"/>
  <c r="F108" i="43"/>
  <c r="F18" i="43" s="1"/>
  <c r="L107" i="43"/>
  <c r="L17" i="43" s="1"/>
  <c r="I107" i="40"/>
  <c r="I22" i="40" s="1"/>
  <c r="L104" i="40"/>
  <c r="L19" i="40" s="1"/>
  <c r="O109" i="40"/>
  <c r="O24" i="40" s="1"/>
  <c r="I34" i="41"/>
  <c r="I44" i="41" s="1"/>
  <c r="O110" i="41"/>
  <c r="O24" i="41" s="1"/>
  <c r="F107" i="43"/>
  <c r="F17" i="43" s="1"/>
  <c r="I86" i="43"/>
  <c r="I23" i="43" s="1"/>
  <c r="K112" i="43"/>
  <c r="L102" i="43"/>
  <c r="L87" i="43"/>
  <c r="L24" i="43" s="1"/>
  <c r="L89" i="43"/>
  <c r="L26" i="43" s="1"/>
  <c r="L20" i="43"/>
  <c r="K95" i="43"/>
  <c r="K20" i="43"/>
  <c r="K27" i="43" s="1"/>
  <c r="K78" i="43"/>
  <c r="L78" i="43"/>
  <c r="K44" i="43"/>
  <c r="L44" i="43"/>
  <c r="I108" i="43"/>
  <c r="I18" i="43" s="1"/>
  <c r="I109" i="43"/>
  <c r="I19" i="43" s="1"/>
  <c r="I107" i="43"/>
  <c r="I17" i="43" s="1"/>
  <c r="H112" i="43"/>
  <c r="I87" i="43"/>
  <c r="I24" i="43" s="1"/>
  <c r="I89" i="43"/>
  <c r="I26" i="43" s="1"/>
  <c r="H95" i="43"/>
  <c r="H20" i="43"/>
  <c r="H27" i="43" s="1"/>
  <c r="I20" i="43"/>
  <c r="I70" i="43"/>
  <c r="I22" i="43" s="1"/>
  <c r="H78" i="43"/>
  <c r="I44" i="43"/>
  <c r="H44" i="43"/>
  <c r="F102" i="43"/>
  <c r="F87" i="43"/>
  <c r="F24" i="43" s="1"/>
  <c r="E95" i="43"/>
  <c r="E20" i="43"/>
  <c r="E27" i="43" s="1"/>
  <c r="F20" i="43"/>
  <c r="E78" i="43"/>
  <c r="F78" i="43"/>
  <c r="E44" i="43"/>
  <c r="F44" i="43"/>
  <c r="O105" i="41"/>
  <c r="O19" i="41" s="1"/>
  <c r="O106" i="41"/>
  <c r="O20" i="41" s="1"/>
  <c r="O103" i="41"/>
  <c r="O17" i="41" s="1"/>
  <c r="O102" i="41"/>
  <c r="O108" i="41"/>
  <c r="O22" i="41" s="1"/>
  <c r="N95" i="41"/>
  <c r="N26" i="41"/>
  <c r="O26" i="41"/>
  <c r="O95" i="41"/>
  <c r="O78" i="41"/>
  <c r="N78" i="41"/>
  <c r="O52" i="41"/>
  <c r="O23" i="41" s="1"/>
  <c r="N21" i="41"/>
  <c r="N61" i="41"/>
  <c r="O21" i="41"/>
  <c r="O34" i="41"/>
  <c r="O44" i="41" s="1"/>
  <c r="F51" i="36"/>
  <c r="F87" i="36"/>
  <c r="F20" i="36" s="1"/>
  <c r="O61" i="40"/>
  <c r="O104" i="40"/>
  <c r="O19" i="40" s="1"/>
  <c r="F106" i="41"/>
  <c r="F20" i="41" s="1"/>
  <c r="I53" i="41"/>
  <c r="I25" i="41" s="1"/>
  <c r="E95" i="36"/>
  <c r="N78" i="36"/>
  <c r="O69" i="38"/>
  <c r="O25" i="38" s="1"/>
  <c r="F105" i="41"/>
  <c r="F19" i="41" s="1"/>
  <c r="L103" i="41"/>
  <c r="L17" i="41" s="1"/>
  <c r="L52" i="41"/>
  <c r="L23" i="41" s="1"/>
  <c r="I106" i="41"/>
  <c r="I20" i="41" s="1"/>
  <c r="I110" i="41"/>
  <c r="I24" i="41" s="1"/>
  <c r="L106" i="41"/>
  <c r="L20" i="41" s="1"/>
  <c r="L108" i="41"/>
  <c r="L22" i="41" s="1"/>
  <c r="L110" i="41"/>
  <c r="L24" i="41" s="1"/>
  <c r="K112" i="41"/>
  <c r="K95" i="41"/>
  <c r="K26" i="41"/>
  <c r="L95" i="41"/>
  <c r="L26" i="41"/>
  <c r="L78" i="41"/>
  <c r="K78" i="41"/>
  <c r="L21" i="41"/>
  <c r="K61" i="41"/>
  <c r="K21" i="41"/>
  <c r="L34" i="41"/>
  <c r="L44" i="41" s="1"/>
  <c r="G3" i="41" s="1"/>
  <c r="I95" i="41"/>
  <c r="I26" i="41"/>
  <c r="H26" i="41"/>
  <c r="H95" i="41"/>
  <c r="I78" i="41"/>
  <c r="H78" i="41"/>
  <c r="I52" i="41"/>
  <c r="I23" i="41" s="1"/>
  <c r="I21" i="41"/>
  <c r="H61" i="41"/>
  <c r="H21" i="41"/>
  <c r="I108" i="41"/>
  <c r="I22" i="41" s="1"/>
  <c r="I105" i="41"/>
  <c r="I19" i="41" s="1"/>
  <c r="I103" i="41"/>
  <c r="I17" i="41" s="1"/>
  <c r="H112" i="41"/>
  <c r="F110" i="41"/>
  <c r="F24" i="41" s="1"/>
  <c r="F103" i="41"/>
  <c r="F17" i="41" s="1"/>
  <c r="E112" i="41"/>
  <c r="F95" i="41"/>
  <c r="F26" i="41"/>
  <c r="E95" i="41"/>
  <c r="E26" i="41"/>
  <c r="F78" i="41"/>
  <c r="E78" i="41"/>
  <c r="F52" i="41"/>
  <c r="F23" i="41" s="1"/>
  <c r="E61" i="41"/>
  <c r="E21" i="41"/>
  <c r="F21" i="41"/>
  <c r="O106" i="40"/>
  <c r="O21" i="40" s="1"/>
  <c r="O108" i="40"/>
  <c r="O23" i="40" s="1"/>
  <c r="O17" i="40"/>
  <c r="N112" i="40"/>
  <c r="N17" i="40"/>
  <c r="N95" i="40"/>
  <c r="O95" i="40"/>
  <c r="O78" i="40"/>
  <c r="O25" i="40"/>
  <c r="N25" i="40"/>
  <c r="N78" i="40"/>
  <c r="N61" i="40"/>
  <c r="N44" i="40"/>
  <c r="O44" i="40"/>
  <c r="I109" i="40"/>
  <c r="I24" i="40" s="1"/>
  <c r="L103" i="40"/>
  <c r="L18" i="40" s="1"/>
  <c r="L107" i="38"/>
  <c r="L21" i="38" s="1"/>
  <c r="L105" i="40"/>
  <c r="L20" i="40" s="1"/>
  <c r="L106" i="40"/>
  <c r="L21" i="40" s="1"/>
  <c r="L109" i="40"/>
  <c r="L24" i="40" s="1"/>
  <c r="L108" i="40"/>
  <c r="L23" i="40" s="1"/>
  <c r="L107" i="40"/>
  <c r="L22" i="40" s="1"/>
  <c r="K17" i="40"/>
  <c r="K112" i="40"/>
  <c r="L17" i="40"/>
  <c r="L95" i="40"/>
  <c r="K95" i="40"/>
  <c r="K78" i="40"/>
  <c r="K25" i="40"/>
  <c r="L78" i="40"/>
  <c r="L25" i="40"/>
  <c r="K61" i="40"/>
  <c r="L61" i="40"/>
  <c r="L44" i="40"/>
  <c r="K44" i="40"/>
  <c r="I104" i="40"/>
  <c r="I19" i="40" s="1"/>
  <c r="I105" i="40"/>
  <c r="I20" i="40" s="1"/>
  <c r="I106" i="40"/>
  <c r="I21" i="40" s="1"/>
  <c r="I103" i="40"/>
  <c r="I18" i="40" s="1"/>
  <c r="H112" i="40"/>
  <c r="H17" i="40"/>
  <c r="I17" i="40"/>
  <c r="H95" i="40"/>
  <c r="I95" i="40"/>
  <c r="I78" i="40"/>
  <c r="I25" i="40"/>
  <c r="H78" i="40"/>
  <c r="H25" i="40"/>
  <c r="I61" i="40"/>
  <c r="H61" i="40"/>
  <c r="H44" i="40"/>
  <c r="I44" i="40"/>
  <c r="F105" i="40"/>
  <c r="F20" i="40" s="1"/>
  <c r="F106" i="40"/>
  <c r="F21" i="40" s="1"/>
  <c r="F17" i="40"/>
  <c r="F109" i="40"/>
  <c r="F24" i="40" s="1"/>
  <c r="E112" i="40"/>
  <c r="E17" i="40"/>
  <c r="F103" i="40"/>
  <c r="F18" i="40" s="1"/>
  <c r="F107" i="40"/>
  <c r="F22" i="40" s="1"/>
  <c r="E95" i="40"/>
  <c r="F85" i="40"/>
  <c r="F95" i="40" s="1"/>
  <c r="E78" i="40"/>
  <c r="E25" i="40"/>
  <c r="F78" i="40"/>
  <c r="F25" i="40"/>
  <c r="E61" i="40"/>
  <c r="F51" i="40"/>
  <c r="F61" i="40" s="1"/>
  <c r="E44" i="40"/>
  <c r="F34" i="40"/>
  <c r="F44" i="40" s="1"/>
  <c r="O106" i="36"/>
  <c r="O22" i="36" s="1"/>
  <c r="O103" i="38"/>
  <c r="O17" i="38" s="1"/>
  <c r="O78" i="38"/>
  <c r="O20" i="38"/>
  <c r="N78" i="38"/>
  <c r="N20" i="38"/>
  <c r="N27" i="38" s="1"/>
  <c r="O105" i="38"/>
  <c r="O19" i="38" s="1"/>
  <c r="O104" i="38"/>
  <c r="O18" i="38" s="1"/>
  <c r="O107" i="38"/>
  <c r="O21" i="38" s="1"/>
  <c r="O108" i="38"/>
  <c r="O22" i="38" s="1"/>
  <c r="O110" i="38"/>
  <c r="O24" i="38" s="1"/>
  <c r="N112" i="38"/>
  <c r="L108" i="38"/>
  <c r="L22" i="38" s="1"/>
  <c r="L110" i="38"/>
  <c r="L24" i="38" s="1"/>
  <c r="L105" i="38"/>
  <c r="L19" i="38" s="1"/>
  <c r="L103" i="38"/>
  <c r="L17" i="38" s="1"/>
  <c r="K112" i="38"/>
  <c r="L69" i="38"/>
  <c r="L25" i="38" s="1"/>
  <c r="K78" i="38"/>
  <c r="K20" i="38"/>
  <c r="K27" i="38" s="1"/>
  <c r="L20" i="38"/>
  <c r="I103" i="38"/>
  <c r="I17" i="38" s="1"/>
  <c r="G3" i="38"/>
  <c r="I105" i="38"/>
  <c r="I19" i="38" s="1"/>
  <c r="I107" i="38"/>
  <c r="I21" i="38" s="1"/>
  <c r="I69" i="38"/>
  <c r="I25" i="38" s="1"/>
  <c r="I20" i="38"/>
  <c r="H78" i="38"/>
  <c r="H20" i="38"/>
  <c r="H27" i="38" s="1"/>
  <c r="I108" i="38"/>
  <c r="I22" i="38" s="1"/>
  <c r="I110" i="38"/>
  <c r="I24" i="38" s="1"/>
  <c r="H112" i="38"/>
  <c r="F110" i="38"/>
  <c r="F24" i="38" s="1"/>
  <c r="F103" i="38"/>
  <c r="F17" i="38" s="1"/>
  <c r="E112" i="38"/>
  <c r="F102" i="38"/>
  <c r="F105" i="38"/>
  <c r="F19" i="38" s="1"/>
  <c r="F107" i="38"/>
  <c r="F21" i="38" s="1"/>
  <c r="F78" i="38"/>
  <c r="F20" i="38"/>
  <c r="E78" i="38"/>
  <c r="E20" i="38"/>
  <c r="E27" i="38" s="1"/>
  <c r="L27" i="30"/>
  <c r="O109" i="36"/>
  <c r="O23" i="36" s="1"/>
  <c r="N112" i="36"/>
  <c r="O87" i="36"/>
  <c r="O20" i="36" s="1"/>
  <c r="O86" i="36"/>
  <c r="O19" i="36" s="1"/>
  <c r="N27" i="36"/>
  <c r="N95" i="36"/>
  <c r="O68" i="36"/>
  <c r="O78" i="36" s="1"/>
  <c r="O51" i="36"/>
  <c r="O61" i="36" s="1"/>
  <c r="F61" i="36"/>
  <c r="F106" i="36"/>
  <c r="F22" i="36" s="1"/>
  <c r="E112" i="36"/>
  <c r="F109" i="36"/>
  <c r="F23" i="36" s="1"/>
  <c r="F102" i="36"/>
  <c r="F110" i="36"/>
  <c r="F24" i="36" s="1"/>
  <c r="F85" i="36"/>
  <c r="E27" i="36"/>
  <c r="F86" i="36"/>
  <c r="F19" i="36" s="1"/>
  <c r="E78" i="36"/>
  <c r="F68" i="36"/>
  <c r="F78" i="36" s="1"/>
  <c r="G3" i="36"/>
  <c r="G5" i="22"/>
  <c r="K27" i="56" l="1"/>
  <c r="G9" i="56"/>
  <c r="I112" i="56"/>
  <c r="G11" i="56"/>
  <c r="H27" i="56"/>
  <c r="I27" i="56"/>
  <c r="E27" i="56"/>
  <c r="F27" i="56"/>
  <c r="F78" i="56"/>
  <c r="G7" i="56" s="1"/>
  <c r="G3" i="56"/>
  <c r="O27" i="55"/>
  <c r="G5" i="51"/>
  <c r="F78" i="47"/>
  <c r="O78" i="47"/>
  <c r="G9" i="51"/>
  <c r="O44" i="51"/>
  <c r="F78" i="52"/>
  <c r="G9" i="52"/>
  <c r="I112" i="52"/>
  <c r="L61" i="52"/>
  <c r="G5" i="53"/>
  <c r="F44" i="55"/>
  <c r="F27" i="55"/>
  <c r="L44" i="45"/>
  <c r="G5" i="47"/>
  <c r="O95" i="44"/>
  <c r="O78" i="45"/>
  <c r="O95" i="47"/>
  <c r="G9" i="48"/>
  <c r="G3" i="49"/>
  <c r="G9" i="49"/>
  <c r="O78" i="52"/>
  <c r="L44" i="53"/>
  <c r="O44" i="53"/>
  <c r="G11" i="55"/>
  <c r="L44" i="55"/>
  <c r="L61" i="55"/>
  <c r="G5" i="55" s="1"/>
  <c r="L27" i="55"/>
  <c r="I61" i="55"/>
  <c r="I27" i="55"/>
  <c r="I44" i="55"/>
  <c r="G3" i="55" s="1"/>
  <c r="G9" i="55"/>
  <c r="O27" i="53"/>
  <c r="O27" i="52"/>
  <c r="I112" i="48"/>
  <c r="F112" i="51"/>
  <c r="F112" i="53"/>
  <c r="G11" i="53" s="1"/>
  <c r="O61" i="52"/>
  <c r="I44" i="53"/>
  <c r="I112" i="53"/>
  <c r="L27" i="53"/>
  <c r="I27" i="53"/>
  <c r="F44" i="53"/>
  <c r="G3" i="53" s="1"/>
  <c r="G9" i="53"/>
  <c r="F27" i="53"/>
  <c r="G7" i="52"/>
  <c r="G3" i="52"/>
  <c r="L27" i="52"/>
  <c r="L78" i="51"/>
  <c r="O78" i="48"/>
  <c r="F78" i="49"/>
  <c r="L112" i="49"/>
  <c r="L112" i="51"/>
  <c r="I27" i="52"/>
  <c r="F112" i="52"/>
  <c r="G11" i="52" s="1"/>
  <c r="F61" i="52"/>
  <c r="G5" i="52" s="1"/>
  <c r="F27" i="52"/>
  <c r="O78" i="51"/>
  <c r="O27" i="51"/>
  <c r="I78" i="48"/>
  <c r="I95" i="47"/>
  <c r="O112" i="49"/>
  <c r="L44" i="51"/>
  <c r="G3" i="51" s="1"/>
  <c r="F44" i="51"/>
  <c r="I78" i="51"/>
  <c r="L27" i="51"/>
  <c r="G11" i="51"/>
  <c r="I44" i="51"/>
  <c r="I27" i="51"/>
  <c r="F78" i="51"/>
  <c r="G7" i="51" s="1"/>
  <c r="F27" i="51"/>
  <c r="O27" i="49"/>
  <c r="O78" i="49"/>
  <c r="L112" i="47"/>
  <c r="O112" i="48"/>
  <c r="G11" i="48" s="1"/>
  <c r="F112" i="49"/>
  <c r="G7" i="49"/>
  <c r="I78" i="45"/>
  <c r="L78" i="49"/>
  <c r="I78" i="49"/>
  <c r="L27" i="49"/>
  <c r="I112" i="49"/>
  <c r="G11" i="49" s="1"/>
  <c r="I27" i="49"/>
  <c r="G5" i="49"/>
  <c r="F27" i="49"/>
  <c r="O27" i="48"/>
  <c r="G3" i="44"/>
  <c r="O19" i="44"/>
  <c r="O27" i="44" s="1"/>
  <c r="F112" i="45"/>
  <c r="L95" i="47"/>
  <c r="G5" i="48"/>
  <c r="F112" i="43"/>
  <c r="G7" i="44"/>
  <c r="F78" i="45"/>
  <c r="F95" i="47"/>
  <c r="G9" i="47" s="1"/>
  <c r="F112" i="48"/>
  <c r="L112" i="48"/>
  <c r="L27" i="48"/>
  <c r="L78" i="48"/>
  <c r="I27" i="48"/>
  <c r="G3" i="48"/>
  <c r="F27" i="48"/>
  <c r="F78" i="48"/>
  <c r="G7" i="48" s="1"/>
  <c r="O27" i="47"/>
  <c r="O112" i="47"/>
  <c r="L27" i="47"/>
  <c r="I112" i="45"/>
  <c r="O95" i="43"/>
  <c r="F95" i="44"/>
  <c r="O95" i="45"/>
  <c r="G9" i="45" s="1"/>
  <c r="F112" i="47"/>
  <c r="I78" i="47"/>
  <c r="I112" i="47"/>
  <c r="I27" i="47"/>
  <c r="G7" i="47"/>
  <c r="F27" i="47"/>
  <c r="N27" i="45"/>
  <c r="O27" i="45"/>
  <c r="O112" i="45"/>
  <c r="G11" i="45" s="1"/>
  <c r="I95" i="44"/>
  <c r="F44" i="45"/>
  <c r="G5" i="45"/>
  <c r="L78" i="45"/>
  <c r="I95" i="45"/>
  <c r="L95" i="45"/>
  <c r="L112" i="45"/>
  <c r="G5" i="36"/>
  <c r="F112" i="44"/>
  <c r="L112" i="44"/>
  <c r="O112" i="44"/>
  <c r="G11" i="44" s="1"/>
  <c r="F95" i="45"/>
  <c r="K27" i="45"/>
  <c r="L27" i="45"/>
  <c r="H27" i="45"/>
  <c r="I27" i="45"/>
  <c r="G3" i="45"/>
  <c r="F27" i="45"/>
  <c r="E27" i="45"/>
  <c r="N27" i="44"/>
  <c r="G5" i="44"/>
  <c r="O112" i="41"/>
  <c r="I112" i="44"/>
  <c r="L95" i="44"/>
  <c r="G9" i="44" s="1"/>
  <c r="K27" i="44"/>
  <c r="L27" i="44"/>
  <c r="I27" i="44"/>
  <c r="H27" i="44"/>
  <c r="F27" i="44"/>
  <c r="E27" i="44"/>
  <c r="O112" i="43"/>
  <c r="G11" i="43" s="1"/>
  <c r="O27" i="43"/>
  <c r="O78" i="43"/>
  <c r="G7" i="43" s="1"/>
  <c r="F61" i="41"/>
  <c r="O61" i="41"/>
  <c r="G3" i="43"/>
  <c r="L112" i="43"/>
  <c r="F95" i="43"/>
  <c r="I78" i="43"/>
  <c r="I95" i="43"/>
  <c r="L95" i="43"/>
  <c r="L27" i="43"/>
  <c r="I112" i="43"/>
  <c r="I27" i="43"/>
  <c r="F27" i="43"/>
  <c r="O27" i="41"/>
  <c r="N27" i="41"/>
  <c r="O95" i="36"/>
  <c r="F112" i="41"/>
  <c r="O112" i="36"/>
  <c r="G5" i="41"/>
  <c r="L61" i="41"/>
  <c r="I112" i="41"/>
  <c r="G9" i="41"/>
  <c r="K27" i="41"/>
  <c r="I61" i="41"/>
  <c r="L27" i="41"/>
  <c r="L112" i="41"/>
  <c r="G11" i="41" s="1"/>
  <c r="G7" i="41"/>
  <c r="H27" i="41"/>
  <c r="I27" i="41"/>
  <c r="E27" i="41"/>
  <c r="F27" i="41"/>
  <c r="O112" i="40"/>
  <c r="O27" i="40"/>
  <c r="N27" i="40"/>
  <c r="G7" i="40"/>
  <c r="K27" i="40"/>
  <c r="G5" i="40"/>
  <c r="L112" i="40"/>
  <c r="G3" i="40"/>
  <c r="G9" i="40"/>
  <c r="L27" i="40"/>
  <c r="I112" i="40"/>
  <c r="I27" i="40"/>
  <c r="H27" i="40"/>
  <c r="E27" i="40"/>
  <c r="F27" i="40"/>
  <c r="F112" i="40"/>
  <c r="L78" i="38"/>
  <c r="O112" i="38"/>
  <c r="O27" i="38"/>
  <c r="L27" i="38"/>
  <c r="L112" i="38"/>
  <c r="I78" i="38"/>
  <c r="G7" i="38" s="1"/>
  <c r="I27" i="38"/>
  <c r="I112" i="38"/>
  <c r="F27" i="38"/>
  <c r="F112" i="38"/>
  <c r="O27" i="36"/>
  <c r="G7" i="36"/>
  <c r="F27" i="36"/>
  <c r="F112" i="36"/>
  <c r="F95" i="36"/>
  <c r="G7" i="45" l="1"/>
  <c r="G9" i="43"/>
  <c r="G11" i="40"/>
  <c r="G9" i="36"/>
  <c r="G11" i="47"/>
  <c r="G11" i="36"/>
  <c r="G11" i="3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6812E3-0C50-4FE1-9D77-0E5E3DAACC1B}" keepAlive="1" name="쿼리 - all" description="통합 문서의 'all' 쿼리에 대한 연결입니다." type="5" refreshedVersion="6" background="1" saveData="1">
    <dbPr connection="Provider=Microsoft.Mashup.OleDb.1;Data Source=$Workbook$;Location=all;Extended Properties=&quot;&quot;" command="SELECT * FROM [all]"/>
  </connection>
</connections>
</file>

<file path=xl/sharedStrings.xml><?xml version="1.0" encoding="utf-8"?>
<sst xmlns="http://schemas.openxmlformats.org/spreadsheetml/2006/main" count="5778" uniqueCount="360">
  <si>
    <t>투자규칙</t>
    <phoneticPr fontId="1" type="noConversion"/>
  </si>
  <si>
    <t>변동성이 큰 시간대</t>
    <phoneticPr fontId="1" type="noConversion"/>
  </si>
  <si>
    <t>엽전코인</t>
    <phoneticPr fontId="1" type="noConversion"/>
  </si>
  <si>
    <t>동전코인</t>
    <phoneticPr fontId="1" type="noConversion"/>
  </si>
  <si>
    <t>비트토렌트</t>
    <phoneticPr fontId="1" type="noConversion"/>
  </si>
  <si>
    <t>아하토큰</t>
    <phoneticPr fontId="1" type="noConversion"/>
  </si>
  <si>
    <t>무비블록</t>
    <phoneticPr fontId="1" type="noConversion"/>
  </si>
  <si>
    <t>썬더토큰</t>
    <phoneticPr fontId="1" type="noConversion"/>
  </si>
  <si>
    <t>시아코인</t>
    <phoneticPr fontId="1" type="noConversion"/>
  </si>
  <si>
    <t>에브리피디아</t>
    <phoneticPr fontId="1" type="noConversion"/>
  </si>
  <si>
    <t>리퍼리움</t>
    <phoneticPr fontId="1" type="noConversion"/>
  </si>
  <si>
    <t>트웰브쉽스</t>
    <phoneticPr fontId="1" type="noConversion"/>
  </si>
  <si>
    <t>캐리프로토콜</t>
    <phoneticPr fontId="1" type="noConversion"/>
  </si>
  <si>
    <t>옵저버</t>
    <phoneticPr fontId="1" type="noConversion"/>
  </si>
  <si>
    <t>아이오에스티</t>
    <phoneticPr fontId="1" type="noConversion"/>
  </si>
  <si>
    <t>오후 19:00</t>
    <phoneticPr fontId="1" type="noConversion"/>
  </si>
  <si>
    <t>코인종류</t>
    <phoneticPr fontId="1" type="noConversion"/>
  </si>
  <si>
    <t>지폐코인</t>
    <phoneticPr fontId="1" type="noConversion"/>
  </si>
  <si>
    <t>코인명</t>
    <phoneticPr fontId="1" type="noConversion"/>
  </si>
  <si>
    <t>도지코인</t>
    <phoneticPr fontId="1" type="noConversion"/>
  </si>
  <si>
    <t>오후 14:00</t>
    <phoneticPr fontId="1" type="noConversion"/>
  </si>
  <si>
    <t>#10</t>
  </si>
  <si>
    <t>#01</t>
    <phoneticPr fontId="1" type="noConversion"/>
  </si>
  <si>
    <t>#02</t>
    <phoneticPr fontId="1" type="noConversion"/>
  </si>
  <si>
    <t>#04</t>
  </si>
  <si>
    <t>#05</t>
  </si>
  <si>
    <t>#06</t>
  </si>
  <si>
    <t>#07</t>
  </si>
  <si>
    <t>#08</t>
  </si>
  <si>
    <t>#09</t>
  </si>
  <si>
    <t>#03</t>
    <phoneticPr fontId="1" type="noConversion"/>
  </si>
  <si>
    <t>1000원 미만의 동전/엽전 코인을 대상으로 한다.</t>
    <phoneticPr fontId="1" type="noConversion"/>
  </si>
  <si>
    <t>매수금액</t>
    <phoneticPr fontId="1" type="noConversion"/>
  </si>
  <si>
    <t>시장특징</t>
    <phoneticPr fontId="1" type="noConversion"/>
  </si>
  <si>
    <t>오후 21:00</t>
    <phoneticPr fontId="1" type="noConversion"/>
  </si>
  <si>
    <t>휴먼스케이프</t>
    <phoneticPr fontId="1" type="noConversion"/>
  </si>
  <si>
    <t>밀크</t>
    <phoneticPr fontId="1" type="noConversion"/>
  </si>
  <si>
    <t>퀴즈톡</t>
    <phoneticPr fontId="1" type="noConversion"/>
  </si>
  <si>
    <t>람다</t>
    <phoneticPr fontId="1" type="noConversion"/>
  </si>
  <si>
    <t>메디블록</t>
    <phoneticPr fontId="1" type="noConversion"/>
  </si>
  <si>
    <t>솔브케어</t>
    <phoneticPr fontId="1" type="noConversion"/>
  </si>
  <si>
    <t>스토리지</t>
    <phoneticPr fontId="1" type="noConversion"/>
  </si>
  <si>
    <t>카바</t>
    <phoneticPr fontId="1" type="noConversion"/>
  </si>
  <si>
    <t>마로</t>
    <phoneticPr fontId="1" type="noConversion"/>
  </si>
  <si>
    <t>톤</t>
    <phoneticPr fontId="1" type="noConversion"/>
  </si>
  <si>
    <t>코박토큰</t>
    <phoneticPr fontId="1" type="noConversion"/>
  </si>
  <si>
    <t>엔도르</t>
    <phoneticPr fontId="1" type="noConversion"/>
  </si>
  <si>
    <t>헌트</t>
    <phoneticPr fontId="1" type="noConversion"/>
  </si>
  <si>
    <t>스톰엑스</t>
    <phoneticPr fontId="1" type="noConversion"/>
  </si>
  <si>
    <t>시빅</t>
    <phoneticPr fontId="1" type="noConversion"/>
  </si>
  <si>
    <t>알파쿼크</t>
    <phoneticPr fontId="1" type="noConversion"/>
  </si>
  <si>
    <t>쿼크체인</t>
    <phoneticPr fontId="1" type="noConversion"/>
  </si>
  <si>
    <t>메인프레임</t>
    <phoneticPr fontId="1" type="noConversion"/>
  </si>
  <si>
    <t>엠블</t>
    <phoneticPr fontId="1" type="noConversion"/>
  </si>
  <si>
    <t>오전 00:00</t>
    <phoneticPr fontId="1" type="noConversion"/>
  </si>
  <si>
    <t>매수체결은 00:00에 진행한다.</t>
    <phoneticPr fontId="1" type="noConversion"/>
  </si>
  <si>
    <t>매도청산은 21:00에 진행한다.</t>
    <phoneticPr fontId="1" type="noConversion"/>
  </si>
  <si>
    <t>평균익절라인은 +10%~20%</t>
    <phoneticPr fontId="1" type="noConversion"/>
  </si>
  <si>
    <t>평균손절라인은 -4%~10%</t>
    <phoneticPr fontId="1" type="noConversion"/>
  </si>
  <si>
    <t>대체적으로 22:00~23:00 사이에 하락한다.(관망)</t>
    <phoneticPr fontId="1" type="noConversion"/>
  </si>
  <si>
    <t>대체적으로 23:00~01:00 사이에 상승한다.(매수)</t>
    <phoneticPr fontId="1" type="noConversion"/>
  </si>
  <si>
    <t>대체적으로 19:00~22:00 사이에 상승한다.(매도)</t>
    <phoneticPr fontId="1" type="noConversion"/>
  </si>
  <si>
    <t>대체적으로 01:00~09:00 사이에 하락한다.(관망)</t>
    <phoneticPr fontId="1" type="noConversion"/>
  </si>
  <si>
    <t>대체적으로 09:00~11:00 사이에 상승한다.(관망)</t>
    <phoneticPr fontId="1" type="noConversion"/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</si>
  <si>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</si>
  <si>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</si>
  <si>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하락장에는 5%에 매도 걸어둔다?</t>
    <phoneticPr fontId="1" type="noConversion"/>
  </si>
  <si>
    <t>현재가</t>
    <phoneticPr fontId="1" type="noConversion"/>
  </si>
  <si>
    <t>상승률</t>
    <phoneticPr fontId="1" type="noConversion"/>
  </si>
  <si>
    <t>전일대비</t>
    <phoneticPr fontId="1" type="noConversion"/>
  </si>
  <si>
    <t>평가손익</t>
    <phoneticPr fontId="1" type="noConversion"/>
  </si>
  <si>
    <t>엘비알와이크레딧</t>
    <phoneticPr fontId="1" type="noConversion"/>
  </si>
  <si>
    <t>트론</t>
    <phoneticPr fontId="1" type="noConversion"/>
  </si>
  <si>
    <t>카이버네트워크</t>
    <phoneticPr fontId="1" type="noConversion"/>
  </si>
  <si>
    <t>온톨로지가스</t>
    <phoneticPr fontId="1" type="noConversion"/>
  </si>
  <si>
    <t>저스트</t>
    <phoneticPr fontId="1" type="noConversion"/>
  </si>
  <si>
    <t>스테이터스네트워크토큰</t>
    <phoneticPr fontId="1" type="noConversion"/>
  </si>
  <si>
    <t>애드엑스</t>
    <phoneticPr fontId="1" type="noConversion"/>
  </si>
  <si>
    <t>퀀텀</t>
    <phoneticPr fontId="1" type="noConversion"/>
  </si>
  <si>
    <t>코스모스</t>
    <phoneticPr fontId="1" type="noConversion"/>
  </si>
  <si>
    <t>메탈</t>
    <phoneticPr fontId="1" type="noConversion"/>
  </si>
  <si>
    <t>전일대비 상승률 Top10</t>
    <phoneticPr fontId="1" type="noConversion"/>
  </si>
  <si>
    <t>합계</t>
    <phoneticPr fontId="1" type="noConversion"/>
  </si>
  <si>
    <t>[엽전코인] 전일대비 상승률 5%~10%</t>
    <phoneticPr fontId="1" type="noConversion"/>
  </si>
  <si>
    <t>[엽전코인] 전일대비 상승률 10%~15%</t>
    <phoneticPr fontId="1" type="noConversion"/>
  </si>
  <si>
    <t>[동전코인] 전일대비 상승률 5%~10%</t>
    <phoneticPr fontId="1" type="noConversion"/>
  </si>
  <si>
    <t>[동전코인] 전일대비 상승률 10%~15%</t>
    <phoneticPr fontId="1" type="noConversion"/>
  </si>
  <si>
    <t>실거래 종목</t>
    <phoneticPr fontId="1" type="noConversion"/>
  </si>
  <si>
    <t>대체적으로 금요일 3차변동은 불장이다?</t>
    <phoneticPr fontId="1" type="noConversion"/>
  </si>
  <si>
    <t>1차 변동</t>
    <phoneticPr fontId="1" type="noConversion"/>
  </si>
  <si>
    <t>2차 변동</t>
    <phoneticPr fontId="1" type="noConversion"/>
  </si>
  <si>
    <t>3차 변동</t>
    <phoneticPr fontId="1" type="noConversion"/>
  </si>
  <si>
    <t>펀디엑스</t>
  </si>
  <si>
    <t>스트라이크</t>
  </si>
  <si>
    <t>도지코인</t>
  </si>
  <si>
    <t>에브리피디아</t>
  </si>
  <si>
    <t>샌드박스</t>
  </si>
  <si>
    <t>코박토큰</t>
  </si>
  <si>
    <t>엘비알와이크레딧</t>
  </si>
  <si>
    <t>피르마체인</t>
  </si>
  <si>
    <t>옵저버</t>
  </si>
  <si>
    <t>메타디움</t>
  </si>
  <si>
    <t>썸씽</t>
  </si>
  <si>
    <t>퀴즈톡</t>
  </si>
  <si>
    <t>골렘</t>
  </si>
  <si>
    <t>비트코인캐시에이비씨</t>
  </si>
  <si>
    <t>스트라티스</t>
  </si>
  <si>
    <t>엠블</t>
  </si>
  <si>
    <t>세럼</t>
  </si>
  <si>
    <t>KRW-SRM</t>
  </si>
  <si>
    <t>플레이댑</t>
  </si>
  <si>
    <t>마로</t>
  </si>
  <si>
    <t>헌트</t>
  </si>
  <si>
    <t>람다</t>
  </si>
  <si>
    <t>스와이프</t>
  </si>
  <si>
    <t>톤</t>
  </si>
  <si>
    <t>크립토닷컴체인</t>
  </si>
  <si>
    <t>저스트</t>
  </si>
  <si>
    <t>보라</t>
  </si>
  <si>
    <t>아하토큰</t>
  </si>
  <si>
    <t>카바</t>
  </si>
  <si>
    <t>하이브</t>
  </si>
  <si>
    <t>디카르고</t>
  </si>
  <si>
    <t>스톰엑스</t>
  </si>
  <si>
    <t>픽셀</t>
  </si>
  <si>
    <t>칠리즈</t>
  </si>
  <si>
    <t>비체인</t>
  </si>
  <si>
    <t>오브스</t>
  </si>
  <si>
    <t>에스티피</t>
  </si>
  <si>
    <t>메디블록</t>
  </si>
  <si>
    <t>헤데라해시그래프</t>
  </si>
  <si>
    <t>왁스</t>
  </si>
  <si>
    <t>트웰브쉽스</t>
  </si>
  <si>
    <t>무비블록</t>
  </si>
  <si>
    <t>솔브케어</t>
  </si>
  <si>
    <t>캐리프로토콜</t>
  </si>
  <si>
    <t>썬더토큰</t>
  </si>
  <si>
    <t>아르고</t>
  </si>
  <si>
    <t>앵커</t>
  </si>
  <si>
    <t>디센트럴랜드</t>
  </si>
  <si>
    <t>쎄타퓨엘</t>
  </si>
  <si>
    <t>엔진코인</t>
  </si>
  <si>
    <t>모스코인</t>
  </si>
  <si>
    <t>비트토렌트</t>
  </si>
  <si>
    <t>엘프</t>
  </si>
  <si>
    <t>쿼크체인</t>
  </si>
  <si>
    <t>엔도르</t>
  </si>
  <si>
    <t>쎄타토큰</t>
  </si>
  <si>
    <t>아이오에스티</t>
  </si>
  <si>
    <t>비트코인에스브이</t>
  </si>
  <si>
    <t>질리카</t>
  </si>
  <si>
    <t>카이버네트워크</t>
  </si>
  <si>
    <t>제로엑스</t>
  </si>
  <si>
    <t>센티넬프로토콜</t>
  </si>
  <si>
    <t>온톨로지가스</t>
  </si>
  <si>
    <t>메인프레임</t>
  </si>
  <si>
    <t>아이오타</t>
  </si>
  <si>
    <t>시빅</t>
  </si>
  <si>
    <t>리퍼리움</t>
  </si>
  <si>
    <t>디마켓</t>
  </si>
  <si>
    <t>룸네트워크</t>
  </si>
  <si>
    <t>폴리매쓰</t>
  </si>
  <si>
    <t>이그니스</t>
  </si>
  <si>
    <t>시아코인</t>
  </si>
  <si>
    <t>트론</t>
  </si>
  <si>
    <t>비트코인골드</t>
  </si>
  <si>
    <t>파워렛저</t>
  </si>
  <si>
    <t>스팀달러</t>
  </si>
  <si>
    <t>아인스타이늄</t>
  </si>
  <si>
    <t>그로스톨코인</t>
  </si>
  <si>
    <t>코모도</t>
  </si>
  <si>
    <t>아더</t>
  </si>
  <si>
    <t>스텔라루멘</t>
  </si>
  <si>
    <t>스팀</t>
  </si>
  <si>
    <t>퀀텀</t>
  </si>
  <si>
    <t>넴</t>
  </si>
  <si>
    <t>웨이브</t>
  </si>
  <si>
    <t>이그니스</t>
    <phoneticPr fontId="1" type="noConversion"/>
  </si>
  <si>
    <t>룸네트워크</t>
    <phoneticPr fontId="1" type="noConversion"/>
  </si>
  <si>
    <t>질리카</t>
    <phoneticPr fontId="1" type="noConversion"/>
  </si>
  <si>
    <t>아더</t>
    <phoneticPr fontId="1" type="noConversion"/>
  </si>
  <si>
    <t>스와이프</t>
    <phoneticPr fontId="1" type="noConversion"/>
  </si>
  <si>
    <t>세럼</t>
    <phoneticPr fontId="1" type="noConversion"/>
  </si>
  <si>
    <t>에스티피</t>
    <phoneticPr fontId="1" type="noConversion"/>
  </si>
  <si>
    <t>피르마체인</t>
    <phoneticPr fontId="1" type="noConversion"/>
  </si>
  <si>
    <t>아르고</t>
    <phoneticPr fontId="1" type="noConversion"/>
  </si>
  <si>
    <t>엘프</t>
    <phoneticPr fontId="1" type="noConversion"/>
  </si>
  <si>
    <t>비트코인</t>
    <phoneticPr fontId="1" type="noConversion"/>
  </si>
  <si>
    <t>코인명검색</t>
    <phoneticPr fontId="1" type="noConversion"/>
  </si>
  <si>
    <t>플로우</t>
  </si>
  <si>
    <t>던프로토콜</t>
  </si>
  <si>
    <t>엑시인피니티</t>
  </si>
  <si>
    <t>스택스</t>
  </si>
  <si>
    <t>리플</t>
    <phoneticPr fontId="1" type="noConversion"/>
  </si>
  <si>
    <t>비체인</t>
    <phoneticPr fontId="1" type="noConversion"/>
  </si>
  <si>
    <t>스택스</t>
    <phoneticPr fontId="1" type="noConversion"/>
  </si>
  <si>
    <t>스텔라루멘</t>
    <phoneticPr fontId="1" type="noConversion"/>
  </si>
  <si>
    <t>비트코인캐시</t>
    <phoneticPr fontId="1" type="noConversion"/>
  </si>
  <si>
    <t>비트코인골드</t>
    <phoneticPr fontId="1" type="noConversion"/>
  </si>
  <si>
    <t>[엽전코인] 전일대비 상승률 5%~10%</t>
  </si>
  <si>
    <t>현재가</t>
  </si>
  <si>
    <t>전일대비</t>
  </si>
  <si>
    <t>코인명</t>
  </si>
  <si>
    <t>코인검색기1</t>
    <phoneticPr fontId="1" type="noConversion"/>
  </si>
  <si>
    <t>코인검색기2</t>
    <phoneticPr fontId="1" type="noConversion"/>
  </si>
  <si>
    <t>비트코인</t>
    <phoneticPr fontId="1" type="noConversion"/>
  </si>
  <si>
    <t>리플</t>
  </si>
  <si>
    <t>KRW-BTC</t>
  </si>
  <si>
    <t>비트코인</t>
  </si>
  <si>
    <t>네오</t>
  </si>
  <si>
    <t>메탈</t>
  </si>
  <si>
    <t>KRW-ETC</t>
  </si>
  <si>
    <t>이더리움클래식</t>
  </si>
  <si>
    <t>오미세고</t>
  </si>
  <si>
    <t>스테이터스네트워크토큰</t>
  </si>
  <si>
    <t>넴</t>
    <phoneticPr fontId="1" type="noConversion"/>
  </si>
  <si>
    <t>비트코인캐시에이비씨</t>
    <phoneticPr fontId="1" type="noConversion"/>
  </si>
  <si>
    <t>이더리움클래식</t>
    <phoneticPr fontId="1" type="noConversion"/>
  </si>
  <si>
    <t>비트코인에스브이</t>
    <phoneticPr fontId="1" type="noConversion"/>
  </si>
  <si>
    <t>대체적으로 주말은 조정장이다?</t>
    <phoneticPr fontId="1" type="noConversion"/>
  </si>
  <si>
    <t>헤데라해시그래프</t>
    <phoneticPr fontId="1" type="noConversion"/>
  </si>
  <si>
    <t>이더리움</t>
  </si>
  <si>
    <t>라이트코인</t>
  </si>
  <si>
    <t>이오스</t>
  </si>
  <si>
    <t>비트코인캐시</t>
  </si>
  <si>
    <t>KRW-VET</t>
  </si>
  <si>
    <t>체인링크</t>
  </si>
  <si>
    <t>휴먼스케이프</t>
  </si>
  <si>
    <t>파워렛저</t>
    <phoneticPr fontId="1" type="noConversion"/>
  </si>
  <si>
    <t>크립토닷컴체인</t>
    <phoneticPr fontId="1" type="noConversion"/>
  </si>
  <si>
    <t>KRW-XEM</t>
  </si>
  <si>
    <t>KRW-STEEM</t>
  </si>
  <si>
    <t>KRW-ARDR</t>
  </si>
  <si>
    <t>KRW-GRS</t>
  </si>
  <si>
    <t>아이콘</t>
  </si>
  <si>
    <t>KRW-ONT</t>
  </si>
  <si>
    <t>온톨로지</t>
  </si>
  <si>
    <t>KRW-ZIL</t>
  </si>
  <si>
    <t>KRW-ZRX</t>
  </si>
  <si>
    <t>KRW-LOOM</t>
  </si>
  <si>
    <t>KRW-IOST</t>
  </si>
  <si>
    <t>KRW-IQ</t>
  </si>
  <si>
    <t>KRW-GAS</t>
  </si>
  <si>
    <t>가스</t>
  </si>
  <si>
    <t>KRW-KNC</t>
  </si>
  <si>
    <t>KRW-STRAX</t>
  </si>
  <si>
    <t>KRW-SSX</t>
  </si>
  <si>
    <t>KRW-CBK</t>
  </si>
  <si>
    <t>KRW-SNT</t>
  </si>
  <si>
    <t>KRW-QTUM</t>
  </si>
  <si>
    <t>KRW-ARK</t>
  </si>
  <si>
    <t>아크</t>
  </si>
  <si>
    <t>KRW-STORJ</t>
  </si>
  <si>
    <t>스토리지</t>
  </si>
  <si>
    <t>KRW-REP</t>
  </si>
  <si>
    <t>어거</t>
  </si>
  <si>
    <t>KRW-ADA</t>
  </si>
  <si>
    <t>에이다</t>
  </si>
  <si>
    <t>KRW-BTG</t>
  </si>
  <si>
    <t>KRW-TRX</t>
  </si>
  <si>
    <t>KRW-IGNIS</t>
  </si>
  <si>
    <t>KRW-POLY</t>
  </si>
  <si>
    <t>KRW-BCH</t>
  </si>
  <si>
    <t>KRW-ADX</t>
  </si>
  <si>
    <t>애드엑스</t>
  </si>
  <si>
    <t>KRW-BAT</t>
  </si>
  <si>
    <t>베이직어텐션토큰</t>
  </si>
  <si>
    <t>KRW-BSV</t>
  </si>
  <si>
    <t>KRW-THETA</t>
  </si>
  <si>
    <t>KRW-MOC</t>
  </si>
  <si>
    <t>KRW-CRE</t>
  </si>
  <si>
    <t>KRW-SOLVE</t>
  </si>
  <si>
    <t>KRW-MED</t>
  </si>
  <si>
    <t>KRW-MLK</t>
  </si>
  <si>
    <t>밀크</t>
  </si>
  <si>
    <t>KRW-DKA</t>
  </si>
  <si>
    <t>KRW-JST</t>
  </si>
  <si>
    <t>KRW-CRO</t>
  </si>
  <si>
    <t>KRW-SXP</t>
  </si>
  <si>
    <t>KRW-PUNDIX</t>
  </si>
  <si>
    <t>KRW-ETH</t>
  </si>
  <si>
    <t>KRW-NEO</t>
  </si>
  <si>
    <t>KRW-MTL</t>
  </si>
  <si>
    <t>KRW-LTC</t>
  </si>
  <si>
    <t>KRW-XRP</t>
  </si>
  <si>
    <t>KRW-OMG</t>
  </si>
  <si>
    <t>KRW-WAVES</t>
  </si>
  <si>
    <t>KRW-LSK</t>
  </si>
  <si>
    <t>리스크</t>
  </si>
  <si>
    <t>KRW-XLM</t>
  </si>
  <si>
    <t>KRW-KMD</t>
  </si>
  <si>
    <t>KRW-EMC2</t>
  </si>
  <si>
    <t>KRW-SBD</t>
  </si>
  <si>
    <t>KRW-POWR</t>
  </si>
  <si>
    <t>KRW-ICX</t>
  </si>
  <si>
    <t>KRW-EOS</t>
  </si>
  <si>
    <t>KRW-SC</t>
  </si>
  <si>
    <t>KRW-DMT</t>
  </si>
  <si>
    <t>KRW-RFR</t>
  </si>
  <si>
    <t>KRW-CVC</t>
  </si>
  <si>
    <t>KRW-IOTA</t>
  </si>
  <si>
    <t>KRW-MFT</t>
  </si>
  <si>
    <t>KRW-ONG</t>
  </si>
  <si>
    <t>KRW-UPP</t>
  </si>
  <si>
    <t>KRW-ELF</t>
  </si>
  <si>
    <t>KRW-EDR</t>
  </si>
  <si>
    <t>KRW-QKC</t>
  </si>
  <si>
    <t>KRW-BTT</t>
  </si>
  <si>
    <t>KRW-ENJ</t>
  </si>
  <si>
    <t>KRW-TFUEL</t>
  </si>
  <si>
    <t>KRW-MANA</t>
  </si>
  <si>
    <t>KRW-ANKR</t>
  </si>
  <si>
    <t>KRW-AERGO</t>
  </si>
  <si>
    <t>KRW-ATOM</t>
  </si>
  <si>
    <t>코스모스</t>
  </si>
  <si>
    <t>KRW-TT</t>
  </si>
  <si>
    <t>KRW-MBL</t>
  </si>
  <si>
    <t>KRW-TSHP</t>
  </si>
  <si>
    <t>KRW-WAXP</t>
  </si>
  <si>
    <t>KRW-HBAR</t>
  </si>
  <si>
    <t>KRW-STPT</t>
  </si>
  <si>
    <t>KRW-ORBS</t>
  </si>
  <si>
    <t>KRW-CHZ</t>
  </si>
  <si>
    <t>KRW-PXL</t>
  </si>
  <si>
    <t>KRW-STMX</t>
  </si>
  <si>
    <t>KRW-HIVE</t>
  </si>
  <si>
    <t>KRW-KAVA</t>
  </si>
  <si>
    <t>KRW-AHT</t>
  </si>
  <si>
    <t>KRW-LINK</t>
  </si>
  <si>
    <t>KRW-XTZ</t>
  </si>
  <si>
    <t>테조스</t>
  </si>
  <si>
    <t>KRW-BORA</t>
  </si>
  <si>
    <t>KRW-TON</t>
  </si>
  <si>
    <t>KRW-LAMB</t>
  </si>
  <si>
    <t>KRW-HUNT</t>
  </si>
  <si>
    <t>KRW-MARO</t>
  </si>
  <si>
    <t>KRW-PLA</t>
  </si>
  <si>
    <t>KRW-DOT</t>
  </si>
  <si>
    <t>폴카닷</t>
  </si>
  <si>
    <t>KRW-MVL</t>
  </si>
  <si>
    <t>KRW-PCI</t>
  </si>
  <si>
    <t>페이코인</t>
  </si>
  <si>
    <t>KRW-AQT</t>
  </si>
  <si>
    <t>알파쿼크</t>
  </si>
  <si>
    <t>KRW-BCHA</t>
  </si>
  <si>
    <t>KRW-GLM</t>
  </si>
  <si>
    <t>KRW-QTCON</t>
  </si>
  <si>
    <t>KRW-META</t>
  </si>
  <si>
    <t>KRW-OBSR</t>
  </si>
  <si>
    <t>KRW-FCT2</t>
  </si>
  <si>
    <t>KRW-LBC</t>
  </si>
  <si>
    <t>KRW-SAND</t>
  </si>
  <si>
    <t>KRW-HUM</t>
  </si>
  <si>
    <t>KRW-DOGE</t>
  </si>
  <si>
    <t>KRW-STRK</t>
  </si>
  <si>
    <t>KRW-FLOW</t>
  </si>
  <si>
    <t>KRW-DAWN</t>
  </si>
  <si>
    <t>KRW-AXS</t>
  </si>
  <si>
    <t>KRW-STX</t>
  </si>
  <si>
    <t>오후 21:55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</si>
</sst>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_ \K\R\W"/>
    <numFmt numFmtId="177" formatCode="#,##0.00_ \K\R\W"/>
    <numFmt numFmtId="178" formatCode="#,##0\ \K\R\W\~"/>
    <numFmt numFmtId="179" formatCode="[$-412]AM/PM\ hh:mm;@"/>
    <numFmt numFmtId="180" formatCode="[$-412]yyyy&quot;년&quot;\ mm&quot;월&quot;\ dd&quot;일&quot;\ \(ddd\)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52">
    <xf numFmtId="0" fontId="0" fillId="0" borderId="0" xfId="0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76" fontId="0" fillId="0" borderId="24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18" xfId="0" applyBorder="1">
      <alignment vertical="center"/>
    </xf>
    <xf numFmtId="0" fontId="0" fillId="0" borderId="29" xfId="0" applyBorder="1">
      <alignment vertical="center"/>
    </xf>
    <xf numFmtId="176" fontId="0" fillId="0" borderId="20" xfId="0" applyNumberFormat="1" applyBorder="1" applyAlignment="1">
      <alignment horizontal="center" vertical="center"/>
    </xf>
    <xf numFmtId="0" fontId="0" fillId="0" borderId="30" xfId="0" applyBorder="1">
      <alignment vertical="center"/>
    </xf>
    <xf numFmtId="176" fontId="0" fillId="0" borderId="21" xfId="0" applyNumberFormat="1" applyBorder="1" applyAlignment="1">
      <alignment horizontal="center" vertical="center"/>
    </xf>
    <xf numFmtId="0" fontId="0" fillId="0" borderId="26" xfId="0" applyBorder="1">
      <alignment vertical="center"/>
    </xf>
    <xf numFmtId="176" fontId="0" fillId="0" borderId="28" xfId="0" applyNumberFormat="1" applyBorder="1" applyAlignment="1">
      <alignment horizontal="center" vertical="center"/>
    </xf>
    <xf numFmtId="176" fontId="0" fillId="0" borderId="19" xfId="0" applyNumberFormat="1" applyBorder="1" applyAlignment="1">
      <alignment horizontal="center" vertical="center"/>
    </xf>
    <xf numFmtId="10" fontId="0" fillId="0" borderId="32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0" fontId="0" fillId="0" borderId="19" xfId="0" applyNumberFormat="1" applyBorder="1" applyAlignment="1">
      <alignment horizontal="center" vertical="center"/>
    </xf>
    <xf numFmtId="176" fontId="0" fillId="0" borderId="32" xfId="0" applyNumberFormat="1" applyBorder="1" applyAlignment="1">
      <alignment horizontal="center" vertical="center"/>
    </xf>
    <xf numFmtId="10" fontId="0" fillId="0" borderId="17" xfId="0" applyNumberFormat="1" applyBorder="1" applyAlignment="1">
      <alignment horizontal="center" vertical="center"/>
    </xf>
    <xf numFmtId="176" fontId="0" fillId="0" borderId="17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177" fontId="0" fillId="0" borderId="19" xfId="0" applyNumberFormat="1" applyBorder="1" applyAlignment="1">
      <alignment horizontal="right" vertical="center"/>
    </xf>
    <xf numFmtId="177" fontId="0" fillId="0" borderId="0" xfId="0" applyNumberFormat="1" applyBorder="1" applyAlignment="1">
      <alignment horizontal="right" vertical="center"/>
    </xf>
    <xf numFmtId="177" fontId="0" fillId="0" borderId="17" xfId="0" applyNumberFormat="1" applyBorder="1" applyAlignment="1">
      <alignment horizontal="right" vertical="center"/>
    </xf>
    <xf numFmtId="177" fontId="0" fillId="0" borderId="32" xfId="0" applyNumberFormat="1" applyBorder="1" applyAlignment="1">
      <alignment horizontal="right" vertical="center"/>
    </xf>
    <xf numFmtId="177" fontId="0" fillId="0" borderId="22" xfId="0" applyNumberFormat="1" applyBorder="1" applyAlignment="1">
      <alignment horizontal="right" vertical="center"/>
    </xf>
    <xf numFmtId="177" fontId="0" fillId="0" borderId="25" xfId="0" applyNumberFormat="1" applyBorder="1" applyAlignment="1">
      <alignment horizontal="right" vertical="center"/>
    </xf>
    <xf numFmtId="177" fontId="0" fillId="0" borderId="23" xfId="0" applyNumberFormat="1" applyBorder="1" applyAlignment="1">
      <alignment horizontal="right" vertical="center"/>
    </xf>
    <xf numFmtId="177" fontId="0" fillId="0" borderId="27" xfId="0" applyNumberFormat="1" applyBorder="1" applyAlignment="1">
      <alignment horizontal="right" vertical="center"/>
    </xf>
    <xf numFmtId="0" fontId="3" fillId="0" borderId="29" xfId="0" applyFont="1" applyBorder="1">
      <alignment vertical="center"/>
    </xf>
    <xf numFmtId="0" fontId="3" fillId="0" borderId="30" xfId="0" applyFont="1" applyBorder="1">
      <alignment vertical="center"/>
    </xf>
    <xf numFmtId="0" fontId="3" fillId="0" borderId="18" xfId="0" applyFont="1" applyBorder="1">
      <alignment vertical="center"/>
    </xf>
    <xf numFmtId="0" fontId="3" fillId="0" borderId="26" xfId="0" applyFont="1" applyBorder="1">
      <alignment vertical="center"/>
    </xf>
    <xf numFmtId="176" fontId="0" fillId="0" borderId="20" xfId="0" applyNumberFormat="1" applyBorder="1" applyAlignment="1">
      <alignment horizontal="right" vertical="center"/>
    </xf>
    <xf numFmtId="176" fontId="0" fillId="0" borderId="21" xfId="0" applyNumberFormat="1" applyBorder="1" applyAlignment="1">
      <alignment horizontal="right" vertical="center"/>
    </xf>
    <xf numFmtId="176" fontId="0" fillId="0" borderId="2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right" vertical="center"/>
    </xf>
    <xf numFmtId="176" fontId="0" fillId="0" borderId="31" xfId="0" applyNumberFormat="1" applyBorder="1" applyAlignment="1">
      <alignment horizontal="right" vertical="center"/>
    </xf>
    <xf numFmtId="179" fontId="0" fillId="0" borderId="21" xfId="0" applyNumberFormat="1" applyBorder="1" applyAlignment="1">
      <alignment horizontal="center" vertical="center"/>
    </xf>
    <xf numFmtId="179" fontId="0" fillId="0" borderId="28" xfId="0" applyNumberFormat="1" applyBorder="1" applyAlignment="1">
      <alignment horizontal="center" vertical="center"/>
    </xf>
    <xf numFmtId="178" fontId="0" fillId="0" borderId="21" xfId="0" applyNumberFormat="1" applyBorder="1" applyAlignment="1">
      <alignment horizontal="right" vertical="center"/>
    </xf>
    <xf numFmtId="178" fontId="0" fillId="0" borderId="28" xfId="0" applyNumberForma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9" xfId="0" applyNumberFormat="1" applyBorder="1" applyAlignment="1">
      <alignment horizontal="right" vertical="center"/>
    </xf>
    <xf numFmtId="176" fontId="0" fillId="0" borderId="0" xfId="0" applyNumberFormat="1" applyBorder="1" applyAlignment="1">
      <alignment horizontal="right" vertical="center"/>
    </xf>
    <xf numFmtId="176" fontId="0" fillId="0" borderId="17" xfId="0" applyNumberFormat="1" applyBorder="1" applyAlignment="1">
      <alignment horizontal="right" vertical="center"/>
    </xf>
    <xf numFmtId="176" fontId="0" fillId="0" borderId="32" xfId="0" applyNumberFormat="1" applyBorder="1" applyAlignment="1">
      <alignment horizontal="right" vertical="center"/>
    </xf>
    <xf numFmtId="176" fontId="0" fillId="0" borderId="24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right"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/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0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right" vertical="center"/>
    </xf>
    <xf numFmtId="10" fontId="4" fillId="0" borderId="2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7" fontId="0" fillId="0" borderId="22" xfId="0" applyNumberFormat="1" applyBorder="1" applyAlignment="1">
      <alignment horizontal="right" vertical="center"/>
    </xf>
    <xf numFmtId="10" fontId="0" fillId="0" borderId="0" xfId="0" applyNumberFormat="1">
      <alignment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180" fontId="4" fillId="0" borderId="8" xfId="0" applyNumberFormat="1" applyFont="1" applyBorder="1" applyAlignment="1">
      <alignment horizontal="center" vertical="center"/>
    </xf>
    <xf numFmtId="180" fontId="4" fillId="0" borderId="9" xfId="0" applyNumberFormat="1" applyFont="1" applyBorder="1" applyAlignment="1">
      <alignment horizontal="center" vertical="center"/>
    </xf>
    <xf numFmtId="180" fontId="4" fillId="0" borderId="10" xfId="0" applyNumberFormat="1" applyFont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4" fillId="0" borderId="27" xfId="0" applyFont="1" applyBorder="1" applyAlignment="1">
      <alignment horizontal="center" vertical="center"/>
    </xf>
    <xf numFmtId="0" fontId="4" fillId="0" borderId="32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2" fillId="0" borderId="11" xfId="1" applyBorder="1" applyAlignment="1">
      <alignment horizontal="center" vertical="center" wrapText="1"/>
    </xf>
    <xf numFmtId="0" fontId="2" fillId="0" borderId="35" xfId="1" applyBorder="1" applyAlignment="1">
      <alignment horizontal="center" vertical="center" wrapText="1"/>
    </xf>
    <xf numFmtId="0" fontId="2" fillId="0" borderId="11" xfId="1" applyBorder="1" applyAlignment="1">
      <alignment horizontal="center" vertical="center"/>
    </xf>
    <xf numFmtId="0" fontId="2" fillId="0" borderId="35" xfId="1" applyBorder="1" applyAlignment="1">
      <alignment horizontal="center" vertical="center"/>
    </xf>
    <xf numFmtId="0" fontId="2" fillId="0" borderId="12" xfId="1" applyBorder="1" applyAlignment="1">
      <alignment horizontal="center" vertical="center"/>
    </xf>
    <xf numFmtId="0" fontId="2" fillId="0" borderId="36" xfId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2" fillId="0" borderId="33" xfId="1" applyBorder="1" applyAlignment="1">
      <alignment horizontal="center" vertical="center"/>
    </xf>
    <xf numFmtId="0" fontId="2" fillId="0" borderId="34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37" xfId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27" xfId="0" applyNumberFormat="1" applyBorder="1" applyAlignment="1">
      <alignment horizontal="center" vertical="center"/>
    </xf>
    <xf numFmtId="20" fontId="0" fillId="0" borderId="32" xfId="0" applyNumberFormat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7" fontId="4" fillId="0" borderId="8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10" xfId="0" applyNumberFormat="1" applyFont="1" applyBorder="1" applyAlignment="1">
      <alignment horizontal="center" vertical="center"/>
    </xf>
    <xf numFmtId="10" fontId="4" fillId="0" borderId="8" xfId="0" applyNumberFormat="1" applyFont="1" applyBorder="1" applyAlignment="1">
      <alignment horizontal="center" vertical="center"/>
    </xf>
    <xf numFmtId="10" fontId="4" fillId="0" borderId="9" xfId="0" applyNumberFormat="1" applyFont="1" applyBorder="1" applyAlignment="1">
      <alignment horizontal="center" vertical="center"/>
    </xf>
    <xf numFmtId="10" fontId="4" fillId="0" borderId="10" xfId="0" applyNumberFormat="1" applyFont="1" applyBorder="1" applyAlignment="1">
      <alignment horizontal="center" vertical="center"/>
    </xf>
    <xf numFmtId="0" fontId="5" fillId="0" borderId="11" xfId="1" applyFont="1" applyBorder="1" applyAlignment="1">
      <alignment horizontal="center" vertical="center" wrapText="1"/>
    </xf>
    <xf numFmtId="0" fontId="5" fillId="0" borderId="35" xfId="1" applyFont="1" applyBorder="1" applyAlignment="1">
      <alignment horizontal="center" vertical="center" wrapText="1"/>
    </xf>
    <xf numFmtId="0" fontId="5" fillId="0" borderId="11" xfId="1" applyFont="1" applyBorder="1" applyAlignment="1">
      <alignment horizontal="center" vertical="center"/>
    </xf>
    <xf numFmtId="0" fontId="5" fillId="0" borderId="35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36" xfId="1" applyFon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0" fontId="5" fillId="0" borderId="33" xfId="1" applyFont="1" applyBorder="1" applyAlignment="1">
      <alignment horizontal="center" vertical="center"/>
    </xf>
    <xf numFmtId="0" fontId="5" fillId="0" borderId="34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5" fillId="0" borderId="37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77" fontId="4" fillId="0" borderId="0" xfId="0" applyNumberFormat="1" applyFont="1" applyAlignment="1">
      <alignment horizontal="center" vertical="center"/>
    </xf>
    <xf numFmtId="177" fontId="4" fillId="0" borderId="21" xfId="0" applyNumberFormat="1" applyFont="1" applyBorder="1" applyAlignment="1">
      <alignment horizontal="center" vertical="center"/>
    </xf>
    <xf numFmtId="177" fontId="4" fillId="0" borderId="32" xfId="0" applyNumberFormat="1" applyFont="1" applyBorder="1" applyAlignment="1">
      <alignment horizontal="center" vertical="center"/>
    </xf>
    <xf numFmtId="177" fontId="4" fillId="0" borderId="28" xfId="0" applyNumberFormat="1" applyFont="1" applyBorder="1" applyAlignment="1">
      <alignment horizontal="center" vertical="center"/>
    </xf>
    <xf numFmtId="10" fontId="4" fillId="0" borderId="25" xfId="0" applyNumberFormat="1" applyFont="1" applyBorder="1" applyAlignment="1">
      <alignment horizontal="center" vertical="center"/>
    </xf>
    <xf numFmtId="10" fontId="4" fillId="0" borderId="27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96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0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0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0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0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0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0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0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33800" name="Button 8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0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33801" name="Button 9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0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33802" name="Button 10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0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33803" name="Button 11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0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33804" name="Button 12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0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33805" name="Button 13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0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33806" name="Button 14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0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33807" name="Button 15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0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3808" name="Button 16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0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3809" name="Button 17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0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3810" name="Button 18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0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33811" name="Button 19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0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33812" name="Button 20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0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33813" name="Button 21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0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3814" name="Button 22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0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3815" name="Button 23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0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3816" name="Button 24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0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33817" name="Button 25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0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33818" name="Button 26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0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33819" name="Button 27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0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33820" name="Button 28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0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33821" name="Button 29" hidden="1">
              <a:extLst>
                <a:ext uri="{63B3BB69-23CF-44E3-9099-C40C66FF867C}">
                  <a14:compatExt spid="_x0000_s33821"/>
                </a:ext>
                <a:ext uri="{FF2B5EF4-FFF2-40B4-BE49-F238E27FC236}">
                  <a16:creationId xmlns:a16="http://schemas.microsoft.com/office/drawing/2014/main" id="{00000000-0008-0000-0000-00001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33822" name="Button 30" hidden="1">
              <a:extLst>
                <a:ext uri="{63B3BB69-23CF-44E3-9099-C40C66FF867C}">
                  <a14:compatExt spid="_x0000_s33822"/>
                </a:ext>
                <a:ext uri="{FF2B5EF4-FFF2-40B4-BE49-F238E27FC236}">
                  <a16:creationId xmlns:a16="http://schemas.microsoft.com/office/drawing/2014/main" id="{00000000-0008-0000-0000-00001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33823" name="Button 31" hidden="1">
              <a:extLst>
                <a:ext uri="{63B3BB69-23CF-44E3-9099-C40C66FF867C}">
                  <a14:compatExt spid="_x0000_s33823"/>
                </a:ext>
                <a:ext uri="{FF2B5EF4-FFF2-40B4-BE49-F238E27FC236}">
                  <a16:creationId xmlns:a16="http://schemas.microsoft.com/office/drawing/2014/main" id="{00000000-0008-0000-0000-00001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3824" name="Button 32" hidden="1">
              <a:extLst>
                <a:ext uri="{63B3BB69-23CF-44E3-9099-C40C66FF867C}">
                  <a14:compatExt spid="_x0000_s33824"/>
                </a:ext>
                <a:ext uri="{FF2B5EF4-FFF2-40B4-BE49-F238E27FC236}">
                  <a16:creationId xmlns:a16="http://schemas.microsoft.com/office/drawing/2014/main" id="{00000000-0008-0000-0000-00002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3825" name="Button 33" hidden="1">
              <a:extLst>
                <a:ext uri="{63B3BB69-23CF-44E3-9099-C40C66FF867C}">
                  <a14:compatExt spid="_x0000_s33825"/>
                </a:ext>
                <a:ext uri="{FF2B5EF4-FFF2-40B4-BE49-F238E27FC236}">
                  <a16:creationId xmlns:a16="http://schemas.microsoft.com/office/drawing/2014/main" id="{00000000-0008-0000-0000-00002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33826" name="Button 34" hidden="1">
              <a:extLst>
                <a:ext uri="{63B3BB69-23CF-44E3-9099-C40C66FF867C}">
                  <a14:compatExt spid="_x0000_s33826"/>
                </a:ext>
                <a:ext uri="{FF2B5EF4-FFF2-40B4-BE49-F238E27FC236}">
                  <a16:creationId xmlns:a16="http://schemas.microsoft.com/office/drawing/2014/main" id="{00000000-0008-0000-0000-00002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33827" name="Button 35" hidden="1">
              <a:extLst>
                <a:ext uri="{63B3BB69-23CF-44E3-9099-C40C66FF867C}">
                  <a14:compatExt spid="_x0000_s33827"/>
                </a:ext>
                <a:ext uri="{FF2B5EF4-FFF2-40B4-BE49-F238E27FC236}">
                  <a16:creationId xmlns:a16="http://schemas.microsoft.com/office/drawing/2014/main" id="{00000000-0008-0000-0000-00002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33828" name="Button 36" hidden="1">
              <a:extLst>
                <a:ext uri="{63B3BB69-23CF-44E3-9099-C40C66FF867C}">
                  <a14:compatExt spid="_x0000_s33828"/>
                </a:ext>
                <a:ext uri="{FF2B5EF4-FFF2-40B4-BE49-F238E27FC236}">
                  <a16:creationId xmlns:a16="http://schemas.microsoft.com/office/drawing/2014/main" id="{00000000-0008-0000-0000-00002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8677" name="Button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8678" name="Button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8679" name="Button 7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8680" name="Button 8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8681" name="Button 9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1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8682" name="Button 10" hidden="1">
              <a:extLst>
                <a:ext uri="{63B3BB69-23CF-44E3-9099-C40C66FF867C}">
                  <a14:compatExt spid="_x0000_s28682"/>
                </a:ext>
                <a:ext uri="{FF2B5EF4-FFF2-40B4-BE49-F238E27FC236}">
                  <a16:creationId xmlns:a16="http://schemas.microsoft.com/office/drawing/2014/main" id="{00000000-0008-0000-0100-00000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8683" name="Button 11" hidden="1">
              <a:extLst>
                <a:ext uri="{63B3BB69-23CF-44E3-9099-C40C66FF867C}">
                  <a14:compatExt spid="_x0000_s28683"/>
                </a:ext>
                <a:ext uri="{FF2B5EF4-FFF2-40B4-BE49-F238E27FC236}">
                  <a16:creationId xmlns:a16="http://schemas.microsoft.com/office/drawing/2014/main" id="{00000000-0008-0000-0100-00000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8684" name="Button 12" hidden="1">
              <a:extLst>
                <a:ext uri="{63B3BB69-23CF-44E3-9099-C40C66FF867C}">
                  <a14:compatExt spid="_x0000_s28684"/>
                </a:ext>
                <a:ext uri="{FF2B5EF4-FFF2-40B4-BE49-F238E27FC236}">
                  <a16:creationId xmlns:a16="http://schemas.microsoft.com/office/drawing/2014/main" id="{00000000-0008-0000-0100-00000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8685" name="Button 13" hidden="1">
              <a:extLst>
                <a:ext uri="{63B3BB69-23CF-44E3-9099-C40C66FF867C}">
                  <a14:compatExt spid="_x0000_s28685"/>
                </a:ext>
                <a:ext uri="{FF2B5EF4-FFF2-40B4-BE49-F238E27FC236}">
                  <a16:creationId xmlns:a16="http://schemas.microsoft.com/office/drawing/2014/main" id="{00000000-0008-0000-0100-00000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8686" name="Button 14" hidden="1">
              <a:extLst>
                <a:ext uri="{63B3BB69-23CF-44E3-9099-C40C66FF867C}">
                  <a14:compatExt spid="_x0000_s28686"/>
                </a:ext>
                <a:ext uri="{FF2B5EF4-FFF2-40B4-BE49-F238E27FC236}">
                  <a16:creationId xmlns:a16="http://schemas.microsoft.com/office/drawing/2014/main" id="{00000000-0008-0000-0100-00000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8687" name="Button 15" hidden="1">
              <a:extLst>
                <a:ext uri="{63B3BB69-23CF-44E3-9099-C40C66FF867C}">
                  <a14:compatExt spid="_x0000_s28687"/>
                </a:ext>
                <a:ext uri="{FF2B5EF4-FFF2-40B4-BE49-F238E27FC236}">
                  <a16:creationId xmlns:a16="http://schemas.microsoft.com/office/drawing/2014/main" id="{00000000-0008-0000-0100-00000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8688" name="Button 16" hidden="1">
              <a:extLst>
                <a:ext uri="{63B3BB69-23CF-44E3-9099-C40C66FF867C}">
                  <a14:compatExt spid="_x0000_s28688"/>
                </a:ext>
                <a:ext uri="{FF2B5EF4-FFF2-40B4-BE49-F238E27FC236}">
                  <a16:creationId xmlns:a16="http://schemas.microsoft.com/office/drawing/2014/main" id="{00000000-0008-0000-0100-00001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8689" name="Button 17" hidden="1">
              <a:extLst>
                <a:ext uri="{63B3BB69-23CF-44E3-9099-C40C66FF867C}">
                  <a14:compatExt spid="_x0000_s28689"/>
                </a:ext>
                <a:ext uri="{FF2B5EF4-FFF2-40B4-BE49-F238E27FC236}">
                  <a16:creationId xmlns:a16="http://schemas.microsoft.com/office/drawing/2014/main" id="{00000000-0008-0000-0100-00001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8690" name="Button 18" hidden="1">
              <a:extLst>
                <a:ext uri="{63B3BB69-23CF-44E3-9099-C40C66FF867C}">
                  <a14:compatExt spid="_x0000_s28690"/>
                </a:ext>
                <a:ext uri="{FF2B5EF4-FFF2-40B4-BE49-F238E27FC236}">
                  <a16:creationId xmlns:a16="http://schemas.microsoft.com/office/drawing/2014/main" id="{00000000-0008-0000-0100-00001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8691" name="Button 19" hidden="1">
              <a:extLst>
                <a:ext uri="{63B3BB69-23CF-44E3-9099-C40C66FF867C}">
                  <a14:compatExt spid="_x0000_s28691"/>
                </a:ext>
                <a:ext uri="{FF2B5EF4-FFF2-40B4-BE49-F238E27FC236}">
                  <a16:creationId xmlns:a16="http://schemas.microsoft.com/office/drawing/2014/main" id="{00000000-0008-0000-0100-00001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8692" name="Button 20" hidden="1">
              <a:extLst>
                <a:ext uri="{63B3BB69-23CF-44E3-9099-C40C66FF867C}">
                  <a14:compatExt spid="_x0000_s28692"/>
                </a:ext>
                <a:ext uri="{FF2B5EF4-FFF2-40B4-BE49-F238E27FC236}">
                  <a16:creationId xmlns:a16="http://schemas.microsoft.com/office/drawing/2014/main" id="{00000000-0008-0000-0100-00001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8693" name="Button 21" hidden="1">
              <a:extLst>
                <a:ext uri="{63B3BB69-23CF-44E3-9099-C40C66FF867C}">
                  <a14:compatExt spid="_x0000_s28693"/>
                </a:ext>
                <a:ext uri="{FF2B5EF4-FFF2-40B4-BE49-F238E27FC236}">
                  <a16:creationId xmlns:a16="http://schemas.microsoft.com/office/drawing/2014/main" id="{00000000-0008-0000-0100-00001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8694" name="Button 22" hidden="1">
              <a:extLst>
                <a:ext uri="{63B3BB69-23CF-44E3-9099-C40C66FF867C}">
                  <a14:compatExt spid="_x0000_s28694"/>
                </a:ext>
                <a:ext uri="{FF2B5EF4-FFF2-40B4-BE49-F238E27FC236}">
                  <a16:creationId xmlns:a16="http://schemas.microsoft.com/office/drawing/2014/main" id="{00000000-0008-0000-0100-00001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8695" name="Button 23" hidden="1">
              <a:extLst>
                <a:ext uri="{63B3BB69-23CF-44E3-9099-C40C66FF867C}">
                  <a14:compatExt spid="_x0000_s28695"/>
                </a:ext>
                <a:ext uri="{FF2B5EF4-FFF2-40B4-BE49-F238E27FC236}">
                  <a16:creationId xmlns:a16="http://schemas.microsoft.com/office/drawing/2014/main" id="{00000000-0008-0000-0100-00001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8696" name="Button 24" hidden="1">
              <a:extLst>
                <a:ext uri="{63B3BB69-23CF-44E3-9099-C40C66FF867C}">
                  <a14:compatExt spid="_x0000_s28696"/>
                </a:ext>
                <a:ext uri="{FF2B5EF4-FFF2-40B4-BE49-F238E27FC236}">
                  <a16:creationId xmlns:a16="http://schemas.microsoft.com/office/drawing/2014/main" id="{00000000-0008-0000-0100-00001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8697" name="Button 25" hidden="1">
              <a:extLst>
                <a:ext uri="{63B3BB69-23CF-44E3-9099-C40C66FF867C}">
                  <a14:compatExt spid="_x0000_s28697"/>
                </a:ext>
                <a:ext uri="{FF2B5EF4-FFF2-40B4-BE49-F238E27FC236}">
                  <a16:creationId xmlns:a16="http://schemas.microsoft.com/office/drawing/2014/main" id="{00000000-0008-0000-0100-00001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8698" name="Button 26" hidden="1">
              <a:extLst>
                <a:ext uri="{63B3BB69-23CF-44E3-9099-C40C66FF867C}">
                  <a14:compatExt spid="_x0000_s28698"/>
                </a:ext>
                <a:ext uri="{FF2B5EF4-FFF2-40B4-BE49-F238E27FC236}">
                  <a16:creationId xmlns:a16="http://schemas.microsoft.com/office/drawing/2014/main" id="{00000000-0008-0000-0100-00001A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8699" name="Button 27" hidden="1">
              <a:extLst>
                <a:ext uri="{63B3BB69-23CF-44E3-9099-C40C66FF867C}">
                  <a14:compatExt spid="_x0000_s28699"/>
                </a:ext>
                <a:ext uri="{FF2B5EF4-FFF2-40B4-BE49-F238E27FC236}">
                  <a16:creationId xmlns:a16="http://schemas.microsoft.com/office/drawing/2014/main" id="{00000000-0008-0000-0100-00001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8700" name="Button 28" hidden="1">
              <a:extLst>
                <a:ext uri="{63B3BB69-23CF-44E3-9099-C40C66FF867C}">
                  <a14:compatExt spid="_x0000_s28700"/>
                </a:ext>
                <a:ext uri="{FF2B5EF4-FFF2-40B4-BE49-F238E27FC236}">
                  <a16:creationId xmlns:a16="http://schemas.microsoft.com/office/drawing/2014/main" id="{00000000-0008-0000-0100-00001C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8701" name="Button 29" hidden="1">
              <a:extLst>
                <a:ext uri="{63B3BB69-23CF-44E3-9099-C40C66FF867C}">
                  <a14:compatExt spid="_x0000_s28701"/>
                </a:ext>
                <a:ext uri="{FF2B5EF4-FFF2-40B4-BE49-F238E27FC236}">
                  <a16:creationId xmlns:a16="http://schemas.microsoft.com/office/drawing/2014/main" id="{00000000-0008-0000-0100-00001D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8702" name="Button 30" hidden="1">
              <a:extLst>
                <a:ext uri="{63B3BB69-23CF-44E3-9099-C40C66FF867C}">
                  <a14:compatExt spid="_x0000_s28702"/>
                </a:ext>
                <a:ext uri="{FF2B5EF4-FFF2-40B4-BE49-F238E27FC236}">
                  <a16:creationId xmlns:a16="http://schemas.microsoft.com/office/drawing/2014/main" id="{00000000-0008-0000-0100-00001E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8703" name="Button 31" hidden="1">
              <a:extLst>
                <a:ext uri="{63B3BB69-23CF-44E3-9099-C40C66FF867C}">
                  <a14:compatExt spid="_x0000_s28703"/>
                </a:ext>
                <a:ext uri="{FF2B5EF4-FFF2-40B4-BE49-F238E27FC236}">
                  <a16:creationId xmlns:a16="http://schemas.microsoft.com/office/drawing/2014/main" id="{00000000-0008-0000-0100-00001F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8704" name="Button 32" hidden="1">
              <a:extLst>
                <a:ext uri="{63B3BB69-23CF-44E3-9099-C40C66FF867C}">
                  <a14:compatExt spid="_x0000_s28704"/>
                </a:ext>
                <a:ext uri="{FF2B5EF4-FFF2-40B4-BE49-F238E27FC236}">
                  <a16:creationId xmlns:a16="http://schemas.microsoft.com/office/drawing/2014/main" id="{00000000-0008-0000-0100-000020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8705" name="Button 33" hidden="1">
              <a:extLst>
                <a:ext uri="{63B3BB69-23CF-44E3-9099-C40C66FF867C}">
                  <a14:compatExt spid="_x0000_s28705"/>
                </a:ext>
                <a:ext uri="{FF2B5EF4-FFF2-40B4-BE49-F238E27FC236}">
                  <a16:creationId xmlns:a16="http://schemas.microsoft.com/office/drawing/2014/main" id="{00000000-0008-0000-0100-00002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8706" name="Button 34" hidden="1">
              <a:extLst>
                <a:ext uri="{63B3BB69-23CF-44E3-9099-C40C66FF867C}">
                  <a14:compatExt spid="_x0000_s28706"/>
                </a:ext>
                <a:ext uri="{FF2B5EF4-FFF2-40B4-BE49-F238E27FC236}">
                  <a16:creationId xmlns:a16="http://schemas.microsoft.com/office/drawing/2014/main" id="{00000000-0008-0000-0100-00002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8707" name="Button 35" hidden="1">
              <a:extLst>
                <a:ext uri="{63B3BB69-23CF-44E3-9099-C40C66FF867C}">
                  <a14:compatExt spid="_x0000_s28707"/>
                </a:ext>
                <a:ext uri="{FF2B5EF4-FFF2-40B4-BE49-F238E27FC236}">
                  <a16:creationId xmlns:a16="http://schemas.microsoft.com/office/drawing/2014/main" id="{00000000-0008-0000-0100-00002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8708" name="Button 36" hidden="1">
              <a:extLst>
                <a:ext uri="{63B3BB69-23CF-44E3-9099-C40C66FF867C}">
                  <a14:compatExt spid="_x0000_s28708"/>
                </a:ext>
                <a:ext uri="{FF2B5EF4-FFF2-40B4-BE49-F238E27FC236}">
                  <a16:creationId xmlns:a16="http://schemas.microsoft.com/office/drawing/2014/main" id="{00000000-0008-0000-0100-00002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29705" name="Butto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2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29706" name="Butto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2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29707" name="Butto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2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29708" name="Butto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2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29709" name="Butto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2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29710" name="Butto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2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29711" name="Butto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2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9712" name="Butto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2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9713" name="Butto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2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9714" name="Butto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2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29715" name="Butto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2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29716" name="Butto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2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29717" name="Butto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2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9718" name="Butto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2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9719" name="Butto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2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9720" name="Butto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2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29721" name="Butto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2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29722" name="Butto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2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29723" name="Button 27" hidden="1">
              <a:extLst>
                <a:ext uri="{63B3BB69-23CF-44E3-9099-C40C66FF867C}">
                  <a14:compatExt spid="_x0000_s29723"/>
                </a:ext>
                <a:ext uri="{FF2B5EF4-FFF2-40B4-BE49-F238E27FC236}">
                  <a16:creationId xmlns:a16="http://schemas.microsoft.com/office/drawing/2014/main" id="{00000000-0008-0000-0200-00001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29724" name="Button 28" hidden="1">
              <a:extLst>
                <a:ext uri="{63B3BB69-23CF-44E3-9099-C40C66FF867C}">
                  <a14:compatExt spid="_x0000_s29724"/>
                </a:ext>
                <a:ext uri="{FF2B5EF4-FFF2-40B4-BE49-F238E27FC236}">
                  <a16:creationId xmlns:a16="http://schemas.microsoft.com/office/drawing/2014/main" id="{00000000-0008-0000-0200-00001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29725" name="Button 29" hidden="1">
              <a:extLst>
                <a:ext uri="{63B3BB69-23CF-44E3-9099-C40C66FF867C}">
                  <a14:compatExt spid="_x0000_s29725"/>
                </a:ext>
                <a:ext uri="{FF2B5EF4-FFF2-40B4-BE49-F238E27FC236}">
                  <a16:creationId xmlns:a16="http://schemas.microsoft.com/office/drawing/2014/main" id="{00000000-0008-0000-0200-00001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29726" name="Button 30" hidden="1">
              <a:extLst>
                <a:ext uri="{63B3BB69-23CF-44E3-9099-C40C66FF867C}">
                  <a14:compatExt spid="_x0000_s29726"/>
                </a:ext>
                <a:ext uri="{FF2B5EF4-FFF2-40B4-BE49-F238E27FC236}">
                  <a16:creationId xmlns:a16="http://schemas.microsoft.com/office/drawing/2014/main" id="{00000000-0008-0000-0200-00001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29727" name="Button 31" hidden="1">
              <a:extLst>
                <a:ext uri="{63B3BB69-23CF-44E3-9099-C40C66FF867C}">
                  <a14:compatExt spid="_x0000_s29727"/>
                </a:ext>
                <a:ext uri="{FF2B5EF4-FFF2-40B4-BE49-F238E27FC236}">
                  <a16:creationId xmlns:a16="http://schemas.microsoft.com/office/drawing/2014/main" id="{00000000-0008-0000-0200-00001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9728" name="Button 32" hidden="1">
              <a:extLst>
                <a:ext uri="{63B3BB69-23CF-44E3-9099-C40C66FF867C}">
                  <a14:compatExt spid="_x0000_s29728"/>
                </a:ext>
                <a:ext uri="{FF2B5EF4-FFF2-40B4-BE49-F238E27FC236}">
                  <a16:creationId xmlns:a16="http://schemas.microsoft.com/office/drawing/2014/main" id="{00000000-0008-0000-0200-00002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9729" name="Button 33" hidden="1">
              <a:extLst>
                <a:ext uri="{63B3BB69-23CF-44E3-9099-C40C66FF867C}">
                  <a14:compatExt spid="_x0000_s29729"/>
                </a:ext>
                <a:ext uri="{FF2B5EF4-FFF2-40B4-BE49-F238E27FC236}">
                  <a16:creationId xmlns:a16="http://schemas.microsoft.com/office/drawing/2014/main" id="{00000000-0008-0000-0200-00002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29730" name="Button 34" hidden="1">
              <a:extLst>
                <a:ext uri="{63B3BB69-23CF-44E3-9099-C40C66FF867C}">
                  <a14:compatExt spid="_x0000_s29730"/>
                </a:ext>
                <a:ext uri="{FF2B5EF4-FFF2-40B4-BE49-F238E27FC236}">
                  <a16:creationId xmlns:a16="http://schemas.microsoft.com/office/drawing/2014/main" id="{00000000-0008-0000-0200-00002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29731" name="Butto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2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29732" name="Button 36" hidden="1">
              <a:extLst>
                <a:ext uri="{63B3BB69-23CF-44E3-9099-C40C66FF867C}">
                  <a14:compatExt spid="_x0000_s29732"/>
                </a:ext>
                <a:ext uri="{FF2B5EF4-FFF2-40B4-BE49-F238E27FC236}">
                  <a16:creationId xmlns:a16="http://schemas.microsoft.com/office/drawing/2014/main" id="{00000000-0008-0000-0200-00002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3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3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3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6394" name="Button 10" hidden="1">
              <a:extLst>
                <a:ext uri="{63B3BB69-23CF-44E3-9099-C40C66FF867C}">
                  <a14:compatExt spid="_x0000_s16394"/>
                </a:ext>
                <a:ext uri="{FF2B5EF4-FFF2-40B4-BE49-F238E27FC236}">
                  <a16:creationId xmlns:a16="http://schemas.microsoft.com/office/drawing/2014/main" id="{00000000-0008-0000-0300-00000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  <a:ext uri="{FF2B5EF4-FFF2-40B4-BE49-F238E27FC236}">
                  <a16:creationId xmlns:a16="http://schemas.microsoft.com/office/drawing/2014/main" id="{00000000-0008-0000-0300-00000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3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3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3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3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3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3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6402" name="Button 18" hidden="1">
              <a:extLst>
                <a:ext uri="{63B3BB69-23CF-44E3-9099-C40C66FF867C}">
                  <a14:compatExt spid="_x0000_s16402"/>
                </a:ext>
                <a:ext uri="{FF2B5EF4-FFF2-40B4-BE49-F238E27FC236}">
                  <a16:creationId xmlns:a16="http://schemas.microsoft.com/office/drawing/2014/main" id="{00000000-0008-0000-0300-00001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  <a:ext uri="{FF2B5EF4-FFF2-40B4-BE49-F238E27FC236}">
                  <a16:creationId xmlns:a16="http://schemas.microsoft.com/office/drawing/2014/main" id="{00000000-0008-0000-0300-00001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6404" name="Button 20" hidden="1">
              <a:extLst>
                <a:ext uri="{63B3BB69-23CF-44E3-9099-C40C66FF867C}">
                  <a14:compatExt spid="_x0000_s16404"/>
                </a:ext>
                <a:ext uri="{FF2B5EF4-FFF2-40B4-BE49-F238E27FC236}">
                  <a16:creationId xmlns:a16="http://schemas.microsoft.com/office/drawing/2014/main" id="{00000000-0008-0000-0300-00001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6405" name="Button 21" hidden="1">
              <a:extLst>
                <a:ext uri="{63B3BB69-23CF-44E3-9099-C40C66FF867C}">
                  <a14:compatExt spid="_x0000_s16405"/>
                </a:ext>
                <a:ext uri="{FF2B5EF4-FFF2-40B4-BE49-F238E27FC236}">
                  <a16:creationId xmlns:a16="http://schemas.microsoft.com/office/drawing/2014/main" id="{00000000-0008-0000-0300-00001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3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3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3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6409" name="Button 25" hidden="1">
              <a:extLst>
                <a:ext uri="{63B3BB69-23CF-44E3-9099-C40C66FF867C}">
                  <a14:compatExt spid="_x0000_s16409"/>
                </a:ext>
                <a:ext uri="{FF2B5EF4-FFF2-40B4-BE49-F238E27FC236}">
                  <a16:creationId xmlns:a16="http://schemas.microsoft.com/office/drawing/2014/main" id="{00000000-0008-0000-0300-00001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6410" name="Button 26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3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6411" name="Button 27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3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6412" name="Button 28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3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6413" name="Button 29" hidden="1">
              <a:extLst>
                <a:ext uri="{63B3BB69-23CF-44E3-9099-C40C66FF867C}">
                  <a14:compatExt spid="_x0000_s16413"/>
                </a:ext>
                <a:ext uri="{FF2B5EF4-FFF2-40B4-BE49-F238E27FC236}">
                  <a16:creationId xmlns:a16="http://schemas.microsoft.com/office/drawing/2014/main" id="{00000000-0008-0000-0300-00001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6414" name="Button 30" hidden="1">
              <a:extLst>
                <a:ext uri="{63B3BB69-23CF-44E3-9099-C40C66FF867C}">
                  <a14:compatExt spid="_x0000_s16414"/>
                </a:ext>
                <a:ext uri="{FF2B5EF4-FFF2-40B4-BE49-F238E27FC236}">
                  <a16:creationId xmlns:a16="http://schemas.microsoft.com/office/drawing/2014/main" id="{00000000-0008-0000-0300-00001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6415" name="Button 31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3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6416" name="Button 32" hidden="1">
              <a:extLst>
                <a:ext uri="{63B3BB69-23CF-44E3-9099-C40C66FF867C}">
                  <a14:compatExt spid="_x0000_s16416"/>
                </a:ext>
                <a:ext uri="{FF2B5EF4-FFF2-40B4-BE49-F238E27FC236}">
                  <a16:creationId xmlns:a16="http://schemas.microsoft.com/office/drawing/2014/main" id="{00000000-0008-0000-0300-00002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6417" name="Button 33" hidden="1">
              <a:extLst>
                <a:ext uri="{63B3BB69-23CF-44E3-9099-C40C66FF867C}">
                  <a14:compatExt spid="_x0000_s16417"/>
                </a:ext>
                <a:ext uri="{FF2B5EF4-FFF2-40B4-BE49-F238E27FC236}">
                  <a16:creationId xmlns:a16="http://schemas.microsoft.com/office/drawing/2014/main" id="{00000000-0008-0000-0300-00002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6418" name="Button 34" hidden="1">
              <a:extLst>
                <a:ext uri="{63B3BB69-23CF-44E3-9099-C40C66FF867C}">
                  <a14:compatExt spid="_x0000_s16418"/>
                </a:ext>
                <a:ext uri="{FF2B5EF4-FFF2-40B4-BE49-F238E27FC236}">
                  <a16:creationId xmlns:a16="http://schemas.microsoft.com/office/drawing/2014/main" id="{00000000-0008-0000-0300-00002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6419" name="Button 35" hidden="1">
              <a:extLst>
                <a:ext uri="{63B3BB69-23CF-44E3-9099-C40C66FF867C}">
                  <a14:compatExt spid="_x0000_s16419"/>
                </a:ext>
                <a:ext uri="{FF2B5EF4-FFF2-40B4-BE49-F238E27FC236}">
                  <a16:creationId xmlns:a16="http://schemas.microsoft.com/office/drawing/2014/main" id="{00000000-0008-0000-0300-00002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6420" name="Button 36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3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4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4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4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4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4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4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4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4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4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4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4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17421" name="Button 13" hidden="1">
              <a:extLst>
                <a:ext uri="{63B3BB69-23CF-44E3-9099-C40C66FF867C}">
                  <a14:compatExt spid="_x0000_s17421"/>
                </a:ext>
                <a:ext uri="{FF2B5EF4-FFF2-40B4-BE49-F238E27FC236}">
                  <a16:creationId xmlns:a16="http://schemas.microsoft.com/office/drawing/2014/main" id="{00000000-0008-0000-0400-00000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17422" name="Button 14" hidden="1">
              <a:extLst>
                <a:ext uri="{63B3BB69-23CF-44E3-9099-C40C66FF867C}">
                  <a14:compatExt spid="_x0000_s17422"/>
                </a:ext>
                <a:ext uri="{FF2B5EF4-FFF2-40B4-BE49-F238E27FC236}">
                  <a16:creationId xmlns:a16="http://schemas.microsoft.com/office/drawing/2014/main" id="{00000000-0008-0000-0400-00000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17423" name="Button 15" hidden="1">
              <a:extLst>
                <a:ext uri="{63B3BB69-23CF-44E3-9099-C40C66FF867C}">
                  <a14:compatExt spid="_x0000_s17423"/>
                </a:ext>
                <a:ext uri="{FF2B5EF4-FFF2-40B4-BE49-F238E27FC236}">
                  <a16:creationId xmlns:a16="http://schemas.microsoft.com/office/drawing/2014/main" id="{00000000-0008-0000-0400-00000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17424" name="Button 16" hidden="1">
              <a:extLst>
                <a:ext uri="{63B3BB69-23CF-44E3-9099-C40C66FF867C}">
                  <a14:compatExt spid="_x0000_s17424"/>
                </a:ext>
                <a:ext uri="{FF2B5EF4-FFF2-40B4-BE49-F238E27FC236}">
                  <a16:creationId xmlns:a16="http://schemas.microsoft.com/office/drawing/2014/main" id="{00000000-0008-0000-0400-00001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17425" name="Button 17" hidden="1">
              <a:extLst>
                <a:ext uri="{63B3BB69-23CF-44E3-9099-C40C66FF867C}">
                  <a14:compatExt spid="_x0000_s17425"/>
                </a:ext>
                <a:ext uri="{FF2B5EF4-FFF2-40B4-BE49-F238E27FC236}">
                  <a16:creationId xmlns:a16="http://schemas.microsoft.com/office/drawing/2014/main" id="{00000000-0008-0000-0400-00001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4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17427" name="Button 19" hidden="1">
              <a:extLst>
                <a:ext uri="{63B3BB69-23CF-44E3-9099-C40C66FF867C}">
                  <a14:compatExt spid="_x0000_s17427"/>
                </a:ext>
                <a:ext uri="{FF2B5EF4-FFF2-40B4-BE49-F238E27FC236}">
                  <a16:creationId xmlns:a16="http://schemas.microsoft.com/office/drawing/2014/main" id="{00000000-0008-0000-0400-00001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17428" name="Button 20" hidden="1">
              <a:extLst>
                <a:ext uri="{63B3BB69-23CF-44E3-9099-C40C66FF867C}">
                  <a14:compatExt spid="_x0000_s17428"/>
                </a:ext>
                <a:ext uri="{FF2B5EF4-FFF2-40B4-BE49-F238E27FC236}">
                  <a16:creationId xmlns:a16="http://schemas.microsoft.com/office/drawing/2014/main" id="{00000000-0008-0000-0400-00001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  <a:ext uri="{FF2B5EF4-FFF2-40B4-BE49-F238E27FC236}">
                  <a16:creationId xmlns:a16="http://schemas.microsoft.com/office/drawing/2014/main" id="{00000000-0008-0000-0400-00001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17430" name="Button 22" hidden="1">
              <a:extLst>
                <a:ext uri="{63B3BB69-23CF-44E3-9099-C40C66FF867C}">
                  <a14:compatExt spid="_x0000_s17430"/>
                </a:ext>
                <a:ext uri="{FF2B5EF4-FFF2-40B4-BE49-F238E27FC236}">
                  <a16:creationId xmlns:a16="http://schemas.microsoft.com/office/drawing/2014/main" id="{00000000-0008-0000-0400-00001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17431" name="Button 23" hidden="1">
              <a:extLst>
                <a:ext uri="{63B3BB69-23CF-44E3-9099-C40C66FF867C}">
                  <a14:compatExt spid="_x0000_s17431"/>
                </a:ext>
                <a:ext uri="{FF2B5EF4-FFF2-40B4-BE49-F238E27FC236}">
                  <a16:creationId xmlns:a16="http://schemas.microsoft.com/office/drawing/2014/main" id="{00000000-0008-0000-0400-00001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17432" name="Button 24" hidden="1">
              <a:extLst>
                <a:ext uri="{63B3BB69-23CF-44E3-9099-C40C66FF867C}">
                  <a14:compatExt spid="_x0000_s17432"/>
                </a:ext>
                <a:ext uri="{FF2B5EF4-FFF2-40B4-BE49-F238E27FC236}">
                  <a16:creationId xmlns:a16="http://schemas.microsoft.com/office/drawing/2014/main" id="{00000000-0008-0000-0400-00001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17433" name="Button 25" hidden="1">
              <a:extLst>
                <a:ext uri="{63B3BB69-23CF-44E3-9099-C40C66FF867C}">
                  <a14:compatExt spid="_x0000_s17433"/>
                </a:ext>
                <a:ext uri="{FF2B5EF4-FFF2-40B4-BE49-F238E27FC236}">
                  <a16:creationId xmlns:a16="http://schemas.microsoft.com/office/drawing/2014/main" id="{00000000-0008-0000-0400-00001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17434" name="Button 26" hidden="1">
              <a:extLst>
                <a:ext uri="{63B3BB69-23CF-44E3-9099-C40C66FF867C}">
                  <a14:compatExt spid="_x0000_s17434"/>
                </a:ext>
                <a:ext uri="{FF2B5EF4-FFF2-40B4-BE49-F238E27FC236}">
                  <a16:creationId xmlns:a16="http://schemas.microsoft.com/office/drawing/2014/main" id="{00000000-0008-0000-0400-00001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17435" name="Button 27" hidden="1">
              <a:extLst>
                <a:ext uri="{63B3BB69-23CF-44E3-9099-C40C66FF867C}">
                  <a14:compatExt spid="_x0000_s17435"/>
                </a:ext>
                <a:ext uri="{FF2B5EF4-FFF2-40B4-BE49-F238E27FC236}">
                  <a16:creationId xmlns:a16="http://schemas.microsoft.com/office/drawing/2014/main" id="{00000000-0008-0000-0400-00001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17436" name="Button 28" hidden="1">
              <a:extLst>
                <a:ext uri="{63B3BB69-23CF-44E3-9099-C40C66FF867C}">
                  <a14:compatExt spid="_x0000_s17436"/>
                </a:ext>
                <a:ext uri="{FF2B5EF4-FFF2-40B4-BE49-F238E27FC236}">
                  <a16:creationId xmlns:a16="http://schemas.microsoft.com/office/drawing/2014/main" id="{00000000-0008-0000-0400-00001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4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17438" name="Button 30" hidden="1">
              <a:extLst>
                <a:ext uri="{63B3BB69-23CF-44E3-9099-C40C66FF867C}">
                  <a14:compatExt spid="_x0000_s17438"/>
                </a:ext>
                <a:ext uri="{FF2B5EF4-FFF2-40B4-BE49-F238E27FC236}">
                  <a16:creationId xmlns:a16="http://schemas.microsoft.com/office/drawing/2014/main" id="{00000000-0008-0000-0400-00001E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4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4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17441" name="Button 33" hidden="1">
              <a:extLst>
                <a:ext uri="{63B3BB69-23CF-44E3-9099-C40C66FF867C}">
                  <a14:compatExt spid="_x0000_s17441"/>
                </a:ext>
                <a:ext uri="{FF2B5EF4-FFF2-40B4-BE49-F238E27FC236}">
                  <a16:creationId xmlns:a16="http://schemas.microsoft.com/office/drawing/2014/main" id="{00000000-0008-0000-0400-00002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17442" name="Button 34" hidden="1">
              <a:extLst>
                <a:ext uri="{63B3BB69-23CF-44E3-9099-C40C66FF867C}">
                  <a14:compatExt spid="_x0000_s17442"/>
                </a:ext>
                <a:ext uri="{FF2B5EF4-FFF2-40B4-BE49-F238E27FC236}">
                  <a16:creationId xmlns:a16="http://schemas.microsoft.com/office/drawing/2014/main" id="{00000000-0008-0000-0400-00002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17443" name="Button 35" hidden="1">
              <a:extLst>
                <a:ext uri="{63B3BB69-23CF-44E3-9099-C40C66FF867C}">
                  <a14:compatExt spid="_x0000_s17443"/>
                </a:ext>
                <a:ext uri="{FF2B5EF4-FFF2-40B4-BE49-F238E27FC236}">
                  <a16:creationId xmlns:a16="http://schemas.microsoft.com/office/drawing/2014/main" id="{00000000-0008-0000-0400-00002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17444" name="Button 36" hidden="1">
              <a:extLst>
                <a:ext uri="{63B3BB69-23CF-44E3-9099-C40C66FF867C}">
                  <a14:compatExt spid="_x0000_s17444"/>
                </a:ext>
                <a:ext uri="{FF2B5EF4-FFF2-40B4-BE49-F238E27FC236}">
                  <a16:creationId xmlns:a16="http://schemas.microsoft.com/office/drawing/2014/main" id="{00000000-0008-0000-0400-00002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5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5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5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5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5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5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5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5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5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5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5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5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5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5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5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5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5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5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5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5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5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5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5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5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5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5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5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5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5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5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5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5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5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5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5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5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6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6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6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6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6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6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6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6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6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6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6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6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6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6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6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6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6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6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6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6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6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6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6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6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6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6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6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6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6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6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6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6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6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6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6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6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7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7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7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7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7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7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7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7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7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7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7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7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7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7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7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7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7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7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7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7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7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7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7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7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7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7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7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7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7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7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7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7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7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7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7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7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8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8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8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8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8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8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8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8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8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8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8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8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8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8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8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8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8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8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8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8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8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8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8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8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8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8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8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8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8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8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8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8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9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9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9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09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09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09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09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09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9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9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09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09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09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09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09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09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09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09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9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9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09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09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9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09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09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09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9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9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09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09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09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09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09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09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09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09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A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A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A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0A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0A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0A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0A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0A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0A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0A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0A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0A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0A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0A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0A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0A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0A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0A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0A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0A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0A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0A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0A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0A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0A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0A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0A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0A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0A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0A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0A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0A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0A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0A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0A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0A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B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B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B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B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B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0B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0B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0B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0B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0B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0B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0B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0B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B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0B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B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B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0B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B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B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B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B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0B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0B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0B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0B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0B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0B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0B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0B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0B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0B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0B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0B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0B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0B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0C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0C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0C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0C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0C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0C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0C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0C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0C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0C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0C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0C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0C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0C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0C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0C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0C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0C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0C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0C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0C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0C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0C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0C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0C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0C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0C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0C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0C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0C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0C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0C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D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0D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0D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0D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0D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0D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0D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0D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0D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0D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0D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0D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0D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0D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0D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0D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0D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0D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0D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0D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0D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0D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0D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0D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0D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0D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0D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0D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0D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0D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0D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0D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0D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0D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0D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0D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E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E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E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0E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0E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0E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0E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0E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0E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0E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0E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0E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0E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0E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0E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0E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0E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0E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0E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0E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0E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0E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0E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0E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0E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0E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0E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0E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0E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0E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0E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0E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0E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0E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0E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0E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F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6322" name="Button 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F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F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6324" name="Button 4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id="{00000000-0008-0000-0F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6325" name="Button 5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id="{00000000-0008-0000-0F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6326" name="Button 6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id="{00000000-0008-0000-0F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6327" name="Button 7" hidden="1">
              <a:extLst>
                <a:ext uri="{63B3BB69-23CF-44E3-9099-C40C66FF867C}">
                  <a14:compatExt spid="_x0000_s56327"/>
                </a:ext>
                <a:ext uri="{FF2B5EF4-FFF2-40B4-BE49-F238E27FC236}">
                  <a16:creationId xmlns:a16="http://schemas.microsoft.com/office/drawing/2014/main" id="{00000000-0008-0000-0F00-00000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6328" name="Button 8" hidden="1">
              <a:extLst>
                <a:ext uri="{63B3BB69-23CF-44E3-9099-C40C66FF867C}">
                  <a14:compatExt spid="_x0000_s56328"/>
                </a:ext>
                <a:ext uri="{FF2B5EF4-FFF2-40B4-BE49-F238E27FC236}">
                  <a16:creationId xmlns:a16="http://schemas.microsoft.com/office/drawing/2014/main" id="{00000000-0008-0000-0F00-00000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6329" name="Button 9" hidden="1">
              <a:extLst>
                <a:ext uri="{63B3BB69-23CF-44E3-9099-C40C66FF867C}">
                  <a14:compatExt spid="_x0000_s56329"/>
                </a:ext>
                <a:ext uri="{FF2B5EF4-FFF2-40B4-BE49-F238E27FC236}">
                  <a16:creationId xmlns:a16="http://schemas.microsoft.com/office/drawing/2014/main" id="{00000000-0008-0000-0F00-00000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6330" name="Button 10" hidden="1">
              <a:extLst>
                <a:ext uri="{63B3BB69-23CF-44E3-9099-C40C66FF867C}">
                  <a14:compatExt spid="_x0000_s56330"/>
                </a:ext>
                <a:ext uri="{FF2B5EF4-FFF2-40B4-BE49-F238E27FC236}">
                  <a16:creationId xmlns:a16="http://schemas.microsoft.com/office/drawing/2014/main" id="{00000000-0008-0000-0F00-00000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6331" name="Button 11" hidden="1">
              <a:extLst>
                <a:ext uri="{63B3BB69-23CF-44E3-9099-C40C66FF867C}">
                  <a14:compatExt spid="_x0000_s56331"/>
                </a:ext>
                <a:ext uri="{FF2B5EF4-FFF2-40B4-BE49-F238E27FC236}">
                  <a16:creationId xmlns:a16="http://schemas.microsoft.com/office/drawing/2014/main" id="{00000000-0008-0000-0F00-00000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6332" name="Button 12" hidden="1">
              <a:extLst>
                <a:ext uri="{63B3BB69-23CF-44E3-9099-C40C66FF867C}">
                  <a14:compatExt spid="_x0000_s56332"/>
                </a:ext>
                <a:ext uri="{FF2B5EF4-FFF2-40B4-BE49-F238E27FC236}">
                  <a16:creationId xmlns:a16="http://schemas.microsoft.com/office/drawing/2014/main" id="{00000000-0008-0000-0F00-00000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6333" name="Button 13" hidden="1">
              <a:extLst>
                <a:ext uri="{63B3BB69-23CF-44E3-9099-C40C66FF867C}">
                  <a14:compatExt spid="_x0000_s56333"/>
                </a:ext>
                <a:ext uri="{FF2B5EF4-FFF2-40B4-BE49-F238E27FC236}">
                  <a16:creationId xmlns:a16="http://schemas.microsoft.com/office/drawing/2014/main" id="{00000000-0008-0000-0F00-00000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6334" name="Button 14" hidden="1">
              <a:extLst>
                <a:ext uri="{63B3BB69-23CF-44E3-9099-C40C66FF867C}">
                  <a14:compatExt spid="_x0000_s56334"/>
                </a:ext>
                <a:ext uri="{FF2B5EF4-FFF2-40B4-BE49-F238E27FC236}">
                  <a16:creationId xmlns:a16="http://schemas.microsoft.com/office/drawing/2014/main" id="{00000000-0008-0000-0F00-00000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6335" name="Button 15" hidden="1">
              <a:extLst>
                <a:ext uri="{63B3BB69-23CF-44E3-9099-C40C66FF867C}">
                  <a14:compatExt spid="_x0000_s56335"/>
                </a:ext>
                <a:ext uri="{FF2B5EF4-FFF2-40B4-BE49-F238E27FC236}">
                  <a16:creationId xmlns:a16="http://schemas.microsoft.com/office/drawing/2014/main" id="{00000000-0008-0000-0F00-00000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6336" name="Button 16" hidden="1">
              <a:extLst>
                <a:ext uri="{63B3BB69-23CF-44E3-9099-C40C66FF867C}">
                  <a14:compatExt spid="_x0000_s56336"/>
                </a:ext>
                <a:ext uri="{FF2B5EF4-FFF2-40B4-BE49-F238E27FC236}">
                  <a16:creationId xmlns:a16="http://schemas.microsoft.com/office/drawing/2014/main" id="{00000000-0008-0000-0F00-00001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6337" name="Button 17" hidden="1">
              <a:extLst>
                <a:ext uri="{63B3BB69-23CF-44E3-9099-C40C66FF867C}">
                  <a14:compatExt spid="_x0000_s56337"/>
                </a:ext>
                <a:ext uri="{FF2B5EF4-FFF2-40B4-BE49-F238E27FC236}">
                  <a16:creationId xmlns:a16="http://schemas.microsoft.com/office/drawing/2014/main" id="{00000000-0008-0000-0F00-00001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6338" name="Button 18" hidden="1">
              <a:extLst>
                <a:ext uri="{63B3BB69-23CF-44E3-9099-C40C66FF867C}">
                  <a14:compatExt spid="_x0000_s56338"/>
                </a:ext>
                <a:ext uri="{FF2B5EF4-FFF2-40B4-BE49-F238E27FC236}">
                  <a16:creationId xmlns:a16="http://schemas.microsoft.com/office/drawing/2014/main" id="{00000000-0008-0000-0F00-00001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6339" name="Button 19" hidden="1">
              <a:extLst>
                <a:ext uri="{63B3BB69-23CF-44E3-9099-C40C66FF867C}">
                  <a14:compatExt spid="_x0000_s56339"/>
                </a:ext>
                <a:ext uri="{FF2B5EF4-FFF2-40B4-BE49-F238E27FC236}">
                  <a16:creationId xmlns:a16="http://schemas.microsoft.com/office/drawing/2014/main" id="{00000000-0008-0000-0F00-00001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6340" name="Button 20" hidden="1">
              <a:extLst>
                <a:ext uri="{63B3BB69-23CF-44E3-9099-C40C66FF867C}">
                  <a14:compatExt spid="_x0000_s56340"/>
                </a:ext>
                <a:ext uri="{FF2B5EF4-FFF2-40B4-BE49-F238E27FC236}">
                  <a16:creationId xmlns:a16="http://schemas.microsoft.com/office/drawing/2014/main" id="{00000000-0008-0000-0F00-00001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6341" name="Button 21" hidden="1">
              <a:extLst>
                <a:ext uri="{63B3BB69-23CF-44E3-9099-C40C66FF867C}">
                  <a14:compatExt spid="_x0000_s56341"/>
                </a:ext>
                <a:ext uri="{FF2B5EF4-FFF2-40B4-BE49-F238E27FC236}">
                  <a16:creationId xmlns:a16="http://schemas.microsoft.com/office/drawing/2014/main" id="{00000000-0008-0000-0F00-00001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6342" name="Button 22" hidden="1">
              <a:extLst>
                <a:ext uri="{63B3BB69-23CF-44E3-9099-C40C66FF867C}">
                  <a14:compatExt spid="_x0000_s56342"/>
                </a:ext>
                <a:ext uri="{FF2B5EF4-FFF2-40B4-BE49-F238E27FC236}">
                  <a16:creationId xmlns:a16="http://schemas.microsoft.com/office/drawing/2014/main" id="{00000000-0008-0000-0F00-00001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6343" name="Button 23" hidden="1">
              <a:extLst>
                <a:ext uri="{63B3BB69-23CF-44E3-9099-C40C66FF867C}">
                  <a14:compatExt spid="_x0000_s56343"/>
                </a:ext>
                <a:ext uri="{FF2B5EF4-FFF2-40B4-BE49-F238E27FC236}">
                  <a16:creationId xmlns:a16="http://schemas.microsoft.com/office/drawing/2014/main" id="{00000000-0008-0000-0F00-000017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6344" name="Button 24" hidden="1">
              <a:extLst>
                <a:ext uri="{63B3BB69-23CF-44E3-9099-C40C66FF867C}">
                  <a14:compatExt spid="_x0000_s56344"/>
                </a:ext>
                <a:ext uri="{FF2B5EF4-FFF2-40B4-BE49-F238E27FC236}">
                  <a16:creationId xmlns:a16="http://schemas.microsoft.com/office/drawing/2014/main" id="{00000000-0008-0000-0F00-000018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6345" name="Button 25" hidden="1">
              <a:extLst>
                <a:ext uri="{63B3BB69-23CF-44E3-9099-C40C66FF867C}">
                  <a14:compatExt spid="_x0000_s56345"/>
                </a:ext>
                <a:ext uri="{FF2B5EF4-FFF2-40B4-BE49-F238E27FC236}">
                  <a16:creationId xmlns:a16="http://schemas.microsoft.com/office/drawing/2014/main" id="{00000000-0008-0000-0F00-000019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6346" name="Button 26" hidden="1">
              <a:extLst>
                <a:ext uri="{63B3BB69-23CF-44E3-9099-C40C66FF867C}">
                  <a14:compatExt spid="_x0000_s56346"/>
                </a:ext>
                <a:ext uri="{FF2B5EF4-FFF2-40B4-BE49-F238E27FC236}">
                  <a16:creationId xmlns:a16="http://schemas.microsoft.com/office/drawing/2014/main" id="{00000000-0008-0000-0F00-00001A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6347" name="Button 27" hidden="1">
              <a:extLst>
                <a:ext uri="{63B3BB69-23CF-44E3-9099-C40C66FF867C}">
                  <a14:compatExt spid="_x0000_s56347"/>
                </a:ext>
                <a:ext uri="{FF2B5EF4-FFF2-40B4-BE49-F238E27FC236}">
                  <a16:creationId xmlns:a16="http://schemas.microsoft.com/office/drawing/2014/main" id="{00000000-0008-0000-0F00-00001B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6348" name="Button 28" hidden="1">
              <a:extLst>
                <a:ext uri="{63B3BB69-23CF-44E3-9099-C40C66FF867C}">
                  <a14:compatExt spid="_x0000_s56348"/>
                </a:ext>
                <a:ext uri="{FF2B5EF4-FFF2-40B4-BE49-F238E27FC236}">
                  <a16:creationId xmlns:a16="http://schemas.microsoft.com/office/drawing/2014/main" id="{00000000-0008-0000-0F00-00001C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6349" name="Button 29" hidden="1">
              <a:extLst>
                <a:ext uri="{63B3BB69-23CF-44E3-9099-C40C66FF867C}">
                  <a14:compatExt spid="_x0000_s56349"/>
                </a:ext>
                <a:ext uri="{FF2B5EF4-FFF2-40B4-BE49-F238E27FC236}">
                  <a16:creationId xmlns:a16="http://schemas.microsoft.com/office/drawing/2014/main" id="{00000000-0008-0000-0F00-00001D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6350" name="Button 30" hidden="1">
              <a:extLst>
                <a:ext uri="{63B3BB69-23CF-44E3-9099-C40C66FF867C}">
                  <a14:compatExt spid="_x0000_s56350"/>
                </a:ext>
                <a:ext uri="{FF2B5EF4-FFF2-40B4-BE49-F238E27FC236}">
                  <a16:creationId xmlns:a16="http://schemas.microsoft.com/office/drawing/2014/main" id="{00000000-0008-0000-0F00-00001E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6351" name="Button 31" hidden="1">
              <a:extLst>
                <a:ext uri="{63B3BB69-23CF-44E3-9099-C40C66FF867C}">
                  <a14:compatExt spid="_x0000_s56351"/>
                </a:ext>
                <a:ext uri="{FF2B5EF4-FFF2-40B4-BE49-F238E27FC236}">
                  <a16:creationId xmlns:a16="http://schemas.microsoft.com/office/drawing/2014/main" id="{00000000-0008-0000-0F00-00001F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6352" name="Button 32" hidden="1">
              <a:extLst>
                <a:ext uri="{63B3BB69-23CF-44E3-9099-C40C66FF867C}">
                  <a14:compatExt spid="_x0000_s56352"/>
                </a:ext>
                <a:ext uri="{FF2B5EF4-FFF2-40B4-BE49-F238E27FC236}">
                  <a16:creationId xmlns:a16="http://schemas.microsoft.com/office/drawing/2014/main" id="{00000000-0008-0000-0F00-000020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6353" name="Button 33" hidden="1">
              <a:extLst>
                <a:ext uri="{63B3BB69-23CF-44E3-9099-C40C66FF867C}">
                  <a14:compatExt spid="_x0000_s56353"/>
                </a:ext>
                <a:ext uri="{FF2B5EF4-FFF2-40B4-BE49-F238E27FC236}">
                  <a16:creationId xmlns:a16="http://schemas.microsoft.com/office/drawing/2014/main" id="{00000000-0008-0000-0F00-00002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6354" name="Button 34" hidden="1">
              <a:extLst>
                <a:ext uri="{63B3BB69-23CF-44E3-9099-C40C66FF867C}">
                  <a14:compatExt spid="_x0000_s56354"/>
                </a:ext>
                <a:ext uri="{FF2B5EF4-FFF2-40B4-BE49-F238E27FC236}">
                  <a16:creationId xmlns:a16="http://schemas.microsoft.com/office/drawing/2014/main" id="{00000000-0008-0000-0F00-00002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6355" name="Button 35" hidden="1">
              <a:extLst>
                <a:ext uri="{63B3BB69-23CF-44E3-9099-C40C66FF867C}">
                  <a14:compatExt spid="_x0000_s56355"/>
                </a:ext>
                <a:ext uri="{FF2B5EF4-FFF2-40B4-BE49-F238E27FC236}">
                  <a16:creationId xmlns:a16="http://schemas.microsoft.com/office/drawing/2014/main" id="{00000000-0008-0000-0F00-00002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6356" name="Button 36" hidden="1">
              <a:extLst>
                <a:ext uri="{63B3BB69-23CF-44E3-9099-C40C66FF867C}">
                  <a14:compatExt spid="_x0000_s56356"/>
                </a:ext>
                <a:ext uri="{FF2B5EF4-FFF2-40B4-BE49-F238E27FC236}">
                  <a16:creationId xmlns:a16="http://schemas.microsoft.com/office/drawing/2014/main" id="{00000000-0008-0000-0F00-00002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7346" name="Button 2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7347" name="Button 3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7349" name="Button 5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7350" name="Button 6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7351" name="Button 7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7352" name="Button 8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7353" name="Button 9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7354" name="Button 10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7355" name="Button 11" hidden="1">
              <a:extLst>
                <a:ext uri="{63B3BB69-23CF-44E3-9099-C40C66FF867C}">
                  <a14:compatExt spid="_x0000_s57355"/>
                </a:ext>
                <a:ext uri="{FF2B5EF4-FFF2-40B4-BE49-F238E27FC236}">
                  <a16:creationId xmlns:a16="http://schemas.microsoft.com/office/drawing/2014/main" id="{00000000-0008-0000-1000-00000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7356" name="Button 12" hidden="1">
              <a:extLst>
                <a:ext uri="{63B3BB69-23CF-44E3-9099-C40C66FF867C}">
                  <a14:compatExt spid="_x0000_s57356"/>
                </a:ext>
                <a:ext uri="{FF2B5EF4-FFF2-40B4-BE49-F238E27FC236}">
                  <a16:creationId xmlns:a16="http://schemas.microsoft.com/office/drawing/2014/main" id="{00000000-0008-0000-1000-00000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7357" name="Button 13" hidden="1">
              <a:extLst>
                <a:ext uri="{63B3BB69-23CF-44E3-9099-C40C66FF867C}">
                  <a14:compatExt spid="_x0000_s57357"/>
                </a:ext>
                <a:ext uri="{FF2B5EF4-FFF2-40B4-BE49-F238E27FC236}">
                  <a16:creationId xmlns:a16="http://schemas.microsoft.com/office/drawing/2014/main" id="{00000000-0008-0000-1000-00000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7358" name="Button 14" hidden="1">
              <a:extLst>
                <a:ext uri="{63B3BB69-23CF-44E3-9099-C40C66FF867C}">
                  <a14:compatExt spid="_x0000_s57358"/>
                </a:ext>
                <a:ext uri="{FF2B5EF4-FFF2-40B4-BE49-F238E27FC236}">
                  <a16:creationId xmlns:a16="http://schemas.microsoft.com/office/drawing/2014/main" id="{00000000-0008-0000-1000-00000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7359" name="Button 15" hidden="1">
              <a:extLst>
                <a:ext uri="{63B3BB69-23CF-44E3-9099-C40C66FF867C}">
                  <a14:compatExt spid="_x0000_s57359"/>
                </a:ext>
                <a:ext uri="{FF2B5EF4-FFF2-40B4-BE49-F238E27FC236}">
                  <a16:creationId xmlns:a16="http://schemas.microsoft.com/office/drawing/2014/main" id="{00000000-0008-0000-1000-00000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7360" name="Button 16" hidden="1">
              <a:extLst>
                <a:ext uri="{63B3BB69-23CF-44E3-9099-C40C66FF867C}">
                  <a14:compatExt spid="_x0000_s57360"/>
                </a:ext>
                <a:ext uri="{FF2B5EF4-FFF2-40B4-BE49-F238E27FC236}">
                  <a16:creationId xmlns:a16="http://schemas.microsoft.com/office/drawing/2014/main" id="{00000000-0008-0000-1000-00001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7361" name="Button 17" hidden="1">
              <a:extLst>
                <a:ext uri="{63B3BB69-23CF-44E3-9099-C40C66FF867C}">
                  <a14:compatExt spid="_x0000_s57361"/>
                </a:ext>
                <a:ext uri="{FF2B5EF4-FFF2-40B4-BE49-F238E27FC236}">
                  <a16:creationId xmlns:a16="http://schemas.microsoft.com/office/drawing/2014/main" id="{00000000-0008-0000-1000-00001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7362" name="Button 18" hidden="1">
              <a:extLst>
                <a:ext uri="{63B3BB69-23CF-44E3-9099-C40C66FF867C}">
                  <a14:compatExt spid="_x0000_s57362"/>
                </a:ext>
                <a:ext uri="{FF2B5EF4-FFF2-40B4-BE49-F238E27FC236}">
                  <a16:creationId xmlns:a16="http://schemas.microsoft.com/office/drawing/2014/main" id="{00000000-0008-0000-1000-00001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7363" name="Button 19" hidden="1">
              <a:extLst>
                <a:ext uri="{63B3BB69-23CF-44E3-9099-C40C66FF867C}">
                  <a14:compatExt spid="_x0000_s57363"/>
                </a:ext>
                <a:ext uri="{FF2B5EF4-FFF2-40B4-BE49-F238E27FC236}">
                  <a16:creationId xmlns:a16="http://schemas.microsoft.com/office/drawing/2014/main" id="{00000000-0008-0000-1000-00001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7364" name="Button 20" hidden="1">
              <a:extLst>
                <a:ext uri="{63B3BB69-23CF-44E3-9099-C40C66FF867C}">
                  <a14:compatExt spid="_x0000_s57364"/>
                </a:ext>
                <a:ext uri="{FF2B5EF4-FFF2-40B4-BE49-F238E27FC236}">
                  <a16:creationId xmlns:a16="http://schemas.microsoft.com/office/drawing/2014/main" id="{00000000-0008-0000-1000-00001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7365" name="Button 21" hidden="1">
              <a:extLst>
                <a:ext uri="{63B3BB69-23CF-44E3-9099-C40C66FF867C}">
                  <a14:compatExt spid="_x0000_s57365"/>
                </a:ext>
                <a:ext uri="{FF2B5EF4-FFF2-40B4-BE49-F238E27FC236}">
                  <a16:creationId xmlns:a16="http://schemas.microsoft.com/office/drawing/2014/main" id="{00000000-0008-0000-1000-00001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7366" name="Button 22" hidden="1">
              <a:extLst>
                <a:ext uri="{63B3BB69-23CF-44E3-9099-C40C66FF867C}">
                  <a14:compatExt spid="_x0000_s57366"/>
                </a:ext>
                <a:ext uri="{FF2B5EF4-FFF2-40B4-BE49-F238E27FC236}">
                  <a16:creationId xmlns:a16="http://schemas.microsoft.com/office/drawing/2014/main" id="{00000000-0008-0000-1000-00001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7367" name="Button 23" hidden="1">
              <a:extLst>
                <a:ext uri="{63B3BB69-23CF-44E3-9099-C40C66FF867C}">
                  <a14:compatExt spid="_x0000_s57367"/>
                </a:ext>
                <a:ext uri="{FF2B5EF4-FFF2-40B4-BE49-F238E27FC236}">
                  <a16:creationId xmlns:a16="http://schemas.microsoft.com/office/drawing/2014/main" id="{00000000-0008-0000-1000-00001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7368" name="Button 24" hidden="1">
              <a:extLst>
                <a:ext uri="{63B3BB69-23CF-44E3-9099-C40C66FF867C}">
                  <a14:compatExt spid="_x0000_s57368"/>
                </a:ext>
                <a:ext uri="{FF2B5EF4-FFF2-40B4-BE49-F238E27FC236}">
                  <a16:creationId xmlns:a16="http://schemas.microsoft.com/office/drawing/2014/main" id="{00000000-0008-0000-1000-00001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7369" name="Button 25" hidden="1">
              <a:extLst>
                <a:ext uri="{63B3BB69-23CF-44E3-9099-C40C66FF867C}">
                  <a14:compatExt spid="_x0000_s57369"/>
                </a:ext>
                <a:ext uri="{FF2B5EF4-FFF2-40B4-BE49-F238E27FC236}">
                  <a16:creationId xmlns:a16="http://schemas.microsoft.com/office/drawing/2014/main" id="{00000000-0008-0000-1000-00001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7370" name="Button 26" hidden="1">
              <a:extLst>
                <a:ext uri="{63B3BB69-23CF-44E3-9099-C40C66FF867C}">
                  <a14:compatExt spid="_x0000_s57370"/>
                </a:ext>
                <a:ext uri="{FF2B5EF4-FFF2-40B4-BE49-F238E27FC236}">
                  <a16:creationId xmlns:a16="http://schemas.microsoft.com/office/drawing/2014/main" id="{00000000-0008-0000-1000-00001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7371" name="Button 27" hidden="1">
              <a:extLst>
                <a:ext uri="{63B3BB69-23CF-44E3-9099-C40C66FF867C}">
                  <a14:compatExt spid="_x0000_s57371"/>
                </a:ext>
                <a:ext uri="{FF2B5EF4-FFF2-40B4-BE49-F238E27FC236}">
                  <a16:creationId xmlns:a16="http://schemas.microsoft.com/office/drawing/2014/main" id="{00000000-0008-0000-1000-00001B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7372" name="Button 28" hidden="1">
              <a:extLst>
                <a:ext uri="{63B3BB69-23CF-44E3-9099-C40C66FF867C}">
                  <a14:compatExt spid="_x0000_s57372"/>
                </a:ext>
                <a:ext uri="{FF2B5EF4-FFF2-40B4-BE49-F238E27FC236}">
                  <a16:creationId xmlns:a16="http://schemas.microsoft.com/office/drawing/2014/main" id="{00000000-0008-0000-1000-00001C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7373" name="Button 29" hidden="1">
              <a:extLst>
                <a:ext uri="{63B3BB69-23CF-44E3-9099-C40C66FF867C}">
                  <a14:compatExt spid="_x0000_s57373"/>
                </a:ext>
                <a:ext uri="{FF2B5EF4-FFF2-40B4-BE49-F238E27FC236}">
                  <a16:creationId xmlns:a16="http://schemas.microsoft.com/office/drawing/2014/main" id="{00000000-0008-0000-1000-00001D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7374" name="Button 30" hidden="1">
              <a:extLst>
                <a:ext uri="{63B3BB69-23CF-44E3-9099-C40C66FF867C}">
                  <a14:compatExt spid="_x0000_s57374"/>
                </a:ext>
                <a:ext uri="{FF2B5EF4-FFF2-40B4-BE49-F238E27FC236}">
                  <a16:creationId xmlns:a16="http://schemas.microsoft.com/office/drawing/2014/main" id="{00000000-0008-0000-1000-00001E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7375" name="Button 31" hidden="1">
              <a:extLst>
                <a:ext uri="{63B3BB69-23CF-44E3-9099-C40C66FF867C}">
                  <a14:compatExt spid="_x0000_s57375"/>
                </a:ext>
                <a:ext uri="{FF2B5EF4-FFF2-40B4-BE49-F238E27FC236}">
                  <a16:creationId xmlns:a16="http://schemas.microsoft.com/office/drawing/2014/main" id="{00000000-0008-0000-1000-00001F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7376" name="Button 32" hidden="1">
              <a:extLst>
                <a:ext uri="{63B3BB69-23CF-44E3-9099-C40C66FF867C}">
                  <a14:compatExt spid="_x0000_s57376"/>
                </a:ext>
                <a:ext uri="{FF2B5EF4-FFF2-40B4-BE49-F238E27FC236}">
                  <a16:creationId xmlns:a16="http://schemas.microsoft.com/office/drawing/2014/main" id="{00000000-0008-0000-1000-000020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7377" name="Button 33" hidden="1">
              <a:extLst>
                <a:ext uri="{63B3BB69-23CF-44E3-9099-C40C66FF867C}">
                  <a14:compatExt spid="_x0000_s57377"/>
                </a:ext>
                <a:ext uri="{FF2B5EF4-FFF2-40B4-BE49-F238E27FC236}">
                  <a16:creationId xmlns:a16="http://schemas.microsoft.com/office/drawing/2014/main" id="{00000000-0008-0000-1000-00002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7378" name="Button 34" hidden="1">
              <a:extLst>
                <a:ext uri="{63B3BB69-23CF-44E3-9099-C40C66FF867C}">
                  <a14:compatExt spid="_x0000_s57378"/>
                </a:ext>
                <a:ext uri="{FF2B5EF4-FFF2-40B4-BE49-F238E27FC236}">
                  <a16:creationId xmlns:a16="http://schemas.microsoft.com/office/drawing/2014/main" id="{00000000-0008-0000-1000-00002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7379" name="Button 35" hidden="1">
              <a:extLst>
                <a:ext uri="{63B3BB69-23CF-44E3-9099-C40C66FF867C}">
                  <a14:compatExt spid="_x0000_s57379"/>
                </a:ext>
                <a:ext uri="{FF2B5EF4-FFF2-40B4-BE49-F238E27FC236}">
                  <a16:creationId xmlns:a16="http://schemas.microsoft.com/office/drawing/2014/main" id="{00000000-0008-0000-1000-00002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7380" name="Button 36" hidden="1">
              <a:extLst>
                <a:ext uri="{63B3BB69-23CF-44E3-9099-C40C66FF867C}">
                  <a14:compatExt spid="_x0000_s57380"/>
                </a:ext>
                <a:ext uri="{FF2B5EF4-FFF2-40B4-BE49-F238E27FC236}">
                  <a16:creationId xmlns:a16="http://schemas.microsoft.com/office/drawing/2014/main" id="{00000000-0008-0000-1000-00002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58369" name="Button 1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58370" name="Button 2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58371" name="Button 3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8372" name="Button 4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58374" name="Button 6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58376" name="Button 8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58377" name="Button 9" hidden="1">
              <a:extLst>
                <a:ext uri="{63B3BB69-23CF-44E3-9099-C40C66FF867C}">
                  <a14:compatExt spid="_x0000_s58377"/>
                </a:ext>
                <a:ext uri="{FF2B5EF4-FFF2-40B4-BE49-F238E27FC236}">
                  <a16:creationId xmlns:a16="http://schemas.microsoft.com/office/drawing/2014/main" id="{00000000-0008-0000-1100-00000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58378" name="Button 10" hidden="1">
              <a:extLst>
                <a:ext uri="{63B3BB69-23CF-44E3-9099-C40C66FF867C}">
                  <a14:compatExt spid="_x0000_s58378"/>
                </a:ext>
                <a:ext uri="{FF2B5EF4-FFF2-40B4-BE49-F238E27FC236}">
                  <a16:creationId xmlns:a16="http://schemas.microsoft.com/office/drawing/2014/main" id="{00000000-0008-0000-1100-00000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1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58380" name="Button 12" hidden="1">
              <a:extLst>
                <a:ext uri="{63B3BB69-23CF-44E3-9099-C40C66FF867C}">
                  <a14:compatExt spid="_x0000_s58380"/>
                </a:ext>
                <a:ext uri="{FF2B5EF4-FFF2-40B4-BE49-F238E27FC236}">
                  <a16:creationId xmlns:a16="http://schemas.microsoft.com/office/drawing/2014/main" id="{00000000-0008-0000-1100-00000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58381" name="Button 13" hidden="1">
              <a:extLst>
                <a:ext uri="{63B3BB69-23CF-44E3-9099-C40C66FF867C}">
                  <a14:compatExt spid="_x0000_s58381"/>
                </a:ext>
                <a:ext uri="{FF2B5EF4-FFF2-40B4-BE49-F238E27FC236}">
                  <a16:creationId xmlns:a16="http://schemas.microsoft.com/office/drawing/2014/main" id="{00000000-0008-0000-1100-00000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58382" name="Button 14" hidden="1">
              <a:extLst>
                <a:ext uri="{63B3BB69-23CF-44E3-9099-C40C66FF867C}">
                  <a14:compatExt spid="_x0000_s58382"/>
                </a:ext>
                <a:ext uri="{FF2B5EF4-FFF2-40B4-BE49-F238E27FC236}">
                  <a16:creationId xmlns:a16="http://schemas.microsoft.com/office/drawing/2014/main" id="{00000000-0008-0000-1100-00000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1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8384" name="Button 16" hidden="1">
              <a:extLst>
                <a:ext uri="{63B3BB69-23CF-44E3-9099-C40C66FF867C}">
                  <a14:compatExt spid="_x0000_s58384"/>
                </a:ext>
                <a:ext uri="{FF2B5EF4-FFF2-40B4-BE49-F238E27FC236}">
                  <a16:creationId xmlns:a16="http://schemas.microsoft.com/office/drawing/2014/main" id="{00000000-0008-0000-1100-00001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8385" name="Button 17" hidden="1">
              <a:extLst>
                <a:ext uri="{63B3BB69-23CF-44E3-9099-C40C66FF867C}">
                  <a14:compatExt spid="_x0000_s58385"/>
                </a:ext>
                <a:ext uri="{FF2B5EF4-FFF2-40B4-BE49-F238E27FC236}">
                  <a16:creationId xmlns:a16="http://schemas.microsoft.com/office/drawing/2014/main" id="{00000000-0008-0000-1100-00001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8386" name="Button 18" hidden="1">
              <a:extLst>
                <a:ext uri="{63B3BB69-23CF-44E3-9099-C40C66FF867C}">
                  <a14:compatExt spid="_x0000_s58386"/>
                </a:ext>
                <a:ext uri="{FF2B5EF4-FFF2-40B4-BE49-F238E27FC236}">
                  <a16:creationId xmlns:a16="http://schemas.microsoft.com/office/drawing/2014/main" id="{00000000-0008-0000-1100-00001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58387" name="Button 19" hidden="1">
              <a:extLst>
                <a:ext uri="{63B3BB69-23CF-44E3-9099-C40C66FF867C}">
                  <a14:compatExt spid="_x0000_s58387"/>
                </a:ext>
                <a:ext uri="{FF2B5EF4-FFF2-40B4-BE49-F238E27FC236}">
                  <a16:creationId xmlns:a16="http://schemas.microsoft.com/office/drawing/2014/main" id="{00000000-0008-0000-1100-00001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58388" name="Button 20" hidden="1">
              <a:extLst>
                <a:ext uri="{63B3BB69-23CF-44E3-9099-C40C66FF867C}">
                  <a14:compatExt spid="_x0000_s58388"/>
                </a:ext>
                <a:ext uri="{FF2B5EF4-FFF2-40B4-BE49-F238E27FC236}">
                  <a16:creationId xmlns:a16="http://schemas.microsoft.com/office/drawing/2014/main" id="{00000000-0008-0000-1100-00001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58389" name="Button 21" hidden="1">
              <a:extLst>
                <a:ext uri="{63B3BB69-23CF-44E3-9099-C40C66FF867C}">
                  <a14:compatExt spid="_x0000_s58389"/>
                </a:ext>
                <a:ext uri="{FF2B5EF4-FFF2-40B4-BE49-F238E27FC236}">
                  <a16:creationId xmlns:a16="http://schemas.microsoft.com/office/drawing/2014/main" id="{00000000-0008-0000-1100-00001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8390" name="Button 22" hidden="1">
              <a:extLst>
                <a:ext uri="{63B3BB69-23CF-44E3-9099-C40C66FF867C}">
                  <a14:compatExt spid="_x0000_s58390"/>
                </a:ext>
                <a:ext uri="{FF2B5EF4-FFF2-40B4-BE49-F238E27FC236}">
                  <a16:creationId xmlns:a16="http://schemas.microsoft.com/office/drawing/2014/main" id="{00000000-0008-0000-1100-00001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8391" name="Button 23" hidden="1">
              <a:extLst>
                <a:ext uri="{63B3BB69-23CF-44E3-9099-C40C66FF867C}">
                  <a14:compatExt spid="_x0000_s58391"/>
                </a:ext>
                <a:ext uri="{FF2B5EF4-FFF2-40B4-BE49-F238E27FC236}">
                  <a16:creationId xmlns:a16="http://schemas.microsoft.com/office/drawing/2014/main" id="{00000000-0008-0000-1100-00001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8392" name="Button 24" hidden="1">
              <a:extLst>
                <a:ext uri="{63B3BB69-23CF-44E3-9099-C40C66FF867C}">
                  <a14:compatExt spid="_x0000_s58392"/>
                </a:ext>
                <a:ext uri="{FF2B5EF4-FFF2-40B4-BE49-F238E27FC236}">
                  <a16:creationId xmlns:a16="http://schemas.microsoft.com/office/drawing/2014/main" id="{00000000-0008-0000-1100-00001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58393" name="Button 25" hidden="1">
              <a:extLst>
                <a:ext uri="{63B3BB69-23CF-44E3-9099-C40C66FF867C}">
                  <a14:compatExt spid="_x0000_s58393"/>
                </a:ext>
                <a:ext uri="{FF2B5EF4-FFF2-40B4-BE49-F238E27FC236}">
                  <a16:creationId xmlns:a16="http://schemas.microsoft.com/office/drawing/2014/main" id="{00000000-0008-0000-1100-000019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58394" name="Button 26" hidden="1">
              <a:extLst>
                <a:ext uri="{63B3BB69-23CF-44E3-9099-C40C66FF867C}">
                  <a14:compatExt spid="_x0000_s58394"/>
                </a:ext>
                <a:ext uri="{FF2B5EF4-FFF2-40B4-BE49-F238E27FC236}">
                  <a16:creationId xmlns:a16="http://schemas.microsoft.com/office/drawing/2014/main" id="{00000000-0008-0000-1100-00001A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58395" name="Button 27" hidden="1">
              <a:extLst>
                <a:ext uri="{63B3BB69-23CF-44E3-9099-C40C66FF867C}">
                  <a14:compatExt spid="_x0000_s58395"/>
                </a:ext>
                <a:ext uri="{FF2B5EF4-FFF2-40B4-BE49-F238E27FC236}">
                  <a16:creationId xmlns:a16="http://schemas.microsoft.com/office/drawing/2014/main" id="{00000000-0008-0000-1100-00001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58396" name="Button 28" hidden="1">
              <a:extLst>
                <a:ext uri="{63B3BB69-23CF-44E3-9099-C40C66FF867C}">
                  <a14:compatExt spid="_x0000_s58396"/>
                </a:ext>
                <a:ext uri="{FF2B5EF4-FFF2-40B4-BE49-F238E27FC236}">
                  <a16:creationId xmlns:a16="http://schemas.microsoft.com/office/drawing/2014/main" id="{00000000-0008-0000-1100-00001C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58397" name="Button 29" hidden="1">
              <a:extLst>
                <a:ext uri="{63B3BB69-23CF-44E3-9099-C40C66FF867C}">
                  <a14:compatExt spid="_x0000_s58397"/>
                </a:ext>
                <a:ext uri="{FF2B5EF4-FFF2-40B4-BE49-F238E27FC236}">
                  <a16:creationId xmlns:a16="http://schemas.microsoft.com/office/drawing/2014/main" id="{00000000-0008-0000-1100-00001D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58398" name="Button 30" hidden="1">
              <a:extLst>
                <a:ext uri="{63B3BB69-23CF-44E3-9099-C40C66FF867C}">
                  <a14:compatExt spid="_x0000_s58398"/>
                </a:ext>
                <a:ext uri="{FF2B5EF4-FFF2-40B4-BE49-F238E27FC236}">
                  <a16:creationId xmlns:a16="http://schemas.microsoft.com/office/drawing/2014/main" id="{00000000-0008-0000-1100-00001E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58399" name="Button 31" hidden="1">
              <a:extLst>
                <a:ext uri="{63B3BB69-23CF-44E3-9099-C40C66FF867C}">
                  <a14:compatExt spid="_x0000_s58399"/>
                </a:ext>
                <a:ext uri="{FF2B5EF4-FFF2-40B4-BE49-F238E27FC236}">
                  <a16:creationId xmlns:a16="http://schemas.microsoft.com/office/drawing/2014/main" id="{00000000-0008-0000-1100-00001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8400" name="Button 32" hidden="1">
              <a:extLst>
                <a:ext uri="{63B3BB69-23CF-44E3-9099-C40C66FF867C}">
                  <a14:compatExt spid="_x0000_s58400"/>
                </a:ext>
                <a:ext uri="{FF2B5EF4-FFF2-40B4-BE49-F238E27FC236}">
                  <a16:creationId xmlns:a16="http://schemas.microsoft.com/office/drawing/2014/main" id="{00000000-0008-0000-1100-000020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8401" name="Button 33" hidden="1">
              <a:extLst>
                <a:ext uri="{63B3BB69-23CF-44E3-9099-C40C66FF867C}">
                  <a14:compatExt spid="_x0000_s58401"/>
                </a:ext>
                <a:ext uri="{FF2B5EF4-FFF2-40B4-BE49-F238E27FC236}">
                  <a16:creationId xmlns:a16="http://schemas.microsoft.com/office/drawing/2014/main" id="{00000000-0008-0000-1100-00002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58402" name="Button 34" hidden="1">
              <a:extLst>
                <a:ext uri="{63B3BB69-23CF-44E3-9099-C40C66FF867C}">
                  <a14:compatExt spid="_x0000_s58402"/>
                </a:ext>
                <a:ext uri="{FF2B5EF4-FFF2-40B4-BE49-F238E27FC236}">
                  <a16:creationId xmlns:a16="http://schemas.microsoft.com/office/drawing/2014/main" id="{00000000-0008-0000-1100-00002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58403" name="Button 35" hidden="1">
              <a:extLst>
                <a:ext uri="{63B3BB69-23CF-44E3-9099-C40C66FF867C}">
                  <a14:compatExt spid="_x0000_s58403"/>
                </a:ext>
                <a:ext uri="{FF2B5EF4-FFF2-40B4-BE49-F238E27FC236}">
                  <a16:creationId xmlns:a16="http://schemas.microsoft.com/office/drawing/2014/main" id="{00000000-0008-0000-1100-00002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58404" name="Button 36" hidden="1">
              <a:extLst>
                <a:ext uri="{63B3BB69-23CF-44E3-9099-C40C66FF867C}">
                  <a14:compatExt spid="_x0000_s58404"/>
                </a:ext>
                <a:ext uri="{FF2B5EF4-FFF2-40B4-BE49-F238E27FC236}">
                  <a16:creationId xmlns:a16="http://schemas.microsoft.com/office/drawing/2014/main" id="{00000000-0008-0000-1100-00002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1441" name="Button 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2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2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2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2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2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1446" name="Button 6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2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2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1448" name="Button 8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2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2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1450" name="Button 10" hidden="1">
              <a:extLst>
                <a:ext uri="{63B3BB69-23CF-44E3-9099-C40C66FF867C}">
                  <a14:compatExt spid="_x0000_s61450"/>
                </a:ext>
                <a:ext uri="{FF2B5EF4-FFF2-40B4-BE49-F238E27FC236}">
                  <a16:creationId xmlns:a16="http://schemas.microsoft.com/office/drawing/2014/main" id="{00000000-0008-0000-1200-00000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1451" name="Button 11" hidden="1">
              <a:extLst>
                <a:ext uri="{63B3BB69-23CF-44E3-9099-C40C66FF867C}">
                  <a14:compatExt spid="_x0000_s61451"/>
                </a:ext>
                <a:ext uri="{FF2B5EF4-FFF2-40B4-BE49-F238E27FC236}">
                  <a16:creationId xmlns:a16="http://schemas.microsoft.com/office/drawing/2014/main" id="{00000000-0008-0000-1200-00000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1452" name="Button 12" hidden="1">
              <a:extLst>
                <a:ext uri="{63B3BB69-23CF-44E3-9099-C40C66FF867C}">
                  <a14:compatExt spid="_x0000_s61452"/>
                </a:ext>
                <a:ext uri="{FF2B5EF4-FFF2-40B4-BE49-F238E27FC236}">
                  <a16:creationId xmlns:a16="http://schemas.microsoft.com/office/drawing/2014/main" id="{00000000-0008-0000-1200-00000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1453" name="Button 13" hidden="1">
              <a:extLst>
                <a:ext uri="{63B3BB69-23CF-44E3-9099-C40C66FF867C}">
                  <a14:compatExt spid="_x0000_s61453"/>
                </a:ext>
                <a:ext uri="{FF2B5EF4-FFF2-40B4-BE49-F238E27FC236}">
                  <a16:creationId xmlns:a16="http://schemas.microsoft.com/office/drawing/2014/main" id="{00000000-0008-0000-1200-00000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1454" name="Button 14" hidden="1">
              <a:extLst>
                <a:ext uri="{63B3BB69-23CF-44E3-9099-C40C66FF867C}">
                  <a14:compatExt spid="_x0000_s61454"/>
                </a:ext>
                <a:ext uri="{FF2B5EF4-FFF2-40B4-BE49-F238E27FC236}">
                  <a16:creationId xmlns:a16="http://schemas.microsoft.com/office/drawing/2014/main" id="{00000000-0008-0000-1200-00000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1455" name="Button 15" hidden="1">
              <a:extLst>
                <a:ext uri="{63B3BB69-23CF-44E3-9099-C40C66FF867C}">
                  <a14:compatExt spid="_x0000_s61455"/>
                </a:ext>
                <a:ext uri="{FF2B5EF4-FFF2-40B4-BE49-F238E27FC236}">
                  <a16:creationId xmlns:a16="http://schemas.microsoft.com/office/drawing/2014/main" id="{00000000-0008-0000-1200-00000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1456" name="Button 16" hidden="1">
              <a:extLst>
                <a:ext uri="{63B3BB69-23CF-44E3-9099-C40C66FF867C}">
                  <a14:compatExt spid="_x0000_s61456"/>
                </a:ext>
                <a:ext uri="{FF2B5EF4-FFF2-40B4-BE49-F238E27FC236}">
                  <a16:creationId xmlns:a16="http://schemas.microsoft.com/office/drawing/2014/main" id="{00000000-0008-0000-1200-00001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1457" name="Button 17" hidden="1">
              <a:extLst>
                <a:ext uri="{63B3BB69-23CF-44E3-9099-C40C66FF867C}">
                  <a14:compatExt spid="_x0000_s61457"/>
                </a:ext>
                <a:ext uri="{FF2B5EF4-FFF2-40B4-BE49-F238E27FC236}">
                  <a16:creationId xmlns:a16="http://schemas.microsoft.com/office/drawing/2014/main" id="{00000000-0008-0000-1200-00001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1458" name="Button 18" hidden="1">
              <a:extLst>
                <a:ext uri="{63B3BB69-23CF-44E3-9099-C40C66FF867C}">
                  <a14:compatExt spid="_x0000_s61458"/>
                </a:ext>
                <a:ext uri="{FF2B5EF4-FFF2-40B4-BE49-F238E27FC236}">
                  <a16:creationId xmlns:a16="http://schemas.microsoft.com/office/drawing/2014/main" id="{00000000-0008-0000-1200-00001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1459" name="Button 19" hidden="1">
              <a:extLst>
                <a:ext uri="{63B3BB69-23CF-44E3-9099-C40C66FF867C}">
                  <a14:compatExt spid="_x0000_s61459"/>
                </a:ext>
                <a:ext uri="{FF2B5EF4-FFF2-40B4-BE49-F238E27FC236}">
                  <a16:creationId xmlns:a16="http://schemas.microsoft.com/office/drawing/2014/main" id="{00000000-0008-0000-1200-00001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1460" name="Button 20" hidden="1">
              <a:extLst>
                <a:ext uri="{63B3BB69-23CF-44E3-9099-C40C66FF867C}">
                  <a14:compatExt spid="_x0000_s61460"/>
                </a:ext>
                <a:ext uri="{FF2B5EF4-FFF2-40B4-BE49-F238E27FC236}">
                  <a16:creationId xmlns:a16="http://schemas.microsoft.com/office/drawing/2014/main" id="{00000000-0008-0000-1200-00001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1461" name="Button 21" hidden="1">
              <a:extLst>
                <a:ext uri="{63B3BB69-23CF-44E3-9099-C40C66FF867C}">
                  <a14:compatExt spid="_x0000_s61461"/>
                </a:ext>
                <a:ext uri="{FF2B5EF4-FFF2-40B4-BE49-F238E27FC236}">
                  <a16:creationId xmlns:a16="http://schemas.microsoft.com/office/drawing/2014/main" id="{00000000-0008-0000-1200-00001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1462" name="Button 22" hidden="1">
              <a:extLst>
                <a:ext uri="{63B3BB69-23CF-44E3-9099-C40C66FF867C}">
                  <a14:compatExt spid="_x0000_s61462"/>
                </a:ext>
                <a:ext uri="{FF2B5EF4-FFF2-40B4-BE49-F238E27FC236}">
                  <a16:creationId xmlns:a16="http://schemas.microsoft.com/office/drawing/2014/main" id="{00000000-0008-0000-1200-00001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1463" name="Button 23" hidden="1">
              <a:extLst>
                <a:ext uri="{63B3BB69-23CF-44E3-9099-C40C66FF867C}">
                  <a14:compatExt spid="_x0000_s61463"/>
                </a:ext>
                <a:ext uri="{FF2B5EF4-FFF2-40B4-BE49-F238E27FC236}">
                  <a16:creationId xmlns:a16="http://schemas.microsoft.com/office/drawing/2014/main" id="{00000000-0008-0000-1200-00001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1464" name="Button 24" hidden="1">
              <a:extLst>
                <a:ext uri="{63B3BB69-23CF-44E3-9099-C40C66FF867C}">
                  <a14:compatExt spid="_x0000_s61464"/>
                </a:ext>
                <a:ext uri="{FF2B5EF4-FFF2-40B4-BE49-F238E27FC236}">
                  <a16:creationId xmlns:a16="http://schemas.microsoft.com/office/drawing/2014/main" id="{00000000-0008-0000-1200-00001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1465" name="Button 25" hidden="1">
              <a:extLst>
                <a:ext uri="{63B3BB69-23CF-44E3-9099-C40C66FF867C}">
                  <a14:compatExt spid="_x0000_s61465"/>
                </a:ext>
                <a:ext uri="{FF2B5EF4-FFF2-40B4-BE49-F238E27FC236}">
                  <a16:creationId xmlns:a16="http://schemas.microsoft.com/office/drawing/2014/main" id="{00000000-0008-0000-1200-00001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1466" name="Button 26" hidden="1">
              <a:extLst>
                <a:ext uri="{63B3BB69-23CF-44E3-9099-C40C66FF867C}">
                  <a14:compatExt spid="_x0000_s61466"/>
                </a:ext>
                <a:ext uri="{FF2B5EF4-FFF2-40B4-BE49-F238E27FC236}">
                  <a16:creationId xmlns:a16="http://schemas.microsoft.com/office/drawing/2014/main" id="{00000000-0008-0000-1200-00001A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1467" name="Button 27" hidden="1">
              <a:extLst>
                <a:ext uri="{63B3BB69-23CF-44E3-9099-C40C66FF867C}">
                  <a14:compatExt spid="_x0000_s61467"/>
                </a:ext>
                <a:ext uri="{FF2B5EF4-FFF2-40B4-BE49-F238E27FC236}">
                  <a16:creationId xmlns:a16="http://schemas.microsoft.com/office/drawing/2014/main" id="{00000000-0008-0000-1200-00001B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1468" name="Button 28" hidden="1">
              <a:extLst>
                <a:ext uri="{63B3BB69-23CF-44E3-9099-C40C66FF867C}">
                  <a14:compatExt spid="_x0000_s61468"/>
                </a:ext>
                <a:ext uri="{FF2B5EF4-FFF2-40B4-BE49-F238E27FC236}">
                  <a16:creationId xmlns:a16="http://schemas.microsoft.com/office/drawing/2014/main" id="{00000000-0008-0000-1200-00001C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1469" name="Button 29" hidden="1">
              <a:extLst>
                <a:ext uri="{63B3BB69-23CF-44E3-9099-C40C66FF867C}">
                  <a14:compatExt spid="_x0000_s61469"/>
                </a:ext>
                <a:ext uri="{FF2B5EF4-FFF2-40B4-BE49-F238E27FC236}">
                  <a16:creationId xmlns:a16="http://schemas.microsoft.com/office/drawing/2014/main" id="{00000000-0008-0000-1200-00001D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1470" name="Button 30" hidden="1">
              <a:extLst>
                <a:ext uri="{63B3BB69-23CF-44E3-9099-C40C66FF867C}">
                  <a14:compatExt spid="_x0000_s61470"/>
                </a:ext>
                <a:ext uri="{FF2B5EF4-FFF2-40B4-BE49-F238E27FC236}">
                  <a16:creationId xmlns:a16="http://schemas.microsoft.com/office/drawing/2014/main" id="{00000000-0008-0000-1200-00001E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1471" name="Button 31" hidden="1">
              <a:extLst>
                <a:ext uri="{63B3BB69-23CF-44E3-9099-C40C66FF867C}">
                  <a14:compatExt spid="_x0000_s61471"/>
                </a:ext>
                <a:ext uri="{FF2B5EF4-FFF2-40B4-BE49-F238E27FC236}">
                  <a16:creationId xmlns:a16="http://schemas.microsoft.com/office/drawing/2014/main" id="{00000000-0008-0000-1200-00001F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1472" name="Button 32" hidden="1">
              <a:extLst>
                <a:ext uri="{63B3BB69-23CF-44E3-9099-C40C66FF867C}">
                  <a14:compatExt spid="_x0000_s61472"/>
                </a:ext>
                <a:ext uri="{FF2B5EF4-FFF2-40B4-BE49-F238E27FC236}">
                  <a16:creationId xmlns:a16="http://schemas.microsoft.com/office/drawing/2014/main" id="{00000000-0008-0000-1200-000020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1473" name="Button 33" hidden="1">
              <a:extLst>
                <a:ext uri="{63B3BB69-23CF-44E3-9099-C40C66FF867C}">
                  <a14:compatExt spid="_x0000_s61473"/>
                </a:ext>
                <a:ext uri="{FF2B5EF4-FFF2-40B4-BE49-F238E27FC236}">
                  <a16:creationId xmlns:a16="http://schemas.microsoft.com/office/drawing/2014/main" id="{00000000-0008-0000-1200-00002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1474" name="Button 34" hidden="1">
              <a:extLst>
                <a:ext uri="{63B3BB69-23CF-44E3-9099-C40C66FF867C}">
                  <a14:compatExt spid="_x0000_s61474"/>
                </a:ext>
                <a:ext uri="{FF2B5EF4-FFF2-40B4-BE49-F238E27FC236}">
                  <a16:creationId xmlns:a16="http://schemas.microsoft.com/office/drawing/2014/main" id="{00000000-0008-0000-1200-00002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1475" name="Button 35" hidden="1">
              <a:extLst>
                <a:ext uri="{63B3BB69-23CF-44E3-9099-C40C66FF867C}">
                  <a14:compatExt spid="_x0000_s61475"/>
                </a:ext>
                <a:ext uri="{FF2B5EF4-FFF2-40B4-BE49-F238E27FC236}">
                  <a16:creationId xmlns:a16="http://schemas.microsoft.com/office/drawing/2014/main" id="{00000000-0008-0000-1200-00002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1476" name="Button 36" hidden="1">
              <a:extLst>
                <a:ext uri="{63B3BB69-23CF-44E3-9099-C40C66FF867C}">
                  <a14:compatExt spid="_x0000_s61476"/>
                </a:ext>
                <a:ext uri="{FF2B5EF4-FFF2-40B4-BE49-F238E27FC236}">
                  <a16:creationId xmlns:a16="http://schemas.microsoft.com/office/drawing/2014/main" id="{00000000-0008-0000-1200-00002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0</xdr:colOff>
          <xdr:row>16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16</xdr:row>
          <xdr:rowOff>0</xdr:rowOff>
        </xdr:from>
        <xdr:to>
          <xdr:col>17</xdr:col>
          <xdr:colOff>0</xdr:colOff>
          <xdr:row>20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16</xdr:row>
          <xdr:rowOff>0</xdr:rowOff>
        </xdr:from>
        <xdr:to>
          <xdr:col>17</xdr:col>
          <xdr:colOff>923925</xdr:colOff>
          <xdr:row>20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13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20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3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20</xdr:row>
          <xdr:rowOff>0</xdr:rowOff>
        </xdr:from>
        <xdr:to>
          <xdr:col>17</xdr:col>
          <xdr:colOff>923925</xdr:colOff>
          <xdr:row>24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13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24</xdr:row>
          <xdr:rowOff>0</xdr:rowOff>
        </xdr:from>
        <xdr:to>
          <xdr:col>18</xdr:col>
          <xdr:colOff>0</xdr:colOff>
          <xdr:row>27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13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29</xdr:row>
          <xdr:rowOff>0</xdr:rowOff>
        </xdr:from>
        <xdr:to>
          <xdr:col>18</xdr:col>
          <xdr:colOff>0</xdr:colOff>
          <xdr:row>33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13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0</xdr:rowOff>
        </xdr:from>
        <xdr:to>
          <xdr:col>17</xdr:col>
          <xdr:colOff>0</xdr:colOff>
          <xdr:row>37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13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33</xdr:row>
          <xdr:rowOff>0</xdr:rowOff>
        </xdr:from>
        <xdr:to>
          <xdr:col>18</xdr:col>
          <xdr:colOff>0</xdr:colOff>
          <xdr:row>37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13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17</xdr:col>
          <xdr:colOff>0</xdr:colOff>
          <xdr:row>41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13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37</xdr:row>
          <xdr:rowOff>0</xdr:rowOff>
        </xdr:from>
        <xdr:to>
          <xdr:col>18</xdr:col>
          <xdr:colOff>0</xdr:colOff>
          <xdr:row>41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13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41</xdr:row>
          <xdr:rowOff>0</xdr:rowOff>
        </xdr:from>
        <xdr:to>
          <xdr:col>18</xdr:col>
          <xdr:colOff>0</xdr:colOff>
          <xdr:row>44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13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18</xdr:col>
          <xdr:colOff>0</xdr:colOff>
          <xdr:row>50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13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50</xdr:row>
          <xdr:rowOff>0</xdr:rowOff>
        </xdr:from>
        <xdr:to>
          <xdr:col>17</xdr:col>
          <xdr:colOff>0</xdr:colOff>
          <xdr:row>54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13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50</xdr:row>
          <xdr:rowOff>0</xdr:rowOff>
        </xdr:from>
        <xdr:to>
          <xdr:col>18</xdr:col>
          <xdr:colOff>0</xdr:colOff>
          <xdr:row>54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13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54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13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54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13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13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0</xdr:rowOff>
        </xdr:from>
        <xdr:to>
          <xdr:col>18</xdr:col>
          <xdr:colOff>0</xdr:colOff>
          <xdr:row>67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13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67</xdr:row>
          <xdr:rowOff>0</xdr:rowOff>
        </xdr:from>
        <xdr:to>
          <xdr:col>17</xdr:col>
          <xdr:colOff>0</xdr:colOff>
          <xdr:row>71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13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67</xdr:row>
          <xdr:rowOff>0</xdr:rowOff>
        </xdr:from>
        <xdr:to>
          <xdr:col>18</xdr:col>
          <xdr:colOff>0</xdr:colOff>
          <xdr:row>71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13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71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13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71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13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13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0</xdr:rowOff>
        </xdr:from>
        <xdr:to>
          <xdr:col>18</xdr:col>
          <xdr:colOff>0</xdr:colOff>
          <xdr:row>84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13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84</xdr:row>
          <xdr:rowOff>0</xdr:rowOff>
        </xdr:from>
        <xdr:to>
          <xdr:col>17</xdr:col>
          <xdr:colOff>0</xdr:colOff>
          <xdr:row>88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13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84</xdr:row>
          <xdr:rowOff>0</xdr:rowOff>
        </xdr:from>
        <xdr:to>
          <xdr:col>18</xdr:col>
          <xdr:colOff>0</xdr:colOff>
          <xdr:row>88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13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0</xdr:rowOff>
        </xdr:from>
        <xdr:to>
          <xdr:col>17</xdr:col>
          <xdr:colOff>0</xdr:colOff>
          <xdr:row>92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13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88</xdr:row>
          <xdr:rowOff>0</xdr:rowOff>
        </xdr:from>
        <xdr:to>
          <xdr:col>18</xdr:col>
          <xdr:colOff>0</xdr:colOff>
          <xdr:row>92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13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92</xdr:row>
          <xdr:rowOff>0</xdr:rowOff>
        </xdr:from>
        <xdr:to>
          <xdr:col>18</xdr:col>
          <xdr:colOff>0</xdr:colOff>
          <xdr:row>95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13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97</xdr:row>
          <xdr:rowOff>0</xdr:rowOff>
        </xdr:from>
        <xdr:to>
          <xdr:col>18</xdr:col>
          <xdr:colOff>0</xdr:colOff>
          <xdr:row>101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13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13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13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105</xdr:row>
          <xdr:rowOff>0</xdr:rowOff>
        </xdr:from>
        <xdr:to>
          <xdr:col>17</xdr:col>
          <xdr:colOff>0</xdr:colOff>
          <xdr:row>109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13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5%~10%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105</xdr:row>
          <xdr:rowOff>0</xdr:rowOff>
        </xdr:from>
        <xdr:to>
          <xdr:col>18</xdr:col>
          <xdr:colOff>0</xdr:colOff>
          <xdr:row>109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13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10%~15%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0</xdr:rowOff>
        </xdr:from>
        <xdr:to>
          <xdr:col>18</xdr:col>
          <xdr:colOff>0</xdr:colOff>
          <xdr:row>112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13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 상승률 Top10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6.xml"/><Relationship Id="rId18" Type="http://schemas.openxmlformats.org/officeDocument/2006/relationships/ctrlProp" Target="../ctrlProps/ctrlProp51.xml"/><Relationship Id="rId26" Type="http://schemas.openxmlformats.org/officeDocument/2006/relationships/ctrlProp" Target="../ctrlProps/ctrlProp59.xml"/><Relationship Id="rId39" Type="http://schemas.openxmlformats.org/officeDocument/2006/relationships/ctrlProp" Target="../ctrlProps/ctrlProp72.xml"/><Relationship Id="rId21" Type="http://schemas.openxmlformats.org/officeDocument/2006/relationships/ctrlProp" Target="../ctrlProps/ctrlProp54.xml"/><Relationship Id="rId34" Type="http://schemas.openxmlformats.org/officeDocument/2006/relationships/ctrlProp" Target="../ctrlProps/ctrlProp67.x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17" Type="http://schemas.openxmlformats.org/officeDocument/2006/relationships/ctrlProp" Target="../ctrlProps/ctrlProp50.xml"/><Relationship Id="rId25" Type="http://schemas.openxmlformats.org/officeDocument/2006/relationships/ctrlProp" Target="../ctrlProps/ctrlProp58.xml"/><Relationship Id="rId33" Type="http://schemas.openxmlformats.org/officeDocument/2006/relationships/ctrlProp" Target="../ctrlProps/ctrlProp66.xml"/><Relationship Id="rId38" Type="http://schemas.openxmlformats.org/officeDocument/2006/relationships/ctrlProp" Target="../ctrlProps/ctrlProp7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49.xml"/><Relationship Id="rId20" Type="http://schemas.openxmlformats.org/officeDocument/2006/relationships/ctrlProp" Target="../ctrlProps/ctrlProp53.xml"/><Relationship Id="rId29" Type="http://schemas.openxmlformats.org/officeDocument/2006/relationships/ctrlProp" Target="../ctrlProps/ctrlProp6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24" Type="http://schemas.openxmlformats.org/officeDocument/2006/relationships/ctrlProp" Target="../ctrlProps/ctrlProp57.xml"/><Relationship Id="rId32" Type="http://schemas.openxmlformats.org/officeDocument/2006/relationships/ctrlProp" Target="../ctrlProps/ctrlProp65.xml"/><Relationship Id="rId37" Type="http://schemas.openxmlformats.org/officeDocument/2006/relationships/ctrlProp" Target="../ctrlProps/ctrlProp70.xml"/><Relationship Id="rId5" Type="http://schemas.openxmlformats.org/officeDocument/2006/relationships/ctrlProp" Target="../ctrlProps/ctrlProp38.xml"/><Relationship Id="rId15" Type="http://schemas.openxmlformats.org/officeDocument/2006/relationships/ctrlProp" Target="../ctrlProps/ctrlProp48.xml"/><Relationship Id="rId23" Type="http://schemas.openxmlformats.org/officeDocument/2006/relationships/ctrlProp" Target="../ctrlProps/ctrlProp56.xml"/><Relationship Id="rId28" Type="http://schemas.openxmlformats.org/officeDocument/2006/relationships/ctrlProp" Target="../ctrlProps/ctrlProp61.xml"/><Relationship Id="rId36" Type="http://schemas.openxmlformats.org/officeDocument/2006/relationships/ctrlProp" Target="../ctrlProps/ctrlProp69.xml"/><Relationship Id="rId10" Type="http://schemas.openxmlformats.org/officeDocument/2006/relationships/ctrlProp" Target="../ctrlProps/ctrlProp43.xml"/><Relationship Id="rId19" Type="http://schemas.openxmlformats.org/officeDocument/2006/relationships/ctrlProp" Target="../ctrlProps/ctrlProp52.xml"/><Relationship Id="rId31" Type="http://schemas.openxmlformats.org/officeDocument/2006/relationships/ctrlProp" Target="../ctrlProps/ctrlProp64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Relationship Id="rId14" Type="http://schemas.openxmlformats.org/officeDocument/2006/relationships/ctrlProp" Target="../ctrlProps/ctrlProp47.xml"/><Relationship Id="rId22" Type="http://schemas.openxmlformats.org/officeDocument/2006/relationships/ctrlProp" Target="../ctrlProps/ctrlProp55.xml"/><Relationship Id="rId27" Type="http://schemas.openxmlformats.org/officeDocument/2006/relationships/ctrlProp" Target="../ctrlProps/ctrlProp60.xml"/><Relationship Id="rId30" Type="http://schemas.openxmlformats.org/officeDocument/2006/relationships/ctrlProp" Target="../ctrlProps/ctrlProp63.xml"/><Relationship Id="rId35" Type="http://schemas.openxmlformats.org/officeDocument/2006/relationships/ctrlProp" Target="../ctrlProps/ctrlProp68.xml"/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2.xml"/><Relationship Id="rId18" Type="http://schemas.openxmlformats.org/officeDocument/2006/relationships/ctrlProp" Target="../ctrlProps/ctrlProp87.xml"/><Relationship Id="rId26" Type="http://schemas.openxmlformats.org/officeDocument/2006/relationships/ctrlProp" Target="../ctrlProps/ctrlProp95.xml"/><Relationship Id="rId39" Type="http://schemas.openxmlformats.org/officeDocument/2006/relationships/ctrlProp" Target="../ctrlProps/ctrlProp108.xml"/><Relationship Id="rId21" Type="http://schemas.openxmlformats.org/officeDocument/2006/relationships/ctrlProp" Target="../ctrlProps/ctrlProp90.xml"/><Relationship Id="rId34" Type="http://schemas.openxmlformats.org/officeDocument/2006/relationships/ctrlProp" Target="../ctrlProps/ctrlProp103.xml"/><Relationship Id="rId7" Type="http://schemas.openxmlformats.org/officeDocument/2006/relationships/ctrlProp" Target="../ctrlProps/ctrlProp76.xml"/><Relationship Id="rId12" Type="http://schemas.openxmlformats.org/officeDocument/2006/relationships/ctrlProp" Target="../ctrlProps/ctrlProp81.xml"/><Relationship Id="rId17" Type="http://schemas.openxmlformats.org/officeDocument/2006/relationships/ctrlProp" Target="../ctrlProps/ctrlProp86.xml"/><Relationship Id="rId25" Type="http://schemas.openxmlformats.org/officeDocument/2006/relationships/ctrlProp" Target="../ctrlProps/ctrlProp94.xml"/><Relationship Id="rId33" Type="http://schemas.openxmlformats.org/officeDocument/2006/relationships/ctrlProp" Target="../ctrlProps/ctrlProp102.xml"/><Relationship Id="rId38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85.xml"/><Relationship Id="rId20" Type="http://schemas.openxmlformats.org/officeDocument/2006/relationships/ctrlProp" Target="../ctrlProps/ctrlProp89.xml"/><Relationship Id="rId29" Type="http://schemas.openxmlformats.org/officeDocument/2006/relationships/ctrlProp" Target="../ctrlProps/ctrlProp9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5.xml"/><Relationship Id="rId11" Type="http://schemas.openxmlformats.org/officeDocument/2006/relationships/ctrlProp" Target="../ctrlProps/ctrlProp80.xml"/><Relationship Id="rId24" Type="http://schemas.openxmlformats.org/officeDocument/2006/relationships/ctrlProp" Target="../ctrlProps/ctrlProp93.xml"/><Relationship Id="rId32" Type="http://schemas.openxmlformats.org/officeDocument/2006/relationships/ctrlProp" Target="../ctrlProps/ctrlProp101.xml"/><Relationship Id="rId37" Type="http://schemas.openxmlformats.org/officeDocument/2006/relationships/ctrlProp" Target="../ctrlProps/ctrlProp106.xml"/><Relationship Id="rId5" Type="http://schemas.openxmlformats.org/officeDocument/2006/relationships/ctrlProp" Target="../ctrlProps/ctrlProp74.xml"/><Relationship Id="rId15" Type="http://schemas.openxmlformats.org/officeDocument/2006/relationships/ctrlProp" Target="../ctrlProps/ctrlProp84.xml"/><Relationship Id="rId23" Type="http://schemas.openxmlformats.org/officeDocument/2006/relationships/ctrlProp" Target="../ctrlProps/ctrlProp92.xml"/><Relationship Id="rId28" Type="http://schemas.openxmlformats.org/officeDocument/2006/relationships/ctrlProp" Target="../ctrlProps/ctrlProp97.xml"/><Relationship Id="rId36" Type="http://schemas.openxmlformats.org/officeDocument/2006/relationships/ctrlProp" Target="../ctrlProps/ctrlProp105.xml"/><Relationship Id="rId10" Type="http://schemas.openxmlformats.org/officeDocument/2006/relationships/ctrlProp" Target="../ctrlProps/ctrlProp79.xml"/><Relationship Id="rId19" Type="http://schemas.openxmlformats.org/officeDocument/2006/relationships/ctrlProp" Target="../ctrlProps/ctrlProp88.xml"/><Relationship Id="rId31" Type="http://schemas.openxmlformats.org/officeDocument/2006/relationships/ctrlProp" Target="../ctrlProps/ctrlProp100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Relationship Id="rId14" Type="http://schemas.openxmlformats.org/officeDocument/2006/relationships/ctrlProp" Target="../ctrlProps/ctrlProp83.xml"/><Relationship Id="rId22" Type="http://schemas.openxmlformats.org/officeDocument/2006/relationships/ctrlProp" Target="../ctrlProps/ctrlProp91.xml"/><Relationship Id="rId27" Type="http://schemas.openxmlformats.org/officeDocument/2006/relationships/ctrlProp" Target="../ctrlProps/ctrlProp96.xml"/><Relationship Id="rId30" Type="http://schemas.openxmlformats.org/officeDocument/2006/relationships/ctrlProp" Target="../ctrlProps/ctrlProp99.xml"/><Relationship Id="rId35" Type="http://schemas.openxmlformats.org/officeDocument/2006/relationships/ctrlProp" Target="../ctrlProps/ctrlProp104.xml"/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18.xml"/><Relationship Id="rId18" Type="http://schemas.openxmlformats.org/officeDocument/2006/relationships/ctrlProp" Target="../ctrlProps/ctrlProp123.xml"/><Relationship Id="rId26" Type="http://schemas.openxmlformats.org/officeDocument/2006/relationships/ctrlProp" Target="../ctrlProps/ctrlProp131.xml"/><Relationship Id="rId39" Type="http://schemas.openxmlformats.org/officeDocument/2006/relationships/ctrlProp" Target="../ctrlProps/ctrlProp144.xml"/><Relationship Id="rId21" Type="http://schemas.openxmlformats.org/officeDocument/2006/relationships/ctrlProp" Target="../ctrlProps/ctrlProp126.xml"/><Relationship Id="rId34" Type="http://schemas.openxmlformats.org/officeDocument/2006/relationships/ctrlProp" Target="../ctrlProps/ctrlProp139.xml"/><Relationship Id="rId7" Type="http://schemas.openxmlformats.org/officeDocument/2006/relationships/ctrlProp" Target="../ctrlProps/ctrlProp112.xml"/><Relationship Id="rId12" Type="http://schemas.openxmlformats.org/officeDocument/2006/relationships/ctrlProp" Target="../ctrlProps/ctrlProp117.xml"/><Relationship Id="rId17" Type="http://schemas.openxmlformats.org/officeDocument/2006/relationships/ctrlProp" Target="../ctrlProps/ctrlProp122.xml"/><Relationship Id="rId25" Type="http://schemas.openxmlformats.org/officeDocument/2006/relationships/ctrlProp" Target="../ctrlProps/ctrlProp130.xml"/><Relationship Id="rId33" Type="http://schemas.openxmlformats.org/officeDocument/2006/relationships/ctrlProp" Target="../ctrlProps/ctrlProp138.xml"/><Relationship Id="rId38" Type="http://schemas.openxmlformats.org/officeDocument/2006/relationships/ctrlProp" Target="../ctrlProps/ctrlProp14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1.xml"/><Relationship Id="rId20" Type="http://schemas.openxmlformats.org/officeDocument/2006/relationships/ctrlProp" Target="../ctrlProps/ctrlProp125.xml"/><Relationship Id="rId29" Type="http://schemas.openxmlformats.org/officeDocument/2006/relationships/ctrlProp" Target="../ctrlProps/ctrlProp13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11.xml"/><Relationship Id="rId11" Type="http://schemas.openxmlformats.org/officeDocument/2006/relationships/ctrlProp" Target="../ctrlProps/ctrlProp116.xml"/><Relationship Id="rId24" Type="http://schemas.openxmlformats.org/officeDocument/2006/relationships/ctrlProp" Target="../ctrlProps/ctrlProp129.xml"/><Relationship Id="rId32" Type="http://schemas.openxmlformats.org/officeDocument/2006/relationships/ctrlProp" Target="../ctrlProps/ctrlProp137.xml"/><Relationship Id="rId37" Type="http://schemas.openxmlformats.org/officeDocument/2006/relationships/ctrlProp" Target="../ctrlProps/ctrlProp142.xml"/><Relationship Id="rId5" Type="http://schemas.openxmlformats.org/officeDocument/2006/relationships/ctrlProp" Target="../ctrlProps/ctrlProp110.xml"/><Relationship Id="rId15" Type="http://schemas.openxmlformats.org/officeDocument/2006/relationships/ctrlProp" Target="../ctrlProps/ctrlProp120.xml"/><Relationship Id="rId23" Type="http://schemas.openxmlformats.org/officeDocument/2006/relationships/ctrlProp" Target="../ctrlProps/ctrlProp128.xml"/><Relationship Id="rId28" Type="http://schemas.openxmlformats.org/officeDocument/2006/relationships/ctrlProp" Target="../ctrlProps/ctrlProp133.xml"/><Relationship Id="rId36" Type="http://schemas.openxmlformats.org/officeDocument/2006/relationships/ctrlProp" Target="../ctrlProps/ctrlProp141.xml"/><Relationship Id="rId10" Type="http://schemas.openxmlformats.org/officeDocument/2006/relationships/ctrlProp" Target="../ctrlProps/ctrlProp115.xml"/><Relationship Id="rId19" Type="http://schemas.openxmlformats.org/officeDocument/2006/relationships/ctrlProp" Target="../ctrlProps/ctrlProp124.xml"/><Relationship Id="rId31" Type="http://schemas.openxmlformats.org/officeDocument/2006/relationships/ctrlProp" Target="../ctrlProps/ctrlProp136.xml"/><Relationship Id="rId4" Type="http://schemas.openxmlformats.org/officeDocument/2006/relationships/ctrlProp" Target="../ctrlProps/ctrlProp109.xml"/><Relationship Id="rId9" Type="http://schemas.openxmlformats.org/officeDocument/2006/relationships/ctrlProp" Target="../ctrlProps/ctrlProp114.xml"/><Relationship Id="rId14" Type="http://schemas.openxmlformats.org/officeDocument/2006/relationships/ctrlProp" Target="../ctrlProps/ctrlProp119.xml"/><Relationship Id="rId22" Type="http://schemas.openxmlformats.org/officeDocument/2006/relationships/ctrlProp" Target="../ctrlProps/ctrlProp127.xml"/><Relationship Id="rId27" Type="http://schemas.openxmlformats.org/officeDocument/2006/relationships/ctrlProp" Target="../ctrlProps/ctrlProp132.xml"/><Relationship Id="rId30" Type="http://schemas.openxmlformats.org/officeDocument/2006/relationships/ctrlProp" Target="../ctrlProps/ctrlProp135.xml"/><Relationship Id="rId35" Type="http://schemas.openxmlformats.org/officeDocument/2006/relationships/ctrlProp" Target="../ctrlProps/ctrlProp140.xml"/><Relationship Id="rId8" Type="http://schemas.openxmlformats.org/officeDocument/2006/relationships/ctrlProp" Target="../ctrlProps/ctrlProp113.xml"/><Relationship Id="rId3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4.xml"/><Relationship Id="rId18" Type="http://schemas.openxmlformats.org/officeDocument/2006/relationships/ctrlProp" Target="../ctrlProps/ctrlProp159.xml"/><Relationship Id="rId26" Type="http://schemas.openxmlformats.org/officeDocument/2006/relationships/ctrlProp" Target="../ctrlProps/ctrlProp167.xml"/><Relationship Id="rId39" Type="http://schemas.openxmlformats.org/officeDocument/2006/relationships/ctrlProp" Target="../ctrlProps/ctrlProp180.xml"/><Relationship Id="rId21" Type="http://schemas.openxmlformats.org/officeDocument/2006/relationships/ctrlProp" Target="../ctrlProps/ctrlProp162.xml"/><Relationship Id="rId34" Type="http://schemas.openxmlformats.org/officeDocument/2006/relationships/ctrlProp" Target="../ctrlProps/ctrlProp175.xml"/><Relationship Id="rId7" Type="http://schemas.openxmlformats.org/officeDocument/2006/relationships/ctrlProp" Target="../ctrlProps/ctrlProp148.xml"/><Relationship Id="rId12" Type="http://schemas.openxmlformats.org/officeDocument/2006/relationships/ctrlProp" Target="../ctrlProps/ctrlProp153.xml"/><Relationship Id="rId17" Type="http://schemas.openxmlformats.org/officeDocument/2006/relationships/ctrlProp" Target="../ctrlProps/ctrlProp158.xml"/><Relationship Id="rId25" Type="http://schemas.openxmlformats.org/officeDocument/2006/relationships/ctrlProp" Target="../ctrlProps/ctrlProp166.xml"/><Relationship Id="rId33" Type="http://schemas.openxmlformats.org/officeDocument/2006/relationships/ctrlProp" Target="../ctrlProps/ctrlProp174.xml"/><Relationship Id="rId38" Type="http://schemas.openxmlformats.org/officeDocument/2006/relationships/ctrlProp" Target="../ctrlProps/ctrlProp179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57.xml"/><Relationship Id="rId20" Type="http://schemas.openxmlformats.org/officeDocument/2006/relationships/ctrlProp" Target="../ctrlProps/ctrlProp161.xml"/><Relationship Id="rId29" Type="http://schemas.openxmlformats.org/officeDocument/2006/relationships/ctrlProp" Target="../ctrlProps/ctrlProp170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7.xml"/><Relationship Id="rId11" Type="http://schemas.openxmlformats.org/officeDocument/2006/relationships/ctrlProp" Target="../ctrlProps/ctrlProp152.xml"/><Relationship Id="rId24" Type="http://schemas.openxmlformats.org/officeDocument/2006/relationships/ctrlProp" Target="../ctrlProps/ctrlProp165.xml"/><Relationship Id="rId32" Type="http://schemas.openxmlformats.org/officeDocument/2006/relationships/ctrlProp" Target="../ctrlProps/ctrlProp173.xml"/><Relationship Id="rId37" Type="http://schemas.openxmlformats.org/officeDocument/2006/relationships/ctrlProp" Target="../ctrlProps/ctrlProp178.xml"/><Relationship Id="rId5" Type="http://schemas.openxmlformats.org/officeDocument/2006/relationships/ctrlProp" Target="../ctrlProps/ctrlProp146.xml"/><Relationship Id="rId15" Type="http://schemas.openxmlformats.org/officeDocument/2006/relationships/ctrlProp" Target="../ctrlProps/ctrlProp156.xml"/><Relationship Id="rId23" Type="http://schemas.openxmlformats.org/officeDocument/2006/relationships/ctrlProp" Target="../ctrlProps/ctrlProp164.xml"/><Relationship Id="rId28" Type="http://schemas.openxmlformats.org/officeDocument/2006/relationships/ctrlProp" Target="../ctrlProps/ctrlProp169.xml"/><Relationship Id="rId36" Type="http://schemas.openxmlformats.org/officeDocument/2006/relationships/ctrlProp" Target="../ctrlProps/ctrlProp177.xml"/><Relationship Id="rId10" Type="http://schemas.openxmlformats.org/officeDocument/2006/relationships/ctrlProp" Target="../ctrlProps/ctrlProp151.xml"/><Relationship Id="rId19" Type="http://schemas.openxmlformats.org/officeDocument/2006/relationships/ctrlProp" Target="../ctrlProps/ctrlProp160.xml"/><Relationship Id="rId31" Type="http://schemas.openxmlformats.org/officeDocument/2006/relationships/ctrlProp" Target="../ctrlProps/ctrlProp172.xml"/><Relationship Id="rId4" Type="http://schemas.openxmlformats.org/officeDocument/2006/relationships/ctrlProp" Target="../ctrlProps/ctrlProp145.xml"/><Relationship Id="rId9" Type="http://schemas.openxmlformats.org/officeDocument/2006/relationships/ctrlProp" Target="../ctrlProps/ctrlProp150.xml"/><Relationship Id="rId14" Type="http://schemas.openxmlformats.org/officeDocument/2006/relationships/ctrlProp" Target="../ctrlProps/ctrlProp155.xml"/><Relationship Id="rId22" Type="http://schemas.openxmlformats.org/officeDocument/2006/relationships/ctrlProp" Target="../ctrlProps/ctrlProp163.xml"/><Relationship Id="rId27" Type="http://schemas.openxmlformats.org/officeDocument/2006/relationships/ctrlProp" Target="../ctrlProps/ctrlProp168.xml"/><Relationship Id="rId30" Type="http://schemas.openxmlformats.org/officeDocument/2006/relationships/ctrlProp" Target="../ctrlProps/ctrlProp171.xml"/><Relationship Id="rId35" Type="http://schemas.openxmlformats.org/officeDocument/2006/relationships/ctrlProp" Target="../ctrlProps/ctrlProp176.xml"/><Relationship Id="rId8" Type="http://schemas.openxmlformats.org/officeDocument/2006/relationships/ctrlProp" Target="../ctrlProps/ctrlProp149.xml"/><Relationship Id="rId3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90.xml"/><Relationship Id="rId18" Type="http://schemas.openxmlformats.org/officeDocument/2006/relationships/ctrlProp" Target="../ctrlProps/ctrlProp195.xml"/><Relationship Id="rId26" Type="http://schemas.openxmlformats.org/officeDocument/2006/relationships/ctrlProp" Target="../ctrlProps/ctrlProp203.xml"/><Relationship Id="rId39" Type="http://schemas.openxmlformats.org/officeDocument/2006/relationships/ctrlProp" Target="../ctrlProps/ctrlProp216.xml"/><Relationship Id="rId21" Type="http://schemas.openxmlformats.org/officeDocument/2006/relationships/ctrlProp" Target="../ctrlProps/ctrlProp198.xml"/><Relationship Id="rId34" Type="http://schemas.openxmlformats.org/officeDocument/2006/relationships/ctrlProp" Target="../ctrlProps/ctrlProp211.xml"/><Relationship Id="rId7" Type="http://schemas.openxmlformats.org/officeDocument/2006/relationships/ctrlProp" Target="../ctrlProps/ctrlProp184.xml"/><Relationship Id="rId12" Type="http://schemas.openxmlformats.org/officeDocument/2006/relationships/ctrlProp" Target="../ctrlProps/ctrlProp189.xml"/><Relationship Id="rId17" Type="http://schemas.openxmlformats.org/officeDocument/2006/relationships/ctrlProp" Target="../ctrlProps/ctrlProp194.xml"/><Relationship Id="rId25" Type="http://schemas.openxmlformats.org/officeDocument/2006/relationships/ctrlProp" Target="../ctrlProps/ctrlProp202.xml"/><Relationship Id="rId33" Type="http://schemas.openxmlformats.org/officeDocument/2006/relationships/ctrlProp" Target="../ctrlProps/ctrlProp210.xml"/><Relationship Id="rId38" Type="http://schemas.openxmlformats.org/officeDocument/2006/relationships/ctrlProp" Target="../ctrlProps/ctrlProp215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3.xml"/><Relationship Id="rId20" Type="http://schemas.openxmlformats.org/officeDocument/2006/relationships/ctrlProp" Target="../ctrlProps/ctrlProp197.xml"/><Relationship Id="rId29" Type="http://schemas.openxmlformats.org/officeDocument/2006/relationships/ctrlProp" Target="../ctrlProps/ctrlProp20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3.xml"/><Relationship Id="rId11" Type="http://schemas.openxmlformats.org/officeDocument/2006/relationships/ctrlProp" Target="../ctrlProps/ctrlProp188.xml"/><Relationship Id="rId24" Type="http://schemas.openxmlformats.org/officeDocument/2006/relationships/ctrlProp" Target="../ctrlProps/ctrlProp201.xml"/><Relationship Id="rId32" Type="http://schemas.openxmlformats.org/officeDocument/2006/relationships/ctrlProp" Target="../ctrlProps/ctrlProp209.xml"/><Relationship Id="rId37" Type="http://schemas.openxmlformats.org/officeDocument/2006/relationships/ctrlProp" Target="../ctrlProps/ctrlProp214.xml"/><Relationship Id="rId5" Type="http://schemas.openxmlformats.org/officeDocument/2006/relationships/ctrlProp" Target="../ctrlProps/ctrlProp182.xml"/><Relationship Id="rId15" Type="http://schemas.openxmlformats.org/officeDocument/2006/relationships/ctrlProp" Target="../ctrlProps/ctrlProp192.xml"/><Relationship Id="rId23" Type="http://schemas.openxmlformats.org/officeDocument/2006/relationships/ctrlProp" Target="../ctrlProps/ctrlProp200.xml"/><Relationship Id="rId28" Type="http://schemas.openxmlformats.org/officeDocument/2006/relationships/ctrlProp" Target="../ctrlProps/ctrlProp205.xml"/><Relationship Id="rId36" Type="http://schemas.openxmlformats.org/officeDocument/2006/relationships/ctrlProp" Target="../ctrlProps/ctrlProp213.xml"/><Relationship Id="rId10" Type="http://schemas.openxmlformats.org/officeDocument/2006/relationships/ctrlProp" Target="../ctrlProps/ctrlProp187.xml"/><Relationship Id="rId19" Type="http://schemas.openxmlformats.org/officeDocument/2006/relationships/ctrlProp" Target="../ctrlProps/ctrlProp196.xml"/><Relationship Id="rId31" Type="http://schemas.openxmlformats.org/officeDocument/2006/relationships/ctrlProp" Target="../ctrlProps/ctrlProp208.xml"/><Relationship Id="rId4" Type="http://schemas.openxmlformats.org/officeDocument/2006/relationships/ctrlProp" Target="../ctrlProps/ctrlProp181.xml"/><Relationship Id="rId9" Type="http://schemas.openxmlformats.org/officeDocument/2006/relationships/ctrlProp" Target="../ctrlProps/ctrlProp186.xml"/><Relationship Id="rId14" Type="http://schemas.openxmlformats.org/officeDocument/2006/relationships/ctrlProp" Target="../ctrlProps/ctrlProp191.xml"/><Relationship Id="rId22" Type="http://schemas.openxmlformats.org/officeDocument/2006/relationships/ctrlProp" Target="../ctrlProps/ctrlProp199.xml"/><Relationship Id="rId27" Type="http://schemas.openxmlformats.org/officeDocument/2006/relationships/ctrlProp" Target="../ctrlProps/ctrlProp204.xml"/><Relationship Id="rId30" Type="http://schemas.openxmlformats.org/officeDocument/2006/relationships/ctrlProp" Target="../ctrlProps/ctrlProp207.xml"/><Relationship Id="rId35" Type="http://schemas.openxmlformats.org/officeDocument/2006/relationships/ctrlProp" Target="../ctrlProps/ctrlProp212.xml"/><Relationship Id="rId8" Type="http://schemas.openxmlformats.org/officeDocument/2006/relationships/ctrlProp" Target="../ctrlProps/ctrlProp185.xml"/><Relationship Id="rId3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26.xml"/><Relationship Id="rId18" Type="http://schemas.openxmlformats.org/officeDocument/2006/relationships/ctrlProp" Target="../ctrlProps/ctrlProp231.xml"/><Relationship Id="rId26" Type="http://schemas.openxmlformats.org/officeDocument/2006/relationships/ctrlProp" Target="../ctrlProps/ctrlProp239.xml"/><Relationship Id="rId39" Type="http://schemas.openxmlformats.org/officeDocument/2006/relationships/ctrlProp" Target="../ctrlProps/ctrlProp252.xml"/><Relationship Id="rId21" Type="http://schemas.openxmlformats.org/officeDocument/2006/relationships/ctrlProp" Target="../ctrlProps/ctrlProp234.xml"/><Relationship Id="rId34" Type="http://schemas.openxmlformats.org/officeDocument/2006/relationships/ctrlProp" Target="../ctrlProps/ctrlProp247.xml"/><Relationship Id="rId7" Type="http://schemas.openxmlformats.org/officeDocument/2006/relationships/ctrlProp" Target="../ctrlProps/ctrlProp220.xml"/><Relationship Id="rId12" Type="http://schemas.openxmlformats.org/officeDocument/2006/relationships/ctrlProp" Target="../ctrlProps/ctrlProp225.xml"/><Relationship Id="rId17" Type="http://schemas.openxmlformats.org/officeDocument/2006/relationships/ctrlProp" Target="../ctrlProps/ctrlProp230.xml"/><Relationship Id="rId25" Type="http://schemas.openxmlformats.org/officeDocument/2006/relationships/ctrlProp" Target="../ctrlProps/ctrlProp238.xml"/><Relationship Id="rId33" Type="http://schemas.openxmlformats.org/officeDocument/2006/relationships/ctrlProp" Target="../ctrlProps/ctrlProp246.xml"/><Relationship Id="rId38" Type="http://schemas.openxmlformats.org/officeDocument/2006/relationships/ctrlProp" Target="../ctrlProps/ctrlProp251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229.xml"/><Relationship Id="rId20" Type="http://schemas.openxmlformats.org/officeDocument/2006/relationships/ctrlProp" Target="../ctrlProps/ctrlProp233.xml"/><Relationship Id="rId29" Type="http://schemas.openxmlformats.org/officeDocument/2006/relationships/ctrlProp" Target="../ctrlProps/ctrlProp24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9.xml"/><Relationship Id="rId11" Type="http://schemas.openxmlformats.org/officeDocument/2006/relationships/ctrlProp" Target="../ctrlProps/ctrlProp224.xml"/><Relationship Id="rId24" Type="http://schemas.openxmlformats.org/officeDocument/2006/relationships/ctrlProp" Target="../ctrlProps/ctrlProp237.xml"/><Relationship Id="rId32" Type="http://schemas.openxmlformats.org/officeDocument/2006/relationships/ctrlProp" Target="../ctrlProps/ctrlProp245.xml"/><Relationship Id="rId37" Type="http://schemas.openxmlformats.org/officeDocument/2006/relationships/ctrlProp" Target="../ctrlProps/ctrlProp250.xml"/><Relationship Id="rId5" Type="http://schemas.openxmlformats.org/officeDocument/2006/relationships/ctrlProp" Target="../ctrlProps/ctrlProp218.xml"/><Relationship Id="rId15" Type="http://schemas.openxmlformats.org/officeDocument/2006/relationships/ctrlProp" Target="../ctrlProps/ctrlProp228.xml"/><Relationship Id="rId23" Type="http://schemas.openxmlformats.org/officeDocument/2006/relationships/ctrlProp" Target="../ctrlProps/ctrlProp236.xml"/><Relationship Id="rId28" Type="http://schemas.openxmlformats.org/officeDocument/2006/relationships/ctrlProp" Target="../ctrlProps/ctrlProp241.xml"/><Relationship Id="rId36" Type="http://schemas.openxmlformats.org/officeDocument/2006/relationships/ctrlProp" Target="../ctrlProps/ctrlProp249.xml"/><Relationship Id="rId10" Type="http://schemas.openxmlformats.org/officeDocument/2006/relationships/ctrlProp" Target="../ctrlProps/ctrlProp223.xml"/><Relationship Id="rId19" Type="http://schemas.openxmlformats.org/officeDocument/2006/relationships/ctrlProp" Target="../ctrlProps/ctrlProp232.xml"/><Relationship Id="rId31" Type="http://schemas.openxmlformats.org/officeDocument/2006/relationships/ctrlProp" Target="../ctrlProps/ctrlProp244.xml"/><Relationship Id="rId4" Type="http://schemas.openxmlformats.org/officeDocument/2006/relationships/ctrlProp" Target="../ctrlProps/ctrlProp217.xml"/><Relationship Id="rId9" Type="http://schemas.openxmlformats.org/officeDocument/2006/relationships/ctrlProp" Target="../ctrlProps/ctrlProp222.xml"/><Relationship Id="rId14" Type="http://schemas.openxmlformats.org/officeDocument/2006/relationships/ctrlProp" Target="../ctrlProps/ctrlProp227.xml"/><Relationship Id="rId22" Type="http://schemas.openxmlformats.org/officeDocument/2006/relationships/ctrlProp" Target="../ctrlProps/ctrlProp235.xml"/><Relationship Id="rId27" Type="http://schemas.openxmlformats.org/officeDocument/2006/relationships/ctrlProp" Target="../ctrlProps/ctrlProp240.xml"/><Relationship Id="rId30" Type="http://schemas.openxmlformats.org/officeDocument/2006/relationships/ctrlProp" Target="../ctrlProps/ctrlProp243.xml"/><Relationship Id="rId35" Type="http://schemas.openxmlformats.org/officeDocument/2006/relationships/ctrlProp" Target="../ctrlProps/ctrlProp248.xml"/><Relationship Id="rId8" Type="http://schemas.openxmlformats.org/officeDocument/2006/relationships/ctrlProp" Target="../ctrlProps/ctrlProp221.xml"/><Relationship Id="rId3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62.xml"/><Relationship Id="rId18" Type="http://schemas.openxmlformats.org/officeDocument/2006/relationships/ctrlProp" Target="../ctrlProps/ctrlProp267.xml"/><Relationship Id="rId26" Type="http://schemas.openxmlformats.org/officeDocument/2006/relationships/ctrlProp" Target="../ctrlProps/ctrlProp275.xml"/><Relationship Id="rId39" Type="http://schemas.openxmlformats.org/officeDocument/2006/relationships/ctrlProp" Target="../ctrlProps/ctrlProp288.xml"/><Relationship Id="rId21" Type="http://schemas.openxmlformats.org/officeDocument/2006/relationships/ctrlProp" Target="../ctrlProps/ctrlProp270.xml"/><Relationship Id="rId34" Type="http://schemas.openxmlformats.org/officeDocument/2006/relationships/ctrlProp" Target="../ctrlProps/ctrlProp283.xml"/><Relationship Id="rId7" Type="http://schemas.openxmlformats.org/officeDocument/2006/relationships/ctrlProp" Target="../ctrlProps/ctrlProp256.xml"/><Relationship Id="rId12" Type="http://schemas.openxmlformats.org/officeDocument/2006/relationships/ctrlProp" Target="../ctrlProps/ctrlProp261.xml"/><Relationship Id="rId17" Type="http://schemas.openxmlformats.org/officeDocument/2006/relationships/ctrlProp" Target="../ctrlProps/ctrlProp266.xml"/><Relationship Id="rId25" Type="http://schemas.openxmlformats.org/officeDocument/2006/relationships/ctrlProp" Target="../ctrlProps/ctrlProp274.xml"/><Relationship Id="rId33" Type="http://schemas.openxmlformats.org/officeDocument/2006/relationships/ctrlProp" Target="../ctrlProps/ctrlProp282.xml"/><Relationship Id="rId38" Type="http://schemas.openxmlformats.org/officeDocument/2006/relationships/ctrlProp" Target="../ctrlProps/ctrlProp287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65.xml"/><Relationship Id="rId20" Type="http://schemas.openxmlformats.org/officeDocument/2006/relationships/ctrlProp" Target="../ctrlProps/ctrlProp269.xml"/><Relationship Id="rId29" Type="http://schemas.openxmlformats.org/officeDocument/2006/relationships/ctrlProp" Target="../ctrlProps/ctrlProp27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55.xml"/><Relationship Id="rId11" Type="http://schemas.openxmlformats.org/officeDocument/2006/relationships/ctrlProp" Target="../ctrlProps/ctrlProp260.xml"/><Relationship Id="rId24" Type="http://schemas.openxmlformats.org/officeDocument/2006/relationships/ctrlProp" Target="../ctrlProps/ctrlProp273.xml"/><Relationship Id="rId32" Type="http://schemas.openxmlformats.org/officeDocument/2006/relationships/ctrlProp" Target="../ctrlProps/ctrlProp281.xml"/><Relationship Id="rId37" Type="http://schemas.openxmlformats.org/officeDocument/2006/relationships/ctrlProp" Target="../ctrlProps/ctrlProp286.xml"/><Relationship Id="rId5" Type="http://schemas.openxmlformats.org/officeDocument/2006/relationships/ctrlProp" Target="../ctrlProps/ctrlProp254.xml"/><Relationship Id="rId15" Type="http://schemas.openxmlformats.org/officeDocument/2006/relationships/ctrlProp" Target="../ctrlProps/ctrlProp264.xml"/><Relationship Id="rId23" Type="http://schemas.openxmlformats.org/officeDocument/2006/relationships/ctrlProp" Target="../ctrlProps/ctrlProp272.xml"/><Relationship Id="rId28" Type="http://schemas.openxmlformats.org/officeDocument/2006/relationships/ctrlProp" Target="../ctrlProps/ctrlProp277.xml"/><Relationship Id="rId36" Type="http://schemas.openxmlformats.org/officeDocument/2006/relationships/ctrlProp" Target="../ctrlProps/ctrlProp285.xml"/><Relationship Id="rId10" Type="http://schemas.openxmlformats.org/officeDocument/2006/relationships/ctrlProp" Target="../ctrlProps/ctrlProp259.xml"/><Relationship Id="rId19" Type="http://schemas.openxmlformats.org/officeDocument/2006/relationships/ctrlProp" Target="../ctrlProps/ctrlProp268.xml"/><Relationship Id="rId31" Type="http://schemas.openxmlformats.org/officeDocument/2006/relationships/ctrlProp" Target="../ctrlProps/ctrlProp280.xml"/><Relationship Id="rId4" Type="http://schemas.openxmlformats.org/officeDocument/2006/relationships/ctrlProp" Target="../ctrlProps/ctrlProp253.xml"/><Relationship Id="rId9" Type="http://schemas.openxmlformats.org/officeDocument/2006/relationships/ctrlProp" Target="../ctrlProps/ctrlProp258.xml"/><Relationship Id="rId14" Type="http://schemas.openxmlformats.org/officeDocument/2006/relationships/ctrlProp" Target="../ctrlProps/ctrlProp263.xml"/><Relationship Id="rId22" Type="http://schemas.openxmlformats.org/officeDocument/2006/relationships/ctrlProp" Target="../ctrlProps/ctrlProp271.xml"/><Relationship Id="rId27" Type="http://schemas.openxmlformats.org/officeDocument/2006/relationships/ctrlProp" Target="../ctrlProps/ctrlProp276.xml"/><Relationship Id="rId30" Type="http://schemas.openxmlformats.org/officeDocument/2006/relationships/ctrlProp" Target="../ctrlProps/ctrlProp279.xml"/><Relationship Id="rId35" Type="http://schemas.openxmlformats.org/officeDocument/2006/relationships/ctrlProp" Target="../ctrlProps/ctrlProp284.xml"/><Relationship Id="rId8" Type="http://schemas.openxmlformats.org/officeDocument/2006/relationships/ctrlProp" Target="../ctrlProps/ctrlProp257.xml"/><Relationship Id="rId3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8" Type="http://schemas.openxmlformats.org/officeDocument/2006/relationships/ctrlProp" Target="../ctrlProps/ctrlProp293.xml"/><Relationship Id="rId3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34.xml"/><Relationship Id="rId18" Type="http://schemas.openxmlformats.org/officeDocument/2006/relationships/ctrlProp" Target="../ctrlProps/ctrlProp339.xml"/><Relationship Id="rId26" Type="http://schemas.openxmlformats.org/officeDocument/2006/relationships/ctrlProp" Target="../ctrlProps/ctrlProp347.xml"/><Relationship Id="rId39" Type="http://schemas.openxmlformats.org/officeDocument/2006/relationships/ctrlProp" Target="../ctrlProps/ctrlProp360.xml"/><Relationship Id="rId21" Type="http://schemas.openxmlformats.org/officeDocument/2006/relationships/ctrlProp" Target="../ctrlProps/ctrlProp342.xml"/><Relationship Id="rId34" Type="http://schemas.openxmlformats.org/officeDocument/2006/relationships/ctrlProp" Target="../ctrlProps/ctrlProp355.xml"/><Relationship Id="rId7" Type="http://schemas.openxmlformats.org/officeDocument/2006/relationships/ctrlProp" Target="../ctrlProps/ctrlProp328.xml"/><Relationship Id="rId12" Type="http://schemas.openxmlformats.org/officeDocument/2006/relationships/ctrlProp" Target="../ctrlProps/ctrlProp333.xml"/><Relationship Id="rId17" Type="http://schemas.openxmlformats.org/officeDocument/2006/relationships/ctrlProp" Target="../ctrlProps/ctrlProp338.xml"/><Relationship Id="rId25" Type="http://schemas.openxmlformats.org/officeDocument/2006/relationships/ctrlProp" Target="../ctrlProps/ctrlProp346.xml"/><Relationship Id="rId33" Type="http://schemas.openxmlformats.org/officeDocument/2006/relationships/ctrlProp" Target="../ctrlProps/ctrlProp354.xml"/><Relationship Id="rId38" Type="http://schemas.openxmlformats.org/officeDocument/2006/relationships/ctrlProp" Target="../ctrlProps/ctrlProp359.xml"/><Relationship Id="rId2" Type="http://schemas.openxmlformats.org/officeDocument/2006/relationships/drawing" Target="../drawings/drawing10.xml"/><Relationship Id="rId16" Type="http://schemas.openxmlformats.org/officeDocument/2006/relationships/ctrlProp" Target="../ctrlProps/ctrlProp337.xml"/><Relationship Id="rId20" Type="http://schemas.openxmlformats.org/officeDocument/2006/relationships/ctrlProp" Target="../ctrlProps/ctrlProp341.xml"/><Relationship Id="rId29" Type="http://schemas.openxmlformats.org/officeDocument/2006/relationships/ctrlProp" Target="../ctrlProps/ctrlProp35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27.xml"/><Relationship Id="rId11" Type="http://schemas.openxmlformats.org/officeDocument/2006/relationships/ctrlProp" Target="../ctrlProps/ctrlProp332.xml"/><Relationship Id="rId24" Type="http://schemas.openxmlformats.org/officeDocument/2006/relationships/ctrlProp" Target="../ctrlProps/ctrlProp345.xml"/><Relationship Id="rId32" Type="http://schemas.openxmlformats.org/officeDocument/2006/relationships/ctrlProp" Target="../ctrlProps/ctrlProp353.xml"/><Relationship Id="rId37" Type="http://schemas.openxmlformats.org/officeDocument/2006/relationships/ctrlProp" Target="../ctrlProps/ctrlProp358.xml"/><Relationship Id="rId5" Type="http://schemas.openxmlformats.org/officeDocument/2006/relationships/ctrlProp" Target="../ctrlProps/ctrlProp326.xml"/><Relationship Id="rId15" Type="http://schemas.openxmlformats.org/officeDocument/2006/relationships/ctrlProp" Target="../ctrlProps/ctrlProp336.xml"/><Relationship Id="rId23" Type="http://schemas.openxmlformats.org/officeDocument/2006/relationships/ctrlProp" Target="../ctrlProps/ctrlProp344.xml"/><Relationship Id="rId28" Type="http://schemas.openxmlformats.org/officeDocument/2006/relationships/ctrlProp" Target="../ctrlProps/ctrlProp349.xml"/><Relationship Id="rId36" Type="http://schemas.openxmlformats.org/officeDocument/2006/relationships/ctrlProp" Target="../ctrlProps/ctrlProp357.xml"/><Relationship Id="rId10" Type="http://schemas.openxmlformats.org/officeDocument/2006/relationships/ctrlProp" Target="../ctrlProps/ctrlProp331.xml"/><Relationship Id="rId19" Type="http://schemas.openxmlformats.org/officeDocument/2006/relationships/ctrlProp" Target="../ctrlProps/ctrlProp340.xml"/><Relationship Id="rId31" Type="http://schemas.openxmlformats.org/officeDocument/2006/relationships/ctrlProp" Target="../ctrlProps/ctrlProp352.xml"/><Relationship Id="rId4" Type="http://schemas.openxmlformats.org/officeDocument/2006/relationships/ctrlProp" Target="../ctrlProps/ctrlProp325.xml"/><Relationship Id="rId9" Type="http://schemas.openxmlformats.org/officeDocument/2006/relationships/ctrlProp" Target="../ctrlProps/ctrlProp330.xml"/><Relationship Id="rId14" Type="http://schemas.openxmlformats.org/officeDocument/2006/relationships/ctrlProp" Target="../ctrlProps/ctrlProp335.xml"/><Relationship Id="rId22" Type="http://schemas.openxmlformats.org/officeDocument/2006/relationships/ctrlProp" Target="../ctrlProps/ctrlProp343.xml"/><Relationship Id="rId27" Type="http://schemas.openxmlformats.org/officeDocument/2006/relationships/ctrlProp" Target="../ctrlProps/ctrlProp348.xml"/><Relationship Id="rId30" Type="http://schemas.openxmlformats.org/officeDocument/2006/relationships/ctrlProp" Target="../ctrlProps/ctrlProp351.xml"/><Relationship Id="rId35" Type="http://schemas.openxmlformats.org/officeDocument/2006/relationships/ctrlProp" Target="../ctrlProps/ctrlProp356.xml"/><Relationship Id="rId8" Type="http://schemas.openxmlformats.org/officeDocument/2006/relationships/ctrlProp" Target="../ctrlProps/ctrlProp329.xml"/><Relationship Id="rId3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370.xml"/><Relationship Id="rId18" Type="http://schemas.openxmlformats.org/officeDocument/2006/relationships/ctrlProp" Target="../ctrlProps/ctrlProp375.xml"/><Relationship Id="rId26" Type="http://schemas.openxmlformats.org/officeDocument/2006/relationships/ctrlProp" Target="../ctrlProps/ctrlProp383.xml"/><Relationship Id="rId39" Type="http://schemas.openxmlformats.org/officeDocument/2006/relationships/ctrlProp" Target="../ctrlProps/ctrlProp396.xml"/><Relationship Id="rId21" Type="http://schemas.openxmlformats.org/officeDocument/2006/relationships/ctrlProp" Target="../ctrlProps/ctrlProp378.xml"/><Relationship Id="rId34" Type="http://schemas.openxmlformats.org/officeDocument/2006/relationships/ctrlProp" Target="../ctrlProps/ctrlProp391.xml"/><Relationship Id="rId7" Type="http://schemas.openxmlformats.org/officeDocument/2006/relationships/ctrlProp" Target="../ctrlProps/ctrlProp364.xml"/><Relationship Id="rId12" Type="http://schemas.openxmlformats.org/officeDocument/2006/relationships/ctrlProp" Target="../ctrlProps/ctrlProp369.xml"/><Relationship Id="rId17" Type="http://schemas.openxmlformats.org/officeDocument/2006/relationships/ctrlProp" Target="../ctrlProps/ctrlProp374.xml"/><Relationship Id="rId25" Type="http://schemas.openxmlformats.org/officeDocument/2006/relationships/ctrlProp" Target="../ctrlProps/ctrlProp382.xml"/><Relationship Id="rId33" Type="http://schemas.openxmlformats.org/officeDocument/2006/relationships/ctrlProp" Target="../ctrlProps/ctrlProp390.xml"/><Relationship Id="rId38" Type="http://schemas.openxmlformats.org/officeDocument/2006/relationships/ctrlProp" Target="../ctrlProps/ctrlProp395.xml"/><Relationship Id="rId2" Type="http://schemas.openxmlformats.org/officeDocument/2006/relationships/drawing" Target="../drawings/drawing11.xml"/><Relationship Id="rId16" Type="http://schemas.openxmlformats.org/officeDocument/2006/relationships/ctrlProp" Target="../ctrlProps/ctrlProp373.xml"/><Relationship Id="rId20" Type="http://schemas.openxmlformats.org/officeDocument/2006/relationships/ctrlProp" Target="../ctrlProps/ctrlProp377.xml"/><Relationship Id="rId29" Type="http://schemas.openxmlformats.org/officeDocument/2006/relationships/ctrlProp" Target="../ctrlProps/ctrlProp38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63.xml"/><Relationship Id="rId11" Type="http://schemas.openxmlformats.org/officeDocument/2006/relationships/ctrlProp" Target="../ctrlProps/ctrlProp368.xml"/><Relationship Id="rId24" Type="http://schemas.openxmlformats.org/officeDocument/2006/relationships/ctrlProp" Target="../ctrlProps/ctrlProp381.xml"/><Relationship Id="rId32" Type="http://schemas.openxmlformats.org/officeDocument/2006/relationships/ctrlProp" Target="../ctrlProps/ctrlProp389.xml"/><Relationship Id="rId37" Type="http://schemas.openxmlformats.org/officeDocument/2006/relationships/ctrlProp" Target="../ctrlProps/ctrlProp394.xml"/><Relationship Id="rId5" Type="http://schemas.openxmlformats.org/officeDocument/2006/relationships/ctrlProp" Target="../ctrlProps/ctrlProp362.xml"/><Relationship Id="rId15" Type="http://schemas.openxmlformats.org/officeDocument/2006/relationships/ctrlProp" Target="../ctrlProps/ctrlProp372.xml"/><Relationship Id="rId23" Type="http://schemas.openxmlformats.org/officeDocument/2006/relationships/ctrlProp" Target="../ctrlProps/ctrlProp380.xml"/><Relationship Id="rId28" Type="http://schemas.openxmlformats.org/officeDocument/2006/relationships/ctrlProp" Target="../ctrlProps/ctrlProp385.xml"/><Relationship Id="rId36" Type="http://schemas.openxmlformats.org/officeDocument/2006/relationships/ctrlProp" Target="../ctrlProps/ctrlProp393.xml"/><Relationship Id="rId10" Type="http://schemas.openxmlformats.org/officeDocument/2006/relationships/ctrlProp" Target="../ctrlProps/ctrlProp367.xml"/><Relationship Id="rId19" Type="http://schemas.openxmlformats.org/officeDocument/2006/relationships/ctrlProp" Target="../ctrlProps/ctrlProp376.xml"/><Relationship Id="rId31" Type="http://schemas.openxmlformats.org/officeDocument/2006/relationships/ctrlProp" Target="../ctrlProps/ctrlProp388.xml"/><Relationship Id="rId4" Type="http://schemas.openxmlformats.org/officeDocument/2006/relationships/ctrlProp" Target="../ctrlProps/ctrlProp361.xml"/><Relationship Id="rId9" Type="http://schemas.openxmlformats.org/officeDocument/2006/relationships/ctrlProp" Target="../ctrlProps/ctrlProp366.xml"/><Relationship Id="rId14" Type="http://schemas.openxmlformats.org/officeDocument/2006/relationships/ctrlProp" Target="../ctrlProps/ctrlProp371.xml"/><Relationship Id="rId22" Type="http://schemas.openxmlformats.org/officeDocument/2006/relationships/ctrlProp" Target="../ctrlProps/ctrlProp379.xml"/><Relationship Id="rId27" Type="http://schemas.openxmlformats.org/officeDocument/2006/relationships/ctrlProp" Target="../ctrlProps/ctrlProp384.xml"/><Relationship Id="rId30" Type="http://schemas.openxmlformats.org/officeDocument/2006/relationships/ctrlProp" Target="../ctrlProps/ctrlProp387.xml"/><Relationship Id="rId35" Type="http://schemas.openxmlformats.org/officeDocument/2006/relationships/ctrlProp" Target="../ctrlProps/ctrlProp392.xml"/><Relationship Id="rId8" Type="http://schemas.openxmlformats.org/officeDocument/2006/relationships/ctrlProp" Target="../ctrlProps/ctrlProp365.xml"/><Relationship Id="rId3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06.xml"/><Relationship Id="rId18" Type="http://schemas.openxmlformats.org/officeDocument/2006/relationships/ctrlProp" Target="../ctrlProps/ctrlProp411.xml"/><Relationship Id="rId26" Type="http://schemas.openxmlformats.org/officeDocument/2006/relationships/ctrlProp" Target="../ctrlProps/ctrlProp419.xml"/><Relationship Id="rId39" Type="http://schemas.openxmlformats.org/officeDocument/2006/relationships/ctrlProp" Target="../ctrlProps/ctrlProp432.xml"/><Relationship Id="rId21" Type="http://schemas.openxmlformats.org/officeDocument/2006/relationships/ctrlProp" Target="../ctrlProps/ctrlProp414.xml"/><Relationship Id="rId34" Type="http://schemas.openxmlformats.org/officeDocument/2006/relationships/ctrlProp" Target="../ctrlProps/ctrlProp427.xml"/><Relationship Id="rId7" Type="http://schemas.openxmlformats.org/officeDocument/2006/relationships/ctrlProp" Target="../ctrlProps/ctrlProp400.xml"/><Relationship Id="rId12" Type="http://schemas.openxmlformats.org/officeDocument/2006/relationships/ctrlProp" Target="../ctrlProps/ctrlProp405.xml"/><Relationship Id="rId17" Type="http://schemas.openxmlformats.org/officeDocument/2006/relationships/ctrlProp" Target="../ctrlProps/ctrlProp410.xml"/><Relationship Id="rId25" Type="http://schemas.openxmlformats.org/officeDocument/2006/relationships/ctrlProp" Target="../ctrlProps/ctrlProp418.xml"/><Relationship Id="rId33" Type="http://schemas.openxmlformats.org/officeDocument/2006/relationships/ctrlProp" Target="../ctrlProps/ctrlProp426.xml"/><Relationship Id="rId38" Type="http://schemas.openxmlformats.org/officeDocument/2006/relationships/ctrlProp" Target="../ctrlProps/ctrlProp431.xml"/><Relationship Id="rId2" Type="http://schemas.openxmlformats.org/officeDocument/2006/relationships/drawing" Target="../drawings/drawing12.xml"/><Relationship Id="rId16" Type="http://schemas.openxmlformats.org/officeDocument/2006/relationships/ctrlProp" Target="../ctrlProps/ctrlProp409.xml"/><Relationship Id="rId20" Type="http://schemas.openxmlformats.org/officeDocument/2006/relationships/ctrlProp" Target="../ctrlProps/ctrlProp413.xml"/><Relationship Id="rId29" Type="http://schemas.openxmlformats.org/officeDocument/2006/relationships/ctrlProp" Target="../ctrlProps/ctrlProp42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399.xml"/><Relationship Id="rId11" Type="http://schemas.openxmlformats.org/officeDocument/2006/relationships/ctrlProp" Target="../ctrlProps/ctrlProp404.xml"/><Relationship Id="rId24" Type="http://schemas.openxmlformats.org/officeDocument/2006/relationships/ctrlProp" Target="../ctrlProps/ctrlProp417.xml"/><Relationship Id="rId32" Type="http://schemas.openxmlformats.org/officeDocument/2006/relationships/ctrlProp" Target="../ctrlProps/ctrlProp425.xml"/><Relationship Id="rId37" Type="http://schemas.openxmlformats.org/officeDocument/2006/relationships/ctrlProp" Target="../ctrlProps/ctrlProp430.xml"/><Relationship Id="rId5" Type="http://schemas.openxmlformats.org/officeDocument/2006/relationships/ctrlProp" Target="../ctrlProps/ctrlProp398.xml"/><Relationship Id="rId15" Type="http://schemas.openxmlformats.org/officeDocument/2006/relationships/ctrlProp" Target="../ctrlProps/ctrlProp408.xml"/><Relationship Id="rId23" Type="http://schemas.openxmlformats.org/officeDocument/2006/relationships/ctrlProp" Target="../ctrlProps/ctrlProp416.xml"/><Relationship Id="rId28" Type="http://schemas.openxmlformats.org/officeDocument/2006/relationships/ctrlProp" Target="../ctrlProps/ctrlProp421.xml"/><Relationship Id="rId36" Type="http://schemas.openxmlformats.org/officeDocument/2006/relationships/ctrlProp" Target="../ctrlProps/ctrlProp429.xml"/><Relationship Id="rId10" Type="http://schemas.openxmlformats.org/officeDocument/2006/relationships/ctrlProp" Target="../ctrlProps/ctrlProp403.xml"/><Relationship Id="rId19" Type="http://schemas.openxmlformats.org/officeDocument/2006/relationships/ctrlProp" Target="../ctrlProps/ctrlProp412.xml"/><Relationship Id="rId31" Type="http://schemas.openxmlformats.org/officeDocument/2006/relationships/ctrlProp" Target="../ctrlProps/ctrlProp424.xml"/><Relationship Id="rId4" Type="http://schemas.openxmlformats.org/officeDocument/2006/relationships/ctrlProp" Target="../ctrlProps/ctrlProp397.xml"/><Relationship Id="rId9" Type="http://schemas.openxmlformats.org/officeDocument/2006/relationships/ctrlProp" Target="../ctrlProps/ctrlProp402.xml"/><Relationship Id="rId14" Type="http://schemas.openxmlformats.org/officeDocument/2006/relationships/ctrlProp" Target="../ctrlProps/ctrlProp407.xml"/><Relationship Id="rId22" Type="http://schemas.openxmlformats.org/officeDocument/2006/relationships/ctrlProp" Target="../ctrlProps/ctrlProp415.xml"/><Relationship Id="rId27" Type="http://schemas.openxmlformats.org/officeDocument/2006/relationships/ctrlProp" Target="../ctrlProps/ctrlProp420.xml"/><Relationship Id="rId30" Type="http://schemas.openxmlformats.org/officeDocument/2006/relationships/ctrlProp" Target="../ctrlProps/ctrlProp423.xml"/><Relationship Id="rId35" Type="http://schemas.openxmlformats.org/officeDocument/2006/relationships/ctrlProp" Target="../ctrlProps/ctrlProp428.xml"/><Relationship Id="rId8" Type="http://schemas.openxmlformats.org/officeDocument/2006/relationships/ctrlProp" Target="../ctrlProps/ctrlProp401.xml"/><Relationship Id="rId3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2.xml"/><Relationship Id="rId18" Type="http://schemas.openxmlformats.org/officeDocument/2006/relationships/ctrlProp" Target="../ctrlProps/ctrlProp447.xml"/><Relationship Id="rId26" Type="http://schemas.openxmlformats.org/officeDocument/2006/relationships/ctrlProp" Target="../ctrlProps/ctrlProp455.xml"/><Relationship Id="rId39" Type="http://schemas.openxmlformats.org/officeDocument/2006/relationships/ctrlProp" Target="../ctrlProps/ctrlProp468.xml"/><Relationship Id="rId21" Type="http://schemas.openxmlformats.org/officeDocument/2006/relationships/ctrlProp" Target="../ctrlProps/ctrlProp450.xml"/><Relationship Id="rId34" Type="http://schemas.openxmlformats.org/officeDocument/2006/relationships/ctrlProp" Target="../ctrlProps/ctrlProp463.xml"/><Relationship Id="rId7" Type="http://schemas.openxmlformats.org/officeDocument/2006/relationships/ctrlProp" Target="../ctrlProps/ctrlProp436.xml"/><Relationship Id="rId12" Type="http://schemas.openxmlformats.org/officeDocument/2006/relationships/ctrlProp" Target="../ctrlProps/ctrlProp441.xml"/><Relationship Id="rId17" Type="http://schemas.openxmlformats.org/officeDocument/2006/relationships/ctrlProp" Target="../ctrlProps/ctrlProp446.xml"/><Relationship Id="rId25" Type="http://schemas.openxmlformats.org/officeDocument/2006/relationships/ctrlProp" Target="../ctrlProps/ctrlProp454.xml"/><Relationship Id="rId33" Type="http://schemas.openxmlformats.org/officeDocument/2006/relationships/ctrlProp" Target="../ctrlProps/ctrlProp462.xml"/><Relationship Id="rId38" Type="http://schemas.openxmlformats.org/officeDocument/2006/relationships/ctrlProp" Target="../ctrlProps/ctrlProp467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445.xml"/><Relationship Id="rId20" Type="http://schemas.openxmlformats.org/officeDocument/2006/relationships/ctrlProp" Target="../ctrlProps/ctrlProp449.xml"/><Relationship Id="rId29" Type="http://schemas.openxmlformats.org/officeDocument/2006/relationships/ctrlProp" Target="../ctrlProps/ctrlProp45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35.xml"/><Relationship Id="rId11" Type="http://schemas.openxmlformats.org/officeDocument/2006/relationships/ctrlProp" Target="../ctrlProps/ctrlProp440.xml"/><Relationship Id="rId24" Type="http://schemas.openxmlformats.org/officeDocument/2006/relationships/ctrlProp" Target="../ctrlProps/ctrlProp453.xml"/><Relationship Id="rId32" Type="http://schemas.openxmlformats.org/officeDocument/2006/relationships/ctrlProp" Target="../ctrlProps/ctrlProp461.xml"/><Relationship Id="rId37" Type="http://schemas.openxmlformats.org/officeDocument/2006/relationships/ctrlProp" Target="../ctrlProps/ctrlProp466.xml"/><Relationship Id="rId5" Type="http://schemas.openxmlformats.org/officeDocument/2006/relationships/ctrlProp" Target="../ctrlProps/ctrlProp434.xml"/><Relationship Id="rId15" Type="http://schemas.openxmlformats.org/officeDocument/2006/relationships/ctrlProp" Target="../ctrlProps/ctrlProp444.xml"/><Relationship Id="rId23" Type="http://schemas.openxmlformats.org/officeDocument/2006/relationships/ctrlProp" Target="../ctrlProps/ctrlProp452.xml"/><Relationship Id="rId28" Type="http://schemas.openxmlformats.org/officeDocument/2006/relationships/ctrlProp" Target="../ctrlProps/ctrlProp457.xml"/><Relationship Id="rId36" Type="http://schemas.openxmlformats.org/officeDocument/2006/relationships/ctrlProp" Target="../ctrlProps/ctrlProp465.xml"/><Relationship Id="rId10" Type="http://schemas.openxmlformats.org/officeDocument/2006/relationships/ctrlProp" Target="../ctrlProps/ctrlProp439.xml"/><Relationship Id="rId19" Type="http://schemas.openxmlformats.org/officeDocument/2006/relationships/ctrlProp" Target="../ctrlProps/ctrlProp448.xml"/><Relationship Id="rId31" Type="http://schemas.openxmlformats.org/officeDocument/2006/relationships/ctrlProp" Target="../ctrlProps/ctrlProp460.xml"/><Relationship Id="rId4" Type="http://schemas.openxmlformats.org/officeDocument/2006/relationships/ctrlProp" Target="../ctrlProps/ctrlProp433.xml"/><Relationship Id="rId9" Type="http://schemas.openxmlformats.org/officeDocument/2006/relationships/ctrlProp" Target="../ctrlProps/ctrlProp438.xml"/><Relationship Id="rId14" Type="http://schemas.openxmlformats.org/officeDocument/2006/relationships/ctrlProp" Target="../ctrlProps/ctrlProp443.xml"/><Relationship Id="rId22" Type="http://schemas.openxmlformats.org/officeDocument/2006/relationships/ctrlProp" Target="../ctrlProps/ctrlProp451.xml"/><Relationship Id="rId27" Type="http://schemas.openxmlformats.org/officeDocument/2006/relationships/ctrlProp" Target="../ctrlProps/ctrlProp456.xml"/><Relationship Id="rId30" Type="http://schemas.openxmlformats.org/officeDocument/2006/relationships/ctrlProp" Target="../ctrlProps/ctrlProp459.xml"/><Relationship Id="rId35" Type="http://schemas.openxmlformats.org/officeDocument/2006/relationships/ctrlProp" Target="../ctrlProps/ctrlProp464.xml"/><Relationship Id="rId8" Type="http://schemas.openxmlformats.org/officeDocument/2006/relationships/ctrlProp" Target="../ctrlProps/ctrlProp437.xml"/><Relationship Id="rId3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78.xml"/><Relationship Id="rId18" Type="http://schemas.openxmlformats.org/officeDocument/2006/relationships/ctrlProp" Target="../ctrlProps/ctrlProp483.xml"/><Relationship Id="rId26" Type="http://schemas.openxmlformats.org/officeDocument/2006/relationships/ctrlProp" Target="../ctrlProps/ctrlProp491.xml"/><Relationship Id="rId39" Type="http://schemas.openxmlformats.org/officeDocument/2006/relationships/ctrlProp" Target="../ctrlProps/ctrlProp504.xml"/><Relationship Id="rId21" Type="http://schemas.openxmlformats.org/officeDocument/2006/relationships/ctrlProp" Target="../ctrlProps/ctrlProp486.xml"/><Relationship Id="rId34" Type="http://schemas.openxmlformats.org/officeDocument/2006/relationships/ctrlProp" Target="../ctrlProps/ctrlProp499.xml"/><Relationship Id="rId7" Type="http://schemas.openxmlformats.org/officeDocument/2006/relationships/ctrlProp" Target="../ctrlProps/ctrlProp472.xml"/><Relationship Id="rId12" Type="http://schemas.openxmlformats.org/officeDocument/2006/relationships/ctrlProp" Target="../ctrlProps/ctrlProp477.xml"/><Relationship Id="rId17" Type="http://schemas.openxmlformats.org/officeDocument/2006/relationships/ctrlProp" Target="../ctrlProps/ctrlProp482.xml"/><Relationship Id="rId25" Type="http://schemas.openxmlformats.org/officeDocument/2006/relationships/ctrlProp" Target="../ctrlProps/ctrlProp490.xml"/><Relationship Id="rId33" Type="http://schemas.openxmlformats.org/officeDocument/2006/relationships/ctrlProp" Target="../ctrlProps/ctrlProp498.xml"/><Relationship Id="rId38" Type="http://schemas.openxmlformats.org/officeDocument/2006/relationships/ctrlProp" Target="../ctrlProps/ctrlProp503.xml"/><Relationship Id="rId2" Type="http://schemas.openxmlformats.org/officeDocument/2006/relationships/drawing" Target="../drawings/drawing14.xml"/><Relationship Id="rId16" Type="http://schemas.openxmlformats.org/officeDocument/2006/relationships/ctrlProp" Target="../ctrlProps/ctrlProp481.xml"/><Relationship Id="rId20" Type="http://schemas.openxmlformats.org/officeDocument/2006/relationships/ctrlProp" Target="../ctrlProps/ctrlProp485.xml"/><Relationship Id="rId29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71.xml"/><Relationship Id="rId11" Type="http://schemas.openxmlformats.org/officeDocument/2006/relationships/ctrlProp" Target="../ctrlProps/ctrlProp476.xml"/><Relationship Id="rId24" Type="http://schemas.openxmlformats.org/officeDocument/2006/relationships/ctrlProp" Target="../ctrlProps/ctrlProp489.xml"/><Relationship Id="rId32" Type="http://schemas.openxmlformats.org/officeDocument/2006/relationships/ctrlProp" Target="../ctrlProps/ctrlProp497.xml"/><Relationship Id="rId37" Type="http://schemas.openxmlformats.org/officeDocument/2006/relationships/ctrlProp" Target="../ctrlProps/ctrlProp502.xml"/><Relationship Id="rId5" Type="http://schemas.openxmlformats.org/officeDocument/2006/relationships/ctrlProp" Target="../ctrlProps/ctrlProp470.xml"/><Relationship Id="rId15" Type="http://schemas.openxmlformats.org/officeDocument/2006/relationships/ctrlProp" Target="../ctrlProps/ctrlProp480.xml"/><Relationship Id="rId23" Type="http://schemas.openxmlformats.org/officeDocument/2006/relationships/ctrlProp" Target="../ctrlProps/ctrlProp488.xml"/><Relationship Id="rId28" Type="http://schemas.openxmlformats.org/officeDocument/2006/relationships/ctrlProp" Target="../ctrlProps/ctrlProp493.xml"/><Relationship Id="rId36" Type="http://schemas.openxmlformats.org/officeDocument/2006/relationships/ctrlProp" Target="../ctrlProps/ctrlProp501.xml"/><Relationship Id="rId10" Type="http://schemas.openxmlformats.org/officeDocument/2006/relationships/ctrlProp" Target="../ctrlProps/ctrlProp475.xml"/><Relationship Id="rId19" Type="http://schemas.openxmlformats.org/officeDocument/2006/relationships/ctrlProp" Target="../ctrlProps/ctrlProp484.xml"/><Relationship Id="rId31" Type="http://schemas.openxmlformats.org/officeDocument/2006/relationships/ctrlProp" Target="../ctrlProps/ctrlProp496.xml"/><Relationship Id="rId4" Type="http://schemas.openxmlformats.org/officeDocument/2006/relationships/ctrlProp" Target="../ctrlProps/ctrlProp469.xml"/><Relationship Id="rId9" Type="http://schemas.openxmlformats.org/officeDocument/2006/relationships/ctrlProp" Target="../ctrlProps/ctrlProp474.xml"/><Relationship Id="rId14" Type="http://schemas.openxmlformats.org/officeDocument/2006/relationships/ctrlProp" Target="../ctrlProps/ctrlProp479.xml"/><Relationship Id="rId22" Type="http://schemas.openxmlformats.org/officeDocument/2006/relationships/ctrlProp" Target="../ctrlProps/ctrlProp487.xml"/><Relationship Id="rId27" Type="http://schemas.openxmlformats.org/officeDocument/2006/relationships/ctrlProp" Target="../ctrlProps/ctrlProp492.xml"/><Relationship Id="rId30" Type="http://schemas.openxmlformats.org/officeDocument/2006/relationships/ctrlProp" Target="../ctrlProps/ctrlProp495.xml"/><Relationship Id="rId35" Type="http://schemas.openxmlformats.org/officeDocument/2006/relationships/ctrlProp" Target="../ctrlProps/ctrlProp500.xml"/><Relationship Id="rId8" Type="http://schemas.openxmlformats.org/officeDocument/2006/relationships/ctrlProp" Target="../ctrlProps/ctrlProp473.xml"/><Relationship Id="rId3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14.xml"/><Relationship Id="rId18" Type="http://schemas.openxmlformats.org/officeDocument/2006/relationships/ctrlProp" Target="../ctrlProps/ctrlProp519.xml"/><Relationship Id="rId26" Type="http://schemas.openxmlformats.org/officeDocument/2006/relationships/ctrlProp" Target="../ctrlProps/ctrlProp527.xml"/><Relationship Id="rId39" Type="http://schemas.openxmlformats.org/officeDocument/2006/relationships/ctrlProp" Target="../ctrlProps/ctrlProp540.xml"/><Relationship Id="rId21" Type="http://schemas.openxmlformats.org/officeDocument/2006/relationships/ctrlProp" Target="../ctrlProps/ctrlProp522.xml"/><Relationship Id="rId34" Type="http://schemas.openxmlformats.org/officeDocument/2006/relationships/ctrlProp" Target="../ctrlProps/ctrlProp535.xml"/><Relationship Id="rId7" Type="http://schemas.openxmlformats.org/officeDocument/2006/relationships/ctrlProp" Target="../ctrlProps/ctrlProp508.xml"/><Relationship Id="rId12" Type="http://schemas.openxmlformats.org/officeDocument/2006/relationships/ctrlProp" Target="../ctrlProps/ctrlProp513.xml"/><Relationship Id="rId17" Type="http://schemas.openxmlformats.org/officeDocument/2006/relationships/ctrlProp" Target="../ctrlProps/ctrlProp518.xml"/><Relationship Id="rId25" Type="http://schemas.openxmlformats.org/officeDocument/2006/relationships/ctrlProp" Target="../ctrlProps/ctrlProp526.xml"/><Relationship Id="rId33" Type="http://schemas.openxmlformats.org/officeDocument/2006/relationships/ctrlProp" Target="../ctrlProps/ctrlProp534.xml"/><Relationship Id="rId38" Type="http://schemas.openxmlformats.org/officeDocument/2006/relationships/ctrlProp" Target="../ctrlProps/ctrlProp539.xml"/><Relationship Id="rId2" Type="http://schemas.openxmlformats.org/officeDocument/2006/relationships/drawing" Target="../drawings/drawing15.xml"/><Relationship Id="rId16" Type="http://schemas.openxmlformats.org/officeDocument/2006/relationships/ctrlProp" Target="../ctrlProps/ctrlProp517.xml"/><Relationship Id="rId20" Type="http://schemas.openxmlformats.org/officeDocument/2006/relationships/ctrlProp" Target="../ctrlProps/ctrlProp521.xml"/><Relationship Id="rId29" Type="http://schemas.openxmlformats.org/officeDocument/2006/relationships/ctrlProp" Target="../ctrlProps/ctrlProp530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07.xml"/><Relationship Id="rId11" Type="http://schemas.openxmlformats.org/officeDocument/2006/relationships/ctrlProp" Target="../ctrlProps/ctrlProp512.xml"/><Relationship Id="rId24" Type="http://schemas.openxmlformats.org/officeDocument/2006/relationships/ctrlProp" Target="../ctrlProps/ctrlProp525.xml"/><Relationship Id="rId32" Type="http://schemas.openxmlformats.org/officeDocument/2006/relationships/ctrlProp" Target="../ctrlProps/ctrlProp533.xml"/><Relationship Id="rId37" Type="http://schemas.openxmlformats.org/officeDocument/2006/relationships/ctrlProp" Target="../ctrlProps/ctrlProp538.xml"/><Relationship Id="rId5" Type="http://schemas.openxmlformats.org/officeDocument/2006/relationships/ctrlProp" Target="../ctrlProps/ctrlProp506.xml"/><Relationship Id="rId15" Type="http://schemas.openxmlformats.org/officeDocument/2006/relationships/ctrlProp" Target="../ctrlProps/ctrlProp516.xml"/><Relationship Id="rId23" Type="http://schemas.openxmlformats.org/officeDocument/2006/relationships/ctrlProp" Target="../ctrlProps/ctrlProp524.xml"/><Relationship Id="rId28" Type="http://schemas.openxmlformats.org/officeDocument/2006/relationships/ctrlProp" Target="../ctrlProps/ctrlProp529.xml"/><Relationship Id="rId36" Type="http://schemas.openxmlformats.org/officeDocument/2006/relationships/ctrlProp" Target="../ctrlProps/ctrlProp537.xml"/><Relationship Id="rId10" Type="http://schemas.openxmlformats.org/officeDocument/2006/relationships/ctrlProp" Target="../ctrlProps/ctrlProp511.xml"/><Relationship Id="rId19" Type="http://schemas.openxmlformats.org/officeDocument/2006/relationships/ctrlProp" Target="../ctrlProps/ctrlProp520.xml"/><Relationship Id="rId31" Type="http://schemas.openxmlformats.org/officeDocument/2006/relationships/ctrlProp" Target="../ctrlProps/ctrlProp532.xml"/><Relationship Id="rId4" Type="http://schemas.openxmlformats.org/officeDocument/2006/relationships/ctrlProp" Target="../ctrlProps/ctrlProp505.xml"/><Relationship Id="rId9" Type="http://schemas.openxmlformats.org/officeDocument/2006/relationships/ctrlProp" Target="../ctrlProps/ctrlProp510.xml"/><Relationship Id="rId14" Type="http://schemas.openxmlformats.org/officeDocument/2006/relationships/ctrlProp" Target="../ctrlProps/ctrlProp515.xml"/><Relationship Id="rId22" Type="http://schemas.openxmlformats.org/officeDocument/2006/relationships/ctrlProp" Target="../ctrlProps/ctrlProp523.xml"/><Relationship Id="rId27" Type="http://schemas.openxmlformats.org/officeDocument/2006/relationships/ctrlProp" Target="../ctrlProps/ctrlProp528.xml"/><Relationship Id="rId30" Type="http://schemas.openxmlformats.org/officeDocument/2006/relationships/ctrlProp" Target="../ctrlProps/ctrlProp531.xml"/><Relationship Id="rId35" Type="http://schemas.openxmlformats.org/officeDocument/2006/relationships/ctrlProp" Target="../ctrlProps/ctrlProp536.xml"/><Relationship Id="rId8" Type="http://schemas.openxmlformats.org/officeDocument/2006/relationships/ctrlProp" Target="../ctrlProps/ctrlProp509.xml"/><Relationship Id="rId3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0.xml"/><Relationship Id="rId18" Type="http://schemas.openxmlformats.org/officeDocument/2006/relationships/ctrlProp" Target="../ctrlProps/ctrlProp555.xml"/><Relationship Id="rId26" Type="http://schemas.openxmlformats.org/officeDocument/2006/relationships/ctrlProp" Target="../ctrlProps/ctrlProp563.xml"/><Relationship Id="rId39" Type="http://schemas.openxmlformats.org/officeDocument/2006/relationships/ctrlProp" Target="../ctrlProps/ctrlProp576.xml"/><Relationship Id="rId21" Type="http://schemas.openxmlformats.org/officeDocument/2006/relationships/ctrlProp" Target="../ctrlProps/ctrlProp558.xml"/><Relationship Id="rId34" Type="http://schemas.openxmlformats.org/officeDocument/2006/relationships/ctrlProp" Target="../ctrlProps/ctrlProp571.xml"/><Relationship Id="rId7" Type="http://schemas.openxmlformats.org/officeDocument/2006/relationships/ctrlProp" Target="../ctrlProps/ctrlProp544.xml"/><Relationship Id="rId12" Type="http://schemas.openxmlformats.org/officeDocument/2006/relationships/ctrlProp" Target="../ctrlProps/ctrlProp549.xml"/><Relationship Id="rId17" Type="http://schemas.openxmlformats.org/officeDocument/2006/relationships/ctrlProp" Target="../ctrlProps/ctrlProp554.xml"/><Relationship Id="rId25" Type="http://schemas.openxmlformats.org/officeDocument/2006/relationships/ctrlProp" Target="../ctrlProps/ctrlProp562.xml"/><Relationship Id="rId33" Type="http://schemas.openxmlformats.org/officeDocument/2006/relationships/ctrlProp" Target="../ctrlProps/ctrlProp570.xml"/><Relationship Id="rId38" Type="http://schemas.openxmlformats.org/officeDocument/2006/relationships/ctrlProp" Target="../ctrlProps/ctrlProp575.xml"/><Relationship Id="rId2" Type="http://schemas.openxmlformats.org/officeDocument/2006/relationships/drawing" Target="../drawings/drawing16.xml"/><Relationship Id="rId16" Type="http://schemas.openxmlformats.org/officeDocument/2006/relationships/ctrlProp" Target="../ctrlProps/ctrlProp553.xml"/><Relationship Id="rId20" Type="http://schemas.openxmlformats.org/officeDocument/2006/relationships/ctrlProp" Target="../ctrlProps/ctrlProp557.xml"/><Relationship Id="rId29" Type="http://schemas.openxmlformats.org/officeDocument/2006/relationships/ctrlProp" Target="../ctrlProps/ctrlProp56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3.xml"/><Relationship Id="rId11" Type="http://schemas.openxmlformats.org/officeDocument/2006/relationships/ctrlProp" Target="../ctrlProps/ctrlProp548.xml"/><Relationship Id="rId24" Type="http://schemas.openxmlformats.org/officeDocument/2006/relationships/ctrlProp" Target="../ctrlProps/ctrlProp561.xml"/><Relationship Id="rId32" Type="http://schemas.openxmlformats.org/officeDocument/2006/relationships/ctrlProp" Target="../ctrlProps/ctrlProp569.xml"/><Relationship Id="rId37" Type="http://schemas.openxmlformats.org/officeDocument/2006/relationships/ctrlProp" Target="../ctrlProps/ctrlProp574.xml"/><Relationship Id="rId5" Type="http://schemas.openxmlformats.org/officeDocument/2006/relationships/ctrlProp" Target="../ctrlProps/ctrlProp542.xml"/><Relationship Id="rId15" Type="http://schemas.openxmlformats.org/officeDocument/2006/relationships/ctrlProp" Target="../ctrlProps/ctrlProp552.xml"/><Relationship Id="rId23" Type="http://schemas.openxmlformats.org/officeDocument/2006/relationships/ctrlProp" Target="../ctrlProps/ctrlProp560.xml"/><Relationship Id="rId28" Type="http://schemas.openxmlformats.org/officeDocument/2006/relationships/ctrlProp" Target="../ctrlProps/ctrlProp565.xml"/><Relationship Id="rId36" Type="http://schemas.openxmlformats.org/officeDocument/2006/relationships/ctrlProp" Target="../ctrlProps/ctrlProp573.xml"/><Relationship Id="rId10" Type="http://schemas.openxmlformats.org/officeDocument/2006/relationships/ctrlProp" Target="../ctrlProps/ctrlProp547.xml"/><Relationship Id="rId19" Type="http://schemas.openxmlformats.org/officeDocument/2006/relationships/ctrlProp" Target="../ctrlProps/ctrlProp556.xml"/><Relationship Id="rId31" Type="http://schemas.openxmlformats.org/officeDocument/2006/relationships/ctrlProp" Target="../ctrlProps/ctrlProp568.xml"/><Relationship Id="rId4" Type="http://schemas.openxmlformats.org/officeDocument/2006/relationships/ctrlProp" Target="../ctrlProps/ctrlProp541.xml"/><Relationship Id="rId9" Type="http://schemas.openxmlformats.org/officeDocument/2006/relationships/ctrlProp" Target="../ctrlProps/ctrlProp546.xml"/><Relationship Id="rId14" Type="http://schemas.openxmlformats.org/officeDocument/2006/relationships/ctrlProp" Target="../ctrlProps/ctrlProp551.xml"/><Relationship Id="rId22" Type="http://schemas.openxmlformats.org/officeDocument/2006/relationships/ctrlProp" Target="../ctrlProps/ctrlProp559.xml"/><Relationship Id="rId27" Type="http://schemas.openxmlformats.org/officeDocument/2006/relationships/ctrlProp" Target="../ctrlProps/ctrlProp564.xml"/><Relationship Id="rId30" Type="http://schemas.openxmlformats.org/officeDocument/2006/relationships/ctrlProp" Target="../ctrlProps/ctrlProp567.xml"/><Relationship Id="rId35" Type="http://schemas.openxmlformats.org/officeDocument/2006/relationships/ctrlProp" Target="../ctrlProps/ctrlProp572.xml"/><Relationship Id="rId8" Type="http://schemas.openxmlformats.org/officeDocument/2006/relationships/ctrlProp" Target="../ctrlProps/ctrlProp545.xml"/><Relationship Id="rId3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86.xml"/><Relationship Id="rId18" Type="http://schemas.openxmlformats.org/officeDocument/2006/relationships/ctrlProp" Target="../ctrlProps/ctrlProp591.xml"/><Relationship Id="rId26" Type="http://schemas.openxmlformats.org/officeDocument/2006/relationships/ctrlProp" Target="../ctrlProps/ctrlProp599.xml"/><Relationship Id="rId39" Type="http://schemas.openxmlformats.org/officeDocument/2006/relationships/ctrlProp" Target="../ctrlProps/ctrlProp612.xml"/><Relationship Id="rId21" Type="http://schemas.openxmlformats.org/officeDocument/2006/relationships/ctrlProp" Target="../ctrlProps/ctrlProp594.xml"/><Relationship Id="rId34" Type="http://schemas.openxmlformats.org/officeDocument/2006/relationships/ctrlProp" Target="../ctrlProps/ctrlProp607.xml"/><Relationship Id="rId7" Type="http://schemas.openxmlformats.org/officeDocument/2006/relationships/ctrlProp" Target="../ctrlProps/ctrlProp580.xml"/><Relationship Id="rId12" Type="http://schemas.openxmlformats.org/officeDocument/2006/relationships/ctrlProp" Target="../ctrlProps/ctrlProp585.xml"/><Relationship Id="rId17" Type="http://schemas.openxmlformats.org/officeDocument/2006/relationships/ctrlProp" Target="../ctrlProps/ctrlProp590.xml"/><Relationship Id="rId25" Type="http://schemas.openxmlformats.org/officeDocument/2006/relationships/ctrlProp" Target="../ctrlProps/ctrlProp598.xml"/><Relationship Id="rId33" Type="http://schemas.openxmlformats.org/officeDocument/2006/relationships/ctrlProp" Target="../ctrlProps/ctrlProp606.xml"/><Relationship Id="rId38" Type="http://schemas.openxmlformats.org/officeDocument/2006/relationships/ctrlProp" Target="../ctrlProps/ctrlProp611.xml"/><Relationship Id="rId2" Type="http://schemas.openxmlformats.org/officeDocument/2006/relationships/drawing" Target="../drawings/drawing17.xml"/><Relationship Id="rId16" Type="http://schemas.openxmlformats.org/officeDocument/2006/relationships/ctrlProp" Target="../ctrlProps/ctrlProp589.xml"/><Relationship Id="rId20" Type="http://schemas.openxmlformats.org/officeDocument/2006/relationships/ctrlProp" Target="../ctrlProps/ctrlProp593.xml"/><Relationship Id="rId29" Type="http://schemas.openxmlformats.org/officeDocument/2006/relationships/ctrlProp" Target="../ctrlProps/ctrlProp60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9.xml"/><Relationship Id="rId11" Type="http://schemas.openxmlformats.org/officeDocument/2006/relationships/ctrlProp" Target="../ctrlProps/ctrlProp584.xml"/><Relationship Id="rId24" Type="http://schemas.openxmlformats.org/officeDocument/2006/relationships/ctrlProp" Target="../ctrlProps/ctrlProp597.xml"/><Relationship Id="rId32" Type="http://schemas.openxmlformats.org/officeDocument/2006/relationships/ctrlProp" Target="../ctrlProps/ctrlProp605.xml"/><Relationship Id="rId37" Type="http://schemas.openxmlformats.org/officeDocument/2006/relationships/ctrlProp" Target="../ctrlProps/ctrlProp610.xml"/><Relationship Id="rId5" Type="http://schemas.openxmlformats.org/officeDocument/2006/relationships/ctrlProp" Target="../ctrlProps/ctrlProp578.xml"/><Relationship Id="rId15" Type="http://schemas.openxmlformats.org/officeDocument/2006/relationships/ctrlProp" Target="../ctrlProps/ctrlProp588.xml"/><Relationship Id="rId23" Type="http://schemas.openxmlformats.org/officeDocument/2006/relationships/ctrlProp" Target="../ctrlProps/ctrlProp596.xml"/><Relationship Id="rId28" Type="http://schemas.openxmlformats.org/officeDocument/2006/relationships/ctrlProp" Target="../ctrlProps/ctrlProp601.xml"/><Relationship Id="rId36" Type="http://schemas.openxmlformats.org/officeDocument/2006/relationships/ctrlProp" Target="../ctrlProps/ctrlProp609.xml"/><Relationship Id="rId10" Type="http://schemas.openxmlformats.org/officeDocument/2006/relationships/ctrlProp" Target="../ctrlProps/ctrlProp583.xml"/><Relationship Id="rId19" Type="http://schemas.openxmlformats.org/officeDocument/2006/relationships/ctrlProp" Target="../ctrlProps/ctrlProp592.xml"/><Relationship Id="rId31" Type="http://schemas.openxmlformats.org/officeDocument/2006/relationships/ctrlProp" Target="../ctrlProps/ctrlProp604.xml"/><Relationship Id="rId4" Type="http://schemas.openxmlformats.org/officeDocument/2006/relationships/ctrlProp" Target="../ctrlProps/ctrlProp577.xml"/><Relationship Id="rId9" Type="http://schemas.openxmlformats.org/officeDocument/2006/relationships/ctrlProp" Target="../ctrlProps/ctrlProp582.xml"/><Relationship Id="rId14" Type="http://schemas.openxmlformats.org/officeDocument/2006/relationships/ctrlProp" Target="../ctrlProps/ctrlProp587.xml"/><Relationship Id="rId22" Type="http://schemas.openxmlformats.org/officeDocument/2006/relationships/ctrlProp" Target="../ctrlProps/ctrlProp595.xml"/><Relationship Id="rId27" Type="http://schemas.openxmlformats.org/officeDocument/2006/relationships/ctrlProp" Target="../ctrlProps/ctrlProp600.xml"/><Relationship Id="rId30" Type="http://schemas.openxmlformats.org/officeDocument/2006/relationships/ctrlProp" Target="../ctrlProps/ctrlProp603.xml"/><Relationship Id="rId35" Type="http://schemas.openxmlformats.org/officeDocument/2006/relationships/ctrlProp" Target="../ctrlProps/ctrlProp608.xml"/><Relationship Id="rId8" Type="http://schemas.openxmlformats.org/officeDocument/2006/relationships/ctrlProp" Target="../ctrlProps/ctrlProp581.xml"/><Relationship Id="rId3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22.xml"/><Relationship Id="rId18" Type="http://schemas.openxmlformats.org/officeDocument/2006/relationships/ctrlProp" Target="../ctrlProps/ctrlProp627.xml"/><Relationship Id="rId26" Type="http://schemas.openxmlformats.org/officeDocument/2006/relationships/ctrlProp" Target="../ctrlProps/ctrlProp635.xml"/><Relationship Id="rId39" Type="http://schemas.openxmlformats.org/officeDocument/2006/relationships/ctrlProp" Target="../ctrlProps/ctrlProp648.xml"/><Relationship Id="rId21" Type="http://schemas.openxmlformats.org/officeDocument/2006/relationships/ctrlProp" Target="../ctrlProps/ctrlProp630.xml"/><Relationship Id="rId34" Type="http://schemas.openxmlformats.org/officeDocument/2006/relationships/ctrlProp" Target="../ctrlProps/ctrlProp643.xml"/><Relationship Id="rId7" Type="http://schemas.openxmlformats.org/officeDocument/2006/relationships/ctrlProp" Target="../ctrlProps/ctrlProp616.xml"/><Relationship Id="rId12" Type="http://schemas.openxmlformats.org/officeDocument/2006/relationships/ctrlProp" Target="../ctrlProps/ctrlProp621.xml"/><Relationship Id="rId17" Type="http://schemas.openxmlformats.org/officeDocument/2006/relationships/ctrlProp" Target="../ctrlProps/ctrlProp626.xml"/><Relationship Id="rId25" Type="http://schemas.openxmlformats.org/officeDocument/2006/relationships/ctrlProp" Target="../ctrlProps/ctrlProp634.xml"/><Relationship Id="rId33" Type="http://schemas.openxmlformats.org/officeDocument/2006/relationships/ctrlProp" Target="../ctrlProps/ctrlProp642.xml"/><Relationship Id="rId38" Type="http://schemas.openxmlformats.org/officeDocument/2006/relationships/ctrlProp" Target="../ctrlProps/ctrlProp647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625.xml"/><Relationship Id="rId20" Type="http://schemas.openxmlformats.org/officeDocument/2006/relationships/ctrlProp" Target="../ctrlProps/ctrlProp629.xml"/><Relationship Id="rId29" Type="http://schemas.openxmlformats.org/officeDocument/2006/relationships/ctrlProp" Target="../ctrlProps/ctrlProp638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615.xml"/><Relationship Id="rId11" Type="http://schemas.openxmlformats.org/officeDocument/2006/relationships/ctrlProp" Target="../ctrlProps/ctrlProp620.xml"/><Relationship Id="rId24" Type="http://schemas.openxmlformats.org/officeDocument/2006/relationships/ctrlProp" Target="../ctrlProps/ctrlProp633.xml"/><Relationship Id="rId32" Type="http://schemas.openxmlformats.org/officeDocument/2006/relationships/ctrlProp" Target="../ctrlProps/ctrlProp641.xml"/><Relationship Id="rId37" Type="http://schemas.openxmlformats.org/officeDocument/2006/relationships/ctrlProp" Target="../ctrlProps/ctrlProp646.xml"/><Relationship Id="rId5" Type="http://schemas.openxmlformats.org/officeDocument/2006/relationships/ctrlProp" Target="../ctrlProps/ctrlProp614.xml"/><Relationship Id="rId15" Type="http://schemas.openxmlformats.org/officeDocument/2006/relationships/ctrlProp" Target="../ctrlProps/ctrlProp624.xml"/><Relationship Id="rId23" Type="http://schemas.openxmlformats.org/officeDocument/2006/relationships/ctrlProp" Target="../ctrlProps/ctrlProp632.xml"/><Relationship Id="rId28" Type="http://schemas.openxmlformats.org/officeDocument/2006/relationships/ctrlProp" Target="../ctrlProps/ctrlProp637.xml"/><Relationship Id="rId36" Type="http://schemas.openxmlformats.org/officeDocument/2006/relationships/ctrlProp" Target="../ctrlProps/ctrlProp645.xml"/><Relationship Id="rId10" Type="http://schemas.openxmlformats.org/officeDocument/2006/relationships/ctrlProp" Target="../ctrlProps/ctrlProp619.xml"/><Relationship Id="rId19" Type="http://schemas.openxmlformats.org/officeDocument/2006/relationships/ctrlProp" Target="../ctrlProps/ctrlProp628.xml"/><Relationship Id="rId31" Type="http://schemas.openxmlformats.org/officeDocument/2006/relationships/ctrlProp" Target="../ctrlProps/ctrlProp640.xml"/><Relationship Id="rId4" Type="http://schemas.openxmlformats.org/officeDocument/2006/relationships/ctrlProp" Target="../ctrlProps/ctrlProp613.xml"/><Relationship Id="rId9" Type="http://schemas.openxmlformats.org/officeDocument/2006/relationships/ctrlProp" Target="../ctrlProps/ctrlProp618.xml"/><Relationship Id="rId14" Type="http://schemas.openxmlformats.org/officeDocument/2006/relationships/ctrlProp" Target="../ctrlProps/ctrlProp623.xml"/><Relationship Id="rId22" Type="http://schemas.openxmlformats.org/officeDocument/2006/relationships/ctrlProp" Target="../ctrlProps/ctrlProp631.xml"/><Relationship Id="rId27" Type="http://schemas.openxmlformats.org/officeDocument/2006/relationships/ctrlProp" Target="../ctrlProps/ctrlProp636.xml"/><Relationship Id="rId30" Type="http://schemas.openxmlformats.org/officeDocument/2006/relationships/ctrlProp" Target="../ctrlProps/ctrlProp639.xml"/><Relationship Id="rId35" Type="http://schemas.openxmlformats.org/officeDocument/2006/relationships/ctrlProp" Target="../ctrlProps/ctrlProp644.xml"/><Relationship Id="rId8" Type="http://schemas.openxmlformats.org/officeDocument/2006/relationships/ctrlProp" Target="../ctrlProps/ctrlProp617.xml"/><Relationship Id="rId3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58.xml"/><Relationship Id="rId18" Type="http://schemas.openxmlformats.org/officeDocument/2006/relationships/ctrlProp" Target="../ctrlProps/ctrlProp663.xml"/><Relationship Id="rId26" Type="http://schemas.openxmlformats.org/officeDocument/2006/relationships/ctrlProp" Target="../ctrlProps/ctrlProp671.xml"/><Relationship Id="rId39" Type="http://schemas.openxmlformats.org/officeDocument/2006/relationships/ctrlProp" Target="../ctrlProps/ctrlProp684.xml"/><Relationship Id="rId21" Type="http://schemas.openxmlformats.org/officeDocument/2006/relationships/ctrlProp" Target="../ctrlProps/ctrlProp666.xml"/><Relationship Id="rId34" Type="http://schemas.openxmlformats.org/officeDocument/2006/relationships/ctrlProp" Target="../ctrlProps/ctrlProp679.xml"/><Relationship Id="rId7" Type="http://schemas.openxmlformats.org/officeDocument/2006/relationships/ctrlProp" Target="../ctrlProps/ctrlProp652.xml"/><Relationship Id="rId12" Type="http://schemas.openxmlformats.org/officeDocument/2006/relationships/ctrlProp" Target="../ctrlProps/ctrlProp657.xml"/><Relationship Id="rId17" Type="http://schemas.openxmlformats.org/officeDocument/2006/relationships/ctrlProp" Target="../ctrlProps/ctrlProp662.xml"/><Relationship Id="rId25" Type="http://schemas.openxmlformats.org/officeDocument/2006/relationships/ctrlProp" Target="../ctrlProps/ctrlProp670.xml"/><Relationship Id="rId33" Type="http://schemas.openxmlformats.org/officeDocument/2006/relationships/ctrlProp" Target="../ctrlProps/ctrlProp678.xml"/><Relationship Id="rId38" Type="http://schemas.openxmlformats.org/officeDocument/2006/relationships/ctrlProp" Target="../ctrlProps/ctrlProp683.xml"/><Relationship Id="rId2" Type="http://schemas.openxmlformats.org/officeDocument/2006/relationships/drawing" Target="../drawings/drawing19.xml"/><Relationship Id="rId16" Type="http://schemas.openxmlformats.org/officeDocument/2006/relationships/ctrlProp" Target="../ctrlProps/ctrlProp661.xml"/><Relationship Id="rId20" Type="http://schemas.openxmlformats.org/officeDocument/2006/relationships/ctrlProp" Target="../ctrlProps/ctrlProp665.xml"/><Relationship Id="rId29" Type="http://schemas.openxmlformats.org/officeDocument/2006/relationships/ctrlProp" Target="../ctrlProps/ctrlProp67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651.xml"/><Relationship Id="rId11" Type="http://schemas.openxmlformats.org/officeDocument/2006/relationships/ctrlProp" Target="../ctrlProps/ctrlProp656.xml"/><Relationship Id="rId24" Type="http://schemas.openxmlformats.org/officeDocument/2006/relationships/ctrlProp" Target="../ctrlProps/ctrlProp669.xml"/><Relationship Id="rId32" Type="http://schemas.openxmlformats.org/officeDocument/2006/relationships/ctrlProp" Target="../ctrlProps/ctrlProp677.xml"/><Relationship Id="rId37" Type="http://schemas.openxmlformats.org/officeDocument/2006/relationships/ctrlProp" Target="../ctrlProps/ctrlProp682.xml"/><Relationship Id="rId5" Type="http://schemas.openxmlformats.org/officeDocument/2006/relationships/ctrlProp" Target="../ctrlProps/ctrlProp650.xml"/><Relationship Id="rId15" Type="http://schemas.openxmlformats.org/officeDocument/2006/relationships/ctrlProp" Target="../ctrlProps/ctrlProp660.xml"/><Relationship Id="rId23" Type="http://schemas.openxmlformats.org/officeDocument/2006/relationships/ctrlProp" Target="../ctrlProps/ctrlProp668.xml"/><Relationship Id="rId28" Type="http://schemas.openxmlformats.org/officeDocument/2006/relationships/ctrlProp" Target="../ctrlProps/ctrlProp673.xml"/><Relationship Id="rId36" Type="http://schemas.openxmlformats.org/officeDocument/2006/relationships/ctrlProp" Target="../ctrlProps/ctrlProp681.xml"/><Relationship Id="rId10" Type="http://schemas.openxmlformats.org/officeDocument/2006/relationships/ctrlProp" Target="../ctrlProps/ctrlProp655.xml"/><Relationship Id="rId19" Type="http://schemas.openxmlformats.org/officeDocument/2006/relationships/ctrlProp" Target="../ctrlProps/ctrlProp664.xml"/><Relationship Id="rId31" Type="http://schemas.openxmlformats.org/officeDocument/2006/relationships/ctrlProp" Target="../ctrlProps/ctrlProp676.xml"/><Relationship Id="rId4" Type="http://schemas.openxmlformats.org/officeDocument/2006/relationships/ctrlProp" Target="../ctrlProps/ctrlProp649.xml"/><Relationship Id="rId9" Type="http://schemas.openxmlformats.org/officeDocument/2006/relationships/ctrlProp" Target="../ctrlProps/ctrlProp654.xml"/><Relationship Id="rId14" Type="http://schemas.openxmlformats.org/officeDocument/2006/relationships/ctrlProp" Target="../ctrlProps/ctrlProp659.xml"/><Relationship Id="rId22" Type="http://schemas.openxmlformats.org/officeDocument/2006/relationships/ctrlProp" Target="../ctrlProps/ctrlProp667.xml"/><Relationship Id="rId27" Type="http://schemas.openxmlformats.org/officeDocument/2006/relationships/ctrlProp" Target="../ctrlProps/ctrlProp672.xml"/><Relationship Id="rId30" Type="http://schemas.openxmlformats.org/officeDocument/2006/relationships/ctrlProp" Target="../ctrlProps/ctrlProp675.xml"/><Relationship Id="rId35" Type="http://schemas.openxmlformats.org/officeDocument/2006/relationships/ctrlProp" Target="../ctrlProps/ctrlProp680.xml"/><Relationship Id="rId8" Type="http://schemas.openxmlformats.org/officeDocument/2006/relationships/ctrlProp" Target="../ctrlProps/ctrlProp653.xml"/><Relationship Id="rId3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94.xml"/><Relationship Id="rId18" Type="http://schemas.openxmlformats.org/officeDocument/2006/relationships/ctrlProp" Target="../ctrlProps/ctrlProp699.xml"/><Relationship Id="rId26" Type="http://schemas.openxmlformats.org/officeDocument/2006/relationships/ctrlProp" Target="../ctrlProps/ctrlProp707.xml"/><Relationship Id="rId39" Type="http://schemas.openxmlformats.org/officeDocument/2006/relationships/ctrlProp" Target="../ctrlProps/ctrlProp720.xml"/><Relationship Id="rId21" Type="http://schemas.openxmlformats.org/officeDocument/2006/relationships/ctrlProp" Target="../ctrlProps/ctrlProp702.xml"/><Relationship Id="rId34" Type="http://schemas.openxmlformats.org/officeDocument/2006/relationships/ctrlProp" Target="../ctrlProps/ctrlProp715.xml"/><Relationship Id="rId7" Type="http://schemas.openxmlformats.org/officeDocument/2006/relationships/ctrlProp" Target="../ctrlProps/ctrlProp688.xml"/><Relationship Id="rId12" Type="http://schemas.openxmlformats.org/officeDocument/2006/relationships/ctrlProp" Target="../ctrlProps/ctrlProp693.xml"/><Relationship Id="rId17" Type="http://schemas.openxmlformats.org/officeDocument/2006/relationships/ctrlProp" Target="../ctrlProps/ctrlProp698.xml"/><Relationship Id="rId25" Type="http://schemas.openxmlformats.org/officeDocument/2006/relationships/ctrlProp" Target="../ctrlProps/ctrlProp706.xml"/><Relationship Id="rId33" Type="http://schemas.openxmlformats.org/officeDocument/2006/relationships/ctrlProp" Target="../ctrlProps/ctrlProp714.xml"/><Relationship Id="rId38" Type="http://schemas.openxmlformats.org/officeDocument/2006/relationships/ctrlProp" Target="../ctrlProps/ctrlProp719.xml"/><Relationship Id="rId2" Type="http://schemas.openxmlformats.org/officeDocument/2006/relationships/drawing" Target="../drawings/drawing20.xml"/><Relationship Id="rId16" Type="http://schemas.openxmlformats.org/officeDocument/2006/relationships/ctrlProp" Target="../ctrlProps/ctrlProp697.xml"/><Relationship Id="rId20" Type="http://schemas.openxmlformats.org/officeDocument/2006/relationships/ctrlProp" Target="../ctrlProps/ctrlProp701.xml"/><Relationship Id="rId29" Type="http://schemas.openxmlformats.org/officeDocument/2006/relationships/ctrlProp" Target="../ctrlProps/ctrlProp710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687.xml"/><Relationship Id="rId11" Type="http://schemas.openxmlformats.org/officeDocument/2006/relationships/ctrlProp" Target="../ctrlProps/ctrlProp692.xml"/><Relationship Id="rId24" Type="http://schemas.openxmlformats.org/officeDocument/2006/relationships/ctrlProp" Target="../ctrlProps/ctrlProp705.xml"/><Relationship Id="rId32" Type="http://schemas.openxmlformats.org/officeDocument/2006/relationships/ctrlProp" Target="../ctrlProps/ctrlProp713.xml"/><Relationship Id="rId37" Type="http://schemas.openxmlformats.org/officeDocument/2006/relationships/ctrlProp" Target="../ctrlProps/ctrlProp718.xml"/><Relationship Id="rId5" Type="http://schemas.openxmlformats.org/officeDocument/2006/relationships/ctrlProp" Target="../ctrlProps/ctrlProp686.xml"/><Relationship Id="rId15" Type="http://schemas.openxmlformats.org/officeDocument/2006/relationships/ctrlProp" Target="../ctrlProps/ctrlProp696.xml"/><Relationship Id="rId23" Type="http://schemas.openxmlformats.org/officeDocument/2006/relationships/ctrlProp" Target="../ctrlProps/ctrlProp704.xml"/><Relationship Id="rId28" Type="http://schemas.openxmlformats.org/officeDocument/2006/relationships/ctrlProp" Target="../ctrlProps/ctrlProp709.xml"/><Relationship Id="rId36" Type="http://schemas.openxmlformats.org/officeDocument/2006/relationships/ctrlProp" Target="../ctrlProps/ctrlProp717.xml"/><Relationship Id="rId10" Type="http://schemas.openxmlformats.org/officeDocument/2006/relationships/ctrlProp" Target="../ctrlProps/ctrlProp691.xml"/><Relationship Id="rId19" Type="http://schemas.openxmlformats.org/officeDocument/2006/relationships/ctrlProp" Target="../ctrlProps/ctrlProp700.xml"/><Relationship Id="rId31" Type="http://schemas.openxmlformats.org/officeDocument/2006/relationships/ctrlProp" Target="../ctrlProps/ctrlProp712.xml"/><Relationship Id="rId4" Type="http://schemas.openxmlformats.org/officeDocument/2006/relationships/ctrlProp" Target="../ctrlProps/ctrlProp685.xml"/><Relationship Id="rId9" Type="http://schemas.openxmlformats.org/officeDocument/2006/relationships/ctrlProp" Target="../ctrlProps/ctrlProp690.xml"/><Relationship Id="rId14" Type="http://schemas.openxmlformats.org/officeDocument/2006/relationships/ctrlProp" Target="../ctrlProps/ctrlProp695.xml"/><Relationship Id="rId22" Type="http://schemas.openxmlformats.org/officeDocument/2006/relationships/ctrlProp" Target="../ctrlProps/ctrlProp703.xml"/><Relationship Id="rId27" Type="http://schemas.openxmlformats.org/officeDocument/2006/relationships/ctrlProp" Target="../ctrlProps/ctrlProp708.xml"/><Relationship Id="rId30" Type="http://schemas.openxmlformats.org/officeDocument/2006/relationships/ctrlProp" Target="../ctrlProps/ctrlProp711.xml"/><Relationship Id="rId35" Type="http://schemas.openxmlformats.org/officeDocument/2006/relationships/ctrlProp" Target="../ctrlProps/ctrlProp716.xml"/><Relationship Id="rId8" Type="http://schemas.openxmlformats.org/officeDocument/2006/relationships/ctrlProp" Target="../ctrlProps/ctrlProp689.xml"/><Relationship Id="rId3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ABEF2-CC74-4894-B847-86B5F54EACA0}">
  <sheetPr codeName="Sheet3"/>
  <dimension ref="A1:R112"/>
  <sheetViews>
    <sheetView zoomScaleNormal="100" workbookViewId="0">
      <selection activeCell="K10" sqref="K10:O10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1.62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0 KRW (0.00%)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0 KRW (0.00%)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1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6"/>
      <c r="R16" s="207"/>
    </row>
    <row r="17" spans="1:18" ht="17.25" customHeight="1">
      <c r="A17" s="39"/>
      <c r="B17" s="35" t="str">
        <f>IF(NOT(_xlfn.IFNA(VLOOKUP($A17, $A$30:$O$112, 2, FALSE), "")=0), _xlfn.IFNA(VLOOKUP($A17, $A$30:$O$112, 2, FALSE), ""), "")</f>
        <v/>
      </c>
      <c r="C17" s="22" t="str">
        <f>IF(NOT(_xlfn.IFNA(VLOOKUP($A17, $A$30:$O$112, 3, FALSE), "")=0), _xlfn.IFNA(VLOOKUP($A17, $A$30:$O$112, 3, FALSE), ""), "")</f>
        <v/>
      </c>
      <c r="D17" s="35" t="str">
        <f>IF(NOT(_xlfn.IFNA(VLOOKUP($A17, $A$30:$O$112, 4, FALSE), "")=0), _xlfn.IFNA(VLOOKUP($A17, $A$30:$O$112, 4, FALSE), ""), "")</f>
        <v/>
      </c>
      <c r="E17" s="22" t="str">
        <f>IF(NOT(_xlfn.IFNA(VLOOKUP($A17, $A$30:$O$112, 5, FALSE), "")=0), _xlfn.IFNA(VLOOKUP($A17, $A$30:$O$112, 5, FALSE), ""), "")</f>
        <v/>
      </c>
      <c r="F17" s="58" t="str">
        <f>IF(NOT(_xlfn.IFNA(VLOOKUP($A17, $A$30:$O$112, 6, FALSE), "")=0), _xlfn.IFNA(VLOOKUP($A17, $A$30:$O$112, 6, FALSE), ""), "")</f>
        <v/>
      </c>
      <c r="G17" s="36" t="str">
        <f t="shared" ref="G17:G26" si="0">IF(NOT(_xlfn.IFNA(VLOOKUP($A17, $A$30:$O$112, 7, FALSE), "")=0), _xlfn.IFNA(VLOOKUP($A17, $A$30:$O$112, 7, FALSE), ""), "")</f>
        <v/>
      </c>
      <c r="H17" s="5" t="str">
        <f>IF(NOT(_xlfn.IFNA(VLOOKUP($A17, $A$30:$O$112, 8, FALSE), "")=0), _xlfn.IFNA(VLOOKUP($A17, $A$30:$O$112, 8, FALSE), ""), "")</f>
        <v/>
      </c>
      <c r="I17" s="59" t="str">
        <f>IF(NOT(_xlfn.IFNA(VLOOKUP($A17, $A$30:$O$112, 9, FALSE), "")=0), _xlfn.IFNA(VLOOKUP($A17, $A$30:$O$112, 9, FALSE), ""), "")</f>
        <v/>
      </c>
      <c r="J17" s="35" t="str">
        <f>IF(NOT(_xlfn.IFNA(VLOOKUP($A17, $A$30:$O$112, 10, FALSE), "")=0), _xlfn.IFNA(VLOOKUP($A17, $A$30:$O$112, 10, FALSE), ""), "")</f>
        <v/>
      </c>
      <c r="K17" s="22" t="str">
        <f>IF(NOT(_xlfn.IFNA(VLOOKUP($A17, $A$30:$O$112, 11, FALSE), "")=0), _xlfn.IFNA(VLOOKUP($A17, $A$30:$O$112, 11, FALSE), ""), "")</f>
        <v/>
      </c>
      <c r="L17" s="58" t="str">
        <f>IF(NOT(_xlfn.IFNA(VLOOKUP($A17, $A$30:$O$112, 12, FALSE), "")=0), _xlfn.IFNA(VLOOKUP($A17, $A$30:$O$112, 12, FALSE), ""), "")</f>
        <v/>
      </c>
      <c r="M17" s="35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/>
      <c r="B18" s="36" t="str">
        <f t="shared" ref="B18:B26" si="1">IF(NOT(_xlfn.IFNA(VLOOKUP($A18, $A$30:$O$112, 2, FALSE), "")=0), _xlfn.IFNA(VLOOKUP($A18, $A$30:$O$112, 2, FALSE), ""), "")</f>
        <v/>
      </c>
      <c r="C18" s="5" t="str">
        <f t="shared" ref="C18:C26" si="2">IF(NOT(_xlfn.IFNA(VLOOKUP($A18, $A$30:$O$112, 3, FALSE), "")=0), _xlfn.IFNA(VLOOKUP($A18, $A$30:$O$112, 3, FALSE), ""), "")</f>
        <v/>
      </c>
      <c r="D18" s="36" t="str">
        <f t="shared" ref="D18:D26" si="3">IF(NOT(_xlfn.IFNA(VLOOKUP($A18, $A$30:$O$112, 4, FALSE), "")=0), _xlfn.IFNA(VLOOKUP($A18, $A$30:$O$112, 4, FALSE), ""), "")</f>
        <v/>
      </c>
      <c r="E18" s="5" t="str">
        <f t="shared" ref="E18:E26" si="4">IF(NOT(_xlfn.IFNA(VLOOKUP($A18, $A$30:$O$112, 5, FALSE), "")=0), _xlfn.IFNA(VLOOKUP($A18, $A$30:$O$112, 5, FALSE), ""), "")</f>
        <v/>
      </c>
      <c r="F18" s="59" t="str">
        <f t="shared" ref="F18:F26" si="5">IF(NOT(_xlfn.IFNA(VLOOKUP($A18, $A$30:$O$112, 6, FALSE), "")=0), _xlfn.IFNA(VLOOKUP($A18, $A$30:$O$112, 6, FALSE), ""), "")</f>
        <v/>
      </c>
      <c r="G18" s="36" t="str">
        <f t="shared" si="0"/>
        <v/>
      </c>
      <c r="H18" s="5" t="str">
        <f t="shared" ref="H18:H26" si="6">IF(NOT(_xlfn.IFNA(VLOOKUP($A18, $A$30:$O$112, 8, FALSE), "")=0), _xlfn.IFNA(VLOOKUP($A18, $A$30:$O$112, 8, FALSE), ""), "")</f>
        <v/>
      </c>
      <c r="I18" s="59" t="str">
        <f t="shared" ref="I18:I26" si="7">IF(NOT(_xlfn.IFNA(VLOOKUP($A18, $A$30:$O$112, 9, FALSE), "")=0), _xlfn.IFNA(VLOOKUP($A18, $A$30:$O$112, 9, FALSE), ""), "")</f>
        <v/>
      </c>
      <c r="J18" s="36" t="str">
        <f t="shared" ref="J18:J26" si="8">IF(NOT(_xlfn.IFNA(VLOOKUP($A18, $A$30:$O$112, 10, FALSE), "")=0), _xlfn.IFNA(VLOOKUP($A18, $A$30:$O$112, 10, FALSE), ""), "")</f>
        <v/>
      </c>
      <c r="K18" s="5" t="str">
        <f t="shared" ref="K18:K26" si="9">IF(NOT(_xlfn.IFNA(VLOOKUP($A18, $A$30:$O$112, 11, FALSE), "")=0), _xlfn.IFNA(VLOOKUP($A18, $A$30:$O$112, 11, FALSE), ""), "")</f>
        <v/>
      </c>
      <c r="L18" s="59" t="str">
        <f t="shared" ref="L18:L26" si="10">IF(NOT(_xlfn.IFNA(VLOOKUP($A18, $A$30:$O$112, 12, FALSE), "")=0), _xlfn.IFNA(VLOOKUP($A18, $A$30:$O$112, 12, FALSE), ""), "")</f>
        <v/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4"/>
      <c r="R18" s="205"/>
    </row>
    <row r="19" spans="1:18" ht="17.25" customHeight="1">
      <c r="A19" s="40"/>
      <c r="B19" s="36" t="str">
        <f t="shared" si="1"/>
        <v/>
      </c>
      <c r="C19" s="5" t="str">
        <f t="shared" si="2"/>
        <v/>
      </c>
      <c r="D19" s="36" t="str">
        <f t="shared" si="3"/>
        <v/>
      </c>
      <c r="E19" s="5" t="str">
        <f t="shared" si="4"/>
        <v/>
      </c>
      <c r="F19" s="59" t="str">
        <f t="shared" si="5"/>
        <v/>
      </c>
      <c r="G19" s="36" t="str">
        <f t="shared" si="0"/>
        <v/>
      </c>
      <c r="H19" s="5" t="str">
        <f t="shared" si="6"/>
        <v/>
      </c>
      <c r="I19" s="59" t="str">
        <f t="shared" si="7"/>
        <v/>
      </c>
      <c r="J19" s="36" t="str">
        <f t="shared" si="8"/>
        <v/>
      </c>
      <c r="K19" s="5" t="str">
        <f t="shared" si="9"/>
        <v/>
      </c>
      <c r="L19" s="59" t="str">
        <f t="shared" si="10"/>
        <v/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/>
      <c r="B20" s="36" t="str">
        <f t="shared" si="1"/>
        <v/>
      </c>
      <c r="C20" s="5" t="str">
        <f t="shared" si="2"/>
        <v/>
      </c>
      <c r="D20" s="36" t="str">
        <f t="shared" si="3"/>
        <v/>
      </c>
      <c r="E20" s="5" t="str">
        <f t="shared" si="4"/>
        <v/>
      </c>
      <c r="F20" s="59" t="str">
        <f t="shared" si="5"/>
        <v/>
      </c>
      <c r="G20" s="36" t="str">
        <f t="shared" si="0"/>
        <v/>
      </c>
      <c r="H20" s="5" t="str">
        <f t="shared" si="6"/>
        <v/>
      </c>
      <c r="I20" s="59" t="str">
        <f t="shared" si="7"/>
        <v/>
      </c>
      <c r="J20" s="36" t="str">
        <f t="shared" si="8"/>
        <v/>
      </c>
      <c r="K20" s="5" t="str">
        <f t="shared" si="9"/>
        <v/>
      </c>
      <c r="L20" s="59" t="str">
        <f t="shared" si="10"/>
        <v/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/>
      <c r="B21" s="37" t="str">
        <f t="shared" si="1"/>
        <v/>
      </c>
      <c r="C21" s="24" t="str">
        <f t="shared" si="2"/>
        <v/>
      </c>
      <c r="D21" s="37" t="str">
        <f t="shared" si="3"/>
        <v/>
      </c>
      <c r="E21" s="24" t="str">
        <f t="shared" si="4"/>
        <v/>
      </c>
      <c r="F21" s="60" t="str">
        <f t="shared" si="5"/>
        <v/>
      </c>
      <c r="G21" s="37" t="str">
        <f t="shared" si="0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/>
      <c r="B22" s="36" t="str">
        <f t="shared" si="1"/>
        <v/>
      </c>
      <c r="C22" s="5" t="str">
        <f t="shared" si="2"/>
        <v/>
      </c>
      <c r="D22" s="36" t="str">
        <f t="shared" si="3"/>
        <v/>
      </c>
      <c r="E22" s="5" t="str">
        <f t="shared" si="4"/>
        <v/>
      </c>
      <c r="F22" s="59" t="str">
        <f t="shared" si="5"/>
        <v/>
      </c>
      <c r="G22" s="36" t="str">
        <f t="shared" si="0"/>
        <v/>
      </c>
      <c r="H22" s="5" t="str">
        <f t="shared" si="6"/>
        <v/>
      </c>
      <c r="I22" s="59" t="str">
        <f t="shared" si="7"/>
        <v/>
      </c>
      <c r="J22" s="36" t="str">
        <f t="shared" si="8"/>
        <v/>
      </c>
      <c r="K22" s="5" t="str">
        <f t="shared" si="9"/>
        <v/>
      </c>
      <c r="L22" s="59" t="str">
        <f t="shared" si="10"/>
        <v/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1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31"/>
      <c r="R33" s="232"/>
    </row>
    <row r="34" spans="1:18" ht="17.25" customHeight="1">
      <c r="A34" s="9"/>
      <c r="B34" s="31"/>
      <c r="C34" s="22"/>
      <c r="D34" s="35"/>
      <c r="E34" s="22" t="str">
        <f>IF(ISNUMBER(D34), (D34 - $B34) / $B34, "")</f>
        <v/>
      </c>
      <c r="F34" s="43" t="str">
        <f>IF(ISNUMBER(D34), $B44 * E34, "")</f>
        <v/>
      </c>
      <c r="G34" s="35"/>
      <c r="H34" s="22" t="str">
        <f>IF(ISNUMBER(G34), (G34 - $B34) / $B34, "")</f>
        <v/>
      </c>
      <c r="I34" s="43" t="str">
        <f>IF(ISNUMBER(G34), $B44 * H34, "")</f>
        <v/>
      </c>
      <c r="J34" s="35"/>
      <c r="K34" s="22" t="str">
        <f>IF(ISNUMBER(J34), (J34 - $B34) / $B34, "")</f>
        <v/>
      </c>
      <c r="L34" s="43" t="str">
        <f>IF(ISNUMBER(J34), $B44 * K34, "")</f>
        <v/>
      </c>
      <c r="M34" s="35"/>
      <c r="N34" s="22" t="str">
        <f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0</v>
      </c>
      <c r="F44" s="47">
        <f>SUM(F34:F43)</f>
        <v>0</v>
      </c>
      <c r="G44" s="57" t="s">
        <v>82</v>
      </c>
      <c r="H44" s="46">
        <f>IF(COUNT(H34:H43), SUM(H34:H43) / COUNT(H34:H43), 0)</f>
        <v>0</v>
      </c>
      <c r="I44" s="47">
        <f>SUM(I34:I43)</f>
        <v>0</v>
      </c>
      <c r="J44" s="57" t="s">
        <v>82</v>
      </c>
      <c r="K44" s="46">
        <f>IF(COUNT(K34:K43), SUM(K34:K43) / COUNT(K34:K43), 0)</f>
        <v>0</v>
      </c>
      <c r="L44" s="47">
        <f>SUM(L34:L43)</f>
        <v>0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1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31"/>
      <c r="R50" s="232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1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1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1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31"/>
      <c r="R101" s="232"/>
    </row>
    <row r="102" spans="1:18" ht="17.25" customHeight="1">
      <c r="A102" s="9"/>
      <c r="B102" s="31"/>
      <c r="C102" s="22"/>
      <c r="D102" s="35"/>
      <c r="E102" s="22" t="str">
        <f>IF(ISNUMBER(D102), (D102 - $B102) / $B102, "")</f>
        <v/>
      </c>
      <c r="F102" s="43" t="str">
        <f>IF(ISNUMBER(D102), $B112 * E102, "")</f>
        <v/>
      </c>
      <c r="G102" s="35"/>
      <c r="H102" s="22" t="str">
        <f>IF(ISNUMBER(G102), (G102 - $B102) / $B102, "")</f>
        <v/>
      </c>
      <c r="I102" s="43" t="str">
        <f>IF(ISNUMBER(G102), $B112 * H102, "")</f>
        <v/>
      </c>
      <c r="J102" s="35"/>
      <c r="K102" s="22" t="str">
        <f>IF(ISNUMBER(J102), (J102 - $B102) / $B102, "")</f>
        <v/>
      </c>
      <c r="L102" s="43" t="str">
        <f>IF(ISNUMBER(J102), $B112 * K102, "")</f>
        <v/>
      </c>
      <c r="M102" s="35"/>
      <c r="N102" s="22" t="str">
        <f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/>
      <c r="B103" s="32"/>
      <c r="C103" s="5"/>
      <c r="D103" s="36"/>
      <c r="E103" s="5" t="str">
        <f t="shared" ref="E103:E111" si="30">IF(ISNUMBER(D103), (D103 - $B103) / $B103, "")</f>
        <v/>
      </c>
      <c r="F103" s="44" t="str">
        <f>IF(ISNUMBER(D103), $B112 * E103, "")</f>
        <v/>
      </c>
      <c r="G103" s="36"/>
      <c r="H103" s="5" t="str">
        <f t="shared" ref="H103:H111" si="31">IF(ISNUMBER(G103), (G103 - $B103) / $B103, "")</f>
        <v/>
      </c>
      <c r="I103" s="44" t="str">
        <f>IF(ISNUMBER(G103), $B112 * H103, "")</f>
        <v/>
      </c>
      <c r="J103" s="36"/>
      <c r="K103" s="5" t="str">
        <f t="shared" ref="K103:K111" si="32">IF(ISNUMBER(J103), (J103 - $B103) / $B103, "")</f>
        <v/>
      </c>
      <c r="L103" s="44" t="str">
        <f>IF(ISNUMBER(J103), $B112 * K103, "")</f>
        <v/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/>
      <c r="B104" s="32"/>
      <c r="C104" s="5"/>
      <c r="D104" s="36"/>
      <c r="E104" s="5" t="str">
        <f t="shared" si="30"/>
        <v/>
      </c>
      <c r="F104" s="44" t="str">
        <f>IF(ISNUMBER(D104), $B112 * E104, "")</f>
        <v/>
      </c>
      <c r="G104" s="36"/>
      <c r="H104" s="5" t="str">
        <f t="shared" si="31"/>
        <v/>
      </c>
      <c r="I104" s="44" t="str">
        <f>IF(ISNUMBER(G104), $B112 * H104, "")</f>
        <v/>
      </c>
      <c r="J104" s="36"/>
      <c r="K104" s="5" t="str">
        <f t="shared" si="32"/>
        <v/>
      </c>
      <c r="L104" s="44" t="str">
        <f>IF(ISNUMBER(J104), $B112 * K104, "")</f>
        <v/>
      </c>
      <c r="M104" s="36"/>
      <c r="N104" s="5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/>
      <c r="B105" s="32"/>
      <c r="C105" s="5"/>
      <c r="D105" s="36"/>
      <c r="E105" s="5" t="str">
        <f t="shared" si="30"/>
        <v/>
      </c>
      <c r="F105" s="44" t="str">
        <f>IF(ISNUMBER(D105), $B112 * E105, "")</f>
        <v/>
      </c>
      <c r="G105" s="36"/>
      <c r="H105" s="5" t="str">
        <f t="shared" si="31"/>
        <v/>
      </c>
      <c r="I105" s="44" t="str">
        <f>IF(ISNUMBER(G105), $B112 * H105, "")</f>
        <v/>
      </c>
      <c r="J105" s="36"/>
      <c r="K105" s="5" t="str">
        <f t="shared" si="32"/>
        <v/>
      </c>
      <c r="L105" s="44" t="str">
        <f>IF(ISNUMBER(J105), $B112 * K105, "")</f>
        <v/>
      </c>
      <c r="M105" s="36"/>
      <c r="N105" s="5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/>
      <c r="B106" s="33"/>
      <c r="C106" s="24"/>
      <c r="D106" s="37"/>
      <c r="E106" s="24" t="str">
        <f t="shared" si="30"/>
        <v/>
      </c>
      <c r="F106" s="44" t="str">
        <f>IF(ISNUMBER(D106), $B112 * E106, "")</f>
        <v/>
      </c>
      <c r="G106" s="37"/>
      <c r="H106" s="24" t="str">
        <f t="shared" si="31"/>
        <v/>
      </c>
      <c r="I106" s="44" t="str">
        <f>IF(ISNUMBER(G106), $B112 * H106, "")</f>
        <v/>
      </c>
      <c r="J106" s="37"/>
      <c r="K106" s="24" t="str">
        <f t="shared" si="32"/>
        <v/>
      </c>
      <c r="L106" s="44" t="str">
        <f>IF(ISNUMBER(J106), $B112 * K106, "")</f>
        <v/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/>
      <c r="B107" s="32"/>
      <c r="C107" s="5"/>
      <c r="D107" s="36"/>
      <c r="E107" s="5" t="str">
        <f t="shared" si="30"/>
        <v/>
      </c>
      <c r="F107" s="48" t="str">
        <f>IF(ISNUMBER(D107), $B112 * E107, "")</f>
        <v/>
      </c>
      <c r="G107" s="36"/>
      <c r="H107" s="5" t="str">
        <f t="shared" si="31"/>
        <v/>
      </c>
      <c r="I107" s="48" t="str">
        <f>IF(ISNUMBER(G107), $B112 * H107, "")</f>
        <v/>
      </c>
      <c r="J107" s="36"/>
      <c r="K107" s="5" t="str">
        <f t="shared" si="32"/>
        <v/>
      </c>
      <c r="L107" s="48" t="str">
        <f>IF(ISNUMBER(J107), $B112 * K107, "")</f>
        <v/>
      </c>
      <c r="M107" s="36"/>
      <c r="N107" s="5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/>
      <c r="B108" s="32"/>
      <c r="C108" s="5"/>
      <c r="D108" s="36"/>
      <c r="E108" s="5" t="str">
        <f t="shared" si="30"/>
        <v/>
      </c>
      <c r="F108" s="44" t="str">
        <f>IF(ISNUMBER(D108), $B112 * E108, "")</f>
        <v/>
      </c>
      <c r="G108" s="36"/>
      <c r="H108" s="5" t="str">
        <f t="shared" si="31"/>
        <v/>
      </c>
      <c r="I108" s="44" t="str">
        <f>IF(ISNUMBER(G108), $B112 * H108, "")</f>
        <v/>
      </c>
      <c r="J108" s="36"/>
      <c r="K108" s="5" t="str">
        <f t="shared" si="32"/>
        <v/>
      </c>
      <c r="L108" s="44" t="str">
        <f>IF(ISNUMBER(J108), $B112 * K108, "")</f>
        <v/>
      </c>
      <c r="M108" s="36"/>
      <c r="N108" s="5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/>
      <c r="B109" s="32"/>
      <c r="C109" s="5"/>
      <c r="D109" s="36"/>
      <c r="E109" s="5" t="str">
        <f t="shared" si="30"/>
        <v/>
      </c>
      <c r="F109" s="44" t="str">
        <f>IF(ISNUMBER(D109), $B112 * E109, "")</f>
        <v/>
      </c>
      <c r="G109" s="36"/>
      <c r="H109" s="5" t="str">
        <f t="shared" si="31"/>
        <v/>
      </c>
      <c r="I109" s="44" t="str">
        <f>IF(ISNUMBER(G109), $B112 * H109, "")</f>
        <v/>
      </c>
      <c r="J109" s="36"/>
      <c r="K109" s="5" t="str">
        <f t="shared" si="32"/>
        <v/>
      </c>
      <c r="L109" s="44" t="str">
        <f>IF(ISNUMBER(J109), $B112 * K109, "")</f>
        <v/>
      </c>
      <c r="M109" s="36"/>
      <c r="N109" s="5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/>
      <c r="B110" s="32"/>
      <c r="C110" s="5"/>
      <c r="D110" s="36"/>
      <c r="E110" s="5" t="str">
        <f t="shared" si="30"/>
        <v/>
      </c>
      <c r="F110" s="44" t="str">
        <f>IF(ISNUMBER(D110), $B112 * E110, "")</f>
        <v/>
      </c>
      <c r="G110" s="36"/>
      <c r="H110" s="5" t="str">
        <f t="shared" si="31"/>
        <v/>
      </c>
      <c r="I110" s="44" t="str">
        <f>IF(ISNUMBER(G110), $B112 * H110, "")</f>
        <v/>
      </c>
      <c r="J110" s="36"/>
      <c r="K110" s="5" t="str">
        <f t="shared" si="32"/>
        <v/>
      </c>
      <c r="L110" s="44" t="str">
        <f>IF(ISNUMBER(J110), $B112 * K110, "")</f>
        <v/>
      </c>
      <c r="M110" s="36"/>
      <c r="N110" s="5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/>
      <c r="B111" s="34"/>
      <c r="C111" s="16"/>
      <c r="D111" s="38"/>
      <c r="E111" s="16" t="str">
        <f t="shared" si="30"/>
        <v/>
      </c>
      <c r="F111" s="45" t="str">
        <f>IF(ISNUMBER(D111), $B112 * E111, "")</f>
        <v/>
      </c>
      <c r="G111" s="38"/>
      <c r="H111" s="16" t="str">
        <f t="shared" si="31"/>
        <v/>
      </c>
      <c r="I111" s="45" t="str">
        <f>IF(ISNUMBER(G111), $B112 * H111, "")</f>
        <v/>
      </c>
      <c r="J111" s="38"/>
      <c r="K111" s="16" t="str">
        <f t="shared" si="32"/>
        <v/>
      </c>
      <c r="L111" s="45" t="str">
        <f>IF(ISNUMBER(J111), $B112 * K111, "")</f>
        <v/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</v>
      </c>
      <c r="F112" s="47">
        <f>SUM(F102:F111)</f>
        <v>0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</v>
      </c>
      <c r="L112" s="47">
        <f>SUM(L102:L111)</f>
        <v>0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M15:O15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967" priority="89">
      <formula>$E$27&gt;0</formula>
    </cfRule>
    <cfRule type="expression" dxfId="1966" priority="90">
      <formula>$E$27&lt;0</formula>
    </cfRule>
  </conditionalFormatting>
  <conditionalFormatting sqref="G15:I16 H27:I27">
    <cfRule type="expression" dxfId="1965" priority="87">
      <formula>$H$27&gt;0</formula>
    </cfRule>
    <cfRule type="expression" dxfId="1964" priority="88">
      <formula>$H$27&lt;0</formula>
    </cfRule>
  </conditionalFormatting>
  <conditionalFormatting sqref="J15:L16 K27:L27">
    <cfRule type="expression" dxfId="1963" priority="85">
      <formula>$K$27&gt;0</formula>
    </cfRule>
    <cfRule type="expression" dxfId="1962" priority="86">
      <formula>$K$27&lt;0</formula>
    </cfRule>
  </conditionalFormatting>
  <conditionalFormatting sqref="M15:O16 N27:O27">
    <cfRule type="expression" dxfId="1961" priority="83">
      <formula>$N$27&gt;0</formula>
    </cfRule>
    <cfRule type="expression" dxfId="1960" priority="84">
      <formula>$N$27&lt;0</formula>
    </cfRule>
  </conditionalFormatting>
  <conditionalFormatting sqref="A17:O26 A34:O43">
    <cfRule type="expression" dxfId="1959" priority="91">
      <formula>AND($N17 &gt; 0, ISNUMBER($N17))</formula>
    </cfRule>
    <cfRule type="expression" dxfId="1958" priority="92">
      <formula>AND($N17 &lt; 0, ISNUMBER($N17))</formula>
    </cfRule>
    <cfRule type="expression" dxfId="1957" priority="93">
      <formula>AND($K17 &gt; 0, ISNUMBER($K17))</formula>
    </cfRule>
    <cfRule type="expression" dxfId="1956" priority="94">
      <formula>AND($K17 &lt; 0, ISNUMBER($K17))</formula>
    </cfRule>
    <cfRule type="expression" dxfId="1955" priority="95">
      <formula>AND($H17 &gt; 0, ISNUMBER($H17))</formula>
    </cfRule>
    <cfRule type="expression" dxfId="1954" priority="96">
      <formula>AND($H17 &lt; 0, ISNUMBER($H17))</formula>
    </cfRule>
    <cfRule type="expression" dxfId="1953" priority="97">
      <formula>AND($E17 &gt; 0, ISNUMBER($E17))</formula>
    </cfRule>
    <cfRule type="expression" dxfId="1952" priority="98">
      <formula>AND($E17 &lt; 0, ISNUMBER($E17))</formula>
    </cfRule>
  </conditionalFormatting>
  <conditionalFormatting sqref="D32:F33 E44:F44">
    <cfRule type="expression" dxfId="1951" priority="81">
      <formula>$E$44&gt;0</formula>
    </cfRule>
    <cfRule type="expression" dxfId="1950" priority="82">
      <formula>$E$44&lt;0</formula>
    </cfRule>
  </conditionalFormatting>
  <conditionalFormatting sqref="G32:I33 H44:I44">
    <cfRule type="expression" dxfId="1949" priority="79">
      <formula>$H$44&gt;0</formula>
    </cfRule>
    <cfRule type="expression" dxfId="1948" priority="80">
      <formula>$H$44&lt;0</formula>
    </cfRule>
  </conditionalFormatting>
  <conditionalFormatting sqref="J32:L33 K44:L44">
    <cfRule type="expression" dxfId="1947" priority="77">
      <formula>$K$44&gt;0</formula>
    </cfRule>
    <cfRule type="expression" dxfId="1946" priority="78">
      <formula>$K$44&lt;0</formula>
    </cfRule>
  </conditionalFormatting>
  <conditionalFormatting sqref="M32:O33 N44:O44">
    <cfRule type="expression" dxfId="1945" priority="75">
      <formula>$N$44&gt;0</formula>
    </cfRule>
    <cfRule type="expression" dxfId="1944" priority="76">
      <formula>$N$44&lt;0</formula>
    </cfRule>
  </conditionalFormatting>
  <conditionalFormatting sqref="A51:O60">
    <cfRule type="expression" dxfId="1943" priority="67">
      <formula>AND($N51 &gt; 0, ISNUMBER($N51))</formula>
    </cfRule>
    <cfRule type="expression" dxfId="1942" priority="68">
      <formula>AND($N51 &lt; 0, ISNUMBER($N51))</formula>
    </cfRule>
    <cfRule type="expression" dxfId="1941" priority="69">
      <formula>AND($K51 &gt; 0, ISNUMBER($K51))</formula>
    </cfRule>
    <cfRule type="expression" dxfId="1940" priority="70">
      <formula>AND($K51 &lt; 0, ISNUMBER($K51))</formula>
    </cfRule>
    <cfRule type="expression" dxfId="1939" priority="71">
      <formula>AND($H51 &gt; 0, ISNUMBER($H51))</formula>
    </cfRule>
    <cfRule type="expression" dxfId="1938" priority="72">
      <formula>AND($H51 &lt; 0, ISNUMBER($H51))</formula>
    </cfRule>
    <cfRule type="expression" dxfId="1937" priority="73">
      <formula>AND($E51 &gt; 0, ISNUMBER($E51))</formula>
    </cfRule>
    <cfRule type="expression" dxfId="1936" priority="74">
      <formula>AND($E51 &lt; 0, ISNUMBER($E51))</formula>
    </cfRule>
  </conditionalFormatting>
  <conditionalFormatting sqref="D49:F50 E61:F61">
    <cfRule type="expression" dxfId="1935" priority="65">
      <formula>$E$61&gt;0</formula>
    </cfRule>
    <cfRule type="expression" dxfId="1934" priority="66">
      <formula>$E$61&lt;0</formula>
    </cfRule>
  </conditionalFormatting>
  <conditionalFormatting sqref="G49:I50 H61:I61">
    <cfRule type="expression" dxfId="1933" priority="63">
      <formula>$H$61&gt;0</formula>
    </cfRule>
    <cfRule type="expression" dxfId="1932" priority="64">
      <formula>$H$61&lt;0</formula>
    </cfRule>
  </conditionalFormatting>
  <conditionalFormatting sqref="J49:L50 K61:L61">
    <cfRule type="expression" dxfId="1931" priority="61">
      <formula>$K$61&gt;0</formula>
    </cfRule>
    <cfRule type="expression" dxfId="1930" priority="62">
      <formula>$K$61&lt;0</formula>
    </cfRule>
  </conditionalFormatting>
  <conditionalFormatting sqref="M49:O50 N61:O61">
    <cfRule type="expression" dxfId="1929" priority="59">
      <formula>$N$61&gt;0</formula>
    </cfRule>
    <cfRule type="expression" dxfId="1928" priority="60">
      <formula>$N$61&lt;0</formula>
    </cfRule>
  </conditionalFormatting>
  <conditionalFormatting sqref="A68:O77">
    <cfRule type="expression" dxfId="1927" priority="51">
      <formula>AND($N68 &gt; 0, ISNUMBER($N68))</formula>
    </cfRule>
    <cfRule type="expression" dxfId="1926" priority="52">
      <formula>AND($N68 &lt; 0, ISNUMBER($N68))</formula>
    </cfRule>
    <cfRule type="expression" dxfId="1925" priority="53">
      <formula>AND($K68 &gt; 0, ISNUMBER($K68))</formula>
    </cfRule>
    <cfRule type="expression" dxfId="1924" priority="54">
      <formula>AND($K68 &lt; 0, ISNUMBER($K68))</formula>
    </cfRule>
    <cfRule type="expression" dxfId="1923" priority="55">
      <formula>AND($H68 &gt; 0, ISNUMBER($H68))</formula>
    </cfRule>
    <cfRule type="expression" dxfId="1922" priority="56">
      <formula>AND($H68 &lt; 0, ISNUMBER($H68))</formula>
    </cfRule>
    <cfRule type="expression" dxfId="1921" priority="57">
      <formula>AND($E68 &gt; 0, ISNUMBER($E68))</formula>
    </cfRule>
    <cfRule type="expression" dxfId="1920" priority="58">
      <formula>AND($E68 &lt; 0, ISNUMBER($E68))</formula>
    </cfRule>
  </conditionalFormatting>
  <conditionalFormatting sqref="D66:F67 E78:F78">
    <cfRule type="expression" dxfId="1919" priority="49">
      <formula>$E$78&gt;0</formula>
    </cfRule>
    <cfRule type="expression" dxfId="1918" priority="50">
      <formula>$E$78&lt;0</formula>
    </cfRule>
  </conditionalFormatting>
  <conditionalFormatting sqref="G66:I67 H78:I78">
    <cfRule type="expression" dxfId="1917" priority="47">
      <formula>$H$78&gt;0</formula>
    </cfRule>
    <cfRule type="expression" dxfId="1916" priority="48">
      <formula>$H$78&lt;0</formula>
    </cfRule>
  </conditionalFormatting>
  <conditionalFormatting sqref="J66:L67 K78:L78">
    <cfRule type="expression" dxfId="1915" priority="45">
      <formula>$K$78&gt;0</formula>
    </cfRule>
    <cfRule type="expression" dxfId="1914" priority="46">
      <formula>$K$78&lt;0</formula>
    </cfRule>
  </conditionalFormatting>
  <conditionalFormatting sqref="M66:O67 N78:O78">
    <cfRule type="expression" dxfId="1913" priority="43">
      <formula>$N$78&gt;0</formula>
    </cfRule>
    <cfRule type="expression" dxfId="1912" priority="44">
      <formula>$N$78&lt;0</formula>
    </cfRule>
  </conditionalFormatting>
  <conditionalFormatting sqref="A85:O94">
    <cfRule type="expression" dxfId="1911" priority="35">
      <formula>AND($N85 &gt; 0, ISNUMBER($N85))</formula>
    </cfRule>
    <cfRule type="expression" dxfId="1910" priority="36">
      <formula>AND($N85 &lt; 0, ISNUMBER($N85))</formula>
    </cfRule>
    <cfRule type="expression" dxfId="1909" priority="37">
      <formula>AND($K85 &gt; 0, ISNUMBER($K85))</formula>
    </cfRule>
    <cfRule type="expression" dxfId="1908" priority="38">
      <formula>AND($K85 &lt; 0, ISNUMBER($K85))</formula>
    </cfRule>
    <cfRule type="expression" dxfId="1907" priority="39">
      <formula>AND($H85 &gt; 0, ISNUMBER($H85))</formula>
    </cfRule>
    <cfRule type="expression" dxfId="1906" priority="40">
      <formula>AND($H85 &lt; 0, ISNUMBER($H85))</formula>
    </cfRule>
    <cfRule type="expression" dxfId="1905" priority="41">
      <formula>AND($E85 &gt; 0, ISNUMBER($E85))</formula>
    </cfRule>
    <cfRule type="expression" dxfId="1904" priority="42">
      <formula>AND($E85 &lt; 0, ISNUMBER($E85))</formula>
    </cfRule>
  </conditionalFormatting>
  <conditionalFormatting sqref="D83:F84 E95:F95">
    <cfRule type="expression" dxfId="1903" priority="33">
      <formula>$E$95&gt;0</formula>
    </cfRule>
    <cfRule type="expression" dxfId="1902" priority="34">
      <formula>$E$95&lt;0</formula>
    </cfRule>
  </conditionalFormatting>
  <conditionalFormatting sqref="G83:I84 H95:I95">
    <cfRule type="expression" dxfId="1901" priority="31">
      <formula>$H$95&gt;0</formula>
    </cfRule>
    <cfRule type="expression" dxfId="1900" priority="32">
      <formula>$H$95&lt;0</formula>
    </cfRule>
  </conditionalFormatting>
  <conditionalFormatting sqref="J83:L84 K95:L95">
    <cfRule type="expression" dxfId="1899" priority="29">
      <formula>$K$95&gt;0</formula>
    </cfRule>
    <cfRule type="expression" dxfId="1898" priority="30">
      <formula>$K$95&lt;0</formula>
    </cfRule>
  </conditionalFormatting>
  <conditionalFormatting sqref="M83:O84 N95:O95">
    <cfRule type="expression" dxfId="1897" priority="27">
      <formula>$N$95&gt;0</formula>
    </cfRule>
    <cfRule type="expression" dxfId="1896" priority="28">
      <formula>$N$95&lt;0</formula>
    </cfRule>
  </conditionalFormatting>
  <conditionalFormatting sqref="A102:O111">
    <cfRule type="expression" dxfId="1895" priority="19">
      <formula>AND($N102 &gt; 0, ISNUMBER($N102))</formula>
    </cfRule>
    <cfRule type="expression" dxfId="1894" priority="20">
      <formula>AND($N102 &lt; 0, ISNUMBER($N102))</formula>
    </cfRule>
    <cfRule type="expression" dxfId="1893" priority="21">
      <formula>AND($K102 &gt; 0, ISNUMBER($K102))</formula>
    </cfRule>
    <cfRule type="expression" dxfId="1892" priority="22">
      <formula>AND($K102 &lt; 0, ISNUMBER($K102))</formula>
    </cfRule>
    <cfRule type="expression" dxfId="1891" priority="23">
      <formula>AND($H102 &gt; 0, ISNUMBER($H102))</formula>
    </cfRule>
    <cfRule type="expression" dxfId="1890" priority="24">
      <formula>AND($H102 &lt; 0, ISNUMBER($H102))</formula>
    </cfRule>
    <cfRule type="expression" dxfId="1889" priority="25">
      <formula>AND($E102 &gt; 0, ISNUMBER($E102))</formula>
    </cfRule>
    <cfRule type="expression" dxfId="1888" priority="26">
      <formula>AND($E102 &lt; 0, ISNUMBER($E102))</formula>
    </cfRule>
  </conditionalFormatting>
  <conditionalFormatting sqref="D100:F101 E112:F112">
    <cfRule type="expression" dxfId="1887" priority="17">
      <formula>$E$112&gt;0</formula>
    </cfRule>
    <cfRule type="expression" dxfId="1886" priority="18">
      <formula>$E$112&lt;0</formula>
    </cfRule>
  </conditionalFormatting>
  <conditionalFormatting sqref="G100:I101 H112:I112">
    <cfRule type="expression" dxfId="1885" priority="15">
      <formula>$H$112&gt;0</formula>
    </cfRule>
    <cfRule type="expression" dxfId="1884" priority="16">
      <formula>$H$112&lt;0</formula>
    </cfRule>
  </conditionalFormatting>
  <conditionalFormatting sqref="J100:L101 K112:L112">
    <cfRule type="expression" dxfId="1883" priority="13">
      <formula>$K$112&gt;0</formula>
    </cfRule>
    <cfRule type="expression" dxfId="1882" priority="14">
      <formula>$K$112&lt;0</formula>
    </cfRule>
  </conditionalFormatting>
  <conditionalFormatting sqref="M100:O101 N112:O112">
    <cfRule type="expression" dxfId="1881" priority="11">
      <formula>$N$112&gt;0</formula>
    </cfRule>
    <cfRule type="expression" dxfId="1880" priority="12">
      <formula>$N$112&lt;0</formula>
    </cfRule>
  </conditionalFormatting>
  <conditionalFormatting sqref="G2:I3">
    <cfRule type="expression" dxfId="187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87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87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87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87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87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87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87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87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87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D7DFB-D39F-4D43-9840-3A7F51BE7753}">
  <sheetPr codeName="Sheet9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44288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81,841 KRW (11.69%)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93,344 KRW (18.67%)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364,204 KRW (36.42%)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6"/>
      <c r="R16" s="207"/>
    </row>
    <row r="17" spans="1:18" ht="17.25" customHeight="1">
      <c r="A17" s="39"/>
      <c r="B17" s="35" t="str">
        <f t="shared" ref="B17:B26" si="0">IF(NOT(_xlfn.IFNA(VLOOKUP($A17, $A$30:$O$112, 2, FALSE), "")=0), _xlfn.IFNA(VLOOKUP($A17, $A$30:$O$112, 2, FALSE), ""), "")</f>
        <v/>
      </c>
      <c r="C17" s="22" t="str">
        <f t="shared" ref="C17:C26" si="1">IF(NOT(_xlfn.IFNA(VLOOKUP($A17, $A$30:$O$112, 3, FALSE), "")=0), _xlfn.IFNA(VLOOKUP($A17, $A$30:$O$112, 3, FALSE), ""), "")</f>
        <v/>
      </c>
      <c r="D17" s="35" t="str">
        <f t="shared" ref="D17:D26" si="2">IF(NOT(_xlfn.IFNA(VLOOKUP($A17, $A$30:$O$112, 4, FALSE), "")=0), _xlfn.IFNA(VLOOKUP($A17, $A$30:$O$112, 4, FALSE), ""), "")</f>
        <v/>
      </c>
      <c r="E17" s="22" t="str">
        <f t="shared" ref="E17:E26" si="3">IF(NOT(_xlfn.IFNA(VLOOKUP($A17, $A$30:$O$112, 5, FALSE), "")=0), _xlfn.IFNA(VLOOKUP($A17, $A$30:$O$112, 5, FALSE), ""), "")</f>
        <v/>
      </c>
      <c r="F17" s="58" t="str">
        <f t="shared" ref="F17:F26" si="4">IF(NOT(_xlfn.IFNA(VLOOKUP($A17, $A$30:$O$112, 6, FALSE), "")=0), _xlfn.IFNA(VLOOKUP($A17, $A$30:$O$112, 6, FALSE), ""), "")</f>
        <v/>
      </c>
      <c r="G17" s="36" t="str">
        <f t="shared" ref="G17:G26" si="5">IF(NOT(_xlfn.IFNA(VLOOKUP($A17, $A$30:$O$112, 7, FALSE), "")=0), _xlfn.IFNA(VLOOKUP($A17, $A$30:$O$112, 7, FALSE), ""), "")</f>
        <v/>
      </c>
      <c r="H17" s="63" t="str">
        <f t="shared" ref="H17:H26" si="6">IF(NOT(_xlfn.IFNA(VLOOKUP($A17, $A$30:$O$112, 8, FALSE), "")=0), _xlfn.IFNA(VLOOKUP($A17, $A$30:$O$112, 8, FALSE), ""), "")</f>
        <v/>
      </c>
      <c r="I17" s="66" t="str">
        <f t="shared" ref="I17:I26" si="7">IF(NOT(_xlfn.IFNA(VLOOKUP($A17, $A$30:$O$112, 9, FALSE), "")=0), _xlfn.IFNA(VLOOKUP($A17, $A$30:$O$112, 9, FALSE), ""), "")</f>
        <v/>
      </c>
      <c r="J17" s="35" t="str">
        <f t="shared" ref="J17:J26" si="8">IF(NOT(_xlfn.IFNA(VLOOKUP($A17, $A$30:$O$112, 10, FALSE), "")=0), _xlfn.IFNA(VLOOKUP($A17, $A$30:$O$112, 10, FALSE), ""), "")</f>
        <v/>
      </c>
      <c r="K17" s="22" t="str">
        <f t="shared" ref="K17:K26" si="9">IF(NOT(_xlfn.IFNA(VLOOKUP($A17, $A$30:$O$112, 11, FALSE), "")=0), _xlfn.IFNA(VLOOKUP($A17, $A$30:$O$112, 11, FALSE), ""), "")</f>
        <v/>
      </c>
      <c r="L17" s="58" t="str">
        <f t="shared" ref="L17:L26" si="10">IF(NOT(_xlfn.IFNA(VLOOKUP($A17, $A$30:$O$112, 12, FALSE), "")=0), _xlfn.IFNA(VLOOKUP($A17, $A$30:$O$112, 12, FALSE), ""), "")</f>
        <v/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/>
      <c r="B18" s="36" t="str">
        <f t="shared" si="0"/>
        <v/>
      </c>
      <c r="C18" s="63" t="str">
        <f t="shared" si="1"/>
        <v/>
      </c>
      <c r="D18" s="36" t="str">
        <f t="shared" si="2"/>
        <v/>
      </c>
      <c r="E18" s="63" t="str">
        <f t="shared" si="3"/>
        <v/>
      </c>
      <c r="F18" s="66" t="str">
        <f t="shared" si="4"/>
        <v/>
      </c>
      <c r="G18" s="36" t="str">
        <f t="shared" si="5"/>
        <v/>
      </c>
      <c r="H18" s="63" t="str">
        <f t="shared" si="6"/>
        <v/>
      </c>
      <c r="I18" s="66" t="str">
        <f t="shared" si="7"/>
        <v/>
      </c>
      <c r="J18" s="36" t="str">
        <f t="shared" si="8"/>
        <v/>
      </c>
      <c r="K18" s="63" t="str">
        <f t="shared" si="9"/>
        <v/>
      </c>
      <c r="L18" s="66" t="str">
        <f t="shared" si="10"/>
        <v/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4"/>
      <c r="R18" s="205"/>
    </row>
    <row r="19" spans="1:18" ht="17.25" customHeight="1">
      <c r="A19" s="40"/>
      <c r="B19" s="36" t="str">
        <f t="shared" si="0"/>
        <v/>
      </c>
      <c r="C19" s="63" t="str">
        <f t="shared" si="1"/>
        <v/>
      </c>
      <c r="D19" s="36" t="str">
        <f t="shared" si="2"/>
        <v/>
      </c>
      <c r="E19" s="63" t="str">
        <f t="shared" si="3"/>
        <v/>
      </c>
      <c r="F19" s="66" t="str">
        <f t="shared" si="4"/>
        <v/>
      </c>
      <c r="G19" s="36" t="str">
        <f t="shared" si="5"/>
        <v/>
      </c>
      <c r="H19" s="63" t="str">
        <f t="shared" si="6"/>
        <v/>
      </c>
      <c r="I19" s="66" t="str">
        <f t="shared" si="7"/>
        <v/>
      </c>
      <c r="J19" s="36" t="str">
        <f t="shared" si="8"/>
        <v/>
      </c>
      <c r="K19" s="63" t="str">
        <f t="shared" si="9"/>
        <v/>
      </c>
      <c r="L19" s="66" t="str">
        <f t="shared" si="10"/>
        <v/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/>
      <c r="B20" s="36" t="str">
        <f t="shared" si="0"/>
        <v/>
      </c>
      <c r="C20" s="63" t="str">
        <f t="shared" si="1"/>
        <v/>
      </c>
      <c r="D20" s="36" t="str">
        <f t="shared" si="2"/>
        <v/>
      </c>
      <c r="E20" s="63" t="str">
        <f t="shared" si="3"/>
        <v/>
      </c>
      <c r="F20" s="66" t="str">
        <f t="shared" si="4"/>
        <v/>
      </c>
      <c r="G20" s="36" t="str">
        <f t="shared" si="5"/>
        <v/>
      </c>
      <c r="H20" s="63" t="str">
        <f t="shared" si="6"/>
        <v/>
      </c>
      <c r="I20" s="66" t="str">
        <f t="shared" si="7"/>
        <v/>
      </c>
      <c r="J20" s="36" t="str">
        <f t="shared" si="8"/>
        <v/>
      </c>
      <c r="K20" s="63" t="str">
        <f t="shared" si="9"/>
        <v/>
      </c>
      <c r="L20" s="66" t="str">
        <f t="shared" si="10"/>
        <v/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/>
      <c r="B21" s="37" t="str">
        <f t="shared" si="0"/>
        <v/>
      </c>
      <c r="C21" s="24" t="str">
        <f t="shared" si="1"/>
        <v/>
      </c>
      <c r="D21" s="37" t="str">
        <f t="shared" si="2"/>
        <v/>
      </c>
      <c r="E21" s="24" t="str">
        <f t="shared" si="3"/>
        <v/>
      </c>
      <c r="F21" s="60" t="str">
        <f t="shared" si="4"/>
        <v/>
      </c>
      <c r="G21" s="37" t="str">
        <f t="shared" si="5"/>
        <v/>
      </c>
      <c r="H21" s="24" t="str">
        <f t="shared" si="6"/>
        <v/>
      </c>
      <c r="I21" s="60" t="str">
        <f t="shared" si="7"/>
        <v/>
      </c>
      <c r="J21" s="37" t="str">
        <f t="shared" si="8"/>
        <v/>
      </c>
      <c r="K21" s="24" t="str">
        <f t="shared" si="9"/>
        <v/>
      </c>
      <c r="L21" s="60" t="str">
        <f t="shared" si="10"/>
        <v/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/>
      <c r="B22" s="36" t="str">
        <f t="shared" si="0"/>
        <v/>
      </c>
      <c r="C22" s="63" t="str">
        <f t="shared" si="1"/>
        <v/>
      </c>
      <c r="D22" s="36" t="str">
        <f t="shared" si="2"/>
        <v/>
      </c>
      <c r="E22" s="63" t="str">
        <f t="shared" si="3"/>
        <v/>
      </c>
      <c r="F22" s="66" t="str">
        <f t="shared" si="4"/>
        <v/>
      </c>
      <c r="G22" s="36" t="str">
        <f t="shared" si="5"/>
        <v/>
      </c>
      <c r="H22" s="63" t="str">
        <f t="shared" si="6"/>
        <v/>
      </c>
      <c r="I22" s="66" t="str">
        <f t="shared" si="7"/>
        <v/>
      </c>
      <c r="J22" s="36" t="str">
        <f t="shared" si="8"/>
        <v/>
      </c>
      <c r="K22" s="63" t="str">
        <f t="shared" si="9"/>
        <v/>
      </c>
      <c r="L22" s="66" t="str">
        <f t="shared" si="10"/>
        <v/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</v>
      </c>
      <c r="F27" s="47">
        <f>SUM(F17:F26)</f>
        <v>0</v>
      </c>
      <c r="G27" s="57" t="s">
        <v>82</v>
      </c>
      <c r="H27" s="46">
        <f>IF(COUNT(H17:H26), SUM(H17:H26) / COUNT(H17:H26), 0)</f>
        <v>0</v>
      </c>
      <c r="I27" s="47">
        <f>SUM(I17:I26)</f>
        <v>0</v>
      </c>
      <c r="J27" s="57" t="s">
        <v>82</v>
      </c>
      <c r="K27" s="46">
        <f>IF(COUNT(K17:K26), SUM(K17:K26) / COUNT(K17:K26), 0)</f>
        <v>0</v>
      </c>
      <c r="L27" s="47">
        <f>SUM(L17:L26)</f>
        <v>0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/>
    <row r="29" spans="1:18" ht="17.25" customHeight="1" thickBot="1"/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31"/>
      <c r="R33" s="232"/>
    </row>
    <row r="34" spans="1:18" ht="17.25" customHeight="1">
      <c r="A34" s="9" t="s">
        <v>4</v>
      </c>
      <c r="B34" s="31">
        <v>6.5</v>
      </c>
      <c r="C34" s="22"/>
      <c r="D34" s="35">
        <v>6.75</v>
      </c>
      <c r="E34" s="22">
        <f t="shared" ref="E34:E43" si="14">IF(ISNUMBER(D34), (D34 - $B34) / $B34, "")</f>
        <v>3.8461538461538464E-2</v>
      </c>
      <c r="F34" s="43">
        <f>IF(ISNUMBER(D34), $B44 * E34, "")</f>
        <v>3846.1538461538462</v>
      </c>
      <c r="G34" s="35">
        <v>7.1</v>
      </c>
      <c r="H34" s="22">
        <f t="shared" ref="H34:H43" si="15">IF(ISNUMBER(G34), (G34 - $B34) / $B34, "")</f>
        <v>9.2307692307692257E-2</v>
      </c>
      <c r="I34" s="43">
        <f>IF(ISNUMBER(G34), $B44 * H34, "")</f>
        <v>9230.769230769225</v>
      </c>
      <c r="J34" s="35">
        <v>7.1</v>
      </c>
      <c r="K34" s="22">
        <f t="shared" ref="K34:K43" si="16">IF(ISNUMBER(J34), (J34 - $B34) / $B34, "")</f>
        <v>9.2307692307692257E-2</v>
      </c>
      <c r="L34" s="43">
        <f>IF(ISNUMBER(J34), $B44 * K34, "")</f>
        <v>9230.769230769225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 t="s">
        <v>9</v>
      </c>
      <c r="B35" s="64">
        <v>36.700000000000003</v>
      </c>
      <c r="C35" s="63"/>
      <c r="D35" s="36">
        <v>40.6</v>
      </c>
      <c r="E35" s="63">
        <f t="shared" si="14"/>
        <v>0.106267029972752</v>
      </c>
      <c r="F35" s="44">
        <f>IF(ISNUMBER(D35), $B44 * E35, "")</f>
        <v>10626.702997275201</v>
      </c>
      <c r="G35" s="36">
        <v>42.8</v>
      </c>
      <c r="H35" s="63">
        <f t="shared" si="15"/>
        <v>0.16621253405994535</v>
      </c>
      <c r="I35" s="44">
        <f>IF(ISNUMBER(G35), $B44 * H35, "")</f>
        <v>16621.253405994536</v>
      </c>
      <c r="J35" s="36">
        <v>44.5</v>
      </c>
      <c r="K35" s="63">
        <f t="shared" si="16"/>
        <v>0.21253405994550401</v>
      </c>
      <c r="L35" s="44">
        <f>IF(ISNUMBER(J35), $B44 * K35, "")</f>
        <v>21253.405994550401</v>
      </c>
      <c r="M35" s="36"/>
      <c r="N35" s="63" t="str">
        <f t="shared" si="17"/>
        <v/>
      </c>
      <c r="O35" s="44" t="str">
        <f>IF(ISNUMBER(M35), $B44 * N35, "")</f>
        <v/>
      </c>
      <c r="Q35" s="229"/>
      <c r="R35" s="230"/>
    </row>
    <row r="36" spans="1:18" ht="17.25" customHeight="1">
      <c r="A36" s="11" t="s">
        <v>10</v>
      </c>
      <c r="B36" s="64">
        <v>38.9</v>
      </c>
      <c r="C36" s="63"/>
      <c r="D36" s="36">
        <v>43.6</v>
      </c>
      <c r="E36" s="63">
        <f t="shared" si="14"/>
        <v>0.12082262210796924</v>
      </c>
      <c r="F36" s="44">
        <f>IF(ISNUMBER(D36), $B44 * E36, "")</f>
        <v>12082.262210796924</v>
      </c>
      <c r="G36" s="36">
        <v>43.9</v>
      </c>
      <c r="H36" s="63">
        <f t="shared" si="15"/>
        <v>0.12853470437017994</v>
      </c>
      <c r="I36" s="44">
        <f>IF(ISNUMBER(G36), $B44 * H36, "")</f>
        <v>12853.470437017993</v>
      </c>
      <c r="J36" s="36">
        <v>44.6</v>
      </c>
      <c r="K36" s="63">
        <f t="shared" si="16"/>
        <v>0.14652956298200523</v>
      </c>
      <c r="L36" s="44">
        <f>IF(ISNUMBER(J36), $B44 * K36, "")</f>
        <v>14652.956298200523</v>
      </c>
      <c r="M36" s="36"/>
      <c r="N36" s="63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 t="s">
        <v>5</v>
      </c>
      <c r="B37" s="64">
        <v>30.8</v>
      </c>
      <c r="C37" s="63"/>
      <c r="D37" s="36">
        <v>34.9</v>
      </c>
      <c r="E37" s="63">
        <f t="shared" si="14"/>
        <v>0.13311688311688305</v>
      </c>
      <c r="F37" s="44">
        <f>IF(ISNUMBER(D37), $B44 * E37, "")</f>
        <v>13311.688311688305</v>
      </c>
      <c r="G37" s="36">
        <v>34.9</v>
      </c>
      <c r="H37" s="63">
        <f t="shared" si="15"/>
        <v>0.13311688311688305</v>
      </c>
      <c r="I37" s="44">
        <f>IF(ISNUMBER(G37), $B44 * H37, "")</f>
        <v>13311.688311688305</v>
      </c>
      <c r="J37" s="36">
        <v>36.299999999999997</v>
      </c>
      <c r="K37" s="63">
        <f t="shared" si="16"/>
        <v>0.17857142857142846</v>
      </c>
      <c r="L37" s="44">
        <f>IF(ISNUMBER(J37), $B44 * K37, "")</f>
        <v>17857.142857142848</v>
      </c>
      <c r="M37" s="36"/>
      <c r="N37" s="63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 t="s">
        <v>7</v>
      </c>
      <c r="B38" s="33">
        <v>35.200000000000003</v>
      </c>
      <c r="C38" s="24"/>
      <c r="D38" s="37">
        <v>38.700000000000003</v>
      </c>
      <c r="E38" s="24">
        <f t="shared" si="14"/>
        <v>9.9431818181818177E-2</v>
      </c>
      <c r="F38" s="44">
        <f>IF(ISNUMBER(D38), $B44 * E38, "")</f>
        <v>9943.181818181818</v>
      </c>
      <c r="G38" s="37">
        <v>38.299999999999997</v>
      </c>
      <c r="H38" s="24">
        <f t="shared" si="15"/>
        <v>8.8068181818181643E-2</v>
      </c>
      <c r="I38" s="44">
        <f>IF(ISNUMBER(G38), $B44 * H38, "")</f>
        <v>8806.8181818181638</v>
      </c>
      <c r="J38" s="37">
        <v>38.799999999999997</v>
      </c>
      <c r="K38" s="24">
        <f t="shared" si="16"/>
        <v>0.1022727272727271</v>
      </c>
      <c r="L38" s="44">
        <f>IF(ISNUMBER(J38), $B44 * K38, "")</f>
        <v>10227.27272727271</v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 t="s">
        <v>12</v>
      </c>
      <c r="B39" s="64">
        <v>42.5</v>
      </c>
      <c r="C39" s="63"/>
      <c r="D39" s="36">
        <v>42.7</v>
      </c>
      <c r="E39" s="63">
        <f t="shared" si="14"/>
        <v>4.7058823529412437E-3</v>
      </c>
      <c r="F39" s="48">
        <f>IF(ISNUMBER(D39), $B44 * E39, "")</f>
        <v>470.58823529412439</v>
      </c>
      <c r="G39" s="36">
        <v>43.5</v>
      </c>
      <c r="H39" s="63">
        <f t="shared" si="15"/>
        <v>2.3529411764705882E-2</v>
      </c>
      <c r="I39" s="48">
        <f>IF(ISNUMBER(G39), $B44 * H39, "")</f>
        <v>2352.9411764705883</v>
      </c>
      <c r="J39" s="36">
        <v>45.6</v>
      </c>
      <c r="K39" s="63">
        <f t="shared" si="16"/>
        <v>7.2941176470588273E-2</v>
      </c>
      <c r="L39" s="48">
        <f>IF(ISNUMBER(J39), $B44 * K39, "")</f>
        <v>7294.1176470588271</v>
      </c>
      <c r="M39" s="36"/>
      <c r="N39" s="63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 t="s">
        <v>14</v>
      </c>
      <c r="B40" s="64">
        <v>67.900000000000006</v>
      </c>
      <c r="C40" s="63"/>
      <c r="D40" s="36">
        <v>66.2</v>
      </c>
      <c r="E40" s="63">
        <f t="shared" si="14"/>
        <v>-2.503681885125188E-2</v>
      </c>
      <c r="F40" s="44">
        <f>IF(ISNUMBER(D40), $B44 * E40, "")</f>
        <v>-2503.6818851251878</v>
      </c>
      <c r="G40" s="36">
        <v>66.7</v>
      </c>
      <c r="H40" s="63">
        <f t="shared" si="15"/>
        <v>-1.7673048600883694E-2</v>
      </c>
      <c r="I40" s="44">
        <f>IF(ISNUMBER(G40), $B44 * H40, "")</f>
        <v>-1767.3048600883694</v>
      </c>
      <c r="J40" s="36">
        <v>68.8</v>
      </c>
      <c r="K40" s="63">
        <f t="shared" si="16"/>
        <v>1.3254786450662612E-2</v>
      </c>
      <c r="L40" s="44">
        <f>IF(ISNUMBER(J40), $B44 * K40, "")</f>
        <v>1325.4786450662612</v>
      </c>
      <c r="M40" s="36"/>
      <c r="N40" s="63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6.8252707906092919E-2</v>
      </c>
      <c r="F44" s="47">
        <f>SUM(F34:F43)</f>
        <v>47776.89553426503</v>
      </c>
      <c r="G44" s="57" t="s">
        <v>82</v>
      </c>
      <c r="H44" s="46">
        <f>IF(COUNT(H34:H43), SUM(H34:H43) / COUNT(H34:H43), 0)</f>
        <v>8.772805126238635E-2</v>
      </c>
      <c r="I44" s="47">
        <f>SUM(I34:I43)</f>
        <v>61409.635883670431</v>
      </c>
      <c r="J44" s="57" t="s">
        <v>82</v>
      </c>
      <c r="K44" s="46">
        <f>IF(COUNT(K34:K43), SUM(K34:K43) / COUNT(K34:K43), 0)</f>
        <v>0.11691591914294398</v>
      </c>
      <c r="L44" s="47">
        <f>SUM(L34:L43)</f>
        <v>81841.143400060799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/>
    <row r="46" spans="1:18" ht="17.25" customHeight="1" thickBot="1"/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31"/>
      <c r="R50" s="232"/>
    </row>
    <row r="51" spans="1:18" ht="17.25" customHeight="1">
      <c r="A51" s="9" t="s">
        <v>6</v>
      </c>
      <c r="B51" s="31">
        <v>31.1</v>
      </c>
      <c r="C51" s="22"/>
      <c r="D51" s="35">
        <v>43.3</v>
      </c>
      <c r="E51" s="22">
        <f t="shared" ref="E51:E60" si="18">IF(ISNUMBER(D51), (D51 - $B51) / $B51, "")</f>
        <v>0.39228295819935677</v>
      </c>
      <c r="F51" s="43">
        <f>IF(ISNUMBER(D51), $B61 * E51, "")</f>
        <v>39228.29581993568</v>
      </c>
      <c r="G51" s="35">
        <v>44.1</v>
      </c>
      <c r="H51" s="22">
        <f t="shared" ref="H51:H60" si="19">IF(ISNUMBER(G51), (G51 - $B51) / $B51, "")</f>
        <v>0.41800643086816719</v>
      </c>
      <c r="I51" s="43">
        <f>IF(ISNUMBER(G51), $B61 * H51, "")</f>
        <v>41800.643086816715</v>
      </c>
      <c r="J51" s="35">
        <v>43.6</v>
      </c>
      <c r="K51" s="22">
        <f t="shared" ref="K51:K60" si="20">IF(ISNUMBER(J51), (J51 - $B51) / $B51, "")</f>
        <v>0.40192926045016075</v>
      </c>
      <c r="L51" s="43">
        <f>IF(ISNUMBER(J51), $B61 * K51, "")</f>
        <v>40192.926045016073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 t="s">
        <v>13</v>
      </c>
      <c r="B52" s="64">
        <v>45.4</v>
      </c>
      <c r="C52" s="63"/>
      <c r="D52" s="36">
        <v>53.9</v>
      </c>
      <c r="E52" s="63">
        <f t="shared" si="18"/>
        <v>0.18722466960352424</v>
      </c>
      <c r="F52" s="44">
        <f>IF(ISNUMBER(D52), $B61 * E52, "")</f>
        <v>18722.466960352423</v>
      </c>
      <c r="G52" s="36">
        <v>53.3</v>
      </c>
      <c r="H52" s="63">
        <f t="shared" si="19"/>
        <v>0.17400881057268719</v>
      </c>
      <c r="I52" s="44">
        <f>IF(ISNUMBER(G52), $B61 * H52, "")</f>
        <v>17400.881057268718</v>
      </c>
      <c r="J52" s="36">
        <v>54.3</v>
      </c>
      <c r="K52" s="63">
        <f t="shared" si="20"/>
        <v>0.19603524229074887</v>
      </c>
      <c r="L52" s="44">
        <f>IF(ISNUMBER(J52), $B61 * K52, "")</f>
        <v>19603.524229074887</v>
      </c>
      <c r="M52" s="36"/>
      <c r="N52" s="63" t="str">
        <f t="shared" si="21"/>
        <v/>
      </c>
      <c r="O52" s="44" t="str">
        <f>IF(ISNUMBER(M52), $B61 * N52, "")</f>
        <v/>
      </c>
      <c r="Q52" s="229"/>
      <c r="R52" s="230"/>
    </row>
    <row r="53" spans="1:18" ht="17.25" customHeight="1">
      <c r="A53" s="11" t="s">
        <v>19</v>
      </c>
      <c r="B53" s="64">
        <v>73.7</v>
      </c>
      <c r="C53" s="63"/>
      <c r="D53" s="36">
        <v>73.400000000000006</v>
      </c>
      <c r="E53" s="63">
        <f t="shared" si="18"/>
        <v>-4.070556309362241E-3</v>
      </c>
      <c r="F53" s="44">
        <f>IF(ISNUMBER(D53), $B61 * E53, "")</f>
        <v>-407.05563093622408</v>
      </c>
      <c r="G53" s="36">
        <v>72.8</v>
      </c>
      <c r="H53" s="63">
        <f t="shared" si="19"/>
        <v>-1.2211668928086915E-2</v>
      </c>
      <c r="I53" s="44">
        <f>IF(ISNUMBER(G53), $B61 * H53, "")</f>
        <v>-1221.1668928086915</v>
      </c>
      <c r="J53" s="36">
        <v>73.7</v>
      </c>
      <c r="K53" s="63">
        <f t="shared" si="20"/>
        <v>0</v>
      </c>
      <c r="L53" s="44">
        <f>IF(ISNUMBER(J53), $B61 * K53, "")</f>
        <v>0</v>
      </c>
      <c r="M53" s="36"/>
      <c r="N53" s="63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 t="s">
        <v>8</v>
      </c>
      <c r="B54" s="64">
        <v>35.200000000000003</v>
      </c>
      <c r="C54" s="63"/>
      <c r="D54" s="36">
        <v>37.700000000000003</v>
      </c>
      <c r="E54" s="63">
        <f t="shared" si="18"/>
        <v>7.1022727272727265E-2</v>
      </c>
      <c r="F54" s="44">
        <f>IF(ISNUMBER(D54), $B61 * E54, "")</f>
        <v>7102.2727272727261</v>
      </c>
      <c r="G54" s="36">
        <v>37.700000000000003</v>
      </c>
      <c r="H54" s="63">
        <f t="shared" si="19"/>
        <v>7.1022727272727265E-2</v>
      </c>
      <c r="I54" s="44">
        <f>IF(ISNUMBER(G54), $B61 * H54, "")</f>
        <v>7102.2727272727261</v>
      </c>
      <c r="J54" s="36">
        <v>39.700000000000003</v>
      </c>
      <c r="K54" s="63">
        <f t="shared" si="20"/>
        <v>0.12784090909090909</v>
      </c>
      <c r="L54" s="44">
        <f>IF(ISNUMBER(J54), $B61 * K54, "")</f>
        <v>12784.090909090908</v>
      </c>
      <c r="M54" s="36"/>
      <c r="N54" s="63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 t="s">
        <v>11</v>
      </c>
      <c r="B55" s="33">
        <v>41.9</v>
      </c>
      <c r="C55" s="24"/>
      <c r="D55" s="37">
        <v>45.6</v>
      </c>
      <c r="E55" s="24">
        <f t="shared" si="18"/>
        <v>8.8305489260143269E-2</v>
      </c>
      <c r="F55" s="44">
        <f>IF(ISNUMBER(D55), $B61 * E55, "")</f>
        <v>8830.5489260143277</v>
      </c>
      <c r="G55" s="37">
        <v>48.3</v>
      </c>
      <c r="H55" s="24">
        <f t="shared" si="19"/>
        <v>0.15274463007159902</v>
      </c>
      <c r="I55" s="44">
        <f>IF(ISNUMBER(G55), $B61 * H55, "")</f>
        <v>15274.463007159902</v>
      </c>
      <c r="J55" s="37">
        <v>50.6</v>
      </c>
      <c r="K55" s="24">
        <f t="shared" si="20"/>
        <v>0.20763723150358002</v>
      </c>
      <c r="L55" s="44">
        <f>IF(ISNUMBER(J55), $B61 * K55, "")</f>
        <v>20763.723150358001</v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64"/>
      <c r="C56" s="63"/>
      <c r="D56" s="36"/>
      <c r="E56" s="63" t="str">
        <f t="shared" si="18"/>
        <v/>
      </c>
      <c r="F56" s="48" t="str">
        <f>IF(ISNUMBER(D56), $B61 * E56, "")</f>
        <v/>
      </c>
      <c r="G56" s="36"/>
      <c r="H56" s="63" t="str">
        <f t="shared" si="19"/>
        <v/>
      </c>
      <c r="I56" s="48" t="str">
        <f>IF(ISNUMBER(G56), $B61 * H56, "")</f>
        <v/>
      </c>
      <c r="J56" s="36"/>
      <c r="K56" s="63" t="str">
        <f t="shared" si="20"/>
        <v/>
      </c>
      <c r="L56" s="48" t="str">
        <f>IF(ISNUMBER(J56), $B61 * K56, "")</f>
        <v/>
      </c>
      <c r="M56" s="36"/>
      <c r="N56" s="63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64"/>
      <c r="C57" s="63"/>
      <c r="D57" s="36"/>
      <c r="E57" s="63" t="str">
        <f t="shared" si="18"/>
        <v/>
      </c>
      <c r="F57" s="44" t="str">
        <f>IF(ISNUMBER(D57), $B61 * E57, "")</f>
        <v/>
      </c>
      <c r="G57" s="36"/>
      <c r="H57" s="63" t="str">
        <f t="shared" si="19"/>
        <v/>
      </c>
      <c r="I57" s="44" t="str">
        <f>IF(ISNUMBER(G57), $B61 * H57, "")</f>
        <v/>
      </c>
      <c r="J57" s="36"/>
      <c r="K57" s="63" t="str">
        <f t="shared" si="20"/>
        <v/>
      </c>
      <c r="L57" s="44" t="str">
        <f>IF(ISNUMBER(J57), $B61 * K57, "")</f>
        <v/>
      </c>
      <c r="M57" s="36"/>
      <c r="N57" s="63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64"/>
      <c r="C58" s="63"/>
      <c r="D58" s="36"/>
      <c r="E58" s="63" t="str">
        <f t="shared" si="18"/>
        <v/>
      </c>
      <c r="F58" s="44" t="str">
        <f>IF(ISNUMBER(D58), $B61 * E58, "")</f>
        <v/>
      </c>
      <c r="G58" s="36"/>
      <c r="H58" s="63" t="str">
        <f t="shared" si="19"/>
        <v/>
      </c>
      <c r="I58" s="44" t="str">
        <f>IF(ISNUMBER(G58), $B61 * H58, "")</f>
        <v/>
      </c>
      <c r="J58" s="36"/>
      <c r="K58" s="63" t="str">
        <f t="shared" si="20"/>
        <v/>
      </c>
      <c r="L58" s="44" t="str">
        <f>IF(ISNUMBER(J58), $B61 * K58, "")</f>
        <v/>
      </c>
      <c r="M58" s="36"/>
      <c r="N58" s="63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0.14695305760527785</v>
      </c>
      <c r="F61" s="47">
        <f>SUM(F51:F60)</f>
        <v>73476.528802638932</v>
      </c>
      <c r="G61" s="57" t="s">
        <v>82</v>
      </c>
      <c r="H61" s="46">
        <f>IF(COUNT(H51:H60), SUM(H51:H60) / COUNT(H51:H60), 0)</f>
        <v>0.16071418597141876</v>
      </c>
      <c r="I61" s="47">
        <f>SUM(I51:I60)</f>
        <v>80357.092985709372</v>
      </c>
      <c r="J61" s="57" t="s">
        <v>82</v>
      </c>
      <c r="K61" s="46">
        <f>IF(COUNT(K51:K60), SUM(K51:K60) / COUNT(K51:K60), 0)</f>
        <v>0.18668852866707975</v>
      </c>
      <c r="L61" s="47">
        <f>SUM(L51:L60)</f>
        <v>93344.264333539861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/>
    <row r="80" spans="1:18" ht="17.25" customHeight="1" thickBot="1"/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31"/>
      <c r="R101" s="232"/>
    </row>
    <row r="102" spans="1:18" ht="17.25" customHeight="1">
      <c r="A102" s="9" t="s">
        <v>35</v>
      </c>
      <c r="B102" s="31">
        <v>221</v>
      </c>
      <c r="C102" s="22"/>
      <c r="D102" s="35">
        <v>436</v>
      </c>
      <c r="E102" s="22">
        <f t="shared" ref="E102:E111" si="30">IF(ISNUMBER(D102), (D102 - $B102) / $B102, "")</f>
        <v>0.97285067873303166</v>
      </c>
      <c r="F102" s="43">
        <f>IF(ISNUMBER(D102), $B112 * E102, "")</f>
        <v>97285.067873303167</v>
      </c>
      <c r="G102" s="35"/>
      <c r="H102" s="22" t="str">
        <f t="shared" ref="H102:H111" si="31">IF(ISNUMBER(G102), (G102 - $B102) / $B102, "")</f>
        <v/>
      </c>
      <c r="I102" s="43" t="str">
        <f>IF(ISNUMBER(G102), $B112 * H102, "")</f>
        <v/>
      </c>
      <c r="J102" s="35">
        <v>418</v>
      </c>
      <c r="K102" s="22">
        <f t="shared" ref="K102:K111" si="32">IF(ISNUMBER(J102), (J102 - $B102) / $B102, "")</f>
        <v>0.89140271493212675</v>
      </c>
      <c r="L102" s="43">
        <f>IF(ISNUMBER(J102), $B112 * K102, "")</f>
        <v>89140.271493212669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 t="s">
        <v>36</v>
      </c>
      <c r="B103" s="64">
        <v>2985</v>
      </c>
      <c r="C103" s="63"/>
      <c r="D103" s="36">
        <v>3045</v>
      </c>
      <c r="E103" s="63">
        <f t="shared" si="30"/>
        <v>2.0100502512562814E-2</v>
      </c>
      <c r="F103" s="44">
        <f>IF(ISNUMBER(D103), $B112 * E103, "")</f>
        <v>2010.0502512562814</v>
      </c>
      <c r="G103" s="36"/>
      <c r="H103" s="63" t="str">
        <f t="shared" si="31"/>
        <v/>
      </c>
      <c r="I103" s="44" t="str">
        <f>IF(ISNUMBER(G103), $B112 * H103, "")</f>
        <v/>
      </c>
      <c r="J103" s="36">
        <v>4090</v>
      </c>
      <c r="K103" s="63">
        <f t="shared" si="32"/>
        <v>0.37018425460636517</v>
      </c>
      <c r="L103" s="44">
        <f>IF(ISNUMBER(J103), $B112 * K103, "")</f>
        <v>37018.425460636514</v>
      </c>
      <c r="M103" s="36"/>
      <c r="N103" s="63" t="str">
        <f t="shared" si="33"/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 t="s">
        <v>37</v>
      </c>
      <c r="B104" s="64">
        <v>133</v>
      </c>
      <c r="C104" s="63"/>
      <c r="D104" s="36">
        <v>172</v>
      </c>
      <c r="E104" s="63">
        <f t="shared" si="30"/>
        <v>0.2932330827067669</v>
      </c>
      <c r="F104" s="44">
        <f>IF(ISNUMBER(D104), $B112 * E104, "")</f>
        <v>29323.308270676691</v>
      </c>
      <c r="G104" s="36"/>
      <c r="H104" s="63" t="str">
        <f t="shared" si="31"/>
        <v/>
      </c>
      <c r="I104" s="44" t="str">
        <f>IF(ISNUMBER(G104), $B112 * H104, "")</f>
        <v/>
      </c>
      <c r="J104" s="36">
        <v>178</v>
      </c>
      <c r="K104" s="63">
        <f t="shared" si="32"/>
        <v>0.33834586466165412</v>
      </c>
      <c r="L104" s="44">
        <f>IF(ISNUMBER(J104), $B112 * K104, "")</f>
        <v>33834.586466165412</v>
      </c>
      <c r="M104" s="36"/>
      <c r="N104" s="63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 t="s">
        <v>38</v>
      </c>
      <c r="B105" s="64">
        <v>151</v>
      </c>
      <c r="C105" s="63"/>
      <c r="D105" s="36">
        <v>202</v>
      </c>
      <c r="E105" s="63">
        <f t="shared" si="30"/>
        <v>0.33774834437086093</v>
      </c>
      <c r="F105" s="44">
        <f>IF(ISNUMBER(D105), $B112 * E105, "")</f>
        <v>33774.834437086094</v>
      </c>
      <c r="G105" s="36"/>
      <c r="H105" s="63" t="str">
        <f t="shared" si="31"/>
        <v/>
      </c>
      <c r="I105" s="44" t="str">
        <f>IF(ISNUMBER(G105), $B112 * H105, "")</f>
        <v/>
      </c>
      <c r="J105" s="36">
        <v>201</v>
      </c>
      <c r="K105" s="63">
        <f t="shared" si="32"/>
        <v>0.33112582781456956</v>
      </c>
      <c r="L105" s="44">
        <f>IF(ISNUMBER(J105), $B112 * K105, "")</f>
        <v>33112.582781456957</v>
      </c>
      <c r="M105" s="36"/>
      <c r="N105" s="63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 t="s">
        <v>39</v>
      </c>
      <c r="B106" s="33">
        <v>218</v>
      </c>
      <c r="C106" s="24"/>
      <c r="D106" s="37">
        <v>351</v>
      </c>
      <c r="E106" s="24">
        <f t="shared" si="30"/>
        <v>0.61009174311926606</v>
      </c>
      <c r="F106" s="44">
        <f>IF(ISNUMBER(D106), $B112 * E106, "")</f>
        <v>61009.174311926603</v>
      </c>
      <c r="G106" s="37"/>
      <c r="H106" s="24" t="str">
        <f t="shared" si="31"/>
        <v/>
      </c>
      <c r="I106" s="44" t="str">
        <f>IF(ISNUMBER(G106), $B112 * H106, "")</f>
        <v/>
      </c>
      <c r="J106" s="37">
        <v>335</v>
      </c>
      <c r="K106" s="24">
        <f t="shared" si="32"/>
        <v>0.53669724770642202</v>
      </c>
      <c r="L106" s="44">
        <f>IF(ISNUMBER(J106), $B112 * K106, "")</f>
        <v>53669.724770642199</v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 t="s">
        <v>6</v>
      </c>
      <c r="B107" s="64">
        <v>31.1</v>
      </c>
      <c r="C107" s="63"/>
      <c r="D107" s="36">
        <v>43.3</v>
      </c>
      <c r="E107" s="63">
        <f t="shared" si="30"/>
        <v>0.39228295819935677</v>
      </c>
      <c r="F107" s="48">
        <f>IF(ISNUMBER(D107), $B112 * E107, "")</f>
        <v>39228.29581993568</v>
      </c>
      <c r="G107" s="36"/>
      <c r="H107" s="63" t="str">
        <f t="shared" si="31"/>
        <v/>
      </c>
      <c r="I107" s="48" t="str">
        <f>IF(ISNUMBER(G107), $B112 * H107, "")</f>
        <v/>
      </c>
      <c r="J107" s="36">
        <v>43.6</v>
      </c>
      <c r="K107" s="63">
        <f t="shared" si="32"/>
        <v>0.40192926045016075</v>
      </c>
      <c r="L107" s="48">
        <f>IF(ISNUMBER(J107), $B112 * K107, "")</f>
        <v>40192.926045016073</v>
      </c>
      <c r="M107" s="36"/>
      <c r="N107" s="63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 t="s">
        <v>40</v>
      </c>
      <c r="B108" s="64">
        <v>504</v>
      </c>
      <c r="C108" s="63"/>
      <c r="D108" s="36">
        <v>581</v>
      </c>
      <c r="E108" s="63">
        <f t="shared" si="30"/>
        <v>0.15277777777777779</v>
      </c>
      <c r="F108" s="44">
        <f>IF(ISNUMBER(D108), $B112 * E108, "")</f>
        <v>15277.777777777779</v>
      </c>
      <c r="G108" s="36"/>
      <c r="H108" s="63" t="str">
        <f t="shared" si="31"/>
        <v/>
      </c>
      <c r="I108" s="44" t="str">
        <f>IF(ISNUMBER(G108), $B112 * H108, "")</f>
        <v/>
      </c>
      <c r="J108" s="36">
        <v>571</v>
      </c>
      <c r="K108" s="63">
        <f t="shared" si="32"/>
        <v>0.13293650793650794</v>
      </c>
      <c r="L108" s="44">
        <f>IF(ISNUMBER(J108), $B112 * K108, "")</f>
        <v>13293.650793650793</v>
      </c>
      <c r="M108" s="36"/>
      <c r="N108" s="63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 t="s">
        <v>41</v>
      </c>
      <c r="B109" s="64">
        <v>4120</v>
      </c>
      <c r="C109" s="63"/>
      <c r="D109" s="36">
        <v>3925</v>
      </c>
      <c r="E109" s="63">
        <f t="shared" si="30"/>
        <v>-4.7330097087378641E-2</v>
      </c>
      <c r="F109" s="44">
        <f>IF(ISNUMBER(D109), $B112 * E109, "")</f>
        <v>-4733.0097087378645</v>
      </c>
      <c r="G109" s="36"/>
      <c r="H109" s="63" t="str">
        <f t="shared" si="31"/>
        <v/>
      </c>
      <c r="I109" s="44" t="str">
        <f>IF(ISNUMBER(G109), $B112 * H109, "")</f>
        <v/>
      </c>
      <c r="J109" s="36">
        <v>4000</v>
      </c>
      <c r="K109" s="63">
        <f t="shared" si="32"/>
        <v>-2.9126213592233011E-2</v>
      </c>
      <c r="L109" s="44">
        <f>IF(ISNUMBER(J109), $B112 * K109, "")</f>
        <v>-2912.6213592233012</v>
      </c>
      <c r="M109" s="36"/>
      <c r="N109" s="63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 t="s">
        <v>42</v>
      </c>
      <c r="B110" s="64">
        <v>8745</v>
      </c>
      <c r="C110" s="63"/>
      <c r="D110" s="36">
        <v>8340</v>
      </c>
      <c r="E110" s="63">
        <f t="shared" si="30"/>
        <v>-4.6312178387650088E-2</v>
      </c>
      <c r="F110" s="44">
        <f>IF(ISNUMBER(D110), $B112 * E110, "")</f>
        <v>-4631.2178387650092</v>
      </c>
      <c r="G110" s="36"/>
      <c r="H110" s="63" t="str">
        <f t="shared" si="31"/>
        <v/>
      </c>
      <c r="I110" s="44" t="str">
        <f>IF(ISNUMBER(G110), $B112 * H110, "")</f>
        <v/>
      </c>
      <c r="J110" s="36">
        <v>8345</v>
      </c>
      <c r="K110" s="63">
        <f t="shared" si="32"/>
        <v>-4.5740423098913664E-2</v>
      </c>
      <c r="L110" s="44">
        <f>IF(ISNUMBER(J110), $B112 * K110, "")</f>
        <v>-4574.0423098913661</v>
      </c>
      <c r="M110" s="36"/>
      <c r="N110" s="63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 t="s">
        <v>43</v>
      </c>
      <c r="B111" s="34">
        <v>357</v>
      </c>
      <c r="C111" s="16"/>
      <c r="D111" s="38">
        <v>627</v>
      </c>
      <c r="E111" s="16">
        <f t="shared" si="30"/>
        <v>0.75630252100840334</v>
      </c>
      <c r="F111" s="45">
        <f>IF(ISNUMBER(D111), $B112 * E111, "")</f>
        <v>75630.252100840327</v>
      </c>
      <c r="G111" s="38"/>
      <c r="H111" s="16" t="str">
        <f t="shared" si="31"/>
        <v/>
      </c>
      <c r="I111" s="45" t="str">
        <f>IF(ISNUMBER(G111), $B112 * H111, "")</f>
        <v/>
      </c>
      <c r="J111" s="38">
        <v>612</v>
      </c>
      <c r="K111" s="16">
        <f t="shared" si="32"/>
        <v>0.7142857142857143</v>
      </c>
      <c r="L111" s="45">
        <f>IF(ISNUMBER(J111), $B112 * K111, "")</f>
        <v>71428.571428571435</v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0.34417453329529979</v>
      </c>
      <c r="F112" s="47">
        <f>SUM(F102:F111)</f>
        <v>344174.53329529974</v>
      </c>
      <c r="G112" s="57" t="s">
        <v>82</v>
      </c>
      <c r="H112" s="46">
        <f>IF(COUNT(H102:H111), SUM(H102:H111) / COUNT(H102:H111), 0)</f>
        <v>0</v>
      </c>
      <c r="I112" s="47">
        <f>SUM(I102:I111)</f>
        <v>0</v>
      </c>
      <c r="J112" s="57" t="s">
        <v>82</v>
      </c>
      <c r="K112" s="46">
        <f>IF(COUNT(K102:K111), SUM(K102:K111) / COUNT(K102:K111), 0)</f>
        <v>0.36420407557023748</v>
      </c>
      <c r="L112" s="47">
        <f>SUM(L102:L111)</f>
        <v>364204.07557023736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869" priority="89">
      <formula>$E$27&gt;0</formula>
    </cfRule>
    <cfRule type="expression" dxfId="1868" priority="90">
      <formula>$E$27&lt;0</formula>
    </cfRule>
  </conditionalFormatting>
  <conditionalFormatting sqref="G15:I16 H27:I27">
    <cfRule type="expression" dxfId="1867" priority="87">
      <formula>$H$27&gt;0</formula>
    </cfRule>
    <cfRule type="expression" dxfId="1866" priority="88">
      <formula>$H$27&lt;0</formula>
    </cfRule>
  </conditionalFormatting>
  <conditionalFormatting sqref="J15:L16 K27:L27">
    <cfRule type="expression" dxfId="1865" priority="85">
      <formula>$K$27&gt;0</formula>
    </cfRule>
    <cfRule type="expression" dxfId="1864" priority="86">
      <formula>$K$27&lt;0</formula>
    </cfRule>
  </conditionalFormatting>
  <conditionalFormatting sqref="M15:O16 N27:O27">
    <cfRule type="expression" dxfId="1863" priority="83">
      <formula>$N$27&gt;0</formula>
    </cfRule>
    <cfRule type="expression" dxfId="1862" priority="84">
      <formula>$N$27&lt;0</formula>
    </cfRule>
  </conditionalFormatting>
  <conditionalFormatting sqref="A17:O26 A34:O43">
    <cfRule type="expression" dxfId="1861" priority="91">
      <formula>AND($N17 &gt; 0, ISNUMBER($N17))</formula>
    </cfRule>
    <cfRule type="expression" dxfId="1860" priority="92">
      <formula>AND($N17 &lt; 0, ISNUMBER($N17))</formula>
    </cfRule>
    <cfRule type="expression" dxfId="1859" priority="93">
      <formula>AND($K17 &gt; 0, ISNUMBER($K17))</formula>
    </cfRule>
    <cfRule type="expression" dxfId="1858" priority="94">
      <formula>AND($K17 &lt; 0, ISNUMBER($K17))</formula>
    </cfRule>
    <cfRule type="expression" dxfId="1857" priority="95">
      <formula>AND($H17 &gt; 0, ISNUMBER($H17))</formula>
    </cfRule>
    <cfRule type="expression" dxfId="1856" priority="96">
      <formula>AND($H17 &lt; 0, ISNUMBER($H17))</formula>
    </cfRule>
    <cfRule type="expression" dxfId="1855" priority="97">
      <formula>AND($E17 &gt; 0, ISNUMBER($E17))</formula>
    </cfRule>
    <cfRule type="expression" dxfId="1854" priority="98">
      <formula>AND($E17 &lt; 0, ISNUMBER($E17))</formula>
    </cfRule>
  </conditionalFormatting>
  <conditionalFormatting sqref="D32:F33 E44:F44">
    <cfRule type="expression" dxfId="1853" priority="81">
      <formula>$E$44&gt;0</formula>
    </cfRule>
    <cfRule type="expression" dxfId="1852" priority="82">
      <formula>$E$44&lt;0</formula>
    </cfRule>
  </conditionalFormatting>
  <conditionalFormatting sqref="G32:I33 H44:I44">
    <cfRule type="expression" dxfId="1851" priority="79">
      <formula>$H$44&gt;0</formula>
    </cfRule>
    <cfRule type="expression" dxfId="1850" priority="80">
      <formula>$H$44&lt;0</formula>
    </cfRule>
  </conditionalFormatting>
  <conditionalFormatting sqref="J32:L33 K44:L44">
    <cfRule type="expression" dxfId="1849" priority="77">
      <formula>$K$44&gt;0</formula>
    </cfRule>
    <cfRule type="expression" dxfId="1848" priority="78">
      <formula>$K$44&lt;0</formula>
    </cfRule>
  </conditionalFormatting>
  <conditionalFormatting sqref="M32:O33 N44:O44">
    <cfRule type="expression" dxfId="1847" priority="75">
      <formula>$N$44&gt;0</formula>
    </cfRule>
    <cfRule type="expression" dxfId="1846" priority="76">
      <formula>$N$44&lt;0</formula>
    </cfRule>
  </conditionalFormatting>
  <conditionalFormatting sqref="A51:O60">
    <cfRule type="expression" dxfId="1845" priority="67">
      <formula>AND($N51 &gt; 0, ISNUMBER($N51))</formula>
    </cfRule>
    <cfRule type="expression" dxfId="1844" priority="68">
      <formula>AND($N51 &lt; 0, ISNUMBER($N51))</formula>
    </cfRule>
    <cfRule type="expression" dxfId="1843" priority="69">
      <formula>AND($K51 &gt; 0, ISNUMBER($K51))</formula>
    </cfRule>
    <cfRule type="expression" dxfId="1842" priority="70">
      <formula>AND($K51 &lt; 0, ISNUMBER($K51))</formula>
    </cfRule>
    <cfRule type="expression" dxfId="1841" priority="71">
      <formula>AND($H51 &gt; 0, ISNUMBER($H51))</formula>
    </cfRule>
    <cfRule type="expression" dxfId="1840" priority="72">
      <formula>AND($H51 &lt; 0, ISNUMBER($H51))</formula>
    </cfRule>
    <cfRule type="expression" dxfId="1839" priority="73">
      <formula>AND($E51 &gt; 0, ISNUMBER($E51))</formula>
    </cfRule>
    <cfRule type="expression" dxfId="1838" priority="74">
      <formula>AND($E51 &lt; 0, ISNUMBER($E51))</formula>
    </cfRule>
  </conditionalFormatting>
  <conditionalFormatting sqref="D49:F50 E61:F61">
    <cfRule type="expression" dxfId="1837" priority="65">
      <formula>$E$61&gt;0</formula>
    </cfRule>
    <cfRule type="expression" dxfId="1836" priority="66">
      <formula>$E$61&lt;0</formula>
    </cfRule>
  </conditionalFormatting>
  <conditionalFormatting sqref="G49:I50 H61:I61">
    <cfRule type="expression" dxfId="1835" priority="63">
      <formula>$H$61&gt;0</formula>
    </cfRule>
    <cfRule type="expression" dxfId="1834" priority="64">
      <formula>$H$61&lt;0</formula>
    </cfRule>
  </conditionalFormatting>
  <conditionalFormatting sqref="J49:L50 K61:L61">
    <cfRule type="expression" dxfId="1833" priority="61">
      <formula>$K$61&gt;0</formula>
    </cfRule>
    <cfRule type="expression" dxfId="1832" priority="62">
      <formula>$K$61&lt;0</formula>
    </cfRule>
  </conditionalFormatting>
  <conditionalFormatting sqref="M49:O50 N61:O61">
    <cfRule type="expression" dxfId="1831" priority="59">
      <formula>$N$61&gt;0</formula>
    </cfRule>
    <cfRule type="expression" dxfId="1830" priority="60">
      <formula>$N$61&lt;0</formula>
    </cfRule>
  </conditionalFormatting>
  <conditionalFormatting sqref="A68:O77">
    <cfRule type="expression" dxfId="1829" priority="51">
      <formula>AND($N68 &gt; 0, ISNUMBER($N68))</formula>
    </cfRule>
    <cfRule type="expression" dxfId="1828" priority="52">
      <formula>AND($N68 &lt; 0, ISNUMBER($N68))</formula>
    </cfRule>
    <cfRule type="expression" dxfId="1827" priority="53">
      <formula>AND($K68 &gt; 0, ISNUMBER($K68))</formula>
    </cfRule>
    <cfRule type="expression" dxfId="1826" priority="54">
      <formula>AND($K68 &lt; 0, ISNUMBER($K68))</formula>
    </cfRule>
    <cfRule type="expression" dxfId="1825" priority="55">
      <formula>AND($H68 &gt; 0, ISNUMBER($H68))</formula>
    </cfRule>
    <cfRule type="expression" dxfId="1824" priority="56">
      <formula>AND($H68 &lt; 0, ISNUMBER($H68))</formula>
    </cfRule>
    <cfRule type="expression" dxfId="1823" priority="57">
      <formula>AND($E68 &gt; 0, ISNUMBER($E68))</formula>
    </cfRule>
    <cfRule type="expression" dxfId="1822" priority="58">
      <formula>AND($E68 &lt; 0, ISNUMBER($E68))</formula>
    </cfRule>
  </conditionalFormatting>
  <conditionalFormatting sqref="D66:F67 E78:F78">
    <cfRule type="expression" dxfId="1821" priority="49">
      <formula>$E$78&gt;0</formula>
    </cfRule>
    <cfRule type="expression" dxfId="1820" priority="50">
      <formula>$E$78&lt;0</formula>
    </cfRule>
  </conditionalFormatting>
  <conditionalFormatting sqref="G66:I67 H78:I78">
    <cfRule type="expression" dxfId="1819" priority="47">
      <formula>$H$78&gt;0</formula>
    </cfRule>
    <cfRule type="expression" dxfId="1818" priority="48">
      <formula>$H$78&lt;0</formula>
    </cfRule>
  </conditionalFormatting>
  <conditionalFormatting sqref="J66:L67 K78:L78">
    <cfRule type="expression" dxfId="1817" priority="45">
      <formula>$K$78&gt;0</formula>
    </cfRule>
    <cfRule type="expression" dxfId="1816" priority="46">
      <formula>$K$78&lt;0</formula>
    </cfRule>
  </conditionalFormatting>
  <conditionalFormatting sqref="M66:O67 N78:O78">
    <cfRule type="expression" dxfId="1815" priority="43">
      <formula>$N$78&gt;0</formula>
    </cfRule>
    <cfRule type="expression" dxfId="1814" priority="44">
      <formula>$N$78&lt;0</formula>
    </cfRule>
  </conditionalFormatting>
  <conditionalFormatting sqref="A85:O94">
    <cfRule type="expression" dxfId="1813" priority="35">
      <formula>AND($N85 &gt; 0, ISNUMBER($N85))</formula>
    </cfRule>
    <cfRule type="expression" dxfId="1812" priority="36">
      <formula>AND($N85 &lt; 0, ISNUMBER($N85))</formula>
    </cfRule>
    <cfRule type="expression" dxfId="1811" priority="37">
      <formula>AND($K85 &gt; 0, ISNUMBER($K85))</formula>
    </cfRule>
    <cfRule type="expression" dxfId="1810" priority="38">
      <formula>AND($K85 &lt; 0, ISNUMBER($K85))</formula>
    </cfRule>
    <cfRule type="expression" dxfId="1809" priority="39">
      <formula>AND($H85 &gt; 0, ISNUMBER($H85))</formula>
    </cfRule>
    <cfRule type="expression" dxfId="1808" priority="40">
      <formula>AND($H85 &lt; 0, ISNUMBER($H85))</formula>
    </cfRule>
    <cfRule type="expression" dxfId="1807" priority="41">
      <formula>AND($E85 &gt; 0, ISNUMBER($E85))</formula>
    </cfRule>
    <cfRule type="expression" dxfId="1806" priority="42">
      <formula>AND($E85 &lt; 0, ISNUMBER($E85))</formula>
    </cfRule>
  </conditionalFormatting>
  <conditionalFormatting sqref="D83:F84 E95:F95">
    <cfRule type="expression" dxfId="1805" priority="33">
      <formula>$E$95&gt;0</formula>
    </cfRule>
    <cfRule type="expression" dxfId="1804" priority="34">
      <formula>$E$95&lt;0</formula>
    </cfRule>
  </conditionalFormatting>
  <conditionalFormatting sqref="G83:I84 H95:I95">
    <cfRule type="expression" dxfId="1803" priority="31">
      <formula>$H$95&gt;0</formula>
    </cfRule>
    <cfRule type="expression" dxfId="1802" priority="32">
      <formula>$H$95&lt;0</formula>
    </cfRule>
  </conditionalFormatting>
  <conditionalFormatting sqref="J83:L84 K95:L95">
    <cfRule type="expression" dxfId="1801" priority="29">
      <formula>$K$95&gt;0</formula>
    </cfRule>
    <cfRule type="expression" dxfId="1800" priority="30">
      <formula>$K$95&lt;0</formula>
    </cfRule>
  </conditionalFormatting>
  <conditionalFormatting sqref="M83:O84 N95:O95">
    <cfRule type="expression" dxfId="1799" priority="27">
      <formula>$N$95&gt;0</formula>
    </cfRule>
    <cfRule type="expression" dxfId="1798" priority="28">
      <formula>$N$95&lt;0</formula>
    </cfRule>
  </conditionalFormatting>
  <conditionalFormatting sqref="A102:O111">
    <cfRule type="expression" dxfId="1797" priority="19">
      <formula>AND($N102 &gt; 0, ISNUMBER($N102))</formula>
    </cfRule>
    <cfRule type="expression" dxfId="1796" priority="20">
      <formula>AND($N102 &lt; 0, ISNUMBER($N102))</formula>
    </cfRule>
    <cfRule type="expression" dxfId="1795" priority="21">
      <formula>AND($K102 &gt; 0, ISNUMBER($K102))</formula>
    </cfRule>
    <cfRule type="expression" dxfId="1794" priority="22">
      <formula>AND($K102 &lt; 0, ISNUMBER($K102))</formula>
    </cfRule>
    <cfRule type="expression" dxfId="1793" priority="23">
      <formula>AND($H102 &gt; 0, ISNUMBER($H102))</formula>
    </cfRule>
    <cfRule type="expression" dxfId="1792" priority="24">
      <formula>AND($H102 &lt; 0, ISNUMBER($H102))</formula>
    </cfRule>
    <cfRule type="expression" dxfId="1791" priority="25">
      <formula>AND($E102 &gt; 0, ISNUMBER($E102))</formula>
    </cfRule>
    <cfRule type="expression" dxfId="1790" priority="26">
      <formula>AND($E102 &lt; 0, ISNUMBER($E102))</formula>
    </cfRule>
  </conditionalFormatting>
  <conditionalFormatting sqref="D100:F101 E112:F112">
    <cfRule type="expression" dxfId="1789" priority="17">
      <formula>$E$112&gt;0</formula>
    </cfRule>
    <cfRule type="expression" dxfId="1788" priority="18">
      <formula>$E$112&lt;0</formula>
    </cfRule>
  </conditionalFormatting>
  <conditionalFormatting sqref="G100:I101 H112:I112">
    <cfRule type="expression" dxfId="1787" priority="15">
      <formula>$H$112&gt;0</formula>
    </cfRule>
    <cfRule type="expression" dxfId="1786" priority="16">
      <formula>$H$112&lt;0</formula>
    </cfRule>
  </conditionalFormatting>
  <conditionalFormatting sqref="J100:L101 K112:L112">
    <cfRule type="expression" dxfId="1785" priority="13">
      <formula>$K$112&gt;0</formula>
    </cfRule>
    <cfRule type="expression" dxfId="1784" priority="14">
      <formula>$K$112&lt;0</formula>
    </cfRule>
  </conditionalFormatting>
  <conditionalFormatting sqref="M100:O101 N112:O112">
    <cfRule type="expression" dxfId="1783" priority="11">
      <formula>$N$112&gt;0</formula>
    </cfRule>
    <cfRule type="expression" dxfId="1782" priority="12">
      <formula>$N$112&lt;0</formula>
    </cfRule>
  </conditionalFormatting>
  <conditionalFormatting sqref="G2:I3">
    <cfRule type="expression" dxfId="178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78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77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77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77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77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77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77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77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77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B36D-4B19-499D-8448-7388AA531B9A}">
  <sheetPr codeName="Sheet2"/>
  <dimension ref="A1:R112"/>
  <sheetViews>
    <sheetView topLeftCell="A65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44289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30,561 KRW (7.64%)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14,496 KRW (1.81%)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5,450 KRW (0.54%)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65" t="s">
        <v>69</v>
      </c>
      <c r="D16" s="18" t="s">
        <v>67</v>
      </c>
      <c r="E16" s="65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65" t="s">
        <v>67</v>
      </c>
      <c r="K16" s="65" t="s">
        <v>68</v>
      </c>
      <c r="L16" s="56" t="s">
        <v>70</v>
      </c>
      <c r="M16" s="18" t="s">
        <v>67</v>
      </c>
      <c r="N16" s="65" t="s">
        <v>68</v>
      </c>
      <c r="O16" s="21" t="s">
        <v>70</v>
      </c>
      <c r="Q16" s="206"/>
      <c r="R16" s="207"/>
    </row>
    <row r="17" spans="1:18" ht="17.25" customHeight="1">
      <c r="A17" s="39" t="s">
        <v>8</v>
      </c>
      <c r="B17" s="35">
        <f t="shared" ref="B17:B26" si="0">IF(NOT(_xlfn.IFNA(VLOOKUP($A17, $A$30:$O$112, 2, FALSE), "")=0), _xlfn.IFNA(VLOOKUP($A17, $A$30:$O$112, 2, FALSE), ""), "")</f>
        <v>38.4</v>
      </c>
      <c r="C17" s="22" t="str">
        <f t="shared" ref="C17:C26" si="1">IF(NOT(_xlfn.IFNA(VLOOKUP($A17, $A$30:$O$112, 3, FALSE), "")=0), _xlfn.IFNA(VLOOKUP($A17, $A$30:$O$112, 3, FALSE), ""), "")</f>
        <v/>
      </c>
      <c r="D17" s="35">
        <f t="shared" ref="D17:D26" si="2">IF(NOT(_xlfn.IFNA(VLOOKUP($A17, $A$30:$O$112, 4, FALSE), "")=0), _xlfn.IFNA(VLOOKUP($A17, $A$30:$O$112, 4, FALSE), ""), "")</f>
        <v>37.4</v>
      </c>
      <c r="E17" s="22">
        <f t="shared" ref="E17:E26" si="3">IF(NOT(_xlfn.IFNA(VLOOKUP($A17, $A$30:$O$112, 5, FALSE), "")=0), _xlfn.IFNA(VLOOKUP($A17, $A$30:$O$112, 5, FALSE), ""), "")</f>
        <v>-2.6041666666666668E-2</v>
      </c>
      <c r="F17" s="58">
        <f t="shared" ref="F17:F26" si="4">IF(NOT(_xlfn.IFNA(VLOOKUP($A17, $A$30:$O$112, 6, FALSE), "")=0), _xlfn.IFNA(VLOOKUP($A17, $A$30:$O$112, 6, FALSE), ""), "")</f>
        <v>-2604.166666666667</v>
      </c>
      <c r="G17" s="36">
        <f t="shared" ref="G17:G26" si="5">IF(NOT(_xlfn.IFNA(VLOOKUP($A17, $A$30:$O$112, 7, FALSE), "")=0), _xlfn.IFNA(VLOOKUP($A17, $A$30:$O$112, 7, FALSE), ""), "")</f>
        <v>36.799999999999997</v>
      </c>
      <c r="H17" s="63">
        <f t="shared" ref="H17:H26" si="6">IF(NOT(_xlfn.IFNA(VLOOKUP($A17, $A$30:$O$112, 8, FALSE), "")=0), _xlfn.IFNA(VLOOKUP($A17, $A$30:$O$112, 8, FALSE), ""), "")</f>
        <v>-4.1666666666666706E-2</v>
      </c>
      <c r="I17" s="66">
        <f t="shared" ref="I17:I26" si="7">IF(NOT(_xlfn.IFNA(VLOOKUP($A17, $A$30:$O$112, 9, FALSE), "")=0), _xlfn.IFNA(VLOOKUP($A17, $A$30:$O$112, 9, FALSE), ""), "")</f>
        <v>-4166.6666666666706</v>
      </c>
      <c r="J17" s="35">
        <f t="shared" ref="J17:J26" si="8">IF(NOT(_xlfn.IFNA(VLOOKUP($A17, $A$30:$O$112, 10, FALSE), "")=0), _xlfn.IFNA(VLOOKUP($A17, $A$30:$O$112, 10, FALSE), ""), "")</f>
        <v>37</v>
      </c>
      <c r="K17" s="22">
        <f t="shared" ref="K17:K26" si="9">IF(NOT(_xlfn.IFNA(VLOOKUP($A17, $A$30:$O$112, 11, FALSE), "")=0), _xlfn.IFNA(VLOOKUP($A17, $A$30:$O$112, 11, FALSE), ""), "")</f>
        <v>-3.6458333333333301E-2</v>
      </c>
      <c r="L17" s="58">
        <f t="shared" ref="L17:L26" si="10">IF(NOT(_xlfn.IFNA(VLOOKUP($A17, $A$30:$O$112, 12, FALSE), "")=0), _xlfn.IFNA(VLOOKUP($A17, $A$30:$O$112, 12, FALSE), ""), "")</f>
        <v>-3645.8333333333303</v>
      </c>
      <c r="M17" s="35" t="str">
        <f t="shared" ref="M17:M26" si="11">IF(NOT(_xlfn.IFNA(VLOOKUP($A17, $A$30:$O$112, 13, FALSE), "")=0), _xlfn.IFNA(VLOOKUP($A17, $A$30:$O$112, 13, FALSE), ""), "")</f>
        <v/>
      </c>
      <c r="N17" s="22" t="str">
        <f t="shared" ref="N17:N26" si="12">IF(NOT(_xlfn.IFNA(VLOOKUP($A17, $A$30:$O$112, 14, FALSE), "")=0), _xlfn.IFNA(VLOOKUP($A17, $A$30:$O$112, 14, FALSE), ""), "")</f>
        <v/>
      </c>
      <c r="O17" s="43" t="str">
        <f t="shared" ref="O17:O26" si="13"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 t="s">
        <v>12</v>
      </c>
      <c r="B18" s="36">
        <f t="shared" si="0"/>
        <v>44.6</v>
      </c>
      <c r="C18" s="63" t="str">
        <f t="shared" si="1"/>
        <v/>
      </c>
      <c r="D18" s="36">
        <f t="shared" si="2"/>
        <v>48</v>
      </c>
      <c r="E18" s="63">
        <f t="shared" si="3"/>
        <v>7.6233183856502212E-2</v>
      </c>
      <c r="F18" s="66">
        <f t="shared" si="4"/>
        <v>7623.318385650221</v>
      </c>
      <c r="G18" s="36">
        <f t="shared" si="5"/>
        <v>47.8</v>
      </c>
      <c r="H18" s="63">
        <f t="shared" si="6"/>
        <v>7.1748878923766718E-2</v>
      </c>
      <c r="I18" s="66">
        <f t="shared" si="7"/>
        <v>7174.8878923766715</v>
      </c>
      <c r="J18" s="36">
        <f t="shared" si="8"/>
        <v>47.7</v>
      </c>
      <c r="K18" s="63">
        <f t="shared" si="9"/>
        <v>6.9506726457399137E-2</v>
      </c>
      <c r="L18" s="66">
        <f t="shared" si="10"/>
        <v>6950.6726457399136</v>
      </c>
      <c r="M18" s="36" t="str">
        <f t="shared" si="11"/>
        <v/>
      </c>
      <c r="N18" s="63" t="str">
        <f t="shared" si="12"/>
        <v/>
      </c>
      <c r="O18" s="44" t="str">
        <f t="shared" si="13"/>
        <v/>
      </c>
      <c r="Q18" s="204"/>
      <c r="R18" s="205"/>
    </row>
    <row r="19" spans="1:18" ht="17.25" customHeight="1">
      <c r="A19" s="40" t="s">
        <v>51</v>
      </c>
      <c r="B19" s="36">
        <f t="shared" si="0"/>
        <v>67.099999999999994</v>
      </c>
      <c r="C19" s="63" t="str">
        <f t="shared" si="1"/>
        <v/>
      </c>
      <c r="D19" s="36">
        <f t="shared" si="2"/>
        <v>63.8</v>
      </c>
      <c r="E19" s="63">
        <f t="shared" si="3"/>
        <v>-4.9180327868852423E-2</v>
      </c>
      <c r="F19" s="66">
        <f t="shared" si="4"/>
        <v>-4918.0327868852428</v>
      </c>
      <c r="G19" s="36">
        <f t="shared" si="5"/>
        <v>63.6</v>
      </c>
      <c r="H19" s="63">
        <f t="shared" si="6"/>
        <v>-5.2160953800297963E-2</v>
      </c>
      <c r="I19" s="66">
        <f t="shared" si="7"/>
        <v>-5216.0953800297966</v>
      </c>
      <c r="J19" s="36">
        <f t="shared" si="8"/>
        <v>64.3</v>
      </c>
      <c r="K19" s="63">
        <f t="shared" si="9"/>
        <v>-4.1728763040238412E-2</v>
      </c>
      <c r="L19" s="66">
        <f t="shared" si="10"/>
        <v>-4172.8763040238409</v>
      </c>
      <c r="M19" s="36" t="str">
        <f t="shared" si="11"/>
        <v/>
      </c>
      <c r="N19" s="63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 t="s">
        <v>52</v>
      </c>
      <c r="B20" s="36">
        <f t="shared" si="0"/>
        <v>36.700000000000003</v>
      </c>
      <c r="C20" s="63" t="str">
        <f t="shared" si="1"/>
        <v/>
      </c>
      <c r="D20" s="36">
        <f t="shared" si="2"/>
        <v>36</v>
      </c>
      <c r="E20" s="63">
        <f t="shared" si="3"/>
        <v>-1.9073569482288905E-2</v>
      </c>
      <c r="F20" s="66">
        <f t="shared" si="4"/>
        <v>-1907.3569482288906</v>
      </c>
      <c r="G20" s="36">
        <f t="shared" si="5"/>
        <v>36</v>
      </c>
      <c r="H20" s="63">
        <f t="shared" si="6"/>
        <v>-1.9073569482288905E-2</v>
      </c>
      <c r="I20" s="66">
        <f t="shared" si="7"/>
        <v>-1907.3569482288906</v>
      </c>
      <c r="J20" s="36">
        <f t="shared" si="8"/>
        <v>36.4</v>
      </c>
      <c r="K20" s="63">
        <f t="shared" si="9"/>
        <v>-8.1743869209810419E-3</v>
      </c>
      <c r="L20" s="66">
        <f t="shared" si="10"/>
        <v>-817.43869209810418</v>
      </c>
      <c r="M20" s="36" t="str">
        <f t="shared" si="11"/>
        <v/>
      </c>
      <c r="N20" s="63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 t="s">
        <v>7</v>
      </c>
      <c r="B21" s="37">
        <f t="shared" si="0"/>
        <v>40.799999999999997</v>
      </c>
      <c r="C21" s="24" t="str">
        <f t="shared" si="1"/>
        <v/>
      </c>
      <c r="D21" s="37">
        <f t="shared" si="2"/>
        <v>40</v>
      </c>
      <c r="E21" s="24">
        <f t="shared" si="3"/>
        <v>-1.9607843137254832E-2</v>
      </c>
      <c r="F21" s="60">
        <f t="shared" si="4"/>
        <v>-1960.7843137254831</v>
      </c>
      <c r="G21" s="37">
        <f t="shared" si="5"/>
        <v>39.9</v>
      </c>
      <c r="H21" s="24">
        <f t="shared" si="6"/>
        <v>-2.2058823529411731E-2</v>
      </c>
      <c r="I21" s="60">
        <f t="shared" si="7"/>
        <v>-2205.8823529411729</v>
      </c>
      <c r="J21" s="37">
        <f t="shared" si="8"/>
        <v>40.4</v>
      </c>
      <c r="K21" s="24">
        <f t="shared" si="9"/>
        <v>-9.8039215686274161E-3</v>
      </c>
      <c r="L21" s="60">
        <f t="shared" si="10"/>
        <v>-980.39215686274156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 t="s">
        <v>53</v>
      </c>
      <c r="B22" s="36">
        <f t="shared" si="0"/>
        <v>69.8</v>
      </c>
      <c r="C22" s="63" t="str">
        <f t="shared" si="1"/>
        <v/>
      </c>
      <c r="D22" s="36">
        <f t="shared" si="2"/>
        <v>69.5</v>
      </c>
      <c r="E22" s="63">
        <f t="shared" si="3"/>
        <v>-4.2979942693409335E-3</v>
      </c>
      <c r="F22" s="66">
        <f t="shared" si="4"/>
        <v>-429.79942693409333</v>
      </c>
      <c r="G22" s="36">
        <f t="shared" si="5"/>
        <v>70.3</v>
      </c>
      <c r="H22" s="63">
        <f t="shared" si="6"/>
        <v>7.1633237822349575E-3</v>
      </c>
      <c r="I22" s="66">
        <f t="shared" si="7"/>
        <v>716.33237822349577</v>
      </c>
      <c r="J22" s="36">
        <f t="shared" si="8"/>
        <v>71.099999999999994</v>
      </c>
      <c r="K22" s="63">
        <f t="shared" si="9"/>
        <v>1.8624641833810848E-2</v>
      </c>
      <c r="L22" s="66">
        <f t="shared" si="10"/>
        <v>1862.4641833810847</v>
      </c>
      <c r="M22" s="36" t="str">
        <f t="shared" si="11"/>
        <v/>
      </c>
      <c r="N22" s="63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/>
      <c r="B23" s="36" t="str">
        <f t="shared" si="0"/>
        <v/>
      </c>
      <c r="C23" s="63" t="str">
        <f t="shared" si="1"/>
        <v/>
      </c>
      <c r="D23" s="36" t="str">
        <f t="shared" si="2"/>
        <v/>
      </c>
      <c r="E23" s="63" t="str">
        <f t="shared" si="3"/>
        <v/>
      </c>
      <c r="F23" s="66" t="str">
        <f t="shared" si="4"/>
        <v/>
      </c>
      <c r="G23" s="36" t="str">
        <f t="shared" si="5"/>
        <v/>
      </c>
      <c r="H23" s="63" t="str">
        <f t="shared" si="6"/>
        <v/>
      </c>
      <c r="I23" s="66" t="str">
        <f t="shared" si="7"/>
        <v/>
      </c>
      <c r="J23" s="36" t="str">
        <f t="shared" si="8"/>
        <v/>
      </c>
      <c r="K23" s="63" t="str">
        <f t="shared" si="9"/>
        <v/>
      </c>
      <c r="L23" s="66" t="str">
        <f t="shared" si="10"/>
        <v/>
      </c>
      <c r="M23" s="36" t="str">
        <f t="shared" si="11"/>
        <v/>
      </c>
      <c r="N23" s="63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0"/>
        <v/>
      </c>
      <c r="C24" s="63" t="str">
        <f t="shared" si="1"/>
        <v/>
      </c>
      <c r="D24" s="36" t="str">
        <f t="shared" si="2"/>
        <v/>
      </c>
      <c r="E24" s="63" t="str">
        <f t="shared" si="3"/>
        <v/>
      </c>
      <c r="F24" s="66" t="str">
        <f t="shared" si="4"/>
        <v/>
      </c>
      <c r="G24" s="36" t="str">
        <f t="shared" si="5"/>
        <v/>
      </c>
      <c r="H24" s="63" t="str">
        <f t="shared" si="6"/>
        <v/>
      </c>
      <c r="I24" s="66" t="str">
        <f t="shared" si="7"/>
        <v/>
      </c>
      <c r="J24" s="36" t="str">
        <f t="shared" si="8"/>
        <v/>
      </c>
      <c r="K24" s="63" t="str">
        <f t="shared" si="9"/>
        <v/>
      </c>
      <c r="L24" s="66" t="str">
        <f t="shared" si="10"/>
        <v/>
      </c>
      <c r="M24" s="36" t="str">
        <f t="shared" si="11"/>
        <v/>
      </c>
      <c r="N24" s="63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0"/>
        <v/>
      </c>
      <c r="C25" s="63" t="str">
        <f t="shared" si="1"/>
        <v/>
      </c>
      <c r="D25" s="36" t="str">
        <f t="shared" si="2"/>
        <v/>
      </c>
      <c r="E25" s="63" t="str">
        <f t="shared" si="3"/>
        <v/>
      </c>
      <c r="F25" s="66" t="str">
        <f t="shared" si="4"/>
        <v/>
      </c>
      <c r="G25" s="36" t="str">
        <f t="shared" si="5"/>
        <v/>
      </c>
      <c r="H25" s="63" t="str">
        <f t="shared" si="6"/>
        <v/>
      </c>
      <c r="I25" s="66" t="str">
        <f t="shared" si="7"/>
        <v/>
      </c>
      <c r="J25" s="36" t="str">
        <f t="shared" si="8"/>
        <v/>
      </c>
      <c r="K25" s="63" t="str">
        <f t="shared" si="9"/>
        <v/>
      </c>
      <c r="L25" s="66" t="str">
        <f t="shared" si="10"/>
        <v/>
      </c>
      <c r="M25" s="36" t="str">
        <f t="shared" si="11"/>
        <v/>
      </c>
      <c r="N25" s="63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-6.9947029279835921E-3</v>
      </c>
      <c r="F27" s="47">
        <f>SUM(F17:F26)</f>
        <v>-4196.8217567901556</v>
      </c>
      <c r="G27" s="57" t="s">
        <v>82</v>
      </c>
      <c r="H27" s="46">
        <f>IF(COUNT(H17:H26), SUM(H17:H26) / COUNT(H17:H26), 0)</f>
        <v>-9.3413017954439379E-3</v>
      </c>
      <c r="I27" s="47">
        <f>SUM(I17:I26)</f>
        <v>-5604.7810772663634</v>
      </c>
      <c r="J27" s="57" t="s">
        <v>82</v>
      </c>
      <c r="K27" s="46">
        <f>IF(COUNT(K17:K26), SUM(K17:K26) / COUNT(K17:K26), 0)</f>
        <v>-1.3390060953283641E-3</v>
      </c>
      <c r="L27" s="47">
        <f>SUM(L17:L26)</f>
        <v>-803.40365719701867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/>
    <row r="29" spans="1:18" ht="17.25" customHeight="1" thickBot="1"/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65" t="s">
        <v>69</v>
      </c>
      <c r="D33" s="18" t="s">
        <v>67</v>
      </c>
      <c r="E33" s="65" t="s">
        <v>68</v>
      </c>
      <c r="F33" s="19" t="s">
        <v>70</v>
      </c>
      <c r="G33" s="18" t="s">
        <v>67</v>
      </c>
      <c r="H33" s="65" t="s">
        <v>68</v>
      </c>
      <c r="I33" s="19" t="s">
        <v>70</v>
      </c>
      <c r="J33" s="65" t="s">
        <v>67</v>
      </c>
      <c r="K33" s="65" t="s">
        <v>68</v>
      </c>
      <c r="L33" s="56" t="s">
        <v>70</v>
      </c>
      <c r="M33" s="18" t="s">
        <v>67</v>
      </c>
      <c r="N33" s="65" t="s">
        <v>68</v>
      </c>
      <c r="O33" s="21" t="s">
        <v>70</v>
      </c>
      <c r="Q33" s="231"/>
      <c r="R33" s="232"/>
    </row>
    <row r="34" spans="1:18" ht="17.25" customHeight="1">
      <c r="A34" s="9" t="s">
        <v>4</v>
      </c>
      <c r="B34" s="31">
        <v>7</v>
      </c>
      <c r="C34" s="22"/>
      <c r="D34" s="35">
        <v>8.4</v>
      </c>
      <c r="E34" s="22">
        <f t="shared" ref="E34:E43" si="14">IF(ISNUMBER(D34), (D34 - $B34) / $B34, "")</f>
        <v>0.20000000000000004</v>
      </c>
      <c r="F34" s="43">
        <f>IF(ISNUMBER(D34), $B44 * E34, "")</f>
        <v>20000.000000000004</v>
      </c>
      <c r="G34" s="35">
        <v>9.1999999999999993</v>
      </c>
      <c r="H34" s="22">
        <f t="shared" ref="H34:H43" si="15">IF(ISNUMBER(G34), (G34 - $B34) / $B34, "")</f>
        <v>0.31428571428571417</v>
      </c>
      <c r="I34" s="43">
        <f>IF(ISNUMBER(G34), $B44 * H34, "")</f>
        <v>31428.571428571417</v>
      </c>
      <c r="J34" s="35">
        <v>9.1999999999999993</v>
      </c>
      <c r="K34" s="22">
        <f t="shared" ref="K34:K43" si="16">IF(ISNUMBER(J34), (J34 - $B34) / $B34, "")</f>
        <v>0.31428571428571417</v>
      </c>
      <c r="L34" s="43">
        <f>IF(ISNUMBER(J34), $B44 * K34, "")</f>
        <v>31428.571428571417</v>
      </c>
      <c r="M34" s="35"/>
      <c r="N34" s="22" t="str">
        <f t="shared" ref="N34:N43" si="17"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 t="s">
        <v>8</v>
      </c>
      <c r="B35" s="64">
        <v>38.4</v>
      </c>
      <c r="C35" s="63"/>
      <c r="D35" s="36">
        <v>37.4</v>
      </c>
      <c r="E35" s="63">
        <f t="shared" si="14"/>
        <v>-2.6041666666666668E-2</v>
      </c>
      <c r="F35" s="44">
        <f>IF(ISNUMBER(D35), $B44 * E35, "")</f>
        <v>-2604.166666666667</v>
      </c>
      <c r="G35" s="36">
        <v>36.799999999999997</v>
      </c>
      <c r="H35" s="63">
        <f t="shared" si="15"/>
        <v>-4.1666666666666706E-2</v>
      </c>
      <c r="I35" s="44">
        <f>IF(ISNUMBER(G35), $B44 * H35, "")</f>
        <v>-4166.6666666666706</v>
      </c>
      <c r="J35" s="36">
        <v>37</v>
      </c>
      <c r="K35" s="63">
        <f t="shared" si="16"/>
        <v>-3.6458333333333301E-2</v>
      </c>
      <c r="L35" s="44">
        <f>IF(ISNUMBER(J35), $B44 * K35, "")</f>
        <v>-3645.8333333333303</v>
      </c>
      <c r="M35" s="36"/>
      <c r="N35" s="63" t="str">
        <f t="shared" si="17"/>
        <v/>
      </c>
      <c r="O35" s="44" t="str">
        <f>IF(ISNUMBER(M35), $B44 * N35, "")</f>
        <v/>
      </c>
      <c r="Q35" s="229"/>
      <c r="R35" s="230"/>
    </row>
    <row r="36" spans="1:18" ht="17.25" customHeight="1">
      <c r="A36" s="11" t="s">
        <v>12</v>
      </c>
      <c r="B36" s="64">
        <v>44.6</v>
      </c>
      <c r="C36" s="63"/>
      <c r="D36" s="36">
        <v>48</v>
      </c>
      <c r="E36" s="63">
        <f t="shared" si="14"/>
        <v>7.6233183856502212E-2</v>
      </c>
      <c r="F36" s="44">
        <f>IF(ISNUMBER(D36), $B44 * E36, "")</f>
        <v>7623.318385650221</v>
      </c>
      <c r="G36" s="36">
        <v>47.8</v>
      </c>
      <c r="H36" s="63">
        <f t="shared" si="15"/>
        <v>7.1748878923766718E-2</v>
      </c>
      <c r="I36" s="44">
        <f>IF(ISNUMBER(G36), $B44 * H36, "")</f>
        <v>7174.8878923766715</v>
      </c>
      <c r="J36" s="36">
        <v>47.7</v>
      </c>
      <c r="K36" s="63">
        <f t="shared" si="16"/>
        <v>6.9506726457399137E-2</v>
      </c>
      <c r="L36" s="44">
        <f>IF(ISNUMBER(J36), $B44 * K36, "")</f>
        <v>6950.6726457399136</v>
      </c>
      <c r="M36" s="36"/>
      <c r="N36" s="63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 t="s">
        <v>51</v>
      </c>
      <c r="B37" s="64">
        <v>67.099999999999994</v>
      </c>
      <c r="C37" s="63"/>
      <c r="D37" s="36">
        <v>63.8</v>
      </c>
      <c r="E37" s="63">
        <f t="shared" si="14"/>
        <v>-4.9180327868852423E-2</v>
      </c>
      <c r="F37" s="44">
        <f>IF(ISNUMBER(D37), $B44 * E37, "")</f>
        <v>-4918.0327868852428</v>
      </c>
      <c r="G37" s="36">
        <v>63.6</v>
      </c>
      <c r="H37" s="63">
        <f t="shared" si="15"/>
        <v>-5.2160953800297963E-2</v>
      </c>
      <c r="I37" s="44">
        <f>IF(ISNUMBER(G37), $B44 * H37, "")</f>
        <v>-5216.0953800297966</v>
      </c>
      <c r="J37" s="36">
        <v>64.3</v>
      </c>
      <c r="K37" s="63">
        <f t="shared" si="16"/>
        <v>-4.1728763040238412E-2</v>
      </c>
      <c r="L37" s="44">
        <f>IF(ISNUMBER(J37), $B44 * K37, "")</f>
        <v>-4172.8763040238409</v>
      </c>
      <c r="M37" s="36"/>
      <c r="N37" s="63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64"/>
      <c r="C39" s="63"/>
      <c r="D39" s="36"/>
      <c r="E39" s="63" t="str">
        <f t="shared" si="14"/>
        <v/>
      </c>
      <c r="F39" s="48" t="str">
        <f>IF(ISNUMBER(D39), $B44 * E39, "")</f>
        <v/>
      </c>
      <c r="G39" s="36"/>
      <c r="H39" s="63" t="str">
        <f t="shared" si="15"/>
        <v/>
      </c>
      <c r="I39" s="48" t="str">
        <f>IF(ISNUMBER(G39), $B44 * H39, "")</f>
        <v/>
      </c>
      <c r="J39" s="36"/>
      <c r="K39" s="63" t="str">
        <f t="shared" si="16"/>
        <v/>
      </c>
      <c r="L39" s="48" t="str">
        <f>IF(ISNUMBER(J39), $B44 * K39, "")</f>
        <v/>
      </c>
      <c r="M39" s="36"/>
      <c r="N39" s="63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64"/>
      <c r="C40" s="63"/>
      <c r="D40" s="36"/>
      <c r="E40" s="63" t="str">
        <f t="shared" si="14"/>
        <v/>
      </c>
      <c r="F40" s="44" t="str">
        <f>IF(ISNUMBER(D40), $B44 * E40, "")</f>
        <v/>
      </c>
      <c r="G40" s="36"/>
      <c r="H40" s="63" t="str">
        <f t="shared" si="15"/>
        <v/>
      </c>
      <c r="I40" s="44" t="str">
        <f>IF(ISNUMBER(G40), $B44 * H40, "")</f>
        <v/>
      </c>
      <c r="J40" s="36"/>
      <c r="K40" s="63" t="str">
        <f t="shared" si="16"/>
        <v/>
      </c>
      <c r="L40" s="44" t="str">
        <f>IF(ISNUMBER(J40), $B44 * K40, "")</f>
        <v/>
      </c>
      <c r="M40" s="36"/>
      <c r="N40" s="63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64"/>
      <c r="C41" s="63"/>
      <c r="D41" s="36"/>
      <c r="E41" s="63" t="str">
        <f t="shared" si="14"/>
        <v/>
      </c>
      <c r="F41" s="44" t="str">
        <f>IF(ISNUMBER(D41), $B44 * E41, "")</f>
        <v/>
      </c>
      <c r="G41" s="36"/>
      <c r="H41" s="63" t="str">
        <f t="shared" si="15"/>
        <v/>
      </c>
      <c r="I41" s="44" t="str">
        <f>IF(ISNUMBER(G41), $B44 * H41, "")</f>
        <v/>
      </c>
      <c r="J41" s="36"/>
      <c r="K41" s="63" t="str">
        <f t="shared" si="16"/>
        <v/>
      </c>
      <c r="L41" s="44" t="str">
        <f>IF(ISNUMBER(J41), $B44 * K41, "")</f>
        <v/>
      </c>
      <c r="M41" s="36"/>
      <c r="N41" s="63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64"/>
      <c r="C42" s="63"/>
      <c r="D42" s="36"/>
      <c r="E42" s="63" t="str">
        <f t="shared" si="14"/>
        <v/>
      </c>
      <c r="F42" s="44" t="str">
        <f>IF(ISNUMBER(D42), $B44 * E42, "")</f>
        <v/>
      </c>
      <c r="G42" s="36"/>
      <c r="H42" s="63" t="str">
        <f t="shared" si="15"/>
        <v/>
      </c>
      <c r="I42" s="44" t="str">
        <f>IF(ISNUMBER(G42), $B44 * H42, "")</f>
        <v/>
      </c>
      <c r="J42" s="36"/>
      <c r="K42" s="63" t="str">
        <f t="shared" si="16"/>
        <v/>
      </c>
      <c r="L42" s="44" t="str">
        <f>IF(ISNUMBER(J42), $B44 * K42, "")</f>
        <v/>
      </c>
      <c r="M42" s="36"/>
      <c r="N42" s="63" t="str">
        <f t="shared" si="17"/>
        <v/>
      </c>
      <c r="O42" s="44" t="str">
        <f>IF(ISNUMBER(M42), $B44 * N42, "")</f>
        <v/>
      </c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5.0252797330245784E-2</v>
      </c>
      <c r="F44" s="47">
        <f>SUM(F34:F43)</f>
        <v>20101.118932098314</v>
      </c>
      <c r="G44" s="57" t="s">
        <v>82</v>
      </c>
      <c r="H44" s="46">
        <f>IF(COUNT(H34:H43), SUM(H34:H43) / COUNT(H34:H43), 0)</f>
        <v>7.305174318562907E-2</v>
      </c>
      <c r="I44" s="47">
        <f>SUM(I34:I43)</f>
        <v>29220.697274251619</v>
      </c>
      <c r="J44" s="57" t="s">
        <v>82</v>
      </c>
      <c r="K44" s="46">
        <f>IF(COUNT(K34:K43), SUM(K34:K43) / COUNT(K34:K43), 0)</f>
        <v>7.6401336092385391E-2</v>
      </c>
      <c r="L44" s="47">
        <f>SUM(L34:L43)</f>
        <v>30560.534436954156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/>
    <row r="46" spans="1:18" ht="17.25" customHeight="1" thickBot="1"/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65" t="s">
        <v>69</v>
      </c>
      <c r="D50" s="18" t="s">
        <v>67</v>
      </c>
      <c r="E50" s="65" t="s">
        <v>68</v>
      </c>
      <c r="F50" s="19" t="s">
        <v>70</v>
      </c>
      <c r="G50" s="18" t="s">
        <v>67</v>
      </c>
      <c r="H50" s="65" t="s">
        <v>68</v>
      </c>
      <c r="I50" s="19" t="s">
        <v>70</v>
      </c>
      <c r="J50" s="65" t="s">
        <v>67</v>
      </c>
      <c r="K50" s="65" t="s">
        <v>68</v>
      </c>
      <c r="L50" s="56" t="s">
        <v>70</v>
      </c>
      <c r="M50" s="18" t="s">
        <v>67</v>
      </c>
      <c r="N50" s="65" t="s">
        <v>68</v>
      </c>
      <c r="O50" s="21" t="s">
        <v>70</v>
      </c>
      <c r="Q50" s="231"/>
      <c r="R50" s="232"/>
    </row>
    <row r="51" spans="1:18" ht="17.25" customHeight="1">
      <c r="A51" s="9" t="s">
        <v>52</v>
      </c>
      <c r="B51" s="31">
        <v>36.700000000000003</v>
      </c>
      <c r="C51" s="22"/>
      <c r="D51" s="35">
        <v>36</v>
      </c>
      <c r="E51" s="22">
        <f t="shared" ref="E51:E60" si="18">IF(ISNUMBER(D51), (D51 - $B51) / $B51, "")</f>
        <v>-1.9073569482288905E-2</v>
      </c>
      <c r="F51" s="43">
        <f>IF(ISNUMBER(D51), $B61 * E51, "")</f>
        <v>-1907.3569482288906</v>
      </c>
      <c r="G51" s="35">
        <v>36</v>
      </c>
      <c r="H51" s="22">
        <f t="shared" ref="H51:H60" si="19">IF(ISNUMBER(G51), (G51 - $B51) / $B51, "")</f>
        <v>-1.9073569482288905E-2</v>
      </c>
      <c r="I51" s="43">
        <f>IF(ISNUMBER(G51), $B61 * H51, "")</f>
        <v>-1907.3569482288906</v>
      </c>
      <c r="J51" s="35">
        <v>36.4</v>
      </c>
      <c r="K51" s="22">
        <f t="shared" ref="K51:K60" si="20">IF(ISNUMBER(J51), (J51 - $B51) / $B51, "")</f>
        <v>-8.1743869209810419E-3</v>
      </c>
      <c r="L51" s="43">
        <f>IF(ISNUMBER(J51), $B61 * K51, "")</f>
        <v>-817.43869209810418</v>
      </c>
      <c r="M51" s="35"/>
      <c r="N51" s="22" t="str">
        <f t="shared" ref="N51:N60" si="21"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 t="s">
        <v>5</v>
      </c>
      <c r="B52" s="64">
        <v>36.5</v>
      </c>
      <c r="C52" s="63"/>
      <c r="D52" s="36">
        <v>37.1</v>
      </c>
      <c r="E52" s="63">
        <f t="shared" si="18"/>
        <v>1.6438356164383602E-2</v>
      </c>
      <c r="F52" s="44">
        <f>IF(ISNUMBER(D52), $B61 * E52, "")</f>
        <v>1643.8356164383601</v>
      </c>
      <c r="G52" s="36">
        <v>36</v>
      </c>
      <c r="H52" s="63">
        <f t="shared" si="19"/>
        <v>-1.3698630136986301E-2</v>
      </c>
      <c r="I52" s="44">
        <f>IF(ISNUMBER(G52), $B61 * H52, "")</f>
        <v>-1369.8630136986301</v>
      </c>
      <c r="J52" s="36">
        <v>35.9</v>
      </c>
      <c r="K52" s="63">
        <f t="shared" si="20"/>
        <v>-1.6438356164383602E-2</v>
      </c>
      <c r="L52" s="44">
        <f>IF(ISNUMBER(J52), $B61 * K52, "")</f>
        <v>-1643.8356164383601</v>
      </c>
      <c r="M52" s="36"/>
      <c r="N52" s="63" t="str">
        <f t="shared" si="21"/>
        <v/>
      </c>
      <c r="O52" s="44" t="str">
        <f>IF(ISNUMBER(M52), $B61 * N52, "")</f>
        <v/>
      </c>
      <c r="Q52" s="229"/>
      <c r="R52" s="230"/>
    </row>
    <row r="53" spans="1:18" ht="17.25" customHeight="1">
      <c r="A53" s="11" t="s">
        <v>7</v>
      </c>
      <c r="B53" s="64">
        <v>40.799999999999997</v>
      </c>
      <c r="C53" s="63"/>
      <c r="D53" s="36">
        <v>40</v>
      </c>
      <c r="E53" s="63">
        <f t="shared" si="18"/>
        <v>-1.9607843137254832E-2</v>
      </c>
      <c r="F53" s="44">
        <f>IF(ISNUMBER(D53), $B61 * E53, "")</f>
        <v>-1960.7843137254831</v>
      </c>
      <c r="G53" s="36">
        <v>39.9</v>
      </c>
      <c r="H53" s="63">
        <f t="shared" si="19"/>
        <v>-2.2058823529411731E-2</v>
      </c>
      <c r="I53" s="44">
        <f>IF(ISNUMBER(G53), $B61 * H53, "")</f>
        <v>-2205.8823529411729</v>
      </c>
      <c r="J53" s="36">
        <v>40.4</v>
      </c>
      <c r="K53" s="63">
        <f t="shared" si="20"/>
        <v>-9.8039215686274161E-3</v>
      </c>
      <c r="L53" s="44">
        <f>IF(ISNUMBER(J53), $B61 * K53, "")</f>
        <v>-980.39215686274156</v>
      </c>
      <c r="M53" s="36"/>
      <c r="N53" s="63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 t="s">
        <v>6</v>
      </c>
      <c r="B54" s="64">
        <v>42.9</v>
      </c>
      <c r="C54" s="63"/>
      <c r="D54" s="36">
        <v>39.5</v>
      </c>
      <c r="E54" s="63">
        <f t="shared" si="18"/>
        <v>-7.9254079254079221E-2</v>
      </c>
      <c r="F54" s="44">
        <f>IF(ISNUMBER(D54), $B61 * E54, "")</f>
        <v>-7925.4079254079224</v>
      </c>
      <c r="G54" s="36">
        <v>40.1</v>
      </c>
      <c r="H54" s="63">
        <f t="shared" si="19"/>
        <v>-6.5268065268065209E-2</v>
      </c>
      <c r="I54" s="44">
        <f>IF(ISNUMBER(G54), $B61 * H54, "")</f>
        <v>-6526.8065268065211</v>
      </c>
      <c r="J54" s="36">
        <v>40.5</v>
      </c>
      <c r="K54" s="63">
        <f t="shared" si="20"/>
        <v>-5.5944055944055909E-2</v>
      </c>
      <c r="L54" s="44">
        <f>IF(ISNUMBER(J54), $B61 * K54, "")</f>
        <v>-5594.4055944055908</v>
      </c>
      <c r="M54" s="36"/>
      <c r="N54" s="63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 t="s">
        <v>9</v>
      </c>
      <c r="B55" s="33">
        <v>43.6</v>
      </c>
      <c r="C55" s="24"/>
      <c r="D55" s="37">
        <v>45.3</v>
      </c>
      <c r="E55" s="24">
        <f t="shared" si="18"/>
        <v>3.8990825688073293E-2</v>
      </c>
      <c r="F55" s="44">
        <f>IF(ISNUMBER(D55), $B61 * E55, "")</f>
        <v>3899.0825688073292</v>
      </c>
      <c r="G55" s="37">
        <v>44.4</v>
      </c>
      <c r="H55" s="24">
        <f t="shared" si="19"/>
        <v>1.8348623853210944E-2</v>
      </c>
      <c r="I55" s="44">
        <f>IF(ISNUMBER(G55), $B61 * H55, "")</f>
        <v>1834.8623853210945</v>
      </c>
      <c r="J55" s="37">
        <v>43.9</v>
      </c>
      <c r="K55" s="24">
        <f t="shared" si="20"/>
        <v>6.8807339449540629E-3</v>
      </c>
      <c r="L55" s="44">
        <f>IF(ISNUMBER(J55), $B61 * K55, "")</f>
        <v>688.07339449540632</v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 t="s">
        <v>10</v>
      </c>
      <c r="B56" s="64">
        <v>44.9</v>
      </c>
      <c r="C56" s="63"/>
      <c r="D56" s="36">
        <v>52.9</v>
      </c>
      <c r="E56" s="63">
        <f t="shared" si="18"/>
        <v>0.17817371937639198</v>
      </c>
      <c r="F56" s="48">
        <f>IF(ISNUMBER(D56), $B61 * E56, "")</f>
        <v>17817.371937639196</v>
      </c>
      <c r="G56" s="36">
        <v>50.9</v>
      </c>
      <c r="H56" s="63">
        <f t="shared" si="19"/>
        <v>0.133630289532294</v>
      </c>
      <c r="I56" s="48">
        <f>IF(ISNUMBER(G56), $B61 * H56, "")</f>
        <v>13363.028953229399</v>
      </c>
      <c r="J56" s="36">
        <v>51.7</v>
      </c>
      <c r="K56" s="63">
        <f t="shared" si="20"/>
        <v>0.1514476614699333</v>
      </c>
      <c r="L56" s="48">
        <f>IF(ISNUMBER(J56), $B61 * K56, "")</f>
        <v>15144.76614699333</v>
      </c>
      <c r="M56" s="36"/>
      <c r="N56" s="63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 t="s">
        <v>13</v>
      </c>
      <c r="B57" s="64">
        <v>56.88</v>
      </c>
      <c r="C57" s="63"/>
      <c r="D57" s="36">
        <v>60.1</v>
      </c>
      <c r="E57" s="63">
        <f t="shared" si="18"/>
        <v>5.6610407876230638E-2</v>
      </c>
      <c r="F57" s="44">
        <f>IF(ISNUMBER(D57), $B61 * E57, "")</f>
        <v>5661.0407876230638</v>
      </c>
      <c r="G57" s="36">
        <v>59</v>
      </c>
      <c r="H57" s="63">
        <f t="shared" si="19"/>
        <v>3.7271448663853679E-2</v>
      </c>
      <c r="I57" s="44">
        <f>IF(ISNUMBER(G57), $B61 * H57, "")</f>
        <v>3727.144866385368</v>
      </c>
      <c r="J57" s="36">
        <v>60.2</v>
      </c>
      <c r="K57" s="63">
        <f t="shared" si="20"/>
        <v>5.8368495077355836E-2</v>
      </c>
      <c r="L57" s="44">
        <f>IF(ISNUMBER(J57), $B61 * K57, "")</f>
        <v>5836.8495077355838</v>
      </c>
      <c r="M57" s="36"/>
      <c r="N57" s="63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 t="s">
        <v>53</v>
      </c>
      <c r="B58" s="64">
        <v>69.8</v>
      </c>
      <c r="C58" s="63"/>
      <c r="D58" s="36">
        <v>69.5</v>
      </c>
      <c r="E58" s="63">
        <f t="shared" si="18"/>
        <v>-4.2979942693409335E-3</v>
      </c>
      <c r="F58" s="44">
        <f>IF(ISNUMBER(D58), $B61 * E58, "")</f>
        <v>-429.79942693409333</v>
      </c>
      <c r="G58" s="36">
        <v>70.3</v>
      </c>
      <c r="H58" s="63">
        <f t="shared" si="19"/>
        <v>7.1633237822349575E-3</v>
      </c>
      <c r="I58" s="44">
        <f>IF(ISNUMBER(G58), $B61 * H58, "")</f>
        <v>716.33237822349577</v>
      </c>
      <c r="J58" s="36">
        <v>71.099999999999994</v>
      </c>
      <c r="K58" s="63">
        <f t="shared" si="20"/>
        <v>1.8624641833810848E-2</v>
      </c>
      <c r="L58" s="44">
        <f>IF(ISNUMBER(J58), $B61 * K58, "")</f>
        <v>1862.4641833810847</v>
      </c>
      <c r="M58" s="36"/>
      <c r="N58" s="63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64"/>
      <c r="C59" s="63"/>
      <c r="D59" s="36"/>
      <c r="E59" s="63" t="str">
        <f t="shared" si="18"/>
        <v/>
      </c>
      <c r="F59" s="44" t="str">
        <f>IF(ISNUMBER(D59), $B61 * E59, "")</f>
        <v/>
      </c>
      <c r="G59" s="36"/>
      <c r="H59" s="63" t="str">
        <f t="shared" si="19"/>
        <v/>
      </c>
      <c r="I59" s="44" t="str">
        <f>IF(ISNUMBER(G59), $B61 * H59, "")</f>
        <v/>
      </c>
      <c r="J59" s="36"/>
      <c r="K59" s="63" t="str">
        <f t="shared" si="20"/>
        <v/>
      </c>
      <c r="L59" s="44" t="str">
        <f>IF(ISNUMBER(J59), $B61 * K59, "")</f>
        <v/>
      </c>
      <c r="M59" s="36"/>
      <c r="N59" s="63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2.0997477870264455E-2</v>
      </c>
      <c r="F61" s="47">
        <f>SUM(F51:F60)</f>
        <v>16797.982296211561</v>
      </c>
      <c r="G61" s="57" t="s">
        <v>82</v>
      </c>
      <c r="H61" s="46">
        <f>IF(COUNT(H51:H60), SUM(H51:H60) / COUNT(H51:H60), 0)</f>
        <v>9.5393246768551796E-3</v>
      </c>
      <c r="I61" s="47">
        <f>SUM(I51:I60)</f>
        <v>7631.4597414841419</v>
      </c>
      <c r="J61" s="57" t="s">
        <v>82</v>
      </c>
      <c r="K61" s="46">
        <f>IF(COUNT(K51:K60), SUM(K51:K60) / COUNT(K51:K60), 0)</f>
        <v>1.8120101466000758E-2</v>
      </c>
      <c r="L61" s="47">
        <f>SUM(L51:L60)</f>
        <v>14496.081172800608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65" t="s">
        <v>69</v>
      </c>
      <c r="D67" s="18" t="s">
        <v>67</v>
      </c>
      <c r="E67" s="65" t="s">
        <v>68</v>
      </c>
      <c r="F67" s="19" t="s">
        <v>70</v>
      </c>
      <c r="G67" s="18" t="s">
        <v>67</v>
      </c>
      <c r="H67" s="65" t="s">
        <v>68</v>
      </c>
      <c r="I67" s="19" t="s">
        <v>70</v>
      </c>
      <c r="J67" s="65" t="s">
        <v>67</v>
      </c>
      <c r="K67" s="65" t="s">
        <v>68</v>
      </c>
      <c r="L67" s="56" t="s">
        <v>70</v>
      </c>
      <c r="M67" s="18" t="s">
        <v>67</v>
      </c>
      <c r="N67" s="65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 t="shared" ref="E68:E77" si="22">IF(ISNUMBER(D68), (D68 - $B68) / $B68, "")</f>
        <v/>
      </c>
      <c r="F68" s="43" t="str">
        <f>IF(ISNUMBER(D68), $B78 * E68, "")</f>
        <v/>
      </c>
      <c r="G68" s="35"/>
      <c r="H68" s="22" t="str">
        <f t="shared" ref="H68:H77" si="23">IF(ISNUMBER(G68), (G68 - $B68) / $B68, "")</f>
        <v/>
      </c>
      <c r="I68" s="43" t="str">
        <f>IF(ISNUMBER(G68), $B78 * H68, "")</f>
        <v/>
      </c>
      <c r="J68" s="35"/>
      <c r="K68" s="22" t="str">
        <f t="shared" ref="K68:K77" si="24">IF(ISNUMBER(J68), (J68 - $B68) / $B68, "")</f>
        <v/>
      </c>
      <c r="L68" s="43" t="str">
        <f>IF(ISNUMBER(J68), $B78 * K68, "")</f>
        <v/>
      </c>
      <c r="M68" s="35"/>
      <c r="N68" s="22" t="str">
        <f t="shared" ref="N68:N77" si="25"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64"/>
      <c r="C69" s="63"/>
      <c r="D69" s="36"/>
      <c r="E69" s="63" t="str">
        <f t="shared" si="22"/>
        <v/>
      </c>
      <c r="F69" s="44" t="str">
        <f>IF(ISNUMBER(D69), $B78 * E69, "")</f>
        <v/>
      </c>
      <c r="G69" s="36"/>
      <c r="H69" s="63" t="str">
        <f t="shared" si="23"/>
        <v/>
      </c>
      <c r="I69" s="44" t="str">
        <f>IF(ISNUMBER(G69), $B78 * H69, "")</f>
        <v/>
      </c>
      <c r="J69" s="36"/>
      <c r="K69" s="63" t="str">
        <f t="shared" si="24"/>
        <v/>
      </c>
      <c r="L69" s="44" t="str">
        <f>IF(ISNUMBER(J69), $B78 * K69, "")</f>
        <v/>
      </c>
      <c r="M69" s="36"/>
      <c r="N69" s="63" t="str">
        <f t="shared" si="25"/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64"/>
      <c r="C70" s="63"/>
      <c r="D70" s="36"/>
      <c r="E70" s="63" t="str">
        <f t="shared" si="22"/>
        <v/>
      </c>
      <c r="F70" s="44" t="str">
        <f>IF(ISNUMBER(D70), $B78 * E70, "")</f>
        <v/>
      </c>
      <c r="G70" s="36"/>
      <c r="H70" s="63" t="str">
        <f t="shared" si="23"/>
        <v/>
      </c>
      <c r="I70" s="44" t="str">
        <f>IF(ISNUMBER(G70), $B78 * H70, "")</f>
        <v/>
      </c>
      <c r="J70" s="36"/>
      <c r="K70" s="63" t="str">
        <f t="shared" si="24"/>
        <v/>
      </c>
      <c r="L70" s="44" t="str">
        <f>IF(ISNUMBER(J70), $B78 * K70, "")</f>
        <v/>
      </c>
      <c r="M70" s="36"/>
      <c r="N70" s="63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64"/>
      <c r="C71" s="63"/>
      <c r="D71" s="36"/>
      <c r="E71" s="63" t="str">
        <f t="shared" si="22"/>
        <v/>
      </c>
      <c r="F71" s="44" t="str">
        <f>IF(ISNUMBER(D71), $B78 * E71, "")</f>
        <v/>
      </c>
      <c r="G71" s="36"/>
      <c r="H71" s="63" t="str">
        <f t="shared" si="23"/>
        <v/>
      </c>
      <c r="I71" s="44" t="str">
        <f>IF(ISNUMBER(G71), $B78 * H71, "")</f>
        <v/>
      </c>
      <c r="J71" s="36"/>
      <c r="K71" s="63" t="str">
        <f t="shared" si="24"/>
        <v/>
      </c>
      <c r="L71" s="44" t="str">
        <f>IF(ISNUMBER(J71), $B78 * K71, "")</f>
        <v/>
      </c>
      <c r="M71" s="36"/>
      <c r="N71" s="63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64"/>
      <c r="C73" s="63"/>
      <c r="D73" s="36"/>
      <c r="E73" s="63" t="str">
        <f t="shared" si="22"/>
        <v/>
      </c>
      <c r="F73" s="48" t="str">
        <f>IF(ISNUMBER(D73), $B78 * E73, "")</f>
        <v/>
      </c>
      <c r="G73" s="36"/>
      <c r="H73" s="63" t="str">
        <f t="shared" si="23"/>
        <v/>
      </c>
      <c r="I73" s="48" t="str">
        <f>IF(ISNUMBER(G73), $B78 * H73, "")</f>
        <v/>
      </c>
      <c r="J73" s="36"/>
      <c r="K73" s="63" t="str">
        <f t="shared" si="24"/>
        <v/>
      </c>
      <c r="L73" s="48" t="str">
        <f>IF(ISNUMBER(J73), $B78 * K73, "")</f>
        <v/>
      </c>
      <c r="M73" s="36"/>
      <c r="N73" s="63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64"/>
      <c r="C74" s="63"/>
      <c r="D74" s="36"/>
      <c r="E74" s="63" t="str">
        <f t="shared" si="22"/>
        <v/>
      </c>
      <c r="F74" s="44" t="str">
        <f>IF(ISNUMBER(D74), $B78 * E74, "")</f>
        <v/>
      </c>
      <c r="G74" s="36"/>
      <c r="H74" s="63" t="str">
        <f t="shared" si="23"/>
        <v/>
      </c>
      <c r="I74" s="44" t="str">
        <f>IF(ISNUMBER(G74), $B78 * H74, "")</f>
        <v/>
      </c>
      <c r="J74" s="36"/>
      <c r="K74" s="63" t="str">
        <f t="shared" si="24"/>
        <v/>
      </c>
      <c r="L74" s="44" t="str">
        <f>IF(ISNUMBER(J74), $B78 * K74, "")</f>
        <v/>
      </c>
      <c r="M74" s="36"/>
      <c r="N74" s="63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64"/>
      <c r="C75" s="63"/>
      <c r="D75" s="36"/>
      <c r="E75" s="63" t="str">
        <f t="shared" si="22"/>
        <v/>
      </c>
      <c r="F75" s="44" t="str">
        <f>IF(ISNUMBER(D75), $B78 * E75, "")</f>
        <v/>
      </c>
      <c r="G75" s="36"/>
      <c r="H75" s="63" t="str">
        <f t="shared" si="23"/>
        <v/>
      </c>
      <c r="I75" s="44" t="str">
        <f>IF(ISNUMBER(G75), $B78 * H75, "")</f>
        <v/>
      </c>
      <c r="J75" s="36"/>
      <c r="K75" s="63" t="str">
        <f t="shared" si="24"/>
        <v/>
      </c>
      <c r="L75" s="44" t="str">
        <f>IF(ISNUMBER(J75), $B78 * K75, "")</f>
        <v/>
      </c>
      <c r="M75" s="36"/>
      <c r="N75" s="63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64"/>
      <c r="C76" s="63"/>
      <c r="D76" s="36"/>
      <c r="E76" s="63" t="str">
        <f t="shared" si="22"/>
        <v/>
      </c>
      <c r="F76" s="44" t="str">
        <f>IF(ISNUMBER(D76), $B78 * E76, "")</f>
        <v/>
      </c>
      <c r="G76" s="36"/>
      <c r="H76" s="63" t="str">
        <f t="shared" si="23"/>
        <v/>
      </c>
      <c r="I76" s="44" t="str">
        <f>IF(ISNUMBER(G76), $B78 * H76, "")</f>
        <v/>
      </c>
      <c r="J76" s="36"/>
      <c r="K76" s="63" t="str">
        <f t="shared" si="24"/>
        <v/>
      </c>
      <c r="L76" s="44" t="str">
        <f>IF(ISNUMBER(J76), $B78 * K76, "")</f>
        <v/>
      </c>
      <c r="M76" s="36"/>
      <c r="N76" s="63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0</v>
      </c>
      <c r="F78" s="47">
        <f>SUM(F68:F77)</f>
        <v>0</v>
      </c>
      <c r="G78" s="57" t="s">
        <v>82</v>
      </c>
      <c r="H78" s="46">
        <f>IF(COUNT(H68:H77), SUM(H68:H77) / COUNT(H68:H77), 0)</f>
        <v>0</v>
      </c>
      <c r="I78" s="47">
        <f>SUM(I68:I77)</f>
        <v>0</v>
      </c>
      <c r="J78" s="57" t="s">
        <v>82</v>
      </c>
      <c r="K78" s="46">
        <f>IF(COUNT(K68:K77), SUM(K68:K77) / COUNT(K68:K77), 0)</f>
        <v>0</v>
      </c>
      <c r="L78" s="47">
        <f>SUM(L68:L77)</f>
        <v>0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/>
    <row r="80" spans="1:18" ht="17.25" customHeight="1" thickBot="1"/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65" t="s">
        <v>69</v>
      </c>
      <c r="D84" s="18" t="s">
        <v>67</v>
      </c>
      <c r="E84" s="65" t="s">
        <v>68</v>
      </c>
      <c r="F84" s="19" t="s">
        <v>70</v>
      </c>
      <c r="G84" s="18" t="s">
        <v>67</v>
      </c>
      <c r="H84" s="65" t="s">
        <v>68</v>
      </c>
      <c r="I84" s="19" t="s">
        <v>70</v>
      </c>
      <c r="J84" s="65" t="s">
        <v>67</v>
      </c>
      <c r="K84" s="65" t="s">
        <v>68</v>
      </c>
      <c r="L84" s="56" t="s">
        <v>70</v>
      </c>
      <c r="M84" s="18" t="s">
        <v>67</v>
      </c>
      <c r="N84" s="65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 t="shared" ref="E85:E94" si="26">IF(ISNUMBER(D85), (D85 - $B85) / $B85, "")</f>
        <v/>
      </c>
      <c r="F85" s="43" t="str">
        <f>IF(ISNUMBER(D85), $B95 * E85, "")</f>
        <v/>
      </c>
      <c r="G85" s="35"/>
      <c r="H85" s="22" t="str">
        <f t="shared" ref="H85:H94" si="27">IF(ISNUMBER(G85), (G85 - $B85) / $B85, "")</f>
        <v/>
      </c>
      <c r="I85" s="43" t="str">
        <f>IF(ISNUMBER(G85), $B95 * H85, "")</f>
        <v/>
      </c>
      <c r="J85" s="35"/>
      <c r="K85" s="22" t="str">
        <f t="shared" ref="K85:K94" si="28">IF(ISNUMBER(J85), (J85 - $B85) / $B85, "")</f>
        <v/>
      </c>
      <c r="L85" s="43" t="str">
        <f>IF(ISNUMBER(J85), $B95 * K85, "")</f>
        <v/>
      </c>
      <c r="M85" s="35"/>
      <c r="N85" s="22" t="str">
        <f t="shared" ref="N85:N94" si="29"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64"/>
      <c r="C86" s="63"/>
      <c r="D86" s="36"/>
      <c r="E86" s="63" t="str">
        <f t="shared" si="26"/>
        <v/>
      </c>
      <c r="F86" s="44" t="str">
        <f>IF(ISNUMBER(D86), $B95 * E86, "")</f>
        <v/>
      </c>
      <c r="G86" s="36"/>
      <c r="H86" s="63" t="str">
        <f t="shared" si="27"/>
        <v/>
      </c>
      <c r="I86" s="44" t="str">
        <f>IF(ISNUMBER(G86), $B95 * H86, "")</f>
        <v/>
      </c>
      <c r="J86" s="36"/>
      <c r="K86" s="63" t="str">
        <f t="shared" si="28"/>
        <v/>
      </c>
      <c r="L86" s="44" t="str">
        <f>IF(ISNUMBER(J86), $B95 * K86, "")</f>
        <v/>
      </c>
      <c r="M86" s="36"/>
      <c r="N86" s="63" t="str">
        <f t="shared" si="29"/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64"/>
      <c r="C87" s="63"/>
      <c r="D87" s="36"/>
      <c r="E87" s="63" t="str">
        <f t="shared" si="26"/>
        <v/>
      </c>
      <c r="F87" s="44" t="str">
        <f>IF(ISNUMBER(D87), $B95 * E87, "")</f>
        <v/>
      </c>
      <c r="G87" s="36"/>
      <c r="H87" s="63" t="str">
        <f t="shared" si="27"/>
        <v/>
      </c>
      <c r="I87" s="44" t="str">
        <f>IF(ISNUMBER(G87), $B95 * H87, "")</f>
        <v/>
      </c>
      <c r="J87" s="36"/>
      <c r="K87" s="63" t="str">
        <f t="shared" si="28"/>
        <v/>
      </c>
      <c r="L87" s="44" t="str">
        <f>IF(ISNUMBER(J87), $B95 * K87, "")</f>
        <v/>
      </c>
      <c r="M87" s="36"/>
      <c r="N87" s="63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64"/>
      <c r="C88" s="63"/>
      <c r="D88" s="36"/>
      <c r="E88" s="63" t="str">
        <f t="shared" si="26"/>
        <v/>
      </c>
      <c r="F88" s="44" t="str">
        <f>IF(ISNUMBER(D88), $B95 * E88, "")</f>
        <v/>
      </c>
      <c r="G88" s="36"/>
      <c r="H88" s="63" t="str">
        <f t="shared" si="27"/>
        <v/>
      </c>
      <c r="I88" s="44" t="str">
        <f>IF(ISNUMBER(G88), $B95 * H88, "")</f>
        <v/>
      </c>
      <c r="J88" s="36"/>
      <c r="K88" s="63" t="str">
        <f t="shared" si="28"/>
        <v/>
      </c>
      <c r="L88" s="44" t="str">
        <f>IF(ISNUMBER(J88), $B95 * K88, "")</f>
        <v/>
      </c>
      <c r="M88" s="36"/>
      <c r="N88" s="63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64"/>
      <c r="C90" s="63"/>
      <c r="D90" s="36"/>
      <c r="E90" s="63" t="str">
        <f t="shared" si="26"/>
        <v/>
      </c>
      <c r="F90" s="48" t="str">
        <f>IF(ISNUMBER(D90), $B95 * E90, "")</f>
        <v/>
      </c>
      <c r="G90" s="36"/>
      <c r="H90" s="63" t="str">
        <f t="shared" si="27"/>
        <v/>
      </c>
      <c r="I90" s="48" t="str">
        <f>IF(ISNUMBER(G90), $B95 * H90, "")</f>
        <v/>
      </c>
      <c r="J90" s="36"/>
      <c r="K90" s="63" t="str">
        <f t="shared" si="28"/>
        <v/>
      </c>
      <c r="L90" s="48" t="str">
        <f>IF(ISNUMBER(J90), $B95 * K90, "")</f>
        <v/>
      </c>
      <c r="M90" s="36"/>
      <c r="N90" s="63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64"/>
      <c r="C91" s="63"/>
      <c r="D91" s="36"/>
      <c r="E91" s="63" t="str">
        <f t="shared" si="26"/>
        <v/>
      </c>
      <c r="F91" s="44" t="str">
        <f>IF(ISNUMBER(D91), $B95 * E91, "")</f>
        <v/>
      </c>
      <c r="G91" s="36"/>
      <c r="H91" s="63" t="str">
        <f t="shared" si="27"/>
        <v/>
      </c>
      <c r="I91" s="44" t="str">
        <f>IF(ISNUMBER(G91), $B95 * H91, "")</f>
        <v/>
      </c>
      <c r="J91" s="36"/>
      <c r="K91" s="63" t="str">
        <f t="shared" si="28"/>
        <v/>
      </c>
      <c r="L91" s="44" t="str">
        <f>IF(ISNUMBER(J91), $B95 * K91, "")</f>
        <v/>
      </c>
      <c r="M91" s="36"/>
      <c r="N91" s="63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64"/>
      <c r="C92" s="63"/>
      <c r="D92" s="36"/>
      <c r="E92" s="63" t="str">
        <f t="shared" si="26"/>
        <v/>
      </c>
      <c r="F92" s="44" t="str">
        <f>IF(ISNUMBER(D92), $B95 * E92, "")</f>
        <v/>
      </c>
      <c r="G92" s="36"/>
      <c r="H92" s="63" t="str">
        <f t="shared" si="27"/>
        <v/>
      </c>
      <c r="I92" s="44" t="str">
        <f>IF(ISNUMBER(G92), $B95 * H92, "")</f>
        <v/>
      </c>
      <c r="J92" s="36"/>
      <c r="K92" s="63" t="str">
        <f t="shared" si="28"/>
        <v/>
      </c>
      <c r="L92" s="44" t="str">
        <f>IF(ISNUMBER(J92), $B95 * K92, "")</f>
        <v/>
      </c>
      <c r="M92" s="36"/>
      <c r="N92" s="63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64"/>
      <c r="C93" s="63"/>
      <c r="D93" s="36"/>
      <c r="E93" s="63" t="str">
        <f t="shared" si="26"/>
        <v/>
      </c>
      <c r="F93" s="44" t="str">
        <f>IF(ISNUMBER(D93), $B95 * E93, "")</f>
        <v/>
      </c>
      <c r="G93" s="36"/>
      <c r="H93" s="63" t="str">
        <f t="shared" si="27"/>
        <v/>
      </c>
      <c r="I93" s="44" t="str">
        <f>IF(ISNUMBER(G93), $B95 * H93, "")</f>
        <v/>
      </c>
      <c r="J93" s="36"/>
      <c r="K93" s="63" t="str">
        <f t="shared" si="28"/>
        <v/>
      </c>
      <c r="L93" s="44" t="str">
        <f>IF(ISNUMBER(J93), $B95 * K93, "")</f>
        <v/>
      </c>
      <c r="M93" s="36"/>
      <c r="N93" s="63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65" t="s">
        <v>69</v>
      </c>
      <c r="D101" s="18" t="s">
        <v>67</v>
      </c>
      <c r="E101" s="65" t="s">
        <v>68</v>
      </c>
      <c r="F101" s="19" t="s">
        <v>70</v>
      </c>
      <c r="G101" s="18" t="s">
        <v>67</v>
      </c>
      <c r="H101" s="65" t="s">
        <v>68</v>
      </c>
      <c r="I101" s="19" t="s">
        <v>70</v>
      </c>
      <c r="J101" s="65" t="s">
        <v>67</v>
      </c>
      <c r="K101" s="65" t="s">
        <v>68</v>
      </c>
      <c r="L101" s="56" t="s">
        <v>70</v>
      </c>
      <c r="M101" s="18" t="s">
        <v>67</v>
      </c>
      <c r="N101" s="65" t="s">
        <v>68</v>
      </c>
      <c r="O101" s="21" t="s">
        <v>70</v>
      </c>
      <c r="Q101" s="231"/>
      <c r="R101" s="232"/>
    </row>
    <row r="102" spans="1:18" ht="17.25" customHeight="1">
      <c r="A102" s="9" t="s">
        <v>44</v>
      </c>
      <c r="B102" s="31">
        <v>25350</v>
      </c>
      <c r="C102" s="22"/>
      <c r="D102" s="35">
        <v>23912</v>
      </c>
      <c r="E102" s="22">
        <f t="shared" ref="E102:E111" si="30">IF(ISNUMBER(D102), (D102 - $B102) / $B102, "")</f>
        <v>-5.6725838264299805E-2</v>
      </c>
      <c r="F102" s="43">
        <f>IF(ISNUMBER(D102), $B112 * E102, "")</f>
        <v>-5672.5838264299809</v>
      </c>
      <c r="G102" s="35">
        <v>29000</v>
      </c>
      <c r="H102" s="22">
        <f t="shared" ref="H102:H111" si="31">IF(ISNUMBER(G102), (G102 - $B102) / $B102, "")</f>
        <v>0.14398422090729784</v>
      </c>
      <c r="I102" s="43">
        <f>IF(ISNUMBER(G102), $B112 * H102, "")</f>
        <v>14398.422090729784</v>
      </c>
      <c r="J102" s="35">
        <v>29273</v>
      </c>
      <c r="K102" s="22">
        <f t="shared" ref="K102:K111" si="32">IF(ISNUMBER(J102), (J102 - $B102) / $B102, "")</f>
        <v>0.1547534516765286</v>
      </c>
      <c r="L102" s="43">
        <f>IF(ISNUMBER(J102), $B112 * K102, "")</f>
        <v>15475.34516765286</v>
      </c>
      <c r="M102" s="35"/>
      <c r="N102" s="22" t="str">
        <f t="shared" ref="N102:N111" si="33"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 t="s">
        <v>45</v>
      </c>
      <c r="B103" s="64">
        <v>14840</v>
      </c>
      <c r="C103" s="63"/>
      <c r="D103" s="36">
        <v>13581</v>
      </c>
      <c r="E103" s="63">
        <f t="shared" si="30"/>
        <v>-8.483827493261456E-2</v>
      </c>
      <c r="F103" s="44">
        <f>IF(ISNUMBER(D103), $B112 * E103, "")</f>
        <v>-8483.8274932614568</v>
      </c>
      <c r="G103" s="36">
        <v>14470</v>
      </c>
      <c r="H103" s="63">
        <f t="shared" si="31"/>
        <v>-2.4932614555256066E-2</v>
      </c>
      <c r="I103" s="44">
        <f>IF(ISNUMBER(G103), $B112 * H103, "")</f>
        <v>-2493.2614555256064</v>
      </c>
      <c r="J103" s="36">
        <v>15040</v>
      </c>
      <c r="K103" s="63">
        <f t="shared" si="32"/>
        <v>1.3477088948787063E-2</v>
      </c>
      <c r="L103" s="44">
        <f>IF(ISNUMBER(J103), $B112 * K103, "")</f>
        <v>1347.7088948787064</v>
      </c>
      <c r="M103" s="36"/>
      <c r="N103" s="63" t="str">
        <f t="shared" si="33"/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 t="s">
        <v>46</v>
      </c>
      <c r="B104" s="64">
        <v>122</v>
      </c>
      <c r="C104" s="63"/>
      <c r="D104" s="36">
        <v>147</v>
      </c>
      <c r="E104" s="63">
        <f t="shared" si="30"/>
        <v>0.20491803278688525</v>
      </c>
      <c r="F104" s="44">
        <f>IF(ISNUMBER(D104), $B112 * E104, "")</f>
        <v>20491.803278688527</v>
      </c>
      <c r="G104" s="36">
        <v>147</v>
      </c>
      <c r="H104" s="63">
        <f t="shared" si="31"/>
        <v>0.20491803278688525</v>
      </c>
      <c r="I104" s="44">
        <f>IF(ISNUMBER(G104), $B112 * H104, "")</f>
        <v>20491.803278688527</v>
      </c>
      <c r="J104" s="36">
        <v>151</v>
      </c>
      <c r="K104" s="63">
        <f t="shared" si="32"/>
        <v>0.23770491803278687</v>
      </c>
      <c r="L104" s="44">
        <f>IF(ISNUMBER(J104), $B112 * K104, "")</f>
        <v>23770.491803278688</v>
      </c>
      <c r="M104" s="36"/>
      <c r="N104" s="63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 t="s">
        <v>47</v>
      </c>
      <c r="B105" s="64">
        <v>854</v>
      </c>
      <c r="C105" s="63"/>
      <c r="D105" s="36">
        <v>771</v>
      </c>
      <c r="E105" s="63">
        <f t="shared" si="30"/>
        <v>-9.7189695550351285E-2</v>
      </c>
      <c r="F105" s="44">
        <f>IF(ISNUMBER(D105), $B112 * E105, "")</f>
        <v>-9718.969555035128</v>
      </c>
      <c r="G105" s="36">
        <v>813</v>
      </c>
      <c r="H105" s="63">
        <f t="shared" si="31"/>
        <v>-4.8009367681498827E-2</v>
      </c>
      <c r="I105" s="44">
        <f>IF(ISNUMBER(G105), $B112 * H105, "")</f>
        <v>-4800.9367681498825</v>
      </c>
      <c r="J105" s="36">
        <v>797</v>
      </c>
      <c r="K105" s="63">
        <f t="shared" si="32"/>
        <v>-6.6744730679156913E-2</v>
      </c>
      <c r="L105" s="44">
        <f>IF(ISNUMBER(J105), $B112 * K105, "")</f>
        <v>-6674.473067915691</v>
      </c>
      <c r="M105" s="36"/>
      <c r="N105" s="63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 t="s">
        <v>35</v>
      </c>
      <c r="B106" s="33">
        <v>392</v>
      </c>
      <c r="C106" s="24"/>
      <c r="D106" s="37">
        <v>312</v>
      </c>
      <c r="E106" s="24">
        <f t="shared" si="30"/>
        <v>-0.20408163265306123</v>
      </c>
      <c r="F106" s="44">
        <f>IF(ISNUMBER(D106), $B112 * E106, "")</f>
        <v>-20408.163265306124</v>
      </c>
      <c r="G106" s="37">
        <v>320</v>
      </c>
      <c r="H106" s="24">
        <f t="shared" si="31"/>
        <v>-0.18367346938775511</v>
      </c>
      <c r="I106" s="44">
        <f>IF(ISNUMBER(G106), $B112 * H106, "")</f>
        <v>-18367.34693877551</v>
      </c>
      <c r="J106" s="37">
        <v>321</v>
      </c>
      <c r="K106" s="24">
        <f t="shared" si="32"/>
        <v>-0.18112244897959184</v>
      </c>
      <c r="L106" s="44">
        <f>IF(ISNUMBER(J106), $B112 * K106, "")</f>
        <v>-18112.244897959183</v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 t="s">
        <v>36</v>
      </c>
      <c r="B107" s="64">
        <v>4035</v>
      </c>
      <c r="C107" s="63"/>
      <c r="D107" s="36">
        <v>4075</v>
      </c>
      <c r="E107" s="63">
        <f t="shared" si="30"/>
        <v>9.9132589838909543E-3</v>
      </c>
      <c r="F107" s="48">
        <f>IF(ISNUMBER(D107), $B112 * E107, "")</f>
        <v>991.32589838909541</v>
      </c>
      <c r="G107" s="36">
        <v>4065</v>
      </c>
      <c r="H107" s="63">
        <f t="shared" si="31"/>
        <v>7.4349442379182153E-3</v>
      </c>
      <c r="I107" s="48">
        <f>IF(ISNUMBER(G107), $B112 * H107, "")</f>
        <v>743.49442379182153</v>
      </c>
      <c r="J107" s="36">
        <v>4055</v>
      </c>
      <c r="K107" s="63">
        <f t="shared" si="32"/>
        <v>4.9566294919454771E-3</v>
      </c>
      <c r="L107" s="48">
        <f>IF(ISNUMBER(J107), $B112 * K107, "")</f>
        <v>495.66294919454771</v>
      </c>
      <c r="M107" s="36"/>
      <c r="N107" s="63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 t="s">
        <v>48</v>
      </c>
      <c r="B108" s="64">
        <v>106</v>
      </c>
      <c r="C108" s="63"/>
      <c r="D108" s="36">
        <v>97.5</v>
      </c>
      <c r="E108" s="63">
        <f t="shared" si="30"/>
        <v>-8.0188679245283015E-2</v>
      </c>
      <c r="F108" s="44">
        <f>IF(ISNUMBER(D108), $B112 * E108, "")</f>
        <v>-8018.867924528301</v>
      </c>
      <c r="G108" s="36">
        <v>97.5</v>
      </c>
      <c r="H108" s="63">
        <f t="shared" si="31"/>
        <v>-8.0188679245283015E-2</v>
      </c>
      <c r="I108" s="44">
        <f>IF(ISNUMBER(G108), $B112 * H108, "")</f>
        <v>-8018.867924528301</v>
      </c>
      <c r="J108" s="36">
        <v>102</v>
      </c>
      <c r="K108" s="63">
        <f t="shared" si="32"/>
        <v>-3.7735849056603772E-2</v>
      </c>
      <c r="L108" s="44">
        <f>IF(ISNUMBER(J108), $B112 * K108, "")</f>
        <v>-3773.584905660377</v>
      </c>
      <c r="M108" s="36"/>
      <c r="N108" s="63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 t="s">
        <v>49</v>
      </c>
      <c r="B109" s="64">
        <v>817</v>
      </c>
      <c r="C109" s="63"/>
      <c r="D109" s="36">
        <v>807</v>
      </c>
      <c r="E109" s="63">
        <f t="shared" si="30"/>
        <v>-1.2239902080783354E-2</v>
      </c>
      <c r="F109" s="44">
        <f>IF(ISNUMBER(D109), $B112 * E109, "")</f>
        <v>-1223.9902080783354</v>
      </c>
      <c r="G109" s="36">
        <v>802</v>
      </c>
      <c r="H109" s="63">
        <f t="shared" si="31"/>
        <v>-1.8359853121175031E-2</v>
      </c>
      <c r="I109" s="44">
        <f>IF(ISNUMBER(G109), $B112 * H109, "")</f>
        <v>-1835.9853121175031</v>
      </c>
      <c r="J109" s="36">
        <v>806</v>
      </c>
      <c r="K109" s="63">
        <f t="shared" si="32"/>
        <v>-1.346389228886169E-2</v>
      </c>
      <c r="L109" s="44">
        <f>IF(ISNUMBER(J109), $B112 * K109, "")</f>
        <v>-1346.3892288861689</v>
      </c>
      <c r="M109" s="36"/>
      <c r="N109" s="63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 t="s">
        <v>50</v>
      </c>
      <c r="B110" s="64">
        <v>14890</v>
      </c>
      <c r="C110" s="63"/>
      <c r="D110" s="36">
        <v>14100</v>
      </c>
      <c r="E110" s="63">
        <f t="shared" si="30"/>
        <v>-5.3055742108797849E-2</v>
      </c>
      <c r="F110" s="44">
        <f>IF(ISNUMBER(D110), $B112 * E110, "")</f>
        <v>-5305.5742108797849</v>
      </c>
      <c r="G110" s="36">
        <v>14210</v>
      </c>
      <c r="H110" s="63">
        <f t="shared" si="31"/>
        <v>-4.5668233713901947E-2</v>
      </c>
      <c r="I110" s="44">
        <f>IF(ISNUMBER(G110), $B112 * H110, "")</f>
        <v>-4566.8233713901946</v>
      </c>
      <c r="J110" s="36">
        <v>14380</v>
      </c>
      <c r="K110" s="63">
        <f t="shared" si="32"/>
        <v>-3.4251175285426462E-2</v>
      </c>
      <c r="L110" s="44">
        <f>IF(ISNUMBER(J110), $B112 * K110, "")</f>
        <v>-3425.1175285426461</v>
      </c>
      <c r="M110" s="36"/>
      <c r="N110" s="63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 t="s">
        <v>11</v>
      </c>
      <c r="B111" s="34">
        <v>52</v>
      </c>
      <c r="C111" s="16"/>
      <c r="D111" s="38">
        <v>50.4</v>
      </c>
      <c r="E111" s="16">
        <f t="shared" si="30"/>
        <v>-3.0769230769230795E-2</v>
      </c>
      <c r="F111" s="45">
        <f>IF(ISNUMBER(D111), $B112 * E111, "")</f>
        <v>-3076.9230769230794</v>
      </c>
      <c r="G111" s="38">
        <v>50.3</v>
      </c>
      <c r="H111" s="16">
        <f t="shared" si="31"/>
        <v>-3.269230769230775E-2</v>
      </c>
      <c r="I111" s="45">
        <f>IF(ISNUMBER(G111), $B112 * H111, "")</f>
        <v>-3269.230769230775</v>
      </c>
      <c r="J111" s="38">
        <v>50.8</v>
      </c>
      <c r="K111" s="16">
        <f t="shared" si="32"/>
        <v>-2.307692307692313E-2</v>
      </c>
      <c r="L111" s="45">
        <f>IF(ISNUMBER(J111), $B112 * K111, "")</f>
        <v>-2307.6923076923131</v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-4.0425770383364569E-2</v>
      </c>
      <c r="F112" s="47">
        <f>SUM(F102:F111)</f>
        <v>-40425.770383364565</v>
      </c>
      <c r="G112" s="57" t="s">
        <v>82</v>
      </c>
      <c r="H112" s="46">
        <f>IF(COUNT(H102:H111), SUM(H102:H111) / COUNT(H102:H111), 0)</f>
        <v>-7.7187327465076446E-3</v>
      </c>
      <c r="I112" s="47">
        <f>SUM(I102:I111)</f>
        <v>-7718.7327465076387</v>
      </c>
      <c r="J112" s="57" t="s">
        <v>82</v>
      </c>
      <c r="K112" s="46">
        <f>IF(COUNT(K102:K111), SUM(K102:K111) / COUNT(K102:K111), 0)</f>
        <v>5.4497068783484204E-3</v>
      </c>
      <c r="L112" s="47">
        <f>SUM(L102:L111)</f>
        <v>5449.7068783484247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B5:F5"/>
    <mergeCell ref="G5:I5"/>
    <mergeCell ref="K5:O5"/>
    <mergeCell ref="B6:F6"/>
    <mergeCell ref="G6:I6"/>
    <mergeCell ref="K6:O6"/>
    <mergeCell ref="B7:F7"/>
    <mergeCell ref="G7:I7"/>
    <mergeCell ref="K7:O7"/>
    <mergeCell ref="B8:F8"/>
    <mergeCell ref="G8:I8"/>
    <mergeCell ref="K8:O8"/>
    <mergeCell ref="Q8:R8"/>
    <mergeCell ref="B9:F9"/>
    <mergeCell ref="G9:I9"/>
    <mergeCell ref="K9:O9"/>
    <mergeCell ref="B10:F10"/>
    <mergeCell ref="G10:I10"/>
    <mergeCell ref="K10:O10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34:Q37"/>
    <mergeCell ref="R34:R37"/>
    <mergeCell ref="Q38:Q41"/>
    <mergeCell ref="R38:R41"/>
    <mergeCell ref="Q42:R44"/>
    <mergeCell ref="B44:C44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51:Q54"/>
    <mergeCell ref="R51:R54"/>
    <mergeCell ref="Q55:Q58"/>
    <mergeCell ref="R55:R58"/>
    <mergeCell ref="Q59:R61"/>
    <mergeCell ref="B61:C61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78:C78"/>
    <mergeCell ref="A81:O81"/>
    <mergeCell ref="Q81:R84"/>
    <mergeCell ref="A83:A84"/>
    <mergeCell ref="B83:C83"/>
    <mergeCell ref="D83:F83"/>
    <mergeCell ref="G83:I83"/>
    <mergeCell ref="J83:L83"/>
    <mergeCell ref="M83:O83"/>
    <mergeCell ref="Q102:Q105"/>
    <mergeCell ref="R102:R105"/>
    <mergeCell ref="Q106:Q109"/>
    <mergeCell ref="R106:R109"/>
    <mergeCell ref="Q110:R112"/>
    <mergeCell ref="B112:C112"/>
    <mergeCell ref="Q85:Q88"/>
    <mergeCell ref="R85:R88"/>
    <mergeCell ref="Q89:Q92"/>
    <mergeCell ref="R89:R92"/>
    <mergeCell ref="Q93:R95"/>
    <mergeCell ref="B95:C95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B82:C82"/>
    <mergeCell ref="D82:F82"/>
    <mergeCell ref="G82:I82"/>
    <mergeCell ref="J82:L82"/>
    <mergeCell ref="M82:O82"/>
    <mergeCell ref="B65:C65"/>
    <mergeCell ref="D65:F65"/>
    <mergeCell ref="G65:I65"/>
    <mergeCell ref="J65:L65"/>
    <mergeCell ref="M65:O65"/>
  </mergeCells>
  <phoneticPr fontId="1" type="noConversion"/>
  <conditionalFormatting sqref="D15:F16 E27:F27">
    <cfRule type="expression" dxfId="1771" priority="89">
      <formula>$E$27&gt;0</formula>
    </cfRule>
    <cfRule type="expression" dxfId="1770" priority="90">
      <formula>$E$27&lt;0</formula>
    </cfRule>
  </conditionalFormatting>
  <conditionalFormatting sqref="G15:I16 H27:I27">
    <cfRule type="expression" dxfId="1769" priority="87">
      <formula>$H$27&gt;0</formula>
    </cfRule>
    <cfRule type="expression" dxfId="1768" priority="88">
      <formula>$H$27&lt;0</formula>
    </cfRule>
  </conditionalFormatting>
  <conditionalFormatting sqref="J15:L16 K27:L27">
    <cfRule type="expression" dxfId="1767" priority="85">
      <formula>$K$27&gt;0</formula>
    </cfRule>
    <cfRule type="expression" dxfId="1766" priority="86">
      <formula>$K$27&lt;0</formula>
    </cfRule>
  </conditionalFormatting>
  <conditionalFormatting sqref="M15:O16 N27:O27">
    <cfRule type="expression" dxfId="1765" priority="83">
      <formula>$N$27&gt;0</formula>
    </cfRule>
    <cfRule type="expression" dxfId="1764" priority="84">
      <formula>$N$27&lt;0</formula>
    </cfRule>
  </conditionalFormatting>
  <conditionalFormatting sqref="A17:O26 A34:O43">
    <cfRule type="expression" dxfId="1763" priority="91">
      <formula>AND($N17 &gt; 0, ISNUMBER($N17))</formula>
    </cfRule>
    <cfRule type="expression" dxfId="1762" priority="92">
      <formula>AND($N17 &lt; 0, ISNUMBER($N17))</formula>
    </cfRule>
    <cfRule type="expression" dxfId="1761" priority="93">
      <formula>AND($K17 &gt; 0, ISNUMBER($K17))</formula>
    </cfRule>
    <cfRule type="expression" dxfId="1760" priority="94">
      <formula>AND($K17 &lt; 0, ISNUMBER($K17))</formula>
    </cfRule>
    <cfRule type="expression" dxfId="1759" priority="95">
      <formula>AND($H17 &gt; 0, ISNUMBER($H17))</formula>
    </cfRule>
    <cfRule type="expression" dxfId="1758" priority="96">
      <formula>AND($H17 &lt; 0, ISNUMBER($H17))</formula>
    </cfRule>
    <cfRule type="expression" dxfId="1757" priority="97">
      <formula>AND($E17 &gt; 0, ISNUMBER($E17))</formula>
    </cfRule>
    <cfRule type="expression" dxfId="1756" priority="98">
      <formula>AND($E17 &lt; 0, ISNUMBER($E17))</formula>
    </cfRule>
  </conditionalFormatting>
  <conditionalFormatting sqref="D32:F33 E44:F44">
    <cfRule type="expression" dxfId="1755" priority="81">
      <formula>$E$44&gt;0</formula>
    </cfRule>
    <cfRule type="expression" dxfId="1754" priority="82">
      <formula>$E$44&lt;0</formula>
    </cfRule>
  </conditionalFormatting>
  <conditionalFormatting sqref="G32:I33 H44:I44">
    <cfRule type="expression" dxfId="1753" priority="79">
      <formula>$H$44&gt;0</formula>
    </cfRule>
    <cfRule type="expression" dxfId="1752" priority="80">
      <formula>$H$44&lt;0</formula>
    </cfRule>
  </conditionalFormatting>
  <conditionalFormatting sqref="J32:L33 K44:L44">
    <cfRule type="expression" dxfId="1751" priority="77">
      <formula>$K$44&gt;0</formula>
    </cfRule>
    <cfRule type="expression" dxfId="1750" priority="78">
      <formula>$K$44&lt;0</formula>
    </cfRule>
  </conditionalFormatting>
  <conditionalFormatting sqref="M32:O33 N44:O44">
    <cfRule type="expression" dxfId="1749" priority="75">
      <formula>$N$44&gt;0</formula>
    </cfRule>
    <cfRule type="expression" dxfId="1748" priority="76">
      <formula>$N$44&lt;0</formula>
    </cfRule>
  </conditionalFormatting>
  <conditionalFormatting sqref="A51:O60">
    <cfRule type="expression" dxfId="1747" priority="67">
      <formula>AND($N51 &gt; 0, ISNUMBER($N51))</formula>
    </cfRule>
    <cfRule type="expression" dxfId="1746" priority="68">
      <formula>AND($N51 &lt; 0, ISNUMBER($N51))</formula>
    </cfRule>
    <cfRule type="expression" dxfId="1745" priority="69">
      <formula>AND($K51 &gt; 0, ISNUMBER($K51))</formula>
    </cfRule>
    <cfRule type="expression" dxfId="1744" priority="70">
      <formula>AND($K51 &lt; 0, ISNUMBER($K51))</formula>
    </cfRule>
    <cfRule type="expression" dxfId="1743" priority="71">
      <formula>AND($H51 &gt; 0, ISNUMBER($H51))</formula>
    </cfRule>
    <cfRule type="expression" dxfId="1742" priority="72">
      <formula>AND($H51 &lt; 0, ISNUMBER($H51))</formula>
    </cfRule>
    <cfRule type="expression" dxfId="1741" priority="73">
      <formula>AND($E51 &gt; 0, ISNUMBER($E51))</formula>
    </cfRule>
    <cfRule type="expression" dxfId="1740" priority="74">
      <formula>AND($E51 &lt; 0, ISNUMBER($E51))</formula>
    </cfRule>
  </conditionalFormatting>
  <conditionalFormatting sqref="D49:F50 E61:F61">
    <cfRule type="expression" dxfId="1739" priority="65">
      <formula>$E$61&gt;0</formula>
    </cfRule>
    <cfRule type="expression" dxfId="1738" priority="66">
      <formula>$E$61&lt;0</formula>
    </cfRule>
  </conditionalFormatting>
  <conditionalFormatting sqref="G49:I50 H61:I61">
    <cfRule type="expression" dxfId="1737" priority="63">
      <formula>$H$61&gt;0</formula>
    </cfRule>
    <cfRule type="expression" dxfId="1736" priority="64">
      <formula>$H$61&lt;0</formula>
    </cfRule>
  </conditionalFormatting>
  <conditionalFormatting sqref="J49:L50 K61:L61">
    <cfRule type="expression" dxfId="1735" priority="61">
      <formula>$K$61&gt;0</formula>
    </cfRule>
    <cfRule type="expression" dxfId="1734" priority="62">
      <formula>$K$61&lt;0</formula>
    </cfRule>
  </conditionalFormatting>
  <conditionalFormatting sqref="M49:O50 N61:O61">
    <cfRule type="expression" dxfId="1733" priority="59">
      <formula>$N$61&gt;0</formula>
    </cfRule>
    <cfRule type="expression" dxfId="1732" priority="60">
      <formula>$N$61&lt;0</formula>
    </cfRule>
  </conditionalFormatting>
  <conditionalFormatting sqref="A68:O77">
    <cfRule type="expression" dxfId="1731" priority="51">
      <formula>AND($N68 &gt; 0, ISNUMBER($N68))</formula>
    </cfRule>
    <cfRule type="expression" dxfId="1730" priority="52">
      <formula>AND($N68 &lt; 0, ISNUMBER($N68))</formula>
    </cfRule>
    <cfRule type="expression" dxfId="1729" priority="53">
      <formula>AND($K68 &gt; 0, ISNUMBER($K68))</formula>
    </cfRule>
    <cfRule type="expression" dxfId="1728" priority="54">
      <formula>AND($K68 &lt; 0, ISNUMBER($K68))</formula>
    </cfRule>
    <cfRule type="expression" dxfId="1727" priority="55">
      <formula>AND($H68 &gt; 0, ISNUMBER($H68))</formula>
    </cfRule>
    <cfRule type="expression" dxfId="1726" priority="56">
      <formula>AND($H68 &lt; 0, ISNUMBER($H68))</formula>
    </cfRule>
    <cfRule type="expression" dxfId="1725" priority="57">
      <formula>AND($E68 &gt; 0, ISNUMBER($E68))</formula>
    </cfRule>
    <cfRule type="expression" dxfId="1724" priority="58">
      <formula>AND($E68 &lt; 0, ISNUMBER($E68))</formula>
    </cfRule>
  </conditionalFormatting>
  <conditionalFormatting sqref="D66:F67 E78:F78">
    <cfRule type="expression" dxfId="1723" priority="49">
      <formula>$E$78&gt;0</formula>
    </cfRule>
    <cfRule type="expression" dxfId="1722" priority="50">
      <formula>$E$78&lt;0</formula>
    </cfRule>
  </conditionalFormatting>
  <conditionalFormatting sqref="G66:I67 H78:I78">
    <cfRule type="expression" dxfId="1721" priority="47">
      <formula>$H$78&gt;0</formula>
    </cfRule>
    <cfRule type="expression" dxfId="1720" priority="48">
      <formula>$H$78&lt;0</formula>
    </cfRule>
  </conditionalFormatting>
  <conditionalFormatting sqref="J66:L67 K78:L78">
    <cfRule type="expression" dxfId="1719" priority="45">
      <formula>$K$78&gt;0</formula>
    </cfRule>
    <cfRule type="expression" dxfId="1718" priority="46">
      <formula>$K$78&lt;0</formula>
    </cfRule>
  </conditionalFormatting>
  <conditionalFormatting sqref="M66:O67 N78:O78">
    <cfRule type="expression" dxfId="1717" priority="43">
      <formula>$N$78&gt;0</formula>
    </cfRule>
    <cfRule type="expression" dxfId="1716" priority="44">
      <formula>$N$78&lt;0</formula>
    </cfRule>
  </conditionalFormatting>
  <conditionalFormatting sqref="A85:O94">
    <cfRule type="expression" dxfId="1715" priority="35">
      <formula>AND($N85 &gt; 0, ISNUMBER($N85))</formula>
    </cfRule>
    <cfRule type="expression" dxfId="1714" priority="36">
      <formula>AND($N85 &lt; 0, ISNUMBER($N85))</formula>
    </cfRule>
    <cfRule type="expression" dxfId="1713" priority="37">
      <formula>AND($K85 &gt; 0, ISNUMBER($K85))</formula>
    </cfRule>
    <cfRule type="expression" dxfId="1712" priority="38">
      <formula>AND($K85 &lt; 0, ISNUMBER($K85))</formula>
    </cfRule>
    <cfRule type="expression" dxfId="1711" priority="39">
      <formula>AND($H85 &gt; 0, ISNUMBER($H85))</formula>
    </cfRule>
    <cfRule type="expression" dxfId="1710" priority="40">
      <formula>AND($H85 &lt; 0, ISNUMBER($H85))</formula>
    </cfRule>
    <cfRule type="expression" dxfId="1709" priority="41">
      <formula>AND($E85 &gt; 0, ISNUMBER($E85))</formula>
    </cfRule>
    <cfRule type="expression" dxfId="1708" priority="42">
      <formula>AND($E85 &lt; 0, ISNUMBER($E85))</formula>
    </cfRule>
  </conditionalFormatting>
  <conditionalFormatting sqref="D83:F84 E95:F95">
    <cfRule type="expression" dxfId="1707" priority="33">
      <formula>$E$95&gt;0</formula>
    </cfRule>
    <cfRule type="expression" dxfId="1706" priority="34">
      <formula>$E$95&lt;0</formula>
    </cfRule>
  </conditionalFormatting>
  <conditionalFormatting sqref="G83:I84 H95:I95">
    <cfRule type="expression" dxfId="1705" priority="31">
      <formula>$H$95&gt;0</formula>
    </cfRule>
    <cfRule type="expression" dxfId="1704" priority="32">
      <formula>$H$95&lt;0</formula>
    </cfRule>
  </conditionalFormatting>
  <conditionalFormatting sqref="J83:L84 K95:L95">
    <cfRule type="expression" dxfId="1703" priority="29">
      <formula>$K$95&gt;0</formula>
    </cfRule>
    <cfRule type="expression" dxfId="1702" priority="30">
      <formula>$K$95&lt;0</formula>
    </cfRule>
  </conditionalFormatting>
  <conditionalFormatting sqref="M83:O84 N95:O95">
    <cfRule type="expression" dxfId="1701" priority="27">
      <formula>$N$95&gt;0</formula>
    </cfRule>
    <cfRule type="expression" dxfId="1700" priority="28">
      <formula>$N$95&lt;0</formula>
    </cfRule>
  </conditionalFormatting>
  <conditionalFormatting sqref="A102:O111">
    <cfRule type="expression" dxfId="1699" priority="19">
      <formula>AND($N102 &gt; 0, ISNUMBER($N102))</formula>
    </cfRule>
    <cfRule type="expression" dxfId="1698" priority="20">
      <formula>AND($N102 &lt; 0, ISNUMBER($N102))</formula>
    </cfRule>
    <cfRule type="expression" dxfId="1697" priority="21">
      <formula>AND($K102 &gt; 0, ISNUMBER($K102))</formula>
    </cfRule>
    <cfRule type="expression" dxfId="1696" priority="22">
      <formula>AND($K102 &lt; 0, ISNUMBER($K102))</formula>
    </cfRule>
    <cfRule type="expression" dxfId="1695" priority="23">
      <formula>AND($H102 &gt; 0, ISNUMBER($H102))</formula>
    </cfRule>
    <cfRule type="expression" dxfId="1694" priority="24">
      <formula>AND($H102 &lt; 0, ISNUMBER($H102))</formula>
    </cfRule>
    <cfRule type="expression" dxfId="1693" priority="25">
      <formula>AND($E102 &gt; 0, ISNUMBER($E102))</formula>
    </cfRule>
    <cfRule type="expression" dxfId="1692" priority="26">
      <formula>AND($E102 &lt; 0, ISNUMBER($E102))</formula>
    </cfRule>
  </conditionalFormatting>
  <conditionalFormatting sqref="D100:F101 E112:F112">
    <cfRule type="expression" dxfId="1691" priority="17">
      <formula>$E$112&gt;0</formula>
    </cfRule>
    <cfRule type="expression" dxfId="1690" priority="18">
      <formula>$E$112&lt;0</formula>
    </cfRule>
  </conditionalFormatting>
  <conditionalFormatting sqref="G100:I101 H112:I112">
    <cfRule type="expression" dxfId="1689" priority="15">
      <formula>$H$112&gt;0</formula>
    </cfRule>
    <cfRule type="expression" dxfId="1688" priority="16">
      <formula>$H$112&lt;0</formula>
    </cfRule>
  </conditionalFormatting>
  <conditionalFormatting sqref="J100:L101 K112:L112">
    <cfRule type="expression" dxfId="1687" priority="13">
      <formula>$K$112&gt;0</formula>
    </cfRule>
    <cfRule type="expression" dxfId="1686" priority="14">
      <formula>$K$112&lt;0</formula>
    </cfRule>
  </conditionalFormatting>
  <conditionalFormatting sqref="M100:O101 N112:O112">
    <cfRule type="expression" dxfId="1685" priority="11">
      <formula>$N$112&gt;0</formula>
    </cfRule>
    <cfRule type="expression" dxfId="1684" priority="12">
      <formula>$N$112&lt;0</formula>
    </cfRule>
  </conditionalFormatting>
  <conditionalFormatting sqref="G2:I3">
    <cfRule type="expression" dxfId="168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68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68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68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67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67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67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67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67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67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3D519-C25D-4031-A3C3-05E4D96FF820}">
  <sheetPr codeName="Sheet7"/>
  <dimension ref="A1:R112"/>
  <sheetViews>
    <sheetView topLeftCell="A82"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44290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-7,615 KRW (-7.62%)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0 KRW (0.00%)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-13,721 KRW (-1.37%)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26" t="s">
        <v>67</v>
      </c>
      <c r="H16" s="27" t="s">
        <v>68</v>
      </c>
      <c r="I16" s="28" t="s">
        <v>70</v>
      </c>
      <c r="J16" s="4" t="s">
        <v>67</v>
      </c>
      <c r="K16" s="4" t="s">
        <v>68</v>
      </c>
      <c r="L16" s="30" t="s">
        <v>70</v>
      </c>
      <c r="M16" s="18" t="s">
        <v>67</v>
      </c>
      <c r="N16" s="4" t="s">
        <v>68</v>
      </c>
      <c r="O16" s="21" t="s">
        <v>70</v>
      </c>
      <c r="Q16" s="206"/>
      <c r="R16" s="207"/>
    </row>
    <row r="17" spans="1:18" ht="17.25" customHeight="1">
      <c r="A17" s="39" t="s">
        <v>72</v>
      </c>
      <c r="B17" s="35">
        <f>IF(NOT(_xlfn.IFNA(VLOOKUP($A17, $A$30:$O$112, 2, FALSE), "")=0), _xlfn.IFNA(VLOOKUP($A17, $A$30:$O$112, 2, FALSE), ""), "")</f>
        <v>135</v>
      </c>
      <c r="C17" s="22">
        <f>IF(NOT(_xlfn.IFNA(VLOOKUP($A17, $A$30:$O$112, 3, FALSE), "")=0), _xlfn.IFNA(VLOOKUP($A17, $A$30:$O$112, 3, FALSE), ""), "")</f>
        <v>0.2</v>
      </c>
      <c r="D17" s="35">
        <f>IF(NOT(_xlfn.IFNA(VLOOKUP($A17, $A$30:$O$112, 4, FALSE), "")=0), _xlfn.IFNA(VLOOKUP($A17, $A$30:$O$112, 4, FALSE), ""), "")</f>
        <v>142</v>
      </c>
      <c r="E17" s="22">
        <f>IF(NOT(_xlfn.IFNA(VLOOKUP($A17, $A$30:$O$112, 5, FALSE), "")=0), _xlfn.IFNA(VLOOKUP($A17, $A$30:$O$112, 5, FALSE), ""), "")</f>
        <v>5.185185185185185E-2</v>
      </c>
      <c r="F17" s="58">
        <f>IF(NOT(_xlfn.IFNA(VLOOKUP($A17, $A$30:$O$112, 6, FALSE), "")=0), _xlfn.IFNA(VLOOKUP($A17, $A$30:$O$112, 6, FALSE), ""), "")</f>
        <v>5185.1851851851852</v>
      </c>
      <c r="G17" s="36">
        <f t="shared" ref="G17:G26" si="0">IF(NOT(_xlfn.IFNA(VLOOKUP($A17, $A$30:$O$112, 7, FALSE), "")=0), _xlfn.IFNA(VLOOKUP($A17, $A$30:$O$112, 7, FALSE), ""), "")</f>
        <v>149</v>
      </c>
      <c r="H17" s="5">
        <f>IF(NOT(_xlfn.IFNA(VLOOKUP($A17, $A$30:$O$112, 8, FALSE), "")=0), _xlfn.IFNA(VLOOKUP($A17, $A$30:$O$112, 8, FALSE), ""), "")</f>
        <v>0.1037037037037037</v>
      </c>
      <c r="I17" s="20">
        <f>IF(NOT(_xlfn.IFNA(VLOOKUP($A17, $A$30:$O$112, 9, FALSE), "")=0), _xlfn.IFNA(VLOOKUP($A17, $A$30:$O$112, 9, FALSE), ""), "")</f>
        <v>10370.37037037037</v>
      </c>
      <c r="J17" s="35">
        <f>IF(NOT(_xlfn.IFNA(VLOOKUP($A17, $A$30:$O$112, 10, FALSE), "")=0), _xlfn.IFNA(VLOOKUP($A17, $A$30:$O$112, 10, FALSE), ""), "")</f>
        <v>147</v>
      </c>
      <c r="K17" s="22">
        <f>IF(NOT(_xlfn.IFNA(VLOOKUP($A17, $A$30:$O$112, 11, FALSE), "")=0), _xlfn.IFNA(VLOOKUP($A17, $A$30:$O$112, 11, FALSE), ""), "")</f>
        <v>8.8888888888888892E-2</v>
      </c>
      <c r="L17" s="15">
        <f>IF(NOT(_xlfn.IFNA(VLOOKUP($A17, $A$30:$O$112, 12, FALSE), "")=0), _xlfn.IFNA(VLOOKUP($A17, $A$30:$O$112, 12, FALSE), ""), "")</f>
        <v>8888.8888888888887</v>
      </c>
      <c r="M17" s="35">
        <f>IF(NOT(_xlfn.IFNA(VLOOKUP($A17, $A$30:$O$112, 13, FALSE), "")=0), _xlfn.IFNA(VLOOKUP($A17, $A$30:$O$112, 13, FALSE), ""), "")</f>
        <v>147</v>
      </c>
      <c r="N17" s="22">
        <f>IF(NOT(_xlfn.IFNA(VLOOKUP($A17, $A$30:$O$112, 14, FALSE), "")=0), _xlfn.IFNA(VLOOKUP($A17, $A$30:$O$112, 14, FALSE), ""), "")</f>
        <v>8.8888888888888892E-2</v>
      </c>
      <c r="O17" s="10">
        <f>IF(NOT(_xlfn.IFNA(VLOOKUP($A17, $A$30:$O$112, 15, FALSE), "")=0), _xlfn.IFNA(VLOOKUP($A17, $A$30:$O$112, 15, FALSE), ""), "")</f>
        <v>8888.8888888888887</v>
      </c>
      <c r="Q17" s="204"/>
      <c r="R17" s="205"/>
    </row>
    <row r="18" spans="1:18" ht="17.25" customHeight="1">
      <c r="A18" s="40" t="s">
        <v>74</v>
      </c>
      <c r="B18" s="36">
        <f t="shared" ref="B18:B26" si="1">IF(NOT(_xlfn.IFNA(VLOOKUP($A18, $A$30:$O$112, 2, FALSE), "")=0), _xlfn.IFNA(VLOOKUP($A18, $A$30:$O$112, 2, FALSE), ""), "")</f>
        <v>1575</v>
      </c>
      <c r="C18" s="5">
        <f t="shared" ref="C18:C26" si="2">IF(NOT(_xlfn.IFNA(VLOOKUP($A18, $A$30:$O$112, 3, FALSE), "")=0), _xlfn.IFNA(VLOOKUP($A18, $A$30:$O$112, 3, FALSE), ""), "")</f>
        <v>0.15</v>
      </c>
      <c r="D18" s="36">
        <f t="shared" ref="D18:D26" si="3">IF(NOT(_xlfn.IFNA(VLOOKUP($A18, $A$30:$O$112, 4, FALSE), "")=0), _xlfn.IFNA(VLOOKUP($A18, $A$30:$O$112, 4, FALSE), ""), "")</f>
        <v>1440</v>
      </c>
      <c r="E18" s="5">
        <f t="shared" ref="E18:E26" si="4">IF(NOT(_xlfn.IFNA(VLOOKUP($A18, $A$30:$O$112, 5, FALSE), "")=0), _xlfn.IFNA(VLOOKUP($A18, $A$30:$O$112, 5, FALSE), ""), "")</f>
        <v>-8.5714285714285715E-2</v>
      </c>
      <c r="F18" s="59">
        <f t="shared" ref="F18:F26" si="5">IF(NOT(_xlfn.IFNA(VLOOKUP($A18, $A$30:$O$112, 6, FALSE), "")=0), _xlfn.IFNA(VLOOKUP($A18, $A$30:$O$112, 6, FALSE), ""), "")</f>
        <v>-8571.4285714285706</v>
      </c>
      <c r="G18" s="36">
        <f t="shared" si="0"/>
        <v>1490</v>
      </c>
      <c r="H18" s="5">
        <f t="shared" ref="H18:H26" si="6">IF(NOT(_xlfn.IFNA(VLOOKUP($A18, $A$30:$O$112, 8, FALSE), "")=0), _xlfn.IFNA(VLOOKUP($A18, $A$30:$O$112, 8, FALSE), ""), "")</f>
        <v>-5.3968253968253971E-2</v>
      </c>
      <c r="I18" s="20">
        <f t="shared" ref="I18:I26" si="7">IF(NOT(_xlfn.IFNA(VLOOKUP($A18, $A$30:$O$112, 9, FALSE), "")=0), _xlfn.IFNA(VLOOKUP($A18, $A$30:$O$112, 9, FALSE), ""), "")</f>
        <v>-5396.8253968253966</v>
      </c>
      <c r="J18" s="36">
        <f t="shared" ref="J18:J26" si="8">IF(NOT(_xlfn.IFNA(VLOOKUP($A18, $A$30:$O$112, 10, FALSE), "")=0), _xlfn.IFNA(VLOOKUP($A18, $A$30:$O$112, 10, FALSE), ""), "")</f>
        <v>1500</v>
      </c>
      <c r="K18" s="5">
        <f t="shared" ref="K18:K26" si="9">IF(NOT(_xlfn.IFNA(VLOOKUP($A18, $A$30:$O$112, 11, FALSE), "")=0), _xlfn.IFNA(VLOOKUP($A18, $A$30:$O$112, 11, FALSE), ""), "")</f>
        <v>-4.7619047619047616E-2</v>
      </c>
      <c r="L18" s="20">
        <f t="shared" ref="L18:L26" si="10">IF(NOT(_xlfn.IFNA(VLOOKUP($A18, $A$30:$O$112, 12, FALSE), "")=0), _xlfn.IFNA(VLOOKUP($A18, $A$30:$O$112, 12, FALSE), ""), "")</f>
        <v>-4761.9047619047615</v>
      </c>
      <c r="M18" s="36">
        <f t="shared" ref="M18:M26" si="11">IF(NOT(_xlfn.IFNA(VLOOKUP($A18, $A$30:$O$112, 13, FALSE), "")=0), _xlfn.IFNA(VLOOKUP($A18, $A$30:$O$112, 13, FALSE), ""), "")</f>
        <v>1500</v>
      </c>
      <c r="N18" s="5">
        <f t="shared" ref="N18:N26" si="12">IF(NOT(_xlfn.IFNA(VLOOKUP($A18, $A$30:$O$112, 14, FALSE), "")=0), _xlfn.IFNA(VLOOKUP($A18, $A$30:$O$112, 14, FALSE), ""), "")</f>
        <v>-4.7619047619047616E-2</v>
      </c>
      <c r="O18" s="12">
        <f t="shared" ref="O18:O26" si="13">IF(NOT(_xlfn.IFNA(VLOOKUP($A18, $A$30:$O$112, 15, FALSE), "")=0), _xlfn.IFNA(VLOOKUP($A18, $A$30:$O$112, 15, FALSE), ""), "")</f>
        <v>-4761.9047619047615</v>
      </c>
      <c r="Q18" s="204"/>
      <c r="R18" s="205"/>
    </row>
    <row r="19" spans="1:18" ht="17.25" customHeight="1">
      <c r="A19" s="40" t="s">
        <v>75</v>
      </c>
      <c r="B19" s="36">
        <f t="shared" si="1"/>
        <v>182</v>
      </c>
      <c r="C19" s="5">
        <f t="shared" si="2"/>
        <v>0.15</v>
      </c>
      <c r="D19" s="36">
        <f t="shared" si="3"/>
        <v>189</v>
      </c>
      <c r="E19" s="5">
        <f t="shared" si="4"/>
        <v>3.8461538461538464E-2</v>
      </c>
      <c r="F19" s="59">
        <f t="shared" si="5"/>
        <v>3846.1538461538462</v>
      </c>
      <c r="G19" s="36">
        <f t="shared" si="0"/>
        <v>202</v>
      </c>
      <c r="H19" s="5">
        <f t="shared" si="6"/>
        <v>0.10989010989010989</v>
      </c>
      <c r="I19" s="20">
        <f t="shared" si="7"/>
        <v>10989.010989010989</v>
      </c>
      <c r="J19" s="36">
        <f t="shared" si="8"/>
        <v>204</v>
      </c>
      <c r="K19" s="5">
        <f t="shared" si="9"/>
        <v>0.12087912087912088</v>
      </c>
      <c r="L19" s="20">
        <f t="shared" si="10"/>
        <v>12087.912087912087</v>
      </c>
      <c r="M19" s="36">
        <f t="shared" si="11"/>
        <v>201</v>
      </c>
      <c r="N19" s="5">
        <f t="shared" si="12"/>
        <v>0.1043956043956044</v>
      </c>
      <c r="O19" s="12">
        <f t="shared" si="13"/>
        <v>10439.56043956044</v>
      </c>
      <c r="Q19" s="204"/>
      <c r="R19" s="205"/>
    </row>
    <row r="20" spans="1:18" ht="17.25" customHeight="1">
      <c r="A20" s="40" t="s">
        <v>76</v>
      </c>
      <c r="B20" s="36">
        <f t="shared" si="1"/>
        <v>205</v>
      </c>
      <c r="C20" s="5">
        <f t="shared" si="2"/>
        <v>0.14499999999999999</v>
      </c>
      <c r="D20" s="36">
        <f t="shared" si="3"/>
        <v>203</v>
      </c>
      <c r="E20" s="5">
        <f t="shared" si="4"/>
        <v>-9.7560975609756097E-3</v>
      </c>
      <c r="F20" s="59">
        <f t="shared" si="5"/>
        <v>-975.60975609756099</v>
      </c>
      <c r="G20" s="36">
        <f t="shared" si="0"/>
        <v>201</v>
      </c>
      <c r="H20" s="5">
        <f t="shared" si="6"/>
        <v>-1.9512195121951219E-2</v>
      </c>
      <c r="I20" s="20">
        <f t="shared" si="7"/>
        <v>-1951.219512195122</v>
      </c>
      <c r="J20" s="36">
        <f t="shared" si="8"/>
        <v>200</v>
      </c>
      <c r="K20" s="5">
        <f t="shared" si="9"/>
        <v>-2.4390243902439025E-2</v>
      </c>
      <c r="L20" s="20">
        <f t="shared" si="10"/>
        <v>-2439.0243902439024</v>
      </c>
      <c r="M20" s="36">
        <f t="shared" si="11"/>
        <v>202</v>
      </c>
      <c r="N20" s="5">
        <f t="shared" si="12"/>
        <v>-1.4634146341463415E-2</v>
      </c>
      <c r="O20" s="12">
        <f t="shared" si="13"/>
        <v>-1463.4146341463415</v>
      </c>
      <c r="Q20" s="204"/>
      <c r="R20" s="205"/>
    </row>
    <row r="21" spans="1:18" ht="17.25" customHeight="1">
      <c r="A21" s="41" t="s">
        <v>77</v>
      </c>
      <c r="B21" s="37">
        <f t="shared" si="1"/>
        <v>2060</v>
      </c>
      <c r="C21" s="24">
        <f t="shared" si="2"/>
        <v>0.125</v>
      </c>
      <c r="D21" s="37">
        <f t="shared" si="3"/>
        <v>1985</v>
      </c>
      <c r="E21" s="24">
        <f t="shared" si="4"/>
        <v>-3.640776699029126E-2</v>
      </c>
      <c r="F21" s="60">
        <f t="shared" si="5"/>
        <v>-3640.7766990291261</v>
      </c>
      <c r="G21" s="37">
        <f t="shared" si="0"/>
        <v>2015</v>
      </c>
      <c r="H21" s="24">
        <f t="shared" si="6"/>
        <v>-2.1844660194174758E-2</v>
      </c>
      <c r="I21" s="25">
        <f t="shared" si="7"/>
        <v>-2184.4660194174758</v>
      </c>
      <c r="J21" s="37">
        <f t="shared" si="8"/>
        <v>1975</v>
      </c>
      <c r="K21" s="24">
        <f t="shared" si="9"/>
        <v>-4.12621359223301E-2</v>
      </c>
      <c r="L21" s="25">
        <f t="shared" si="10"/>
        <v>-4126.2135922330099</v>
      </c>
      <c r="M21" s="37">
        <f t="shared" si="11"/>
        <v>1980</v>
      </c>
      <c r="N21" s="24">
        <f t="shared" si="12"/>
        <v>-3.8834951456310676E-2</v>
      </c>
      <c r="O21" s="6">
        <f t="shared" si="13"/>
        <v>-3883.4951456310678</v>
      </c>
      <c r="Q21" s="204"/>
      <c r="R21" s="205"/>
    </row>
    <row r="22" spans="1:18" ht="17.25" customHeight="1">
      <c r="A22" s="40" t="s">
        <v>78</v>
      </c>
      <c r="B22" s="36">
        <f t="shared" si="1"/>
        <v>14484</v>
      </c>
      <c r="C22" s="5">
        <f t="shared" si="2"/>
        <v>0.11</v>
      </c>
      <c r="D22" s="36">
        <f t="shared" si="3"/>
        <v>12790</v>
      </c>
      <c r="E22" s="5">
        <f t="shared" si="4"/>
        <v>-0.11695664181165424</v>
      </c>
      <c r="F22" s="59">
        <f t="shared" si="5"/>
        <v>-11695.664181165424</v>
      </c>
      <c r="G22" s="36">
        <f t="shared" si="0"/>
        <v>13240</v>
      </c>
      <c r="H22" s="5">
        <f t="shared" si="6"/>
        <v>-8.5887876277271472E-2</v>
      </c>
      <c r="I22" s="20">
        <f t="shared" si="7"/>
        <v>-8588.787627727148</v>
      </c>
      <c r="J22" s="36">
        <f t="shared" si="8"/>
        <v>12970</v>
      </c>
      <c r="K22" s="5">
        <f t="shared" si="9"/>
        <v>-0.10452913559790113</v>
      </c>
      <c r="L22" s="20">
        <f t="shared" si="10"/>
        <v>-10452.913559790113</v>
      </c>
      <c r="M22" s="36">
        <f t="shared" si="11"/>
        <v>13300</v>
      </c>
      <c r="N22" s="5">
        <f t="shared" si="12"/>
        <v>-8.1745374206020432E-2</v>
      </c>
      <c r="O22" s="12">
        <f t="shared" si="13"/>
        <v>-8174.5374206020433</v>
      </c>
      <c r="Q22" s="204"/>
      <c r="R22" s="205"/>
    </row>
    <row r="23" spans="1:18" ht="17.25" customHeight="1">
      <c r="A23" s="40" t="s">
        <v>80</v>
      </c>
      <c r="B23" s="36">
        <f t="shared" si="1"/>
        <v>7090</v>
      </c>
      <c r="C23" s="5">
        <f t="shared" si="2"/>
        <v>0.105</v>
      </c>
      <c r="D23" s="36">
        <f t="shared" si="3"/>
        <v>7770</v>
      </c>
      <c r="E23" s="5">
        <f t="shared" si="4"/>
        <v>9.590973201692525E-2</v>
      </c>
      <c r="F23" s="59">
        <f t="shared" si="5"/>
        <v>9590.9732016925245</v>
      </c>
      <c r="G23" s="36">
        <f t="shared" si="0"/>
        <v>8010</v>
      </c>
      <c r="H23" s="5">
        <f t="shared" si="6"/>
        <v>0.12976022566995768</v>
      </c>
      <c r="I23" s="20">
        <f t="shared" si="7"/>
        <v>12976.022566995767</v>
      </c>
      <c r="J23" s="36">
        <f t="shared" si="8"/>
        <v>7760</v>
      </c>
      <c r="K23" s="5">
        <f t="shared" si="9"/>
        <v>9.4499294781382234E-2</v>
      </c>
      <c r="L23" s="20">
        <f t="shared" si="10"/>
        <v>9449.9294781382232</v>
      </c>
      <c r="M23" s="36">
        <f t="shared" si="11"/>
        <v>7810</v>
      </c>
      <c r="N23" s="5">
        <f t="shared" si="12"/>
        <v>0.10155148095909731</v>
      </c>
      <c r="O23" s="12">
        <f t="shared" si="13"/>
        <v>10155.148095909732</v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20" t="str">
        <f t="shared" si="7"/>
        <v/>
      </c>
      <c r="J24" s="36" t="str">
        <f t="shared" si="8"/>
        <v/>
      </c>
      <c r="K24" s="5" t="str">
        <f t="shared" si="9"/>
        <v/>
      </c>
      <c r="L24" s="20" t="str">
        <f t="shared" si="10"/>
        <v/>
      </c>
      <c r="M24" s="36" t="str">
        <f t="shared" si="11"/>
        <v/>
      </c>
      <c r="N24" s="5" t="str">
        <f t="shared" si="12"/>
        <v/>
      </c>
      <c r="O24" s="12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20" t="str">
        <f t="shared" si="7"/>
        <v/>
      </c>
      <c r="J25" s="36" t="str">
        <f t="shared" si="8"/>
        <v/>
      </c>
      <c r="K25" s="5" t="str">
        <f t="shared" si="9"/>
        <v/>
      </c>
      <c r="L25" s="20" t="str">
        <f t="shared" si="10"/>
        <v/>
      </c>
      <c r="M25" s="36" t="str">
        <f t="shared" si="11"/>
        <v/>
      </c>
      <c r="N25" s="5" t="str">
        <f t="shared" si="12"/>
        <v/>
      </c>
      <c r="O25" s="12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23" t="str">
        <f t="shared" si="7"/>
        <v/>
      </c>
      <c r="J26" s="38" t="str">
        <f t="shared" si="8"/>
        <v/>
      </c>
      <c r="K26" s="16" t="str">
        <f t="shared" si="9"/>
        <v/>
      </c>
      <c r="L26" s="23" t="str">
        <f t="shared" si="10"/>
        <v/>
      </c>
      <c r="M26" s="38" t="str">
        <f t="shared" si="11"/>
        <v/>
      </c>
      <c r="N26" s="16" t="str">
        <f t="shared" si="12"/>
        <v/>
      </c>
      <c r="O26" s="14" t="str">
        <f t="shared" si="13"/>
        <v/>
      </c>
      <c r="Q26" s="206"/>
      <c r="R26" s="207"/>
    </row>
    <row r="27" spans="1:18" ht="17.25" customHeight="1" thickBot="1">
      <c r="A27" s="29" t="s">
        <v>32</v>
      </c>
      <c r="B27" s="235">
        <v>100000</v>
      </c>
      <c r="C27" s="236"/>
      <c r="D27" s="29" t="s">
        <v>82</v>
      </c>
      <c r="E27" s="46">
        <f>IF(COUNT(E17:E26), SUM(E17:E26) / COUNT(E17:E26), 0)</f>
        <v>-8.9445242495558956E-3</v>
      </c>
      <c r="F27" s="47">
        <f>SUM(F17:F26)</f>
        <v>-6261.1669746891257</v>
      </c>
      <c r="G27" s="29" t="s">
        <v>82</v>
      </c>
      <c r="H27" s="46">
        <f>IF(COUNT(H17:H26), SUM(H17:H26) / COUNT(H17:H26), 0)</f>
        <v>2.3163007671731409E-2</v>
      </c>
      <c r="I27" s="47">
        <f>SUM(I17:I26)</f>
        <v>16214.105370211983</v>
      </c>
      <c r="J27" s="29" t="s">
        <v>82</v>
      </c>
      <c r="K27" s="46">
        <f>IF(COUNT(K17:K26), SUM(K17:K26) / COUNT(K17:K26), 0)</f>
        <v>1.2352391643953449E-2</v>
      </c>
      <c r="L27" s="47">
        <f>SUM(L17:L26)</f>
        <v>8646.6741507674142</v>
      </c>
      <c r="M27" s="29" t="s">
        <v>82</v>
      </c>
      <c r="N27" s="46">
        <f>IF(COUNT(N17:N26), SUM(N17:N26) / COUNT(N17:N26), 0)</f>
        <v>1.6000350660106921E-2</v>
      </c>
      <c r="O27" s="47">
        <f>SUM(O17:O26)</f>
        <v>11200.245462074847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30" t="s">
        <v>70</v>
      </c>
      <c r="M33" s="18" t="s">
        <v>67</v>
      </c>
      <c r="N33" s="4" t="s">
        <v>68</v>
      </c>
      <c r="O33" s="21" t="s">
        <v>70</v>
      </c>
      <c r="Q33" s="231"/>
      <c r="R33" s="232"/>
    </row>
    <row r="34" spans="1:18" ht="17.25" customHeight="1">
      <c r="A34" s="9" t="s">
        <v>10</v>
      </c>
      <c r="B34" s="31">
        <v>49.9</v>
      </c>
      <c r="C34" s="22">
        <v>5.5E-2</v>
      </c>
      <c r="D34" s="35">
        <v>48</v>
      </c>
      <c r="E34" s="22">
        <f>IF(ISNUMBER(D34), (D34 - $B34) / $B34, "")</f>
        <v>-3.8076152304609194E-2</v>
      </c>
      <c r="F34" s="43">
        <f>IF(ISNUMBER(D34), $B44 * E34, "")</f>
        <v>-3807.6152304609195</v>
      </c>
      <c r="G34" s="35">
        <v>46.3</v>
      </c>
      <c r="H34" s="22">
        <f>IF(ISNUMBER(G34), (G34 - $B34) / $B34, "")</f>
        <v>-7.2144288577154339E-2</v>
      </c>
      <c r="I34" s="43">
        <f>IF(ISNUMBER(G34), $B44 * H34, "")</f>
        <v>-7214.4288577154339</v>
      </c>
      <c r="J34" s="35">
        <v>45.4</v>
      </c>
      <c r="K34" s="22">
        <f>IF(ISNUMBER(J34), (J34 - $B34) / $B34, "")</f>
        <v>-9.0180360721442893E-2</v>
      </c>
      <c r="L34" s="43">
        <f>IF(ISNUMBER(J34), $B44 * K34, "")</f>
        <v>-9018.0360721442885</v>
      </c>
      <c r="M34" s="35">
        <v>46.1</v>
      </c>
      <c r="N34" s="22">
        <f>IF(ISNUMBER(M34), (M34 - $B34) / $B34, "")</f>
        <v>-7.6152304609218388E-2</v>
      </c>
      <c r="O34" s="43">
        <f>IF(ISNUMBER(M34), $B44 * N34, "")</f>
        <v>-7615.230460921839</v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29" t="s">
        <v>32</v>
      </c>
      <c r="B44" s="235">
        <v>100000</v>
      </c>
      <c r="C44" s="236"/>
      <c r="D44" s="29" t="s">
        <v>82</v>
      </c>
      <c r="E44" s="46">
        <f>IF(COUNT(E34:E43), SUM(E34:E43) / COUNT(E34:E43), 0)</f>
        <v>-3.8076152304609194E-2</v>
      </c>
      <c r="F44" s="47">
        <f>SUM(F34:F43)</f>
        <v>-3807.6152304609195</v>
      </c>
      <c r="G44" s="29" t="s">
        <v>82</v>
      </c>
      <c r="H44" s="46">
        <f>IF(COUNT(H34:H43), SUM(H34:H43) / COUNT(H34:H43), 0)</f>
        <v>-7.2144288577154339E-2</v>
      </c>
      <c r="I44" s="47">
        <f>SUM(I34:I43)</f>
        <v>-7214.4288577154339</v>
      </c>
      <c r="J44" s="29" t="s">
        <v>82</v>
      </c>
      <c r="K44" s="46">
        <f>IF(COUNT(K34:K43), SUM(K34:K43) / COUNT(K34:K43), 0)</f>
        <v>-9.0180360721442893E-2</v>
      </c>
      <c r="L44" s="47">
        <f>SUM(L34:L43)</f>
        <v>-9018.0360721442885</v>
      </c>
      <c r="M44" s="29" t="s">
        <v>82</v>
      </c>
      <c r="N44" s="46">
        <f>IF(COUNT(N34:N43), SUM(N34:N43) / COUNT(N34:N43), 0)</f>
        <v>-7.6152304609218388E-2</v>
      </c>
      <c r="O44" s="47">
        <f>SUM(O34:O43)</f>
        <v>-7615.230460921839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30" t="s">
        <v>70</v>
      </c>
      <c r="M50" s="18" t="s">
        <v>67</v>
      </c>
      <c r="N50" s="4" t="s">
        <v>68</v>
      </c>
      <c r="O50" s="21" t="s">
        <v>70</v>
      </c>
      <c r="Q50" s="231"/>
      <c r="R50" s="232"/>
    </row>
    <row r="51" spans="1:18" ht="17.25" customHeight="1">
      <c r="A51" s="9"/>
      <c r="B51" s="31"/>
      <c r="C51" s="22"/>
      <c r="D51" s="35"/>
      <c r="E51" s="22" t="str">
        <f>IF(ISNUMBER(D51), (D51 - $B51) / $B51, "")</f>
        <v/>
      </c>
      <c r="F51" s="43" t="str">
        <f>IF(ISNUMBER(D51), $B61 * E51, "")</f>
        <v/>
      </c>
      <c r="G51" s="35"/>
      <c r="H51" s="22" t="str">
        <f>IF(ISNUMBER(G51), (G51 - $B51) / $B51, "")</f>
        <v/>
      </c>
      <c r="I51" s="43" t="str">
        <f>IF(ISNUMBER(G51), $B61 * H51, "")</f>
        <v/>
      </c>
      <c r="J51" s="35"/>
      <c r="K51" s="22" t="str">
        <f>IF(ISNUMBER(J51), (J51 - $B51) / $B51, "")</f>
        <v/>
      </c>
      <c r="L51" s="43" t="str">
        <f>IF(ISNUMBER(J51), $B61 * K51, "")</f>
        <v/>
      </c>
      <c r="M51" s="35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29" t="s">
        <v>32</v>
      </c>
      <c r="B61" s="235">
        <v>100000</v>
      </c>
      <c r="C61" s="236"/>
      <c r="D61" s="29" t="s">
        <v>82</v>
      </c>
      <c r="E61" s="46">
        <f>IF(COUNT(E51:E60), SUM(E51:E60) / COUNT(E51:E60), 0)</f>
        <v>0</v>
      </c>
      <c r="F61" s="47">
        <f>SUM(F51:F60)</f>
        <v>0</v>
      </c>
      <c r="G61" s="29" t="s">
        <v>82</v>
      </c>
      <c r="H61" s="46">
        <f>IF(COUNT(H51:H60), SUM(H51:H60) / COUNT(H51:H60), 0)</f>
        <v>0</v>
      </c>
      <c r="I61" s="47">
        <f>SUM(I51:I60)</f>
        <v>0</v>
      </c>
      <c r="J61" s="29" t="s">
        <v>82</v>
      </c>
      <c r="K61" s="46">
        <f>IF(COUNT(K51:K60), SUM(K51:K60) / COUNT(K51:K60), 0)</f>
        <v>0</v>
      </c>
      <c r="L61" s="47">
        <f>SUM(L51:L60)</f>
        <v>0</v>
      </c>
      <c r="M61" s="29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30" t="s">
        <v>70</v>
      </c>
      <c r="M67" s="18" t="s">
        <v>67</v>
      </c>
      <c r="N67" s="4" t="s">
        <v>68</v>
      </c>
      <c r="O67" s="21" t="s">
        <v>70</v>
      </c>
      <c r="Q67" s="231"/>
      <c r="R67" s="232"/>
    </row>
    <row r="68" spans="1:18" ht="17.25" customHeight="1">
      <c r="A68" s="9"/>
      <c r="B68" s="31"/>
      <c r="C68" s="22"/>
      <c r="D68" s="35"/>
      <c r="E68" s="22" t="str">
        <f>IF(ISNUMBER(D68), (D68 - $B68) / $B68, "")</f>
        <v/>
      </c>
      <c r="F68" s="43" t="str">
        <f>IF(ISNUMBER(D68), $B78 * E68, "")</f>
        <v/>
      </c>
      <c r="G68" s="35"/>
      <c r="H68" s="22" t="str">
        <f>IF(ISNUMBER(G68), (G68 - $B68) / $B68, "")</f>
        <v/>
      </c>
      <c r="I68" s="43" t="str">
        <f>IF(ISNUMBER(G68), $B78 * H68, "")</f>
        <v/>
      </c>
      <c r="J68" s="35"/>
      <c r="K68" s="22" t="str">
        <f>IF(ISNUMBER(J68), (J68 - $B68) / $B68, "")</f>
        <v/>
      </c>
      <c r="L68" s="43" t="str">
        <f>IF(ISNUMBER(J68), $B78 * K68, "")</f>
        <v/>
      </c>
      <c r="M68" s="35"/>
      <c r="N68" s="22" t="str">
        <f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/>
      <c r="B69" s="32"/>
      <c r="C69" s="5"/>
      <c r="D69" s="36"/>
      <c r="E69" s="5" t="str">
        <f t="shared" ref="E69:E77" si="22">IF(ISNUMBER(D69), (D69 - $B69) / $B69, "")</f>
        <v/>
      </c>
      <c r="F69" s="44" t="str">
        <f>IF(ISNUMBER(D69), $B78 * E69, "")</f>
        <v/>
      </c>
      <c r="G69" s="36"/>
      <c r="H69" s="5" t="str">
        <f t="shared" ref="H69:H77" si="23">IF(ISNUMBER(G69), (G69 - $B69) / $B69, "")</f>
        <v/>
      </c>
      <c r="I69" s="44" t="str">
        <f>IF(ISNUMBER(G69), $B78 * H69, "")</f>
        <v/>
      </c>
      <c r="J69" s="36"/>
      <c r="K69" s="5" t="str">
        <f t="shared" ref="K69:K77" si="24">IF(ISNUMBER(J69), (J69 - $B69) / $B69, "")</f>
        <v/>
      </c>
      <c r="L69" s="44" t="str">
        <f>IF(ISNUMBER(J69), $B78 * K69, "")</f>
        <v/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29"/>
      <c r="R69" s="230"/>
    </row>
    <row r="70" spans="1:18" ht="17.25" customHeight="1">
      <c r="A70" s="11"/>
      <c r="B70" s="32"/>
      <c r="C70" s="5"/>
      <c r="D70" s="36"/>
      <c r="E70" s="5" t="str">
        <f t="shared" si="22"/>
        <v/>
      </c>
      <c r="F70" s="44" t="str">
        <f>IF(ISNUMBER(D70), $B78 * E70, "")</f>
        <v/>
      </c>
      <c r="G70" s="36"/>
      <c r="H70" s="5" t="str">
        <f t="shared" si="23"/>
        <v/>
      </c>
      <c r="I70" s="44" t="str">
        <f>IF(ISNUMBER(G70), $B78 * H70, "")</f>
        <v/>
      </c>
      <c r="J70" s="36"/>
      <c r="K70" s="5" t="str">
        <f t="shared" si="24"/>
        <v/>
      </c>
      <c r="L70" s="44" t="str">
        <f>IF(ISNUMBER(J70), $B78 * K70, "")</f>
        <v/>
      </c>
      <c r="M70" s="36"/>
      <c r="N70" s="5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29" t="s">
        <v>32</v>
      </c>
      <c r="B78" s="235">
        <v>100000</v>
      </c>
      <c r="C78" s="236"/>
      <c r="D78" s="29" t="s">
        <v>82</v>
      </c>
      <c r="E78" s="46">
        <f>IF(COUNT(E68:E77), SUM(E68:E77) / COUNT(E68:E77), 0)</f>
        <v>0</v>
      </c>
      <c r="F78" s="47">
        <f>SUM(F68:F77)</f>
        <v>0</v>
      </c>
      <c r="G78" s="29" t="s">
        <v>82</v>
      </c>
      <c r="H78" s="46">
        <f>IF(COUNT(H68:H77), SUM(H68:H77) / COUNT(H68:H77), 0)</f>
        <v>0</v>
      </c>
      <c r="I78" s="47">
        <f>SUM(I68:I77)</f>
        <v>0</v>
      </c>
      <c r="J78" s="29" t="s">
        <v>82</v>
      </c>
      <c r="K78" s="46">
        <f>IF(COUNT(K68:K77), SUM(K68:K77) / COUNT(K68:K77), 0)</f>
        <v>0</v>
      </c>
      <c r="L78" s="47">
        <f>SUM(L68:L77)</f>
        <v>0</v>
      </c>
      <c r="M78" s="29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30" t="s">
        <v>70</v>
      </c>
      <c r="M84" s="18" t="s">
        <v>67</v>
      </c>
      <c r="N84" s="4" t="s">
        <v>68</v>
      </c>
      <c r="O84" s="21" t="s">
        <v>70</v>
      </c>
      <c r="Q84" s="231"/>
      <c r="R84" s="232"/>
    </row>
    <row r="85" spans="1:18" ht="17.25" customHeight="1">
      <c r="A85" s="9"/>
      <c r="B85" s="31"/>
      <c r="C85" s="22"/>
      <c r="D85" s="35"/>
      <c r="E85" s="22" t="str">
        <f>IF(ISNUMBER(D85), (D85 - $B85) / $B85, "")</f>
        <v/>
      </c>
      <c r="F85" s="43" t="str">
        <f>IF(ISNUMBER(D85), $B95 * E85, "")</f>
        <v/>
      </c>
      <c r="G85" s="35"/>
      <c r="H85" s="22" t="str">
        <f>IF(ISNUMBER(G85), (G85 - $B85) / $B85, "")</f>
        <v/>
      </c>
      <c r="I85" s="43" t="str">
        <f>IF(ISNUMBER(G85), $B95 * H85, "")</f>
        <v/>
      </c>
      <c r="J85" s="35"/>
      <c r="K85" s="22" t="str">
        <f>IF(ISNUMBER(J85), (J85 - $B85) / $B85, "")</f>
        <v/>
      </c>
      <c r="L85" s="43" t="str">
        <f>IF(ISNUMBER(J85), $B95 * K85, "")</f>
        <v/>
      </c>
      <c r="M85" s="35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29" t="s">
        <v>32</v>
      </c>
      <c r="B95" s="235">
        <v>100000</v>
      </c>
      <c r="C95" s="236"/>
      <c r="D95" s="29" t="s">
        <v>82</v>
      </c>
      <c r="E95" s="46">
        <f>IF(COUNT(E85:E94), SUM(E85:E94) / COUNT(E85:E94), 0)</f>
        <v>0</v>
      </c>
      <c r="F95" s="47">
        <f>SUM(F85:F94)</f>
        <v>0</v>
      </c>
      <c r="G95" s="29" t="s">
        <v>82</v>
      </c>
      <c r="H95" s="46">
        <f>IF(COUNT(H85:H94), SUM(H85:H94) / COUNT(H85:H94), 0)</f>
        <v>0</v>
      </c>
      <c r="I95" s="47">
        <f>SUM(I85:I94)</f>
        <v>0</v>
      </c>
      <c r="J95" s="29" t="s">
        <v>82</v>
      </c>
      <c r="K95" s="46">
        <f>IF(COUNT(K85:K94), SUM(K85:K94) / COUNT(K85:K94), 0)</f>
        <v>0</v>
      </c>
      <c r="L95" s="47">
        <f>SUM(L85:L94)</f>
        <v>0</v>
      </c>
      <c r="M95" s="29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30" t="s">
        <v>70</v>
      </c>
      <c r="M101" s="18" t="s">
        <v>67</v>
      </c>
      <c r="N101" s="4" t="s">
        <v>68</v>
      </c>
      <c r="O101" s="21" t="s">
        <v>70</v>
      </c>
      <c r="Q101" s="231"/>
      <c r="R101" s="232"/>
    </row>
    <row r="102" spans="1:18" ht="17.25" customHeight="1">
      <c r="A102" s="9" t="s">
        <v>71</v>
      </c>
      <c r="B102" s="31">
        <v>498</v>
      </c>
      <c r="C102" s="22">
        <v>0.55500000000000005</v>
      </c>
      <c r="D102" s="35">
        <v>424</v>
      </c>
      <c r="E102" s="22">
        <f>IF(ISNUMBER(D102), (D102 - $B102) / $B102, "")</f>
        <v>-0.14859437751004015</v>
      </c>
      <c r="F102" s="43">
        <f>IF(ISNUMBER(D102), $B112 * E102, "")</f>
        <v>-14859.437751004014</v>
      </c>
      <c r="G102" s="35">
        <v>424</v>
      </c>
      <c r="H102" s="22">
        <f>IF(ISNUMBER(G102), (G102 - $B102) / $B102, "")</f>
        <v>-0.14859437751004015</v>
      </c>
      <c r="I102" s="43">
        <f>IF(ISNUMBER(G102), $B112 * H102, "")</f>
        <v>-14859.437751004014</v>
      </c>
      <c r="J102" s="35">
        <v>416</v>
      </c>
      <c r="K102" s="22">
        <f>IF(ISNUMBER(J102), (J102 - $B102) / $B102, "")</f>
        <v>-0.1646586345381526</v>
      </c>
      <c r="L102" s="43">
        <f>IF(ISNUMBER(J102), $B112 * K102, "")</f>
        <v>-16465.863453815262</v>
      </c>
      <c r="M102" s="35">
        <v>426</v>
      </c>
      <c r="N102" s="22">
        <f>IF(ISNUMBER(M102), (M102 - $B102) / $B102, "")</f>
        <v>-0.14457831325301204</v>
      </c>
      <c r="O102" s="43">
        <f>IF(ISNUMBER(M102), $B112 * N102, "")</f>
        <v>-14457.831325301204</v>
      </c>
      <c r="Q102" s="229"/>
      <c r="R102" s="230"/>
    </row>
    <row r="103" spans="1:18" ht="17.25" customHeight="1">
      <c r="A103" s="11" t="s">
        <v>72</v>
      </c>
      <c r="B103" s="32">
        <v>135</v>
      </c>
      <c r="C103" s="5">
        <v>0.2</v>
      </c>
      <c r="D103" s="36">
        <v>142</v>
      </c>
      <c r="E103" s="5">
        <f t="shared" ref="E103:E111" si="30">IF(ISNUMBER(D103), (D103 - $B103) / $B103, "")</f>
        <v>5.185185185185185E-2</v>
      </c>
      <c r="F103" s="44">
        <f>IF(ISNUMBER(D103), $B112 * E103, "")</f>
        <v>5185.1851851851852</v>
      </c>
      <c r="G103" s="36">
        <v>149</v>
      </c>
      <c r="H103" s="5">
        <f t="shared" ref="H103:H111" si="31">IF(ISNUMBER(G103), (G103 - $B103) / $B103, "")</f>
        <v>0.1037037037037037</v>
      </c>
      <c r="I103" s="44">
        <f>IF(ISNUMBER(G103), $B112 * H103, "")</f>
        <v>10370.37037037037</v>
      </c>
      <c r="J103" s="36">
        <v>147</v>
      </c>
      <c r="K103" s="5">
        <f t="shared" ref="K103:K111" si="32">IF(ISNUMBER(J103), (J103 - $B103) / $B103, "")</f>
        <v>8.8888888888888892E-2</v>
      </c>
      <c r="L103" s="44">
        <f>IF(ISNUMBER(J103), $B112 * K103, "")</f>
        <v>8888.8888888888887</v>
      </c>
      <c r="M103" s="36">
        <v>147</v>
      </c>
      <c r="N103" s="5">
        <f t="shared" ref="N103:N111" si="33">IF(ISNUMBER(M103), (M103 - $B103) / $B103, "")</f>
        <v>8.8888888888888892E-2</v>
      </c>
      <c r="O103" s="44">
        <f>IF(ISNUMBER(M103), $B112 * N103, "")</f>
        <v>8888.8888888888887</v>
      </c>
      <c r="Q103" s="229"/>
      <c r="R103" s="230"/>
    </row>
    <row r="104" spans="1:18" ht="17.25" customHeight="1">
      <c r="A104" s="11" t="s">
        <v>73</v>
      </c>
      <c r="B104" s="32">
        <v>4480</v>
      </c>
      <c r="C104" s="5">
        <v>0.17</v>
      </c>
      <c r="D104" s="36">
        <v>4370</v>
      </c>
      <c r="E104" s="5">
        <f t="shared" si="30"/>
        <v>-2.4553571428571428E-2</v>
      </c>
      <c r="F104" s="44">
        <f>IF(ISNUMBER(D104), $B112 * E104, "")</f>
        <v>-2455.3571428571427</v>
      </c>
      <c r="G104" s="36">
        <v>4430</v>
      </c>
      <c r="H104" s="5">
        <f t="shared" si="31"/>
        <v>-1.1160714285714286E-2</v>
      </c>
      <c r="I104" s="44">
        <f>IF(ISNUMBER(G104), $B112 * H104, "")</f>
        <v>-1116.0714285714287</v>
      </c>
      <c r="J104" s="36">
        <v>4285</v>
      </c>
      <c r="K104" s="5">
        <f t="shared" si="32"/>
        <v>-4.3526785714285712E-2</v>
      </c>
      <c r="L104" s="44">
        <f>IF(ISNUMBER(J104), $B112 * K104, "")</f>
        <v>-4352.6785714285716</v>
      </c>
      <c r="M104" s="36">
        <v>4285</v>
      </c>
      <c r="N104" s="5">
        <f t="shared" si="33"/>
        <v>-4.3526785714285712E-2</v>
      </c>
      <c r="O104" s="44">
        <f>IF(ISNUMBER(M104), $B112 * N104, "")</f>
        <v>-4352.6785714285716</v>
      </c>
      <c r="Q104" s="229"/>
      <c r="R104" s="230"/>
    </row>
    <row r="105" spans="1:18" ht="17.25" customHeight="1">
      <c r="A105" s="11" t="s">
        <v>74</v>
      </c>
      <c r="B105" s="32">
        <v>1575</v>
      </c>
      <c r="C105" s="5">
        <v>0.15</v>
      </c>
      <c r="D105" s="36">
        <v>1440</v>
      </c>
      <c r="E105" s="5">
        <f t="shared" si="30"/>
        <v>-8.5714285714285715E-2</v>
      </c>
      <c r="F105" s="44">
        <f>IF(ISNUMBER(D105), $B112 * E105, "")</f>
        <v>-8571.4285714285706</v>
      </c>
      <c r="G105" s="36">
        <v>1490</v>
      </c>
      <c r="H105" s="5">
        <f t="shared" si="31"/>
        <v>-5.3968253968253971E-2</v>
      </c>
      <c r="I105" s="44">
        <f>IF(ISNUMBER(G105), $B112 * H105, "")</f>
        <v>-5396.8253968253966</v>
      </c>
      <c r="J105" s="36">
        <v>1500</v>
      </c>
      <c r="K105" s="5">
        <f t="shared" si="32"/>
        <v>-4.7619047619047616E-2</v>
      </c>
      <c r="L105" s="44">
        <f>IF(ISNUMBER(J105), $B112 * K105, "")</f>
        <v>-4761.9047619047615</v>
      </c>
      <c r="M105" s="36">
        <v>1500</v>
      </c>
      <c r="N105" s="5">
        <f t="shared" si="33"/>
        <v>-4.7619047619047616E-2</v>
      </c>
      <c r="O105" s="44">
        <f>IF(ISNUMBER(M105), $B112 * N105, "")</f>
        <v>-4761.9047619047615</v>
      </c>
      <c r="Q105" s="229"/>
      <c r="R105" s="230"/>
    </row>
    <row r="106" spans="1:18" ht="17.25" customHeight="1">
      <c r="A106" s="8" t="s">
        <v>75</v>
      </c>
      <c r="B106" s="33">
        <v>182</v>
      </c>
      <c r="C106" s="24">
        <v>0.15</v>
      </c>
      <c r="D106" s="37">
        <v>189</v>
      </c>
      <c r="E106" s="24">
        <f t="shared" si="30"/>
        <v>3.8461538461538464E-2</v>
      </c>
      <c r="F106" s="44">
        <f>IF(ISNUMBER(D106), $B112 * E106, "")</f>
        <v>3846.1538461538462</v>
      </c>
      <c r="G106" s="37">
        <v>202</v>
      </c>
      <c r="H106" s="24">
        <f t="shared" si="31"/>
        <v>0.10989010989010989</v>
      </c>
      <c r="I106" s="44">
        <f>IF(ISNUMBER(G106), $B112 * H106, "")</f>
        <v>10989.010989010989</v>
      </c>
      <c r="J106" s="37">
        <v>204</v>
      </c>
      <c r="K106" s="24">
        <f t="shared" si="32"/>
        <v>0.12087912087912088</v>
      </c>
      <c r="L106" s="44">
        <f>IF(ISNUMBER(J106), $B112 * K106, "")</f>
        <v>12087.912087912087</v>
      </c>
      <c r="M106" s="37">
        <v>201</v>
      </c>
      <c r="N106" s="24">
        <f t="shared" si="33"/>
        <v>0.1043956043956044</v>
      </c>
      <c r="O106" s="44">
        <f>IF(ISNUMBER(M106), $B112 * N106, "")</f>
        <v>10439.56043956044</v>
      </c>
      <c r="Q106" s="229"/>
      <c r="R106" s="230"/>
    </row>
    <row r="107" spans="1:18" ht="17.25" customHeight="1">
      <c r="A107" s="11" t="s">
        <v>76</v>
      </c>
      <c r="B107" s="32">
        <v>205</v>
      </c>
      <c r="C107" s="5">
        <v>0.14499999999999999</v>
      </c>
      <c r="D107" s="36">
        <v>203</v>
      </c>
      <c r="E107" s="5">
        <f t="shared" si="30"/>
        <v>-9.7560975609756097E-3</v>
      </c>
      <c r="F107" s="48">
        <f>IF(ISNUMBER(D107), $B112 * E107, "")</f>
        <v>-975.60975609756099</v>
      </c>
      <c r="G107" s="36">
        <v>201</v>
      </c>
      <c r="H107" s="5">
        <f t="shared" si="31"/>
        <v>-1.9512195121951219E-2</v>
      </c>
      <c r="I107" s="48">
        <f>IF(ISNUMBER(G107), $B112 * H107, "")</f>
        <v>-1951.219512195122</v>
      </c>
      <c r="J107" s="36">
        <v>200</v>
      </c>
      <c r="K107" s="5">
        <f t="shared" si="32"/>
        <v>-2.4390243902439025E-2</v>
      </c>
      <c r="L107" s="48">
        <f>IF(ISNUMBER(J107), $B112 * K107, "")</f>
        <v>-2439.0243902439024</v>
      </c>
      <c r="M107" s="36">
        <v>202</v>
      </c>
      <c r="N107" s="5">
        <f t="shared" si="33"/>
        <v>-1.4634146341463415E-2</v>
      </c>
      <c r="O107" s="48">
        <f>IF(ISNUMBER(M107), $B112 * N107, "")</f>
        <v>-1463.4146341463415</v>
      </c>
      <c r="Q107" s="229"/>
      <c r="R107" s="230"/>
    </row>
    <row r="108" spans="1:18" ht="17.25" customHeight="1">
      <c r="A108" s="11" t="s">
        <v>77</v>
      </c>
      <c r="B108" s="32">
        <v>2060</v>
      </c>
      <c r="C108" s="5">
        <v>0.125</v>
      </c>
      <c r="D108" s="36">
        <v>1985</v>
      </c>
      <c r="E108" s="5">
        <f t="shared" si="30"/>
        <v>-3.640776699029126E-2</v>
      </c>
      <c r="F108" s="44">
        <f>IF(ISNUMBER(D108), $B112 * E108, "")</f>
        <v>-3640.7766990291261</v>
      </c>
      <c r="G108" s="36">
        <v>2015</v>
      </c>
      <c r="H108" s="5">
        <f t="shared" si="31"/>
        <v>-2.1844660194174758E-2</v>
      </c>
      <c r="I108" s="44">
        <f>IF(ISNUMBER(G108), $B112 * H108, "")</f>
        <v>-2184.4660194174758</v>
      </c>
      <c r="J108" s="36">
        <v>1975</v>
      </c>
      <c r="K108" s="5">
        <f t="shared" si="32"/>
        <v>-4.12621359223301E-2</v>
      </c>
      <c r="L108" s="44">
        <f>IF(ISNUMBER(J108), $B112 * K108, "")</f>
        <v>-4126.2135922330099</v>
      </c>
      <c r="M108" s="36">
        <v>1980</v>
      </c>
      <c r="N108" s="5">
        <f t="shared" si="33"/>
        <v>-3.8834951456310676E-2</v>
      </c>
      <c r="O108" s="44">
        <f>IF(ISNUMBER(M108), $B112 * N108, "")</f>
        <v>-3883.4951456310678</v>
      </c>
      <c r="Q108" s="229"/>
      <c r="R108" s="230"/>
    </row>
    <row r="109" spans="1:18" ht="17.25" customHeight="1">
      <c r="A109" s="11" t="s">
        <v>78</v>
      </c>
      <c r="B109" s="32">
        <v>14484</v>
      </c>
      <c r="C109" s="5">
        <v>0.11</v>
      </c>
      <c r="D109" s="36">
        <v>12790</v>
      </c>
      <c r="E109" s="5">
        <f t="shared" si="30"/>
        <v>-0.11695664181165424</v>
      </c>
      <c r="F109" s="44">
        <f>IF(ISNUMBER(D109), $B112 * E109, "")</f>
        <v>-11695.664181165424</v>
      </c>
      <c r="G109" s="36">
        <v>13240</v>
      </c>
      <c r="H109" s="5">
        <f t="shared" si="31"/>
        <v>-8.5887876277271472E-2</v>
      </c>
      <c r="I109" s="44">
        <f>IF(ISNUMBER(G109), $B112 * H109, "")</f>
        <v>-8588.787627727148</v>
      </c>
      <c r="J109" s="36">
        <v>12970</v>
      </c>
      <c r="K109" s="5">
        <f t="shared" si="32"/>
        <v>-0.10452913559790113</v>
      </c>
      <c r="L109" s="44">
        <f>IF(ISNUMBER(J109), $B112 * K109, "")</f>
        <v>-10452.913559790113</v>
      </c>
      <c r="M109" s="36">
        <v>13300</v>
      </c>
      <c r="N109" s="5">
        <f t="shared" si="33"/>
        <v>-8.1745374206020432E-2</v>
      </c>
      <c r="O109" s="44">
        <f>IF(ISNUMBER(M109), $B112 * N109, "")</f>
        <v>-8174.5374206020433</v>
      </c>
      <c r="Q109" s="229"/>
      <c r="R109" s="230"/>
    </row>
    <row r="110" spans="1:18" ht="17.25" customHeight="1">
      <c r="A110" s="11" t="s">
        <v>79</v>
      </c>
      <c r="B110" s="32">
        <v>28214</v>
      </c>
      <c r="C110" s="5">
        <v>0.11</v>
      </c>
      <c r="D110" s="36">
        <v>25950</v>
      </c>
      <c r="E110" s="5">
        <f t="shared" si="30"/>
        <v>-8.0243850570638695E-2</v>
      </c>
      <c r="F110" s="44">
        <f>IF(ISNUMBER(D110), $B112 * E110, "")</f>
        <v>-8024.3850570638697</v>
      </c>
      <c r="G110" s="36">
        <v>26330</v>
      </c>
      <c r="H110" s="5">
        <f t="shared" si="31"/>
        <v>-6.6775359750478491E-2</v>
      </c>
      <c r="I110" s="44">
        <f>IF(ISNUMBER(G110), $B112 * H110, "")</f>
        <v>-6677.5359750478492</v>
      </c>
      <c r="J110" s="36">
        <v>25790</v>
      </c>
      <c r="K110" s="5">
        <f t="shared" si="32"/>
        <v>-8.5914794073864043E-2</v>
      </c>
      <c r="L110" s="44">
        <f>IF(ISNUMBER(J110), $B112 * K110, "")</f>
        <v>-8591.479407386405</v>
      </c>
      <c r="M110" s="36">
        <v>26490</v>
      </c>
      <c r="N110" s="5">
        <f t="shared" si="33"/>
        <v>-6.1104416247253136E-2</v>
      </c>
      <c r="O110" s="44">
        <f>IF(ISNUMBER(M110), $B112 * N110, "")</f>
        <v>-6110.4416247253139</v>
      </c>
      <c r="Q110" s="231"/>
      <c r="R110" s="232"/>
    </row>
    <row r="111" spans="1:18" ht="17.25" customHeight="1" thickBot="1">
      <c r="A111" s="13" t="s">
        <v>80</v>
      </c>
      <c r="B111" s="34">
        <v>7090</v>
      </c>
      <c r="C111" s="16">
        <v>0.105</v>
      </c>
      <c r="D111" s="38">
        <v>7770</v>
      </c>
      <c r="E111" s="16">
        <f t="shared" si="30"/>
        <v>9.590973201692525E-2</v>
      </c>
      <c r="F111" s="45">
        <f>IF(ISNUMBER(D111), $B112 * E111, "")</f>
        <v>9590.9732016925245</v>
      </c>
      <c r="G111" s="38">
        <v>8010</v>
      </c>
      <c r="H111" s="16">
        <f t="shared" si="31"/>
        <v>0.12976022566995768</v>
      </c>
      <c r="I111" s="45">
        <f>IF(ISNUMBER(G111), $B112 * H111, "")</f>
        <v>12976.022566995767</v>
      </c>
      <c r="J111" s="38">
        <v>7760</v>
      </c>
      <c r="K111" s="16">
        <f t="shared" si="32"/>
        <v>9.4499294781382234E-2</v>
      </c>
      <c r="L111" s="45">
        <f>IF(ISNUMBER(J111), $B112 * K111, "")</f>
        <v>9449.9294781382232</v>
      </c>
      <c r="M111" s="38">
        <v>7810</v>
      </c>
      <c r="N111" s="16">
        <f t="shared" si="33"/>
        <v>0.10155148095909731</v>
      </c>
      <c r="O111" s="45">
        <f>IF(ISNUMBER(M111), $B112 * N111, "")</f>
        <v>10155.148095909732</v>
      </c>
      <c r="Q111" s="231"/>
      <c r="R111" s="232"/>
    </row>
    <row r="112" spans="1:18" ht="17.25" customHeight="1" thickBot="1">
      <c r="A112" s="29" t="s">
        <v>32</v>
      </c>
      <c r="B112" s="235">
        <v>100000</v>
      </c>
      <c r="C112" s="236"/>
      <c r="D112" s="29" t="s">
        <v>82</v>
      </c>
      <c r="E112" s="46">
        <f>IF(COUNT(E102:E111), SUM(E102:E111) / COUNT(E102:E111), 0)</f>
        <v>-3.1600346925614156E-2</v>
      </c>
      <c r="F112" s="47">
        <f>SUM(F102:F111)</f>
        <v>-31600.346925614147</v>
      </c>
      <c r="G112" s="29" t="s">
        <v>82</v>
      </c>
      <c r="H112" s="46">
        <f>IF(COUNT(H102:H111), SUM(H102:H111) / COUNT(H102:H111), 0)</f>
        <v>-6.438939784411307E-3</v>
      </c>
      <c r="I112" s="47">
        <f>SUM(I102:I111)</f>
        <v>-6438.9397844113064</v>
      </c>
      <c r="J112" s="29" t="s">
        <v>82</v>
      </c>
      <c r="K112" s="46">
        <f>IF(COUNT(K102:K111), SUM(K102:K111) / COUNT(K102:K111), 0)</f>
        <v>-2.0763347281862819E-2</v>
      </c>
      <c r="L112" s="47">
        <f>SUM(L102:L111)</f>
        <v>-20763.347281862825</v>
      </c>
      <c r="M112" s="29" t="s">
        <v>82</v>
      </c>
      <c r="N112" s="46">
        <f>IF(COUNT(N102:N111), SUM(N102:N111) / COUNT(N102:N111), 0)</f>
        <v>-1.3720706059380245E-2</v>
      </c>
      <c r="O112" s="47">
        <f>SUM(O102:O111)</f>
        <v>-13720.706059380245</v>
      </c>
      <c r="Q112" s="233"/>
      <c r="R112" s="234"/>
    </row>
  </sheetData>
  <mergeCells count="149">
    <mergeCell ref="Q8:R8"/>
    <mergeCell ref="B4:F4"/>
    <mergeCell ref="K4:O4"/>
    <mergeCell ref="B5:F5"/>
    <mergeCell ref="K5:O5"/>
    <mergeCell ref="B6:F6"/>
    <mergeCell ref="G6:I6"/>
    <mergeCell ref="K6:O6"/>
    <mergeCell ref="A1:F1"/>
    <mergeCell ref="J1:O1"/>
    <mergeCell ref="Q1:R1"/>
    <mergeCell ref="B2:F2"/>
    <mergeCell ref="K2:O2"/>
    <mergeCell ref="B3:F3"/>
    <mergeCell ref="K3:O3"/>
    <mergeCell ref="G1:I1"/>
    <mergeCell ref="G2:I2"/>
    <mergeCell ref="G3:I3"/>
    <mergeCell ref="G4:I4"/>
    <mergeCell ref="G5:I5"/>
    <mergeCell ref="B9:F9"/>
    <mergeCell ref="G9:I9"/>
    <mergeCell ref="K9:O9"/>
    <mergeCell ref="B10:F10"/>
    <mergeCell ref="K10:O10"/>
    <mergeCell ref="B11:F11"/>
    <mergeCell ref="K11:O11"/>
    <mergeCell ref="G11:I11"/>
    <mergeCell ref="B7:F7"/>
    <mergeCell ref="K7:O7"/>
    <mergeCell ref="B8:F8"/>
    <mergeCell ref="K8:O8"/>
    <mergeCell ref="G7:I7"/>
    <mergeCell ref="G8:I8"/>
    <mergeCell ref="G10:I10"/>
    <mergeCell ref="Q17:Q20"/>
    <mergeCell ref="R17:R20"/>
    <mergeCell ref="Q21:Q24"/>
    <mergeCell ref="R21:R24"/>
    <mergeCell ref="Q25:R27"/>
    <mergeCell ref="B27:C27"/>
    <mergeCell ref="A13:O13"/>
    <mergeCell ref="Q13:R16"/>
    <mergeCell ref="A15:A16"/>
    <mergeCell ref="B15:C15"/>
    <mergeCell ref="D15:F15"/>
    <mergeCell ref="G15:I15"/>
    <mergeCell ref="J15:L15"/>
    <mergeCell ref="M15:O15"/>
    <mergeCell ref="B14:C14"/>
    <mergeCell ref="D14:F14"/>
    <mergeCell ref="G14:I14"/>
    <mergeCell ref="J14:L14"/>
    <mergeCell ref="M14:O14"/>
    <mergeCell ref="Q34:Q37"/>
    <mergeCell ref="R34:R37"/>
    <mergeCell ref="Q38:Q41"/>
    <mergeCell ref="R38:R41"/>
    <mergeCell ref="Q42:R44"/>
    <mergeCell ref="B44:C44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Q51:Q54"/>
    <mergeCell ref="R51:R54"/>
    <mergeCell ref="Q55:Q58"/>
    <mergeCell ref="R55:R58"/>
    <mergeCell ref="B48:C48"/>
    <mergeCell ref="D48:F48"/>
    <mergeCell ref="G48:I48"/>
    <mergeCell ref="J48:L48"/>
    <mergeCell ref="M48:O4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Q68:Q71"/>
    <mergeCell ref="R68:R71"/>
    <mergeCell ref="Q72:Q75"/>
    <mergeCell ref="R72:R75"/>
    <mergeCell ref="Q76:R78"/>
    <mergeCell ref="B65:C65"/>
    <mergeCell ref="D65:F65"/>
    <mergeCell ref="G65:I65"/>
    <mergeCell ref="J65:L65"/>
    <mergeCell ref="M65:O6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Q85:Q88"/>
    <mergeCell ref="R85:R88"/>
    <mergeCell ref="Q89:Q92"/>
    <mergeCell ref="R89:R92"/>
    <mergeCell ref="Q93:R95"/>
    <mergeCell ref="B82:C82"/>
    <mergeCell ref="D82:F82"/>
    <mergeCell ref="G82:I82"/>
    <mergeCell ref="J82:L82"/>
    <mergeCell ref="M82:O82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Q102:Q105"/>
    <mergeCell ref="R102:R105"/>
    <mergeCell ref="Q106:Q109"/>
    <mergeCell ref="R106:R109"/>
    <mergeCell ref="B99:C99"/>
    <mergeCell ref="D99:F99"/>
    <mergeCell ref="G99:I99"/>
    <mergeCell ref="J99:L99"/>
    <mergeCell ref="M99:O99"/>
  </mergeCells>
  <phoneticPr fontId="1" type="noConversion"/>
  <conditionalFormatting sqref="D15:F16 E27:F27">
    <cfRule type="expression" dxfId="1673" priority="93">
      <formula>$E$27&gt;0</formula>
    </cfRule>
    <cfRule type="expression" dxfId="1672" priority="94">
      <formula>$E$27&lt;0</formula>
    </cfRule>
  </conditionalFormatting>
  <conditionalFormatting sqref="G15:I16 H27:I27">
    <cfRule type="expression" dxfId="1671" priority="91">
      <formula>$H$27&gt;0</formula>
    </cfRule>
    <cfRule type="expression" dxfId="1670" priority="92">
      <formula>$H$27&lt;0</formula>
    </cfRule>
  </conditionalFormatting>
  <conditionalFormatting sqref="J15:L16 K27:L27">
    <cfRule type="expression" dxfId="1669" priority="89">
      <formula>$K$27&gt;0</formula>
    </cfRule>
    <cfRule type="expression" dxfId="1668" priority="90">
      <formula>$K$27&lt;0</formula>
    </cfRule>
  </conditionalFormatting>
  <conditionalFormatting sqref="M15:O16 N27:O27">
    <cfRule type="expression" dxfId="1667" priority="87">
      <formula>$N$27&gt;0</formula>
    </cfRule>
    <cfRule type="expression" dxfId="1666" priority="88">
      <formula>$N$27&lt;0</formula>
    </cfRule>
  </conditionalFormatting>
  <conditionalFormatting sqref="A17:O26 A34:O43">
    <cfRule type="expression" dxfId="1665" priority="95">
      <formula>AND($N17 &gt; 0, ISNUMBER($N17))</formula>
    </cfRule>
    <cfRule type="expression" dxfId="1664" priority="96">
      <formula>AND($N17 &lt; 0, ISNUMBER($N17))</formula>
    </cfRule>
    <cfRule type="expression" dxfId="1663" priority="97">
      <formula>AND($K17 &gt; 0, ISNUMBER($K17))</formula>
    </cfRule>
    <cfRule type="expression" dxfId="1662" priority="98">
      <formula>AND($K17 &lt; 0, ISNUMBER($K17))</formula>
    </cfRule>
    <cfRule type="expression" dxfId="1661" priority="99">
      <formula>AND($H17 &gt; 0, ISNUMBER($H17))</formula>
    </cfRule>
    <cfRule type="expression" dxfId="1660" priority="100">
      <formula>AND($H17 &lt; 0, ISNUMBER($H17))</formula>
    </cfRule>
    <cfRule type="expression" dxfId="1659" priority="101">
      <formula>AND($E17 &gt; 0, ISNUMBER($E17))</formula>
    </cfRule>
    <cfRule type="expression" dxfId="1658" priority="102">
      <formula>AND($E17 &lt; 0, ISNUMBER($E17))</formula>
    </cfRule>
  </conditionalFormatting>
  <conditionalFormatting sqref="D32:F33 E44:F44">
    <cfRule type="expression" dxfId="1657" priority="85">
      <formula>$E$44&gt;0</formula>
    </cfRule>
    <cfRule type="expression" dxfId="1656" priority="86">
      <formula>$E$44&lt;0</formula>
    </cfRule>
  </conditionalFormatting>
  <conditionalFormatting sqref="G32:I33 H44:I44">
    <cfRule type="expression" dxfId="1655" priority="83">
      <formula>$H$44&gt;0</formula>
    </cfRule>
    <cfRule type="expression" dxfId="1654" priority="84">
      <formula>$H$44&lt;0</formula>
    </cfRule>
  </conditionalFormatting>
  <conditionalFormatting sqref="J32:L33 K44:L44">
    <cfRule type="expression" dxfId="1653" priority="81">
      <formula>$K$44&gt;0</formula>
    </cfRule>
    <cfRule type="expression" dxfId="1652" priority="82">
      <formula>$K$44&lt;0</formula>
    </cfRule>
  </conditionalFormatting>
  <conditionalFormatting sqref="M32:O33 N44:O44">
    <cfRule type="expression" dxfId="1651" priority="79">
      <formula>$N$44&gt;0</formula>
    </cfRule>
    <cfRule type="expression" dxfId="1650" priority="80">
      <formula>$N$44&lt;0</formula>
    </cfRule>
  </conditionalFormatting>
  <conditionalFormatting sqref="A51:O60">
    <cfRule type="expression" dxfId="1649" priority="71">
      <formula>AND($N51 &gt; 0, ISNUMBER($N51))</formula>
    </cfRule>
    <cfRule type="expression" dxfId="1648" priority="72">
      <formula>AND($N51 &lt; 0, ISNUMBER($N51))</formula>
    </cfRule>
    <cfRule type="expression" dxfId="1647" priority="73">
      <formula>AND($K51 &gt; 0, ISNUMBER($K51))</formula>
    </cfRule>
    <cfRule type="expression" dxfId="1646" priority="74">
      <formula>AND($K51 &lt; 0, ISNUMBER($K51))</formula>
    </cfRule>
    <cfRule type="expression" dxfId="1645" priority="75">
      <formula>AND($H51 &gt; 0, ISNUMBER($H51))</formula>
    </cfRule>
    <cfRule type="expression" dxfId="1644" priority="76">
      <formula>AND($H51 &lt; 0, ISNUMBER($H51))</formula>
    </cfRule>
    <cfRule type="expression" dxfId="1643" priority="77">
      <formula>AND($E51 &gt; 0, ISNUMBER($E51))</formula>
    </cfRule>
    <cfRule type="expression" dxfId="1642" priority="78">
      <formula>AND($E51 &lt; 0, ISNUMBER($E51))</formula>
    </cfRule>
  </conditionalFormatting>
  <conditionalFormatting sqref="D49:F50 E61:F61">
    <cfRule type="expression" dxfId="1641" priority="69">
      <formula>$E$61&gt;0</formula>
    </cfRule>
    <cfRule type="expression" dxfId="1640" priority="70">
      <formula>$E$61&lt;0</formula>
    </cfRule>
  </conditionalFormatting>
  <conditionalFormatting sqref="G49:I50 H61:I61">
    <cfRule type="expression" dxfId="1639" priority="67">
      <formula>$H$61&gt;0</formula>
    </cfRule>
    <cfRule type="expression" dxfId="1638" priority="68">
      <formula>$H$61&lt;0</formula>
    </cfRule>
  </conditionalFormatting>
  <conditionalFormatting sqref="J49:L50 K61:L61">
    <cfRule type="expression" dxfId="1637" priority="65">
      <formula>$K$61&gt;0</formula>
    </cfRule>
    <cfRule type="expression" dxfId="1636" priority="66">
      <formula>$K$61&lt;0</formula>
    </cfRule>
  </conditionalFormatting>
  <conditionalFormatting sqref="M49:O50 N61:O61">
    <cfRule type="expression" dxfId="1635" priority="63">
      <formula>$N$61&gt;0</formula>
    </cfRule>
    <cfRule type="expression" dxfId="1634" priority="64">
      <formula>$N$61&lt;0</formula>
    </cfRule>
  </conditionalFormatting>
  <conditionalFormatting sqref="A68:O77">
    <cfRule type="expression" dxfId="1633" priority="55">
      <formula>AND($N68 &gt; 0, ISNUMBER($N68))</formula>
    </cfRule>
    <cfRule type="expression" dxfId="1632" priority="56">
      <formula>AND($N68 &lt; 0, ISNUMBER($N68))</formula>
    </cfRule>
    <cfRule type="expression" dxfId="1631" priority="57">
      <formula>AND($K68 &gt; 0, ISNUMBER($K68))</formula>
    </cfRule>
    <cfRule type="expression" dxfId="1630" priority="58">
      <formula>AND($K68 &lt; 0, ISNUMBER($K68))</formula>
    </cfRule>
    <cfRule type="expression" dxfId="1629" priority="59">
      <formula>AND($H68 &gt; 0, ISNUMBER($H68))</formula>
    </cfRule>
    <cfRule type="expression" dxfId="1628" priority="60">
      <formula>AND($H68 &lt; 0, ISNUMBER($H68))</formula>
    </cfRule>
    <cfRule type="expression" dxfId="1627" priority="61">
      <formula>AND($E68 &gt; 0, ISNUMBER($E68))</formula>
    </cfRule>
    <cfRule type="expression" dxfId="1626" priority="62">
      <formula>AND($E68 &lt; 0, ISNUMBER($E68))</formula>
    </cfRule>
  </conditionalFormatting>
  <conditionalFormatting sqref="D66:F67 E78:F78">
    <cfRule type="expression" dxfId="1625" priority="53">
      <formula>$E$78&gt;0</formula>
    </cfRule>
    <cfRule type="expression" dxfId="1624" priority="54">
      <formula>$E$78&lt;0</formula>
    </cfRule>
  </conditionalFormatting>
  <conditionalFormatting sqref="G66:I67 H78:I78">
    <cfRule type="expression" dxfId="1623" priority="51">
      <formula>$H$78&gt;0</formula>
    </cfRule>
    <cfRule type="expression" dxfId="1622" priority="52">
      <formula>$H$78&lt;0</formula>
    </cfRule>
  </conditionalFormatting>
  <conditionalFormatting sqref="J66:L67 K78:L78">
    <cfRule type="expression" dxfId="1621" priority="49">
      <formula>$K$78&gt;0</formula>
    </cfRule>
    <cfRule type="expression" dxfId="1620" priority="50">
      <formula>$K$78&lt;0</formula>
    </cfRule>
  </conditionalFormatting>
  <conditionalFormatting sqref="M66:O67 N78:O78">
    <cfRule type="expression" dxfId="1619" priority="47">
      <formula>$N$78&gt;0</formula>
    </cfRule>
    <cfRule type="expression" dxfId="1618" priority="48">
      <formula>$N$78&lt;0</formula>
    </cfRule>
  </conditionalFormatting>
  <conditionalFormatting sqref="A85:O94">
    <cfRule type="expression" dxfId="1617" priority="39">
      <formula>AND($N85 &gt; 0, ISNUMBER($N85))</formula>
    </cfRule>
    <cfRule type="expression" dxfId="1616" priority="40">
      <formula>AND($N85 &lt; 0, ISNUMBER($N85))</formula>
    </cfRule>
    <cfRule type="expression" dxfId="1615" priority="41">
      <formula>AND($K85 &gt; 0, ISNUMBER($K85))</formula>
    </cfRule>
    <cfRule type="expression" dxfId="1614" priority="42">
      <formula>AND($K85 &lt; 0, ISNUMBER($K85))</formula>
    </cfRule>
    <cfRule type="expression" dxfId="1613" priority="43">
      <formula>AND($H85 &gt; 0, ISNUMBER($H85))</formula>
    </cfRule>
    <cfRule type="expression" dxfId="1612" priority="44">
      <formula>AND($H85 &lt; 0, ISNUMBER($H85))</formula>
    </cfRule>
    <cfRule type="expression" dxfId="1611" priority="45">
      <formula>AND($E85 &gt; 0, ISNUMBER($E85))</formula>
    </cfRule>
    <cfRule type="expression" dxfId="1610" priority="46">
      <formula>AND($E85 &lt; 0, ISNUMBER($E85))</formula>
    </cfRule>
  </conditionalFormatting>
  <conditionalFormatting sqref="D83:F84 E95:F95">
    <cfRule type="expression" dxfId="1609" priority="37">
      <formula>$E$95&gt;0</formula>
    </cfRule>
    <cfRule type="expression" dxfId="1608" priority="38">
      <formula>$E$95&lt;0</formula>
    </cfRule>
  </conditionalFormatting>
  <conditionalFormatting sqref="G83:I84 H95:I95">
    <cfRule type="expression" dxfId="1607" priority="35">
      <formula>$H$95&gt;0</formula>
    </cfRule>
    <cfRule type="expression" dxfId="1606" priority="36">
      <formula>$H$95&lt;0</formula>
    </cfRule>
  </conditionalFormatting>
  <conditionalFormatting sqref="J83:L84 K95:L95">
    <cfRule type="expression" dxfId="1605" priority="33">
      <formula>$K$95&gt;0</formula>
    </cfRule>
    <cfRule type="expression" dxfId="1604" priority="34">
      <formula>$K$95&lt;0</formula>
    </cfRule>
  </conditionalFormatting>
  <conditionalFormatting sqref="M83:O84 N95:O95">
    <cfRule type="expression" dxfId="1603" priority="31">
      <formula>$N$95&gt;0</formula>
    </cfRule>
    <cfRule type="expression" dxfId="1602" priority="32">
      <formula>$N$95&lt;0</formula>
    </cfRule>
  </conditionalFormatting>
  <conditionalFormatting sqref="A102:O111">
    <cfRule type="expression" dxfId="1601" priority="23">
      <formula>AND($N102 &gt; 0, ISNUMBER($N102))</formula>
    </cfRule>
    <cfRule type="expression" dxfId="1600" priority="24">
      <formula>AND($N102 &lt; 0, ISNUMBER($N102))</formula>
    </cfRule>
    <cfRule type="expression" dxfId="1599" priority="25">
      <formula>AND($K102 &gt; 0, ISNUMBER($K102))</formula>
    </cfRule>
    <cfRule type="expression" dxfId="1598" priority="26">
      <formula>AND($K102 &lt; 0, ISNUMBER($K102))</formula>
    </cfRule>
    <cfRule type="expression" dxfId="1597" priority="27">
      <formula>AND($H102 &gt; 0, ISNUMBER($H102))</formula>
    </cfRule>
    <cfRule type="expression" dxfId="1596" priority="28">
      <formula>AND($H102 &lt; 0, ISNUMBER($H102))</formula>
    </cfRule>
    <cfRule type="expression" dxfId="1595" priority="29">
      <formula>AND($E102 &gt; 0, ISNUMBER($E102))</formula>
    </cfRule>
    <cfRule type="expression" dxfId="1594" priority="30">
      <formula>AND($E102 &lt; 0, ISNUMBER($E102))</formula>
    </cfRule>
  </conditionalFormatting>
  <conditionalFormatting sqref="D100:F101 E112:F112">
    <cfRule type="expression" dxfId="1593" priority="21">
      <formula>$E$112&gt;0</formula>
    </cfRule>
    <cfRule type="expression" dxfId="1592" priority="22">
      <formula>$E$112&lt;0</formula>
    </cfRule>
  </conditionalFormatting>
  <conditionalFormatting sqref="G100:I101 H112:I112">
    <cfRule type="expression" dxfId="1591" priority="19">
      <formula>$H$112&gt;0</formula>
    </cfRule>
    <cfRule type="expression" dxfId="1590" priority="20">
      <formula>$H$112&lt;0</formula>
    </cfRule>
  </conditionalFormatting>
  <conditionalFormatting sqref="J100:L101 K112:L112">
    <cfRule type="expression" dxfId="1589" priority="17">
      <formula>$K$112&gt;0</formula>
    </cfRule>
    <cfRule type="expression" dxfId="1588" priority="18">
      <formula>$K$112&lt;0</formula>
    </cfRule>
  </conditionalFormatting>
  <conditionalFormatting sqref="M100:O101 N112:O112">
    <cfRule type="expression" dxfId="1587" priority="15">
      <formula>$N$112&gt;0</formula>
    </cfRule>
    <cfRule type="expression" dxfId="1586" priority="16">
      <formula>$N$112&lt;0</formula>
    </cfRule>
  </conditionalFormatting>
  <conditionalFormatting sqref="G2:I3">
    <cfRule type="expression" dxfId="1585" priority="13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584" priority="14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58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58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58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58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57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57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57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57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28476-64F9-4632-8ED6-CF4E8C1027CD}">
  <sheetPr codeName="Sheet8"/>
  <dimension ref="A1:R112"/>
  <sheetViews>
    <sheetView zoomScaleNormal="100" workbookViewId="0">
      <selection activeCell="A81" sqref="A81:O95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44291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66,982 KRW (8.37%)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58,345 KRW (29.17%)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-10,108 KRW (-1.01%)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27,591 KRW (3.94%)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120,090 KRW (12.01%)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68" t="s">
        <v>188</v>
      </c>
      <c r="B14" s="186" t="s">
        <v>187</v>
      </c>
      <c r="C14" s="188"/>
      <c r="D14" s="186" t="s">
        <v>67</v>
      </c>
      <c r="E14" s="187"/>
      <c r="F14" s="188"/>
      <c r="G14" s="223" t="e">
        <f>_xlfn.IFNA(VLOOKUP(B14,#REF!, 2, FALSE), "-")</f>
        <v>#REF!</v>
      </c>
      <c r="H14" s="224"/>
      <c r="I14" s="225"/>
      <c r="J14" s="186" t="s">
        <v>69</v>
      </c>
      <c r="K14" s="187"/>
      <c r="L14" s="188"/>
      <c r="M14" s="226" t="e">
        <f>_xlfn.IFNA(VLOOKUP(B14,#REF!, 3, FALSE), "-")</f>
        <v>#REF!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41" t="s">
        <v>20</v>
      </c>
      <c r="E15" s="242"/>
      <c r="F15" s="243"/>
      <c r="G15" s="241" t="s">
        <v>15</v>
      </c>
      <c r="H15" s="242"/>
      <c r="I15" s="243"/>
      <c r="J15" s="221" t="s">
        <v>34</v>
      </c>
      <c r="K15" s="221"/>
      <c r="L15" s="221"/>
      <c r="M15" s="241" t="s">
        <v>54</v>
      </c>
      <c r="N15" s="242"/>
      <c r="O15" s="243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53" t="s">
        <v>67</v>
      </c>
      <c r="H16" s="54" t="s">
        <v>68</v>
      </c>
      <c r="I16" s="55" t="s">
        <v>70</v>
      </c>
      <c r="J16" s="4" t="s">
        <v>67</v>
      </c>
      <c r="K16" s="4" t="s">
        <v>68</v>
      </c>
      <c r="L16" s="56" t="s">
        <v>70</v>
      </c>
      <c r="M16" s="18" t="s">
        <v>67</v>
      </c>
      <c r="N16" s="4" t="s">
        <v>68</v>
      </c>
      <c r="O16" s="21" t="s">
        <v>70</v>
      </c>
      <c r="Q16" s="206"/>
      <c r="R16" s="207"/>
    </row>
    <row r="17" spans="1:18" ht="17.25" customHeight="1">
      <c r="A17" s="39" t="s">
        <v>75</v>
      </c>
      <c r="B17" s="35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0.20250000000000001</v>
      </c>
      <c r="D17" s="35">
        <f>IF(NOT(_xlfn.IFNA(VLOOKUP($A17, $A$30:$O$112, 4, FALSE), "")=0), _xlfn.IFNA(VLOOKUP($A17, $A$30:$O$112, 4, FALSE), ""), "")</f>
        <v>241</v>
      </c>
      <c r="E17" s="22">
        <f>IF(NOT(_xlfn.IFNA(VLOOKUP($A17, $A$30:$O$112, 5, FALSE), "")=0), _xlfn.IFNA(VLOOKUP($A17, $A$30:$O$112, 5, FALSE), ""), "")</f>
        <v>0.19900497512437812</v>
      </c>
      <c r="F17" s="58">
        <f>IF(NOT(_xlfn.IFNA(VLOOKUP($A17, $A$30:$O$112, 6, FALSE), "")=0), _xlfn.IFNA(VLOOKUP($A17, $A$30:$O$112, 6, FALSE), ""), "")</f>
        <v>19900.497512437811</v>
      </c>
      <c r="G17" s="36">
        <f t="shared" ref="G17:G26" si="0">IF(NOT(_xlfn.IFNA(VLOOKUP($A17, $A$30:$O$112, 7, FALSE), "")=0), _xlfn.IFNA(VLOOKUP($A17, $A$30:$O$112, 7, FALSE), ""), "")</f>
        <v>243</v>
      </c>
      <c r="H17" s="5">
        <f>IF(NOT(_xlfn.IFNA(VLOOKUP($A17, $A$30:$O$112, 8, FALSE), "")=0), _xlfn.IFNA(VLOOKUP($A17, $A$30:$O$112, 8, FALSE), ""), "")</f>
        <v>0.20895522388059701</v>
      </c>
      <c r="I17" s="59">
        <f>IF(NOT(_xlfn.IFNA(VLOOKUP($A17, $A$30:$O$112, 9, FALSE), "")=0), _xlfn.IFNA(VLOOKUP($A17, $A$30:$O$112, 9, FALSE), ""), "")</f>
        <v>20895.5223880597</v>
      </c>
      <c r="J17" s="35">
        <f>IF(NOT(_xlfn.IFNA(VLOOKUP($A17, $A$30:$O$112, 10, FALSE), "")=0), _xlfn.IFNA(VLOOKUP($A17, $A$30:$O$112, 10, FALSE), ""), "")</f>
        <v>231</v>
      </c>
      <c r="K17" s="22">
        <f>IF(NOT(_xlfn.IFNA(VLOOKUP($A17, $A$30:$O$112, 11, FALSE), "")=0), _xlfn.IFNA(VLOOKUP($A17, $A$30:$O$112, 11, FALSE), ""), "")</f>
        <v>0.14925373134328357</v>
      </c>
      <c r="L17" s="58">
        <f>IF(NOT(_xlfn.IFNA(VLOOKUP($A17, $A$30:$O$112, 12, FALSE), "")=0), _xlfn.IFNA(VLOOKUP($A17, $A$30:$O$112, 12, FALSE), ""), "")</f>
        <v>14925.373134328356</v>
      </c>
      <c r="M17" s="35">
        <f>IF(NOT(_xlfn.IFNA(VLOOKUP($A17, $A$30:$O$112, 13, FALSE), "")=0), _xlfn.IFNA(VLOOKUP($A17, $A$30:$O$112, 13, FALSE), ""), "")</f>
        <v>231</v>
      </c>
      <c r="N17" s="22">
        <f>IF(NOT(_xlfn.IFNA(VLOOKUP($A17, $A$30:$O$112, 14, FALSE), "")=0), _xlfn.IFNA(VLOOKUP($A17, $A$30:$O$112, 14, FALSE), ""), "")</f>
        <v>0.14925373134328357</v>
      </c>
      <c r="O17" s="43">
        <f>IF(NOT(_xlfn.IFNA(VLOOKUP($A17, $A$30:$O$112, 15, FALSE), "")=0), _xlfn.IFNA(VLOOKUP($A17, $A$30:$O$112, 15, FALSE), ""), "")</f>
        <v>14925.373134328356</v>
      </c>
      <c r="Q17" s="204"/>
      <c r="R17" s="205"/>
    </row>
    <row r="18" spans="1:18" ht="17.25" customHeight="1">
      <c r="A18" s="40" t="s">
        <v>72</v>
      </c>
      <c r="B18" s="36">
        <f t="shared" ref="B18:B26" si="1">IF(NOT(_xlfn.IFNA(VLOOKUP($A18, $A$30:$O$112, 2, FALSE), "")=0), _xlfn.IFNA(VLOOKUP($A18, $A$30:$O$112, 2, FALSE), ""), "")</f>
        <v>147</v>
      </c>
      <c r="C18" s="5">
        <f t="shared" ref="C18:C26" si="2">IF(NOT(_xlfn.IFNA(VLOOKUP($A18, $A$30:$O$112, 3, FALSE), "")=0), _xlfn.IFNA(VLOOKUP($A18, $A$30:$O$112, 3, FALSE), ""), "")</f>
        <v>0.14000000000000001</v>
      </c>
      <c r="D18" s="36">
        <f t="shared" ref="D18:D26" si="3">IF(NOT(_xlfn.IFNA(VLOOKUP($A18, $A$30:$O$112, 4, FALSE), "")=0), _xlfn.IFNA(VLOOKUP($A18, $A$30:$O$112, 4, FALSE), ""), "")</f>
        <v>179</v>
      </c>
      <c r="E18" s="5">
        <f t="shared" ref="E18:E26" si="4">IF(NOT(_xlfn.IFNA(VLOOKUP($A18, $A$30:$O$112, 5, FALSE), "")=0), _xlfn.IFNA(VLOOKUP($A18, $A$30:$O$112, 5, FALSE), ""), "")</f>
        <v>0.21768707482993196</v>
      </c>
      <c r="F18" s="59">
        <f t="shared" ref="F18:F26" si="5">IF(NOT(_xlfn.IFNA(VLOOKUP($A18, $A$30:$O$112, 6, FALSE), "")=0), _xlfn.IFNA(VLOOKUP($A18, $A$30:$O$112, 6, FALSE), ""), "")</f>
        <v>21768.707482993195</v>
      </c>
      <c r="G18" s="36">
        <f t="shared" si="0"/>
        <v>182</v>
      </c>
      <c r="H18" s="5">
        <f t="shared" ref="H18:H26" si="6">IF(NOT(_xlfn.IFNA(VLOOKUP($A18, $A$30:$O$112, 8, FALSE), "")=0), _xlfn.IFNA(VLOOKUP($A18, $A$30:$O$112, 8, FALSE), ""), "")</f>
        <v>0.23809523809523808</v>
      </c>
      <c r="I18" s="59">
        <f t="shared" ref="I18:I26" si="7">IF(NOT(_xlfn.IFNA(VLOOKUP($A18, $A$30:$O$112, 9, FALSE), "")=0), _xlfn.IFNA(VLOOKUP($A18, $A$30:$O$112, 9, FALSE), ""), "")</f>
        <v>23809.523809523809</v>
      </c>
      <c r="J18" s="36">
        <f t="shared" ref="J18:J26" si="8">IF(NOT(_xlfn.IFNA(VLOOKUP($A18, $A$30:$O$112, 10, FALSE), "")=0), _xlfn.IFNA(VLOOKUP($A18, $A$30:$O$112, 10, FALSE), ""), "")</f>
        <v>175</v>
      </c>
      <c r="K18" s="5">
        <f t="shared" ref="K18:K26" si="9">IF(NOT(_xlfn.IFNA(VLOOKUP($A18, $A$30:$O$112, 11, FALSE), "")=0), _xlfn.IFNA(VLOOKUP($A18, $A$30:$O$112, 11, FALSE), ""), "")</f>
        <v>0.19047619047619047</v>
      </c>
      <c r="L18" s="59">
        <f t="shared" ref="L18:L26" si="10">IF(NOT(_xlfn.IFNA(VLOOKUP($A18, $A$30:$O$112, 12, FALSE), "")=0), _xlfn.IFNA(VLOOKUP($A18, $A$30:$O$112, 12, FALSE), ""), "")</f>
        <v>19047.619047619046</v>
      </c>
      <c r="M18" s="36">
        <f t="shared" ref="M18:M26" si="11">IF(NOT(_xlfn.IFNA(VLOOKUP($A18, $A$30:$O$112, 13, FALSE), "")=0), _xlfn.IFNA(VLOOKUP($A18, $A$30:$O$112, 13, FALSE), ""), "")</f>
        <v>177</v>
      </c>
      <c r="N18" s="5">
        <f t="shared" ref="N18:N26" si="12">IF(NOT(_xlfn.IFNA(VLOOKUP($A18, $A$30:$O$112, 14, FALSE), "")=0), _xlfn.IFNA(VLOOKUP($A18, $A$30:$O$112, 14, FALSE), ""), "")</f>
        <v>0.20408163265306123</v>
      </c>
      <c r="O18" s="44">
        <f t="shared" ref="O18:O26" si="13">IF(NOT(_xlfn.IFNA(VLOOKUP($A18, $A$30:$O$112, 15, FALSE), "")=0), _xlfn.IFNA(VLOOKUP($A18, $A$30:$O$112, 15, FALSE), ""), "")</f>
        <v>20408.163265306124</v>
      </c>
      <c r="Q18" s="204"/>
      <c r="R18" s="205"/>
    </row>
    <row r="19" spans="1:18" ht="17.25" customHeight="1">
      <c r="A19" s="40" t="s">
        <v>179</v>
      </c>
      <c r="B19" s="36">
        <f t="shared" si="1"/>
        <v>260</v>
      </c>
      <c r="C19" s="5">
        <f t="shared" si="2"/>
        <v>0.14000000000000001</v>
      </c>
      <c r="D19" s="36">
        <f t="shared" si="3"/>
        <v>292</v>
      </c>
      <c r="E19" s="5">
        <f t="shared" si="4"/>
        <v>0.12307692307692308</v>
      </c>
      <c r="F19" s="59">
        <f t="shared" si="5"/>
        <v>12307.692307692309</v>
      </c>
      <c r="G19" s="36">
        <f t="shared" si="0"/>
        <v>285</v>
      </c>
      <c r="H19" s="5">
        <f t="shared" si="6"/>
        <v>9.6153846153846159E-2</v>
      </c>
      <c r="I19" s="59">
        <f t="shared" si="7"/>
        <v>9615.3846153846152</v>
      </c>
      <c r="J19" s="36">
        <f t="shared" si="8"/>
        <v>275</v>
      </c>
      <c r="K19" s="5">
        <f t="shared" si="9"/>
        <v>5.7692307692307696E-2</v>
      </c>
      <c r="L19" s="59">
        <f t="shared" si="10"/>
        <v>5769.2307692307695</v>
      </c>
      <c r="M19" s="36">
        <f t="shared" si="11"/>
        <v>276</v>
      </c>
      <c r="N19" s="5">
        <f t="shared" si="12"/>
        <v>6.1538461538461542E-2</v>
      </c>
      <c r="O19" s="44">
        <f t="shared" si="13"/>
        <v>6153.8461538461543</v>
      </c>
      <c r="Q19" s="204"/>
      <c r="R19" s="205"/>
    </row>
    <row r="20" spans="1:18" ht="17.25" customHeight="1">
      <c r="A20" s="40" t="s">
        <v>4</v>
      </c>
      <c r="B20" s="36">
        <f t="shared" si="1"/>
        <v>10.1</v>
      </c>
      <c r="C20" s="5">
        <f t="shared" si="2"/>
        <v>0.15</v>
      </c>
      <c r="D20" s="36">
        <f t="shared" si="3"/>
        <v>16</v>
      </c>
      <c r="E20" s="5">
        <f t="shared" si="4"/>
        <v>0.58415841584158423</v>
      </c>
      <c r="F20" s="59">
        <f t="shared" si="5"/>
        <v>58415.841584158421</v>
      </c>
      <c r="G20" s="36">
        <f t="shared" si="0"/>
        <v>16.2</v>
      </c>
      <c r="H20" s="5">
        <f t="shared" si="6"/>
        <v>0.60396039603960394</v>
      </c>
      <c r="I20" s="59">
        <f t="shared" si="7"/>
        <v>60396.039603960395</v>
      </c>
      <c r="J20" s="36">
        <f t="shared" si="8"/>
        <v>15.3</v>
      </c>
      <c r="K20" s="5">
        <f t="shared" si="9"/>
        <v>0.51485148514851498</v>
      </c>
      <c r="L20" s="59">
        <f t="shared" si="10"/>
        <v>51485.148514851498</v>
      </c>
      <c r="M20" s="36">
        <f t="shared" si="11"/>
        <v>15.1</v>
      </c>
      <c r="N20" s="5">
        <f t="shared" si="12"/>
        <v>0.49504950495049505</v>
      </c>
      <c r="O20" s="44">
        <f t="shared" si="13"/>
        <v>49504.950495049503</v>
      </c>
      <c r="Q20" s="204"/>
      <c r="R20" s="205"/>
    </row>
    <row r="21" spans="1:18" ht="17.25" customHeight="1">
      <c r="A21" s="41" t="s">
        <v>35</v>
      </c>
      <c r="B21" s="37">
        <f t="shared" si="1"/>
        <v>346</v>
      </c>
      <c r="C21" s="24">
        <f t="shared" si="2"/>
        <v>0.16500000000000001</v>
      </c>
      <c r="D21" s="37">
        <f t="shared" si="3"/>
        <v>387</v>
      </c>
      <c r="E21" s="24">
        <f t="shared" si="4"/>
        <v>0.11849710982658959</v>
      </c>
      <c r="F21" s="60">
        <f t="shared" si="5"/>
        <v>11849.710982658959</v>
      </c>
      <c r="G21" s="37">
        <f t="shared" si="0"/>
        <v>366</v>
      </c>
      <c r="H21" s="24">
        <f t="shared" si="6"/>
        <v>5.7803468208092484E-2</v>
      </c>
      <c r="I21" s="60">
        <f t="shared" si="7"/>
        <v>5780.3468208092481</v>
      </c>
      <c r="J21" s="37">
        <f t="shared" si="8"/>
        <v>376</v>
      </c>
      <c r="K21" s="24">
        <f t="shared" si="9"/>
        <v>8.6705202312138727E-2</v>
      </c>
      <c r="L21" s="60">
        <f t="shared" si="10"/>
        <v>8670.5202312138736</v>
      </c>
      <c r="M21" s="37">
        <f t="shared" si="11"/>
        <v>355</v>
      </c>
      <c r="N21" s="24">
        <f t="shared" si="12"/>
        <v>2.6011560693641619E-2</v>
      </c>
      <c r="O21" s="62">
        <f t="shared" si="13"/>
        <v>2601.1560693641618</v>
      </c>
      <c r="Q21" s="204"/>
      <c r="R21" s="205"/>
    </row>
    <row r="22" spans="1:18" ht="17.25" customHeight="1">
      <c r="A22" s="40" t="s">
        <v>178</v>
      </c>
      <c r="B22" s="36">
        <f t="shared" si="1"/>
        <v>304</v>
      </c>
      <c r="C22" s="5">
        <f t="shared" si="2"/>
        <v>0.1825</v>
      </c>
      <c r="D22" s="36">
        <f t="shared" si="3"/>
        <v>287</v>
      </c>
      <c r="E22" s="5">
        <f t="shared" si="4"/>
        <v>-5.5921052631578948E-2</v>
      </c>
      <c r="F22" s="59">
        <f t="shared" si="5"/>
        <v>-5592.105263157895</v>
      </c>
      <c r="G22" s="36">
        <f t="shared" si="0"/>
        <v>288</v>
      </c>
      <c r="H22" s="5">
        <f t="shared" si="6"/>
        <v>-5.2631578947368418E-2</v>
      </c>
      <c r="I22" s="59">
        <f t="shared" si="7"/>
        <v>-5263.1578947368416</v>
      </c>
      <c r="J22" s="36">
        <f t="shared" si="8"/>
        <v>295</v>
      </c>
      <c r="K22" s="5">
        <f t="shared" si="9"/>
        <v>-2.9605263157894735E-2</v>
      </c>
      <c r="L22" s="59">
        <f t="shared" si="10"/>
        <v>-2960.5263157894733</v>
      </c>
      <c r="M22" s="36">
        <f t="shared" si="11"/>
        <v>289</v>
      </c>
      <c r="N22" s="5">
        <f t="shared" si="12"/>
        <v>-4.9342105263157895E-2</v>
      </c>
      <c r="O22" s="44">
        <f t="shared" si="13"/>
        <v>-4934.2105263157891</v>
      </c>
      <c r="Q22" s="204"/>
      <c r="R22" s="205"/>
    </row>
    <row r="23" spans="1:18" ht="17.25" customHeight="1">
      <c r="A23" s="40" t="s">
        <v>6</v>
      </c>
      <c r="B23" s="36">
        <f t="shared" si="1"/>
        <v>39.799999999999997</v>
      </c>
      <c r="C23" s="5">
        <f t="shared" si="2"/>
        <v>8.5000000000000006E-2</v>
      </c>
      <c r="D23" s="36">
        <f t="shared" si="3"/>
        <v>41.5</v>
      </c>
      <c r="E23" s="5">
        <f t="shared" si="4"/>
        <v>4.2713567839196054E-2</v>
      </c>
      <c r="F23" s="59">
        <f t="shared" si="5"/>
        <v>4271.3567839196057</v>
      </c>
      <c r="G23" s="36">
        <f t="shared" si="0"/>
        <v>40.9</v>
      </c>
      <c r="H23" s="5">
        <f t="shared" si="6"/>
        <v>2.7638190954773906E-2</v>
      </c>
      <c r="I23" s="59">
        <f t="shared" si="7"/>
        <v>2763.8190954773904</v>
      </c>
      <c r="J23" s="36">
        <f t="shared" si="8"/>
        <v>39.9</v>
      </c>
      <c r="K23" s="5">
        <f t="shared" si="9"/>
        <v>2.5125628140703878E-3</v>
      </c>
      <c r="L23" s="59">
        <f t="shared" si="10"/>
        <v>251.25628140703878</v>
      </c>
      <c r="M23" s="36">
        <f t="shared" si="11"/>
        <v>39.1</v>
      </c>
      <c r="N23" s="5">
        <f t="shared" si="12"/>
        <v>-1.7587939698492358E-2</v>
      </c>
      <c r="O23" s="44">
        <f t="shared" si="13"/>
        <v>-1758.7939698492357</v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0.17560243055814631</v>
      </c>
      <c r="F27" s="47">
        <f>SUM(F17:F26)</f>
        <v>122921.70139070241</v>
      </c>
      <c r="G27" s="57" t="s">
        <v>82</v>
      </c>
      <c r="H27" s="46">
        <f>IF(COUNT(H17:H26), SUM(H17:H26) / COUNT(H17:H26), 0)</f>
        <v>0.16856782634068332</v>
      </c>
      <c r="I27" s="47">
        <f>SUM(I17:I26)</f>
        <v>117997.47843847833</v>
      </c>
      <c r="J27" s="57" t="s">
        <v>82</v>
      </c>
      <c r="K27" s="46">
        <f>IF(COUNT(K17:K26), SUM(K17:K26) / COUNT(K17:K26), 0)</f>
        <v>0.13884088808980161</v>
      </c>
      <c r="L27" s="47">
        <f>SUM(L17:L26)</f>
        <v>97188.6216628611</v>
      </c>
      <c r="M27" s="57" t="s">
        <v>82</v>
      </c>
      <c r="N27" s="46">
        <f>IF(COUNT(N17:N26), SUM(N17:N26) / COUNT(N17:N26), 0)</f>
        <v>0.12414354945961326</v>
      </c>
      <c r="O27" s="47">
        <f>SUM(O17:O26)</f>
        <v>86900.48462172928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68" t="s">
        <v>188</v>
      </c>
      <c r="B31" s="186" t="s">
        <v>48</v>
      </c>
      <c r="C31" s="188"/>
      <c r="D31" s="186" t="s">
        <v>67</v>
      </c>
      <c r="E31" s="187"/>
      <c r="F31" s="188"/>
      <c r="G31" s="223" t="e">
        <f>_xlfn.IFNA(VLOOKUP(B31,#REF!, 2, FALSE), "-")</f>
        <v>#REF!</v>
      </c>
      <c r="H31" s="224"/>
      <c r="I31" s="225"/>
      <c r="J31" s="186" t="s">
        <v>69</v>
      </c>
      <c r="K31" s="187"/>
      <c r="L31" s="188"/>
      <c r="M31" s="226" t="e">
        <f>_xlfn.IFNA(VLOOKUP(B31,#REF!, 3, FALSE), "-")</f>
        <v>#REF!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56" t="s">
        <v>70</v>
      </c>
      <c r="M33" s="18" t="s">
        <v>67</v>
      </c>
      <c r="N33" s="4" t="s">
        <v>68</v>
      </c>
      <c r="O33" s="21" t="s">
        <v>70</v>
      </c>
      <c r="Q33" s="231"/>
      <c r="R33" s="232"/>
    </row>
    <row r="34" spans="1:18" ht="17.25" customHeight="1">
      <c r="A34" s="9" t="s">
        <v>5</v>
      </c>
      <c r="B34" s="31">
        <v>34.4</v>
      </c>
      <c r="C34" s="22">
        <v>5.5E-2</v>
      </c>
      <c r="D34" s="35">
        <v>37.4</v>
      </c>
      <c r="E34" s="22">
        <f>IF(ISNUMBER(D34), (D34 - $B34) / $B34, "")</f>
        <v>8.7209302325581398E-2</v>
      </c>
      <c r="F34" s="43">
        <f>IF(ISNUMBER(D34), $B44 * E34, "")</f>
        <v>8720.9302325581393</v>
      </c>
      <c r="G34" s="35">
        <v>38.299999999999997</v>
      </c>
      <c r="H34" s="22">
        <f>IF(ISNUMBER(G34), (G34 - $B34) / $B34, "")</f>
        <v>0.11337209302325578</v>
      </c>
      <c r="I34" s="43">
        <f>IF(ISNUMBER(G34), $B44 * H34, "")</f>
        <v>11337.209302325578</v>
      </c>
      <c r="J34" s="35">
        <v>38.4</v>
      </c>
      <c r="K34" s="22">
        <f>IF(ISNUMBER(J34), (J34 - $B34) / $B34, "")</f>
        <v>0.11627906976744186</v>
      </c>
      <c r="L34" s="43">
        <f>IF(ISNUMBER(J34), $B44 * K34, "")</f>
        <v>11627.906976744185</v>
      </c>
      <c r="M34" s="35">
        <v>37.4</v>
      </c>
      <c r="N34" s="22">
        <f>IF(ISNUMBER(M34), (M34 - $B34) / $B34, "")</f>
        <v>8.7209302325581398E-2</v>
      </c>
      <c r="O34" s="43">
        <f>IF(ISNUMBER(M34), $B44 * N34, "")</f>
        <v>8720.9302325581393</v>
      </c>
      <c r="Q34" s="229"/>
      <c r="R34" s="230"/>
    </row>
    <row r="35" spans="1:18" ht="17.25" customHeight="1">
      <c r="A35" s="11" t="s">
        <v>8</v>
      </c>
      <c r="B35" s="32">
        <v>36.1</v>
      </c>
      <c r="C35" s="5">
        <v>7.4999999999999997E-2</v>
      </c>
      <c r="D35" s="36">
        <v>43</v>
      </c>
      <c r="E35" s="5">
        <f t="shared" ref="E35:E43" si="14">IF(ISNUMBER(D35), (D35 - $B35) / $B35, "")</f>
        <v>0.19113573407202211</v>
      </c>
      <c r="F35" s="44">
        <f>IF(ISNUMBER(D35), $B44 * E35, "")</f>
        <v>19113.57340720221</v>
      </c>
      <c r="G35" s="36">
        <v>45.1</v>
      </c>
      <c r="H35" s="5">
        <f t="shared" ref="H35:H43" si="15">IF(ISNUMBER(G35), (G35 - $B35) / $B35, "")</f>
        <v>0.24930747922437671</v>
      </c>
      <c r="I35" s="44">
        <f>IF(ISNUMBER(G35), $B44 * H35, "")</f>
        <v>24930.747922437669</v>
      </c>
      <c r="J35" s="36">
        <v>47</v>
      </c>
      <c r="K35" s="5">
        <f t="shared" ref="K35:K43" si="16">IF(ISNUMBER(J35), (J35 - $B35) / $B35, "")</f>
        <v>0.3019390581717451</v>
      </c>
      <c r="L35" s="44">
        <f>IF(ISNUMBER(J35), $B44 * K35, "")</f>
        <v>30193.905817174509</v>
      </c>
      <c r="M35" s="36">
        <v>46.5</v>
      </c>
      <c r="N35" s="5">
        <f t="shared" ref="N35:N43" si="17">IF(ISNUMBER(M35), (M35 - $B35) / $B35, "")</f>
        <v>0.28808864265927975</v>
      </c>
      <c r="O35" s="44">
        <f>IF(ISNUMBER(M35), $B44 * N35, "")</f>
        <v>28808.864265927976</v>
      </c>
      <c r="Q35" s="229"/>
      <c r="R35" s="230"/>
    </row>
    <row r="36" spans="1:18" ht="17.25" customHeight="1">
      <c r="A36" s="11" t="s">
        <v>7</v>
      </c>
      <c r="B36" s="32">
        <v>37.6</v>
      </c>
      <c r="C36" s="5">
        <v>5.5E-2</v>
      </c>
      <c r="D36" s="36">
        <v>40.299999999999997</v>
      </c>
      <c r="E36" s="5">
        <f t="shared" si="14"/>
        <v>7.1808510638297754E-2</v>
      </c>
      <c r="F36" s="44">
        <f>IF(ISNUMBER(D36), $B44 * E36, "")</f>
        <v>7180.8510638297757</v>
      </c>
      <c r="G36" s="36">
        <v>40.200000000000003</v>
      </c>
      <c r="H36" s="5">
        <f t="shared" si="15"/>
        <v>6.9148936170212796E-2</v>
      </c>
      <c r="I36" s="44">
        <f>IF(ISNUMBER(G36), $B44 * H36, "")</f>
        <v>6914.8936170212801</v>
      </c>
      <c r="J36" s="36">
        <v>40.200000000000003</v>
      </c>
      <c r="K36" s="5">
        <f t="shared" si="16"/>
        <v>6.9148936170212796E-2</v>
      </c>
      <c r="L36" s="44">
        <f>IF(ISNUMBER(J36), $B44 * K36, "")</f>
        <v>6914.8936170212801</v>
      </c>
      <c r="M36" s="36">
        <v>40.1</v>
      </c>
      <c r="N36" s="5">
        <f t="shared" si="17"/>
        <v>6.6489361702127658E-2</v>
      </c>
      <c r="O36" s="44">
        <f>IF(ISNUMBER(M36), $B44 * N36, "")</f>
        <v>6648.9361702127662</v>
      </c>
      <c r="Q36" s="229"/>
      <c r="R36" s="230"/>
    </row>
    <row r="37" spans="1:18" ht="17.25" customHeight="1">
      <c r="A37" s="11" t="s">
        <v>6</v>
      </c>
      <c r="B37" s="32">
        <v>39.799999999999997</v>
      </c>
      <c r="C37" s="5">
        <v>8.5000000000000006E-2</v>
      </c>
      <c r="D37" s="36">
        <v>41.5</v>
      </c>
      <c r="E37" s="5">
        <f t="shared" si="14"/>
        <v>4.2713567839196054E-2</v>
      </c>
      <c r="F37" s="44">
        <f>IF(ISNUMBER(D37), $B44 * E37, "")</f>
        <v>4271.3567839196057</v>
      </c>
      <c r="G37" s="36">
        <v>40.9</v>
      </c>
      <c r="H37" s="5">
        <f t="shared" si="15"/>
        <v>2.7638190954773906E-2</v>
      </c>
      <c r="I37" s="44">
        <f>IF(ISNUMBER(G37), $B44 * H37, "")</f>
        <v>2763.8190954773904</v>
      </c>
      <c r="J37" s="36">
        <v>39.9</v>
      </c>
      <c r="K37" s="5">
        <f t="shared" si="16"/>
        <v>2.5125628140703878E-3</v>
      </c>
      <c r="L37" s="44">
        <f>IF(ISNUMBER(J37), $B44 * K37, "")</f>
        <v>251.25628140703878</v>
      </c>
      <c r="M37" s="36">
        <v>39.1</v>
      </c>
      <c r="N37" s="5">
        <f t="shared" si="17"/>
        <v>-1.7587939698492358E-2</v>
      </c>
      <c r="O37" s="44">
        <f>IF(ISNUMBER(M37), $B44 * N37, "")</f>
        <v>-1758.7939698492357</v>
      </c>
      <c r="Q37" s="229"/>
      <c r="R37" s="230"/>
    </row>
    <row r="38" spans="1:18" ht="17.25" customHeight="1">
      <c r="A38" s="8" t="s">
        <v>12</v>
      </c>
      <c r="B38" s="33">
        <v>44.1</v>
      </c>
      <c r="C38" s="24">
        <v>0.05</v>
      </c>
      <c r="D38" s="37">
        <v>45.2</v>
      </c>
      <c r="E38" s="24">
        <f t="shared" si="14"/>
        <v>2.4943310657596404E-2</v>
      </c>
      <c r="F38" s="44">
        <f>IF(ISNUMBER(D38), $B44 * E38, "")</f>
        <v>2494.3310657596403</v>
      </c>
      <c r="G38" s="37">
        <v>44.1</v>
      </c>
      <c r="H38" s="24">
        <f t="shared" si="15"/>
        <v>0</v>
      </c>
      <c r="I38" s="44">
        <f>IF(ISNUMBER(G38), $B44 * H38, "")</f>
        <v>0</v>
      </c>
      <c r="J38" s="37">
        <v>43.5</v>
      </c>
      <c r="K38" s="24">
        <f t="shared" si="16"/>
        <v>-1.3605442176870781E-2</v>
      </c>
      <c r="L38" s="44">
        <f>IF(ISNUMBER(J38), $B44 * K38, "")</f>
        <v>-1360.5442176870781</v>
      </c>
      <c r="M38" s="37">
        <v>42.8</v>
      </c>
      <c r="N38" s="24">
        <f t="shared" si="17"/>
        <v>-2.9478458049886715E-2</v>
      </c>
      <c r="O38" s="44">
        <f>IF(ISNUMBER(M38), $B44 * N38, "")</f>
        <v>-2947.8458049886717</v>
      </c>
      <c r="Q38" s="229"/>
      <c r="R38" s="230"/>
    </row>
    <row r="39" spans="1:18" ht="17.25" customHeight="1">
      <c r="A39" s="11" t="s">
        <v>10</v>
      </c>
      <c r="B39" s="32">
        <v>46.1</v>
      </c>
      <c r="C39" s="5">
        <v>0.05</v>
      </c>
      <c r="D39" s="36">
        <v>47.3</v>
      </c>
      <c r="E39" s="5">
        <f t="shared" si="14"/>
        <v>2.6030368763557389E-2</v>
      </c>
      <c r="F39" s="48">
        <f>IF(ISNUMBER(D39), $B44 * E39, "")</f>
        <v>2603.036876355739</v>
      </c>
      <c r="G39" s="36">
        <v>46.5</v>
      </c>
      <c r="H39" s="5">
        <f t="shared" si="15"/>
        <v>8.6767895878524636E-3</v>
      </c>
      <c r="I39" s="48">
        <f>IF(ISNUMBER(G39), $B44 * H39, "")</f>
        <v>867.67895878524632</v>
      </c>
      <c r="J39" s="36">
        <v>46.2</v>
      </c>
      <c r="K39" s="5">
        <f t="shared" si="16"/>
        <v>2.1691973969631545E-3</v>
      </c>
      <c r="L39" s="48">
        <f>IF(ISNUMBER(J39), $B44 * K39, "")</f>
        <v>216.91973969631545</v>
      </c>
      <c r="M39" s="36">
        <v>45.1</v>
      </c>
      <c r="N39" s="5">
        <f t="shared" si="17"/>
        <v>-2.1691973969631236E-2</v>
      </c>
      <c r="O39" s="48">
        <f>IF(ISNUMBER(M39), $B44 * N39, "")</f>
        <v>-2169.1973969631235</v>
      </c>
      <c r="Q39" s="229"/>
      <c r="R39" s="230"/>
    </row>
    <row r="40" spans="1:18" ht="17.25" customHeight="1">
      <c r="A40" s="11" t="s">
        <v>11</v>
      </c>
      <c r="B40" s="32">
        <v>46.7</v>
      </c>
      <c r="C40" s="5">
        <v>0.05</v>
      </c>
      <c r="D40" s="36">
        <v>50.7</v>
      </c>
      <c r="E40" s="5">
        <f t="shared" si="14"/>
        <v>8.5653104925053528E-2</v>
      </c>
      <c r="F40" s="44">
        <f>IF(ISNUMBER(D40), $B44 * E40, "")</f>
        <v>8565.3104925053522</v>
      </c>
      <c r="G40" s="36">
        <v>51.1</v>
      </c>
      <c r="H40" s="5">
        <f t="shared" si="15"/>
        <v>9.4218415417558848E-2</v>
      </c>
      <c r="I40" s="44">
        <f>IF(ISNUMBER(G40), $B44 * H40, "")</f>
        <v>9421.8415417558845</v>
      </c>
      <c r="J40" s="36">
        <v>50.7</v>
      </c>
      <c r="K40" s="5">
        <f t="shared" si="16"/>
        <v>8.5653104925053528E-2</v>
      </c>
      <c r="L40" s="44">
        <f>IF(ISNUMBER(J40), $B44 * K40, "")</f>
        <v>8565.3104925053522</v>
      </c>
      <c r="M40" s="36">
        <v>49.6</v>
      </c>
      <c r="N40" s="5">
        <f t="shared" si="17"/>
        <v>6.2098501070663781E-2</v>
      </c>
      <c r="O40" s="44">
        <f>IF(ISNUMBER(M40), $B44 * N40, "")</f>
        <v>6209.8501070663779</v>
      </c>
      <c r="Q40" s="229"/>
      <c r="R40" s="230"/>
    </row>
    <row r="41" spans="1:18" ht="17.25" customHeight="1">
      <c r="A41" s="11" t="s">
        <v>48</v>
      </c>
      <c r="B41" s="32">
        <v>98</v>
      </c>
      <c r="C41" s="5">
        <v>7.2499999999999995E-2</v>
      </c>
      <c r="D41" s="36">
        <v>114</v>
      </c>
      <c r="E41" s="5">
        <f t="shared" si="14"/>
        <v>0.16326530612244897</v>
      </c>
      <c r="F41" s="44">
        <f>IF(ISNUMBER(D41), $B44 * E41, "")</f>
        <v>16326.530612244896</v>
      </c>
      <c r="G41" s="36">
        <v>123</v>
      </c>
      <c r="H41" s="5">
        <f t="shared" si="15"/>
        <v>0.25510204081632654</v>
      </c>
      <c r="I41" s="44">
        <f>IF(ISNUMBER(G41), $B44 * H41, "")</f>
        <v>25510.204081632655</v>
      </c>
      <c r="J41" s="36">
        <v>127</v>
      </c>
      <c r="K41" s="5">
        <f t="shared" si="16"/>
        <v>0.29591836734693877</v>
      </c>
      <c r="L41" s="44">
        <f>IF(ISNUMBER(J41), $B44 * K41, "")</f>
        <v>29591.836734693876</v>
      </c>
      <c r="M41" s="36">
        <v>121</v>
      </c>
      <c r="N41" s="5">
        <f t="shared" si="17"/>
        <v>0.23469387755102042</v>
      </c>
      <c r="O41" s="44">
        <f>IF(ISNUMBER(M41), $B44 * N41, "")</f>
        <v>23469.387755102041</v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8.6594900667969196E-2</v>
      </c>
      <c r="F44" s="47">
        <f>SUM(F34:F43)</f>
        <v>69275.920534375357</v>
      </c>
      <c r="G44" s="57" t="s">
        <v>82</v>
      </c>
      <c r="H44" s="46">
        <f>IF(COUNT(H34:H43), SUM(H34:H43) / COUNT(H34:H43), 0)</f>
        <v>0.10218299314929463</v>
      </c>
      <c r="I44" s="47">
        <f>SUM(I34:I43)</f>
        <v>81746.394519435707</v>
      </c>
      <c r="J44" s="57" t="s">
        <v>82</v>
      </c>
      <c r="K44" s="46">
        <f>IF(COUNT(K34:K43), SUM(K34:K43) / COUNT(K34:K43), 0)</f>
        <v>0.10750185680194435</v>
      </c>
      <c r="L44" s="47">
        <f>SUM(L34:L43)</f>
        <v>86001.485441555487</v>
      </c>
      <c r="M44" s="57" t="s">
        <v>82</v>
      </c>
      <c r="N44" s="46">
        <f>IF(COUNT(N34:N43), SUM(N34:N43) / COUNT(N34:N43), 0)</f>
        <v>8.3727664198832832E-2</v>
      </c>
      <c r="O44" s="47">
        <f>SUM(O34:O43)</f>
        <v>66982.131359066276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68" t="s">
        <v>188</v>
      </c>
      <c r="B48" s="186" t="s">
        <v>52</v>
      </c>
      <c r="C48" s="188"/>
      <c r="D48" s="186" t="s">
        <v>67</v>
      </c>
      <c r="E48" s="187"/>
      <c r="F48" s="188"/>
      <c r="G48" s="223" t="e">
        <f>_xlfn.IFNA(VLOOKUP(B48,#REF!, 2, FALSE), "-")</f>
        <v>#REF!</v>
      </c>
      <c r="H48" s="224"/>
      <c r="I48" s="225"/>
      <c r="J48" s="186" t="s">
        <v>69</v>
      </c>
      <c r="K48" s="187"/>
      <c r="L48" s="188"/>
      <c r="M48" s="226" t="e">
        <f>_xlfn.IFNA(VLOOKUP(B48,#REF!, 3, FALSE), "-")</f>
        <v>#REF!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56" t="s">
        <v>70</v>
      </c>
      <c r="M50" s="18" t="s">
        <v>67</v>
      </c>
      <c r="N50" s="4" t="s">
        <v>68</v>
      </c>
      <c r="O50" s="21" t="s">
        <v>70</v>
      </c>
      <c r="Q50" s="231"/>
      <c r="R50" s="232"/>
    </row>
    <row r="51" spans="1:18" ht="17.25" customHeight="1">
      <c r="A51" s="9" t="s">
        <v>4</v>
      </c>
      <c r="B51" s="31">
        <v>10.1</v>
      </c>
      <c r="C51" s="22">
        <v>0.15</v>
      </c>
      <c r="D51" s="35">
        <v>16</v>
      </c>
      <c r="E51" s="22">
        <f>IF(ISNUMBER(D51), (D51 - $B51) / $B51, "")</f>
        <v>0.58415841584158423</v>
      </c>
      <c r="F51" s="43">
        <f>IF(ISNUMBER(D51), $B61 * E51, "")</f>
        <v>58415.841584158421</v>
      </c>
      <c r="G51" s="35">
        <v>16.2</v>
      </c>
      <c r="H51" s="22">
        <f>IF(ISNUMBER(G51), (G51 - $B51) / $B51, "")</f>
        <v>0.60396039603960394</v>
      </c>
      <c r="I51" s="43">
        <f>IF(ISNUMBER(G51), $B61 * H51, "")</f>
        <v>60396.039603960395</v>
      </c>
      <c r="J51" s="35">
        <v>15.3</v>
      </c>
      <c r="K51" s="22">
        <f>IF(ISNUMBER(J51), (J51 - $B51) / $B51, "")</f>
        <v>0.51485148514851498</v>
      </c>
      <c r="L51" s="43">
        <f>IF(ISNUMBER(J51), $B61 * K51, "")</f>
        <v>51485.148514851498</v>
      </c>
      <c r="M51" s="35">
        <v>15.1</v>
      </c>
      <c r="N51" s="22">
        <f>IF(ISNUMBER(M51), (M51 - $B51) / $B51, "")</f>
        <v>0.49504950495049505</v>
      </c>
      <c r="O51" s="43">
        <f>IF(ISNUMBER(M51), $B61 * N51, "")</f>
        <v>49504.950495049503</v>
      </c>
      <c r="Q51" s="229"/>
      <c r="R51" s="230"/>
    </row>
    <row r="52" spans="1:18" ht="17.25" customHeight="1">
      <c r="A52" s="11" t="s">
        <v>52</v>
      </c>
      <c r="B52" s="32">
        <v>36.200000000000003</v>
      </c>
      <c r="C52" s="5">
        <v>0.115</v>
      </c>
      <c r="D52" s="36">
        <v>39.700000000000003</v>
      </c>
      <c r="E52" s="5">
        <f t="shared" ref="E52:E60" si="18">IF(ISNUMBER(D52), (D52 - $B52) / $B52, "")</f>
        <v>9.6685082872928166E-2</v>
      </c>
      <c r="F52" s="44">
        <f>IF(ISNUMBER(D52), $B61 * E52, "")</f>
        <v>9668.508287292816</v>
      </c>
      <c r="G52" s="36">
        <v>40.6</v>
      </c>
      <c r="H52" s="5">
        <f t="shared" ref="H52:H60" si="19">IF(ISNUMBER(G52), (G52 - $B52) / $B52, "")</f>
        <v>0.1215469613259668</v>
      </c>
      <c r="I52" s="44">
        <f>IF(ISNUMBER(G52), $B61 * H52, "")</f>
        <v>12154.69613259668</v>
      </c>
      <c r="J52" s="36">
        <v>40.1</v>
      </c>
      <c r="K52" s="5">
        <f t="shared" ref="K52:K60" si="20">IF(ISNUMBER(J52), (J52 - $B52) / $B52, "")</f>
        <v>0.1077348066298342</v>
      </c>
      <c r="L52" s="44">
        <f>IF(ISNUMBER(J52), $B61 * K52, "")</f>
        <v>10773.48066298342</v>
      </c>
      <c r="M52" s="36">
        <v>39.4</v>
      </c>
      <c r="N52" s="5">
        <f t="shared" ref="N52:N60" si="21">IF(ISNUMBER(M52), (M52 - $B52) / $B52, "")</f>
        <v>8.839779005524849E-2</v>
      </c>
      <c r="O52" s="44">
        <f>IF(ISNUMBER(M52), $B61 * N52, "")</f>
        <v>8839.7790055248497</v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0.34042174935725622</v>
      </c>
      <c r="F61" s="47">
        <f>SUM(F51:F60)</f>
        <v>68084.349871451239</v>
      </c>
      <c r="G61" s="57" t="s">
        <v>82</v>
      </c>
      <c r="H61" s="46">
        <f>IF(COUNT(H51:H60), SUM(H51:H60) / COUNT(H51:H60), 0)</f>
        <v>0.36275367868278535</v>
      </c>
      <c r="I61" s="47">
        <f>SUM(I51:I60)</f>
        <v>72550.735736557079</v>
      </c>
      <c r="J61" s="57" t="s">
        <v>82</v>
      </c>
      <c r="K61" s="46">
        <f>IF(COUNT(K51:K60), SUM(K51:K60) / COUNT(K51:K60), 0)</f>
        <v>0.31129314588917456</v>
      </c>
      <c r="L61" s="47">
        <f>SUM(L51:L60)</f>
        <v>62258.629177834919</v>
      </c>
      <c r="M61" s="57" t="s">
        <v>82</v>
      </c>
      <c r="N61" s="46">
        <f>IF(COUNT(N51:N60), SUM(N51:N60) / COUNT(N51:N60), 0)</f>
        <v>0.29172364750287177</v>
      </c>
      <c r="O61" s="47">
        <f>SUM(O51:O60)</f>
        <v>58344.729500574351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68" t="s">
        <v>188</v>
      </c>
      <c r="B65" s="186" t="s">
        <v>43</v>
      </c>
      <c r="C65" s="188"/>
      <c r="D65" s="186" t="s">
        <v>67</v>
      </c>
      <c r="E65" s="187"/>
      <c r="F65" s="188"/>
      <c r="G65" s="223" t="e">
        <f>_xlfn.IFNA(VLOOKUP(B65,#REF!, 2, FALSE), "-")</f>
        <v>#REF!</v>
      </c>
      <c r="H65" s="224"/>
      <c r="I65" s="225"/>
      <c r="J65" s="186" t="s">
        <v>69</v>
      </c>
      <c r="K65" s="187"/>
      <c r="L65" s="188"/>
      <c r="M65" s="226" t="e">
        <f>_xlfn.IFNA(VLOOKUP(B65,#REF!, 3, FALSE), "-")</f>
        <v>#REF!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56" t="s">
        <v>70</v>
      </c>
      <c r="M67" s="18" t="s">
        <v>67</v>
      </c>
      <c r="N67" s="4" t="s">
        <v>68</v>
      </c>
      <c r="O67" s="21" t="s">
        <v>70</v>
      </c>
      <c r="Q67" s="231"/>
      <c r="R67" s="232"/>
    </row>
    <row r="68" spans="1:18" ht="17.25" customHeight="1">
      <c r="A68" s="9" t="s">
        <v>47</v>
      </c>
      <c r="B68" s="31">
        <v>764</v>
      </c>
      <c r="C68" s="22">
        <v>9.7500000000000003E-2</v>
      </c>
      <c r="D68" s="35">
        <v>725</v>
      </c>
      <c r="E68" s="22">
        <f>IF(ISNUMBER(D68), (D68 - $B68) / $B68, "")</f>
        <v>-5.1047120418848166E-2</v>
      </c>
      <c r="F68" s="43">
        <f>IF(ISNUMBER(D68), $B78 * E68, "")</f>
        <v>-5104.7120418848162</v>
      </c>
      <c r="G68" s="35">
        <v>723</v>
      </c>
      <c r="H68" s="22">
        <f>IF(ISNUMBER(G68), (G68 - $B68) / $B68, "")</f>
        <v>-5.3664921465968587E-2</v>
      </c>
      <c r="I68" s="43">
        <f>IF(ISNUMBER(G68), $B78 * H68, "")</f>
        <v>-5366.4921465968591</v>
      </c>
      <c r="J68" s="35">
        <v>724</v>
      </c>
      <c r="K68" s="22">
        <f>IF(ISNUMBER(J68), (J68 - $B68) / $B68, "")</f>
        <v>-5.2356020942408377E-2</v>
      </c>
      <c r="L68" s="43">
        <f>IF(ISNUMBER(J68), $B78 * K68, "")</f>
        <v>-5235.6020942408377</v>
      </c>
      <c r="M68" s="35">
        <v>722</v>
      </c>
      <c r="N68" s="22">
        <f>IF(ISNUMBER(M68), (M68 - $B68) / $B68, "")</f>
        <v>-5.4973821989528798E-2</v>
      </c>
      <c r="O68" s="43">
        <f>IF(ISNUMBER(M68), $B78 * N68, "")</f>
        <v>-5497.3821989528797</v>
      </c>
      <c r="Q68" s="229"/>
      <c r="R68" s="230"/>
    </row>
    <row r="69" spans="1:18" ht="17.25" customHeight="1">
      <c r="A69" s="11" t="s">
        <v>38</v>
      </c>
      <c r="B69" s="32">
        <v>177</v>
      </c>
      <c r="C69" s="5">
        <v>9.2499999999999999E-2</v>
      </c>
      <c r="D69" s="36">
        <v>176</v>
      </c>
      <c r="E69" s="5">
        <f t="shared" ref="E69:E77" si="22">IF(ISNUMBER(D69), (D69 - $B69) / $B69, "")</f>
        <v>-5.6497175141242938E-3</v>
      </c>
      <c r="F69" s="44">
        <f>IF(ISNUMBER(D69), $B78 * E69, "")</f>
        <v>-564.9717514124294</v>
      </c>
      <c r="G69" s="36">
        <v>173</v>
      </c>
      <c r="H69" s="5">
        <f t="shared" ref="H69:H77" si="23">IF(ISNUMBER(G69), (G69 - $B69) / $B69, "")</f>
        <v>-2.2598870056497175E-2</v>
      </c>
      <c r="I69" s="44">
        <f>IF(ISNUMBER(G69), $B78 * H69, "")</f>
        <v>-2259.8870056497176</v>
      </c>
      <c r="J69" s="36">
        <v>173</v>
      </c>
      <c r="K69" s="5">
        <f t="shared" ref="K69:K77" si="24">IF(ISNUMBER(J69), (J69 - $B69) / $B69, "")</f>
        <v>-2.2598870056497175E-2</v>
      </c>
      <c r="L69" s="44">
        <f>IF(ISNUMBER(J69), $B78 * K69, "")</f>
        <v>-2259.8870056497176</v>
      </c>
      <c r="M69" s="36">
        <v>171</v>
      </c>
      <c r="N69" s="5">
        <f t="shared" ref="N69:N77" si="25">IF(ISNUMBER(M69), (M69 - $B69) / $B69, "")</f>
        <v>-3.3898305084745763E-2</v>
      </c>
      <c r="O69" s="44">
        <f>IF(ISNUMBER(M69), $B78 * N69, "")</f>
        <v>-3389.8305084745762</v>
      </c>
      <c r="Q69" s="229"/>
      <c r="R69" s="230"/>
    </row>
    <row r="70" spans="1:18" ht="17.25" customHeight="1">
      <c r="A70" s="11" t="s">
        <v>183</v>
      </c>
      <c r="B70" s="32">
        <v>137</v>
      </c>
      <c r="C70" s="5">
        <v>8.7499999999999994E-2</v>
      </c>
      <c r="D70" s="36">
        <v>133</v>
      </c>
      <c r="E70" s="5">
        <f t="shared" si="22"/>
        <v>-2.9197080291970802E-2</v>
      </c>
      <c r="F70" s="44">
        <f>IF(ISNUMBER(D70), $B78 * E70, "")</f>
        <v>-2919.7080291970801</v>
      </c>
      <c r="G70" s="36">
        <v>136</v>
      </c>
      <c r="H70" s="5">
        <f t="shared" si="23"/>
        <v>-7.2992700729927005E-3</v>
      </c>
      <c r="I70" s="44">
        <f>IF(ISNUMBER(G70), $B78 * H70, "")</f>
        <v>-729.92700729927003</v>
      </c>
      <c r="J70" s="36">
        <v>136</v>
      </c>
      <c r="K70" s="5">
        <f t="shared" si="24"/>
        <v>-7.2992700729927005E-3</v>
      </c>
      <c r="L70" s="44">
        <f>IF(ISNUMBER(J70), $B78 * K70, "")</f>
        <v>-729.92700729927003</v>
      </c>
      <c r="M70" s="36">
        <v>136</v>
      </c>
      <c r="N70" s="5">
        <f t="shared" si="25"/>
        <v>-7.2992700729927005E-3</v>
      </c>
      <c r="O70" s="44">
        <f>IF(ISNUMBER(M70), $B78 * N70, "")</f>
        <v>-729.92700729927003</v>
      </c>
      <c r="Q70" s="229"/>
      <c r="R70" s="230"/>
    </row>
    <row r="71" spans="1:18" ht="17.25" customHeight="1">
      <c r="A71" s="11" t="s">
        <v>184</v>
      </c>
      <c r="B71" s="32">
        <v>415</v>
      </c>
      <c r="C71" s="5">
        <v>8.5000000000000006E-2</v>
      </c>
      <c r="D71" s="36">
        <v>407</v>
      </c>
      <c r="E71" s="5">
        <f t="shared" si="22"/>
        <v>-1.9277108433734941E-2</v>
      </c>
      <c r="F71" s="44">
        <f>IF(ISNUMBER(D71), $B78 * E71, "")</f>
        <v>-1927.7108433734941</v>
      </c>
      <c r="G71" s="36">
        <v>407</v>
      </c>
      <c r="H71" s="5">
        <f t="shared" si="23"/>
        <v>-1.9277108433734941E-2</v>
      </c>
      <c r="I71" s="44">
        <f>IF(ISNUMBER(G71), $B78 * H71, "")</f>
        <v>-1927.7108433734941</v>
      </c>
      <c r="J71" s="36">
        <v>405</v>
      </c>
      <c r="K71" s="5">
        <f t="shared" si="24"/>
        <v>-2.4096385542168676E-2</v>
      </c>
      <c r="L71" s="44">
        <f>IF(ISNUMBER(J71), $B78 * K71, "")</f>
        <v>-2409.6385542168678</v>
      </c>
      <c r="M71" s="36">
        <v>397</v>
      </c>
      <c r="N71" s="5">
        <f t="shared" si="25"/>
        <v>-4.3373493975903614E-2</v>
      </c>
      <c r="O71" s="44">
        <f>IF(ISNUMBER(M71), $B78 * N71, "")</f>
        <v>-4337.3493975903611</v>
      </c>
      <c r="Q71" s="229"/>
      <c r="R71" s="230"/>
    </row>
    <row r="72" spans="1:18" ht="17.25" customHeight="1">
      <c r="A72" s="8" t="s">
        <v>76</v>
      </c>
      <c r="B72" s="33">
        <v>202</v>
      </c>
      <c r="C72" s="24">
        <v>0.08</v>
      </c>
      <c r="D72" s="37">
        <v>214</v>
      </c>
      <c r="E72" s="24">
        <f t="shared" si="22"/>
        <v>5.9405940594059403E-2</v>
      </c>
      <c r="F72" s="44">
        <f>IF(ISNUMBER(D72), $B78 * E72, "")</f>
        <v>5940.5940594059402</v>
      </c>
      <c r="G72" s="37">
        <v>211</v>
      </c>
      <c r="H72" s="24">
        <f t="shared" si="23"/>
        <v>4.4554455445544552E-2</v>
      </c>
      <c r="I72" s="44">
        <f>IF(ISNUMBER(G72), $B78 * H72, "")</f>
        <v>4455.4455445544554</v>
      </c>
      <c r="J72" s="37">
        <v>214</v>
      </c>
      <c r="K72" s="24">
        <f t="shared" si="24"/>
        <v>5.9405940594059403E-2</v>
      </c>
      <c r="L72" s="44">
        <f>IF(ISNUMBER(J72), $B78 * K72, "")</f>
        <v>5940.5940594059402</v>
      </c>
      <c r="M72" s="37">
        <v>215</v>
      </c>
      <c r="N72" s="24">
        <f t="shared" si="25"/>
        <v>6.4356435643564358E-2</v>
      </c>
      <c r="O72" s="44">
        <f>IF(ISNUMBER(M72), $B78 * N72, "")</f>
        <v>6435.6435643564355</v>
      </c>
      <c r="Q72" s="229"/>
      <c r="R72" s="230"/>
    </row>
    <row r="73" spans="1:18" ht="17.25" customHeight="1">
      <c r="A73" s="11" t="s">
        <v>185</v>
      </c>
      <c r="B73" s="32">
        <v>542</v>
      </c>
      <c r="C73" s="5">
        <v>7.0000000000000007E-2</v>
      </c>
      <c r="D73" s="36">
        <v>534</v>
      </c>
      <c r="E73" s="5">
        <f t="shared" si="22"/>
        <v>-1.4760147601476014E-2</v>
      </c>
      <c r="F73" s="48">
        <f>IF(ISNUMBER(D73), $B78 * E73, "")</f>
        <v>-1476.0147601476015</v>
      </c>
      <c r="G73" s="36">
        <v>533</v>
      </c>
      <c r="H73" s="5">
        <f t="shared" si="23"/>
        <v>-1.6605166051660517E-2</v>
      </c>
      <c r="I73" s="48">
        <f>IF(ISNUMBER(G73), $B78 * H73, "")</f>
        <v>-1660.5166051660517</v>
      </c>
      <c r="J73" s="36">
        <v>538</v>
      </c>
      <c r="K73" s="5">
        <f t="shared" si="24"/>
        <v>-7.3800738007380072E-3</v>
      </c>
      <c r="L73" s="48">
        <f>IF(ISNUMBER(J73), $B78 * K73, "")</f>
        <v>-738.00738007380073</v>
      </c>
      <c r="M73" s="36">
        <v>539</v>
      </c>
      <c r="N73" s="5">
        <f t="shared" si="25"/>
        <v>-5.5350553505535052E-3</v>
      </c>
      <c r="O73" s="48">
        <f>IF(ISNUMBER(M73), $B78 * N73, "")</f>
        <v>-553.50553505535049</v>
      </c>
      <c r="Q73" s="229"/>
      <c r="R73" s="230"/>
    </row>
    <row r="74" spans="1:18" ht="17.25" customHeight="1">
      <c r="A74" s="11" t="s">
        <v>40</v>
      </c>
      <c r="B74" s="32">
        <v>518</v>
      </c>
      <c r="C74" s="5">
        <v>7.0000000000000007E-2</v>
      </c>
      <c r="D74" s="36">
        <v>525</v>
      </c>
      <c r="E74" s="5">
        <f t="shared" si="22"/>
        <v>1.3513513513513514E-2</v>
      </c>
      <c r="F74" s="44">
        <f>IF(ISNUMBER(D74), $B78 * E74, "")</f>
        <v>1351.3513513513515</v>
      </c>
      <c r="G74" s="36">
        <v>519</v>
      </c>
      <c r="H74" s="5">
        <f t="shared" si="23"/>
        <v>1.9305019305019305E-3</v>
      </c>
      <c r="I74" s="44">
        <f>IF(ISNUMBER(G74), $B78 * H74, "")</f>
        <v>193.05019305019306</v>
      </c>
      <c r="J74" s="36">
        <v>518</v>
      </c>
      <c r="K74" s="5">
        <f t="shared" si="24"/>
        <v>0</v>
      </c>
      <c r="L74" s="44">
        <f>IF(ISNUMBER(J74), $B78 * K74, "")</f>
        <v>0</v>
      </c>
      <c r="M74" s="36">
        <v>511</v>
      </c>
      <c r="N74" s="5">
        <f t="shared" si="25"/>
        <v>-1.3513513513513514E-2</v>
      </c>
      <c r="O74" s="44">
        <f>IF(ISNUMBER(M74), $B78 * N74, "")</f>
        <v>-1351.3513513513515</v>
      </c>
      <c r="Q74" s="229"/>
      <c r="R74" s="230"/>
    </row>
    <row r="75" spans="1:18" ht="17.25" customHeight="1">
      <c r="A75" s="11" t="s">
        <v>39</v>
      </c>
      <c r="B75" s="32">
        <v>307</v>
      </c>
      <c r="C75" s="5">
        <v>6.25E-2</v>
      </c>
      <c r="D75" s="36">
        <v>317</v>
      </c>
      <c r="E75" s="5">
        <f t="shared" si="22"/>
        <v>3.2573289902280131E-2</v>
      </c>
      <c r="F75" s="44">
        <f>IF(ISNUMBER(D75), $B78 * E75, "")</f>
        <v>3257.328990228013</v>
      </c>
      <c r="G75" s="36">
        <v>308</v>
      </c>
      <c r="H75" s="5">
        <f t="shared" si="23"/>
        <v>3.2573289902280132E-3</v>
      </c>
      <c r="I75" s="44">
        <f>IF(ISNUMBER(G75), $B78 * H75, "")</f>
        <v>325.73289902280129</v>
      </c>
      <c r="J75" s="36">
        <v>304</v>
      </c>
      <c r="K75" s="5">
        <f t="shared" si="24"/>
        <v>-9.7719869706840382E-3</v>
      </c>
      <c r="L75" s="44">
        <f>IF(ISNUMBER(J75), $B78 * K75, "")</f>
        <v>-977.19869706840382</v>
      </c>
      <c r="M75" s="36">
        <v>298</v>
      </c>
      <c r="N75" s="5">
        <f t="shared" si="25"/>
        <v>-2.9315960912052116E-2</v>
      </c>
      <c r="O75" s="44">
        <f>IF(ISNUMBER(M75), $B78 * N75, "")</f>
        <v>-2931.5960912052115</v>
      </c>
      <c r="Q75" s="229"/>
      <c r="R75" s="230"/>
    </row>
    <row r="76" spans="1:18" ht="17.25" customHeight="1">
      <c r="A76" s="11" t="s">
        <v>186</v>
      </c>
      <c r="B76" s="32">
        <v>567</v>
      </c>
      <c r="C76" s="5">
        <v>0.06</v>
      </c>
      <c r="D76" s="36">
        <v>631</v>
      </c>
      <c r="E76" s="5">
        <f t="shared" si="22"/>
        <v>0.1128747795414462</v>
      </c>
      <c r="F76" s="44">
        <f>IF(ISNUMBER(D76), $B78 * E76, "")</f>
        <v>11287.477954144621</v>
      </c>
      <c r="G76" s="36">
        <v>631</v>
      </c>
      <c r="H76" s="5">
        <f t="shared" si="23"/>
        <v>0.1128747795414462</v>
      </c>
      <c r="I76" s="44">
        <f>IF(ISNUMBER(G76), $B78 * H76, "")</f>
        <v>11287.477954144621</v>
      </c>
      <c r="J76" s="36">
        <v>633</v>
      </c>
      <c r="K76" s="5">
        <f t="shared" si="24"/>
        <v>0.1164021164021164</v>
      </c>
      <c r="L76" s="44">
        <f>IF(ISNUMBER(J76), $B78 * K76, "")</f>
        <v>11640.211640211639</v>
      </c>
      <c r="M76" s="36">
        <v>630</v>
      </c>
      <c r="N76" s="5">
        <f t="shared" si="25"/>
        <v>0.1111111111111111</v>
      </c>
      <c r="O76" s="44">
        <f>IF(ISNUMBER(M76), $B78 * N76, "")</f>
        <v>11111.111111111111</v>
      </c>
      <c r="Q76" s="231"/>
      <c r="R76" s="232"/>
    </row>
    <row r="77" spans="1:18" ht="17.25" customHeight="1" thickBot="1">
      <c r="A77" s="13" t="s">
        <v>43</v>
      </c>
      <c r="B77" s="34">
        <v>801</v>
      </c>
      <c r="C77" s="16">
        <v>5.7500000000000002E-2</v>
      </c>
      <c r="D77" s="38">
        <v>762</v>
      </c>
      <c r="E77" s="16">
        <f t="shared" si="22"/>
        <v>-4.8689138576779027E-2</v>
      </c>
      <c r="F77" s="45">
        <f>IF(ISNUMBER(D77), $B78 * E77, "")</f>
        <v>-4868.9138576779023</v>
      </c>
      <c r="G77" s="38">
        <v>746</v>
      </c>
      <c r="H77" s="16">
        <f t="shared" si="23"/>
        <v>-6.8664169787765295E-2</v>
      </c>
      <c r="I77" s="45">
        <f>IF(ISNUMBER(G77), $B78 * H77, "")</f>
        <v>-6866.4169787765295</v>
      </c>
      <c r="J77" s="38">
        <v>745</v>
      </c>
      <c r="K77" s="16">
        <f t="shared" si="24"/>
        <v>-6.9912609238451939E-2</v>
      </c>
      <c r="L77" s="45">
        <f>IF(ISNUMBER(J77), $B78 * K77, "")</f>
        <v>-6991.2609238451942</v>
      </c>
      <c r="M77" s="38">
        <v>730</v>
      </c>
      <c r="N77" s="16">
        <f t="shared" si="25"/>
        <v>-8.8639200998751555E-2</v>
      </c>
      <c r="O77" s="45">
        <f>IF(ISNUMBER(M77), $B78 * N77, "")</f>
        <v>-8863.9200998751548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4.9747210714366002E-3</v>
      </c>
      <c r="F78" s="47">
        <f>SUM(F68:F77)</f>
        <v>4974.7210714366029</v>
      </c>
      <c r="G78" s="57" t="s">
        <v>82</v>
      </c>
      <c r="H78" s="46">
        <f>IF(COUNT(H68:H77), SUM(H68:H77) / COUNT(H68:H77), 0)</f>
        <v>-2.5492439960898517E-3</v>
      </c>
      <c r="I78" s="47">
        <f>SUM(I68:I77)</f>
        <v>-2549.24399608985</v>
      </c>
      <c r="J78" s="57" t="s">
        <v>82</v>
      </c>
      <c r="K78" s="46">
        <f>IF(COUNT(K68:K77), SUM(K68:K77) / COUNT(K68:K77), 0)</f>
        <v>-1.7607159627765114E-3</v>
      </c>
      <c r="L78" s="47">
        <f>SUM(L68:L77)</f>
        <v>-1760.7159627765132</v>
      </c>
      <c r="M78" s="57" t="s">
        <v>82</v>
      </c>
      <c r="N78" s="46">
        <f>IF(COUNT(N68:N77), SUM(N68:N77) / COUNT(N68:N77), 0)</f>
        <v>-1.010810751433661E-2</v>
      </c>
      <c r="O78" s="47">
        <f>SUM(O68:O77)</f>
        <v>-10108.107514336605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68" t="s">
        <v>188</v>
      </c>
      <c r="B82" s="186" t="s">
        <v>180</v>
      </c>
      <c r="C82" s="188"/>
      <c r="D82" s="186" t="s">
        <v>67</v>
      </c>
      <c r="E82" s="187"/>
      <c r="F82" s="188"/>
      <c r="G82" s="223" t="e">
        <f>_xlfn.IFNA(VLOOKUP(B82,#REF!, 2, FALSE), "-")</f>
        <v>#REF!</v>
      </c>
      <c r="H82" s="224"/>
      <c r="I82" s="225"/>
      <c r="J82" s="186" t="s">
        <v>69</v>
      </c>
      <c r="K82" s="187"/>
      <c r="L82" s="188"/>
      <c r="M82" s="226" t="e">
        <f>_xlfn.IFNA(VLOOKUP(B82,#REF!, 3, FALSE), "-")</f>
        <v>#REF!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56" t="s">
        <v>70</v>
      </c>
      <c r="M84" s="18" t="s">
        <v>67</v>
      </c>
      <c r="N84" s="4" t="s">
        <v>68</v>
      </c>
      <c r="O84" s="21" t="s">
        <v>70</v>
      </c>
      <c r="Q84" s="231"/>
      <c r="R84" s="232"/>
    </row>
    <row r="85" spans="1:18" ht="17.25" customHeight="1">
      <c r="A85" s="9" t="s">
        <v>177</v>
      </c>
      <c r="B85" s="31">
        <v>304</v>
      </c>
      <c r="C85" s="22">
        <v>0.27250000000000002</v>
      </c>
      <c r="D85" s="35">
        <v>278</v>
      </c>
      <c r="E85" s="22">
        <f>IF(ISNUMBER(D85), (D85 - $B85) / $B85, "")</f>
        <v>-8.5526315789473686E-2</v>
      </c>
      <c r="F85" s="43">
        <f>IF(ISNUMBER(D85), $B95 * E85, "")</f>
        <v>-8552.6315789473683</v>
      </c>
      <c r="G85" s="35">
        <v>275</v>
      </c>
      <c r="H85" s="22">
        <f>IF(ISNUMBER(G85), (G85 - $B85) / $B85, "")</f>
        <v>-9.5394736842105268E-2</v>
      </c>
      <c r="I85" s="43">
        <f>IF(ISNUMBER(G85), $B95 * H85, "")</f>
        <v>-9539.4736842105267</v>
      </c>
      <c r="J85" s="35">
        <v>278</v>
      </c>
      <c r="K85" s="22">
        <f>IF(ISNUMBER(J85), (J85 - $B85) / $B85, "")</f>
        <v>-8.5526315789473686E-2</v>
      </c>
      <c r="L85" s="43">
        <f>IF(ISNUMBER(J85), $B95 * K85, "")</f>
        <v>-8552.6315789473683</v>
      </c>
      <c r="M85" s="35">
        <v>277</v>
      </c>
      <c r="N85" s="22">
        <f>IF(ISNUMBER(M85), (M85 - $B85) / $B85, "")</f>
        <v>-8.8815789473684209E-2</v>
      </c>
      <c r="O85" s="43">
        <f>IF(ISNUMBER(M85), $B95 * N85, "")</f>
        <v>-8881.5789473684217</v>
      </c>
      <c r="Q85" s="229"/>
      <c r="R85" s="230"/>
    </row>
    <row r="86" spans="1:18" ht="17.25" customHeight="1">
      <c r="A86" s="11" t="s">
        <v>75</v>
      </c>
      <c r="B86" s="32">
        <v>201</v>
      </c>
      <c r="C86" s="5">
        <v>0.20250000000000001</v>
      </c>
      <c r="D86" s="36">
        <v>241</v>
      </c>
      <c r="E86" s="5">
        <f t="shared" ref="E86:E94" si="26">IF(ISNUMBER(D86), (D86 - $B86) / $B86, "")</f>
        <v>0.19900497512437812</v>
      </c>
      <c r="F86" s="44">
        <f>IF(ISNUMBER(D86), $B95 * E86, "")</f>
        <v>19900.497512437811</v>
      </c>
      <c r="G86" s="36">
        <v>243</v>
      </c>
      <c r="H86" s="5">
        <f t="shared" ref="H86:H94" si="27">IF(ISNUMBER(G86), (G86 - $B86) / $B86, "")</f>
        <v>0.20895522388059701</v>
      </c>
      <c r="I86" s="44">
        <f>IF(ISNUMBER(G86), $B95 * H86, "")</f>
        <v>20895.5223880597</v>
      </c>
      <c r="J86" s="36">
        <v>231</v>
      </c>
      <c r="K86" s="5">
        <f t="shared" ref="K86:K94" si="28">IF(ISNUMBER(J86), (J86 - $B86) / $B86, "")</f>
        <v>0.14925373134328357</v>
      </c>
      <c r="L86" s="44">
        <f>IF(ISNUMBER(J86), $B95 * K86, "")</f>
        <v>14925.373134328356</v>
      </c>
      <c r="M86" s="36">
        <v>231</v>
      </c>
      <c r="N86" s="5">
        <f t="shared" ref="N86:N94" si="29">IF(ISNUMBER(M86), (M86 - $B86) / $B86, "")</f>
        <v>0.14925373134328357</v>
      </c>
      <c r="O86" s="44">
        <f>IF(ISNUMBER(M86), $B95 * N86, "")</f>
        <v>14925.373134328356</v>
      </c>
      <c r="Q86" s="229"/>
      <c r="R86" s="230"/>
    </row>
    <row r="87" spans="1:18" ht="17.25" customHeight="1">
      <c r="A87" s="11" t="s">
        <v>178</v>
      </c>
      <c r="B87" s="32">
        <v>304</v>
      </c>
      <c r="C87" s="5">
        <v>0.1825</v>
      </c>
      <c r="D87" s="36">
        <v>287</v>
      </c>
      <c r="E87" s="5">
        <f t="shared" si="26"/>
        <v>-5.5921052631578948E-2</v>
      </c>
      <c r="F87" s="44">
        <f>IF(ISNUMBER(D87), $B95 * E87, "")</f>
        <v>-5592.105263157895</v>
      </c>
      <c r="G87" s="36">
        <v>288</v>
      </c>
      <c r="H87" s="5">
        <f t="shared" si="27"/>
        <v>-5.2631578947368418E-2</v>
      </c>
      <c r="I87" s="44">
        <f>IF(ISNUMBER(G87), $B95 * H87, "")</f>
        <v>-5263.1578947368416</v>
      </c>
      <c r="J87" s="36">
        <v>295</v>
      </c>
      <c r="K87" s="5">
        <f t="shared" si="28"/>
        <v>-2.9605263157894735E-2</v>
      </c>
      <c r="L87" s="44">
        <f>IF(ISNUMBER(J87), $B95 * K87, "")</f>
        <v>-2960.5263157894733</v>
      </c>
      <c r="M87" s="36">
        <v>289</v>
      </c>
      <c r="N87" s="5">
        <f t="shared" si="29"/>
        <v>-4.9342105263157895E-2</v>
      </c>
      <c r="O87" s="44">
        <f>IF(ISNUMBER(M87), $B95 * N87, "")</f>
        <v>-4934.2105263157891</v>
      </c>
      <c r="Q87" s="229"/>
      <c r="R87" s="230"/>
    </row>
    <row r="88" spans="1:18" ht="17.25" customHeight="1">
      <c r="A88" s="11" t="s">
        <v>35</v>
      </c>
      <c r="B88" s="32">
        <v>346</v>
      </c>
      <c r="C88" s="5">
        <v>0.16500000000000001</v>
      </c>
      <c r="D88" s="36">
        <v>387</v>
      </c>
      <c r="E88" s="5">
        <f t="shared" si="26"/>
        <v>0.11849710982658959</v>
      </c>
      <c r="F88" s="44">
        <f>IF(ISNUMBER(D88), $B95 * E88, "")</f>
        <v>11849.710982658959</v>
      </c>
      <c r="G88" s="36">
        <v>366</v>
      </c>
      <c r="H88" s="5">
        <f t="shared" si="27"/>
        <v>5.7803468208092484E-2</v>
      </c>
      <c r="I88" s="44">
        <f>IF(ISNUMBER(G88), $B95 * H88, "")</f>
        <v>5780.3468208092481</v>
      </c>
      <c r="J88" s="36">
        <v>376</v>
      </c>
      <c r="K88" s="5">
        <f t="shared" si="28"/>
        <v>8.6705202312138727E-2</v>
      </c>
      <c r="L88" s="44">
        <f>IF(ISNUMBER(J88), $B95 * K88, "")</f>
        <v>8670.5202312138736</v>
      </c>
      <c r="M88" s="36">
        <v>355</v>
      </c>
      <c r="N88" s="5">
        <f t="shared" si="29"/>
        <v>2.6011560693641619E-2</v>
      </c>
      <c r="O88" s="44">
        <f>IF(ISNUMBER(M88), $B95 * N88, "")</f>
        <v>2601.1560693641618</v>
      </c>
      <c r="Q88" s="229"/>
      <c r="R88" s="230"/>
    </row>
    <row r="89" spans="1:18" ht="17.25" customHeight="1">
      <c r="A89" s="8" t="s">
        <v>179</v>
      </c>
      <c r="B89" s="33">
        <v>260</v>
      </c>
      <c r="C89" s="24">
        <v>0.14000000000000001</v>
      </c>
      <c r="D89" s="37">
        <v>292</v>
      </c>
      <c r="E89" s="24">
        <f t="shared" si="26"/>
        <v>0.12307692307692308</v>
      </c>
      <c r="F89" s="44">
        <f>IF(ISNUMBER(D89), $B95 * E89, "")</f>
        <v>12307.692307692309</v>
      </c>
      <c r="G89" s="37">
        <v>285</v>
      </c>
      <c r="H89" s="24">
        <f t="shared" si="27"/>
        <v>9.6153846153846159E-2</v>
      </c>
      <c r="I89" s="44">
        <f>IF(ISNUMBER(G89), $B95 * H89, "")</f>
        <v>9615.3846153846152</v>
      </c>
      <c r="J89" s="37">
        <v>275</v>
      </c>
      <c r="K89" s="24">
        <f t="shared" si="28"/>
        <v>5.7692307692307696E-2</v>
      </c>
      <c r="L89" s="44">
        <f>IF(ISNUMBER(J89), $B95 * K89, "")</f>
        <v>5769.2307692307695</v>
      </c>
      <c r="M89" s="37">
        <v>276</v>
      </c>
      <c r="N89" s="24">
        <f t="shared" si="29"/>
        <v>6.1538461538461542E-2</v>
      </c>
      <c r="O89" s="44">
        <f>IF(ISNUMBER(M89), $B95 * N89, "")</f>
        <v>6153.8461538461543</v>
      </c>
      <c r="Q89" s="229"/>
      <c r="R89" s="230"/>
    </row>
    <row r="90" spans="1:18" ht="17.25" customHeight="1">
      <c r="A90" s="11" t="s">
        <v>72</v>
      </c>
      <c r="B90" s="32">
        <v>147</v>
      </c>
      <c r="C90" s="5">
        <v>0.14000000000000001</v>
      </c>
      <c r="D90" s="36">
        <v>179</v>
      </c>
      <c r="E90" s="5">
        <f t="shared" si="26"/>
        <v>0.21768707482993196</v>
      </c>
      <c r="F90" s="48">
        <f>IF(ISNUMBER(D90), $B95 * E90, "")</f>
        <v>21768.707482993195</v>
      </c>
      <c r="G90" s="36">
        <v>182</v>
      </c>
      <c r="H90" s="5">
        <f t="shared" si="27"/>
        <v>0.23809523809523808</v>
      </c>
      <c r="I90" s="48">
        <f>IF(ISNUMBER(G90), $B95 * H90, "")</f>
        <v>23809.523809523809</v>
      </c>
      <c r="J90" s="36">
        <v>175</v>
      </c>
      <c r="K90" s="5">
        <f t="shared" si="28"/>
        <v>0.19047619047619047</v>
      </c>
      <c r="L90" s="48">
        <f>IF(ISNUMBER(J90), $B95 * K90, "")</f>
        <v>19047.619047619046</v>
      </c>
      <c r="M90" s="36">
        <v>177</v>
      </c>
      <c r="N90" s="5">
        <f t="shared" si="29"/>
        <v>0.20408163265306123</v>
      </c>
      <c r="O90" s="48">
        <f>IF(ISNUMBER(M90), $B95 * N90, "")</f>
        <v>20408.163265306124</v>
      </c>
      <c r="Q90" s="229"/>
      <c r="R90" s="230"/>
    </row>
    <row r="91" spans="1:18" ht="17.25" customHeight="1">
      <c r="A91" s="11" t="s">
        <v>180</v>
      </c>
      <c r="B91" s="32">
        <v>522</v>
      </c>
      <c r="C91" s="5">
        <v>0.13250000000000001</v>
      </c>
      <c r="D91" s="36">
        <v>507</v>
      </c>
      <c r="E91" s="5">
        <f t="shared" si="26"/>
        <v>-2.8735632183908046E-2</v>
      </c>
      <c r="F91" s="44">
        <f>IF(ISNUMBER(D91), $B95 * E91, "")</f>
        <v>-2873.5632183908046</v>
      </c>
      <c r="G91" s="36">
        <v>501</v>
      </c>
      <c r="H91" s="5">
        <f t="shared" si="27"/>
        <v>-4.0229885057471264E-2</v>
      </c>
      <c r="I91" s="44">
        <f>IF(ISNUMBER(G91), $B95 * H91, "")</f>
        <v>-4022.9885057471265</v>
      </c>
      <c r="J91" s="36">
        <v>505</v>
      </c>
      <c r="K91" s="5">
        <f t="shared" si="28"/>
        <v>-3.2567049808429116E-2</v>
      </c>
      <c r="L91" s="44">
        <f>IF(ISNUMBER(J91), $B95 * K91, "")</f>
        <v>-3256.7049808429115</v>
      </c>
      <c r="M91" s="36">
        <v>508</v>
      </c>
      <c r="N91" s="5">
        <f t="shared" si="29"/>
        <v>-2.681992337164751E-2</v>
      </c>
      <c r="O91" s="44">
        <f>IF(ISNUMBER(M91), $B95 * N91, "")</f>
        <v>-2681.992337164751</v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6.972615460755173E-2</v>
      </c>
      <c r="F95" s="47">
        <f>SUM(F85:F94)</f>
        <v>48808.308225286208</v>
      </c>
      <c r="G95" s="57" t="s">
        <v>82</v>
      </c>
      <c r="H95" s="46">
        <f>IF(COUNT(H85:H94), SUM(H85:H94) / COUNT(H85:H94), 0)</f>
        <v>5.8964510784404109E-2</v>
      </c>
      <c r="I95" s="47">
        <f>SUM(I85:I94)</f>
        <v>41275.157549082876</v>
      </c>
      <c r="J95" s="57" t="s">
        <v>82</v>
      </c>
      <c r="K95" s="46">
        <f>IF(COUNT(K85:K94), SUM(K85:K94) / COUNT(K85:K94), 0)</f>
        <v>4.8061257581160415E-2</v>
      </c>
      <c r="L95" s="47">
        <f>SUM(L85:L94)</f>
        <v>33642.880306812287</v>
      </c>
      <c r="M95" s="57" t="s">
        <v>82</v>
      </c>
      <c r="N95" s="46">
        <f>IF(COUNT(N85:N94), SUM(N85:N94) / COUNT(N85:N94), 0)</f>
        <v>3.941536687427976E-2</v>
      </c>
      <c r="O95" s="47">
        <f>SUM(O85:O94)</f>
        <v>27590.756811995831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68" t="s">
        <v>188</v>
      </c>
      <c r="B99" s="186" t="s">
        <v>182</v>
      </c>
      <c r="C99" s="188"/>
      <c r="D99" s="186" t="s">
        <v>67</v>
      </c>
      <c r="E99" s="187"/>
      <c r="F99" s="188"/>
      <c r="G99" s="223" t="e">
        <f>_xlfn.IFNA(VLOOKUP(B99,#REF!, 2, FALSE), "-")</f>
        <v>#REF!</v>
      </c>
      <c r="H99" s="224"/>
      <c r="I99" s="225"/>
      <c r="J99" s="186" t="s">
        <v>69</v>
      </c>
      <c r="K99" s="187"/>
      <c r="L99" s="188"/>
      <c r="M99" s="226" t="e">
        <f>_xlfn.IFNA(VLOOKUP(B99,#REF!, 3, FALSE), "-")</f>
        <v>#REF!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56" t="s">
        <v>70</v>
      </c>
      <c r="M101" s="18" t="s">
        <v>67</v>
      </c>
      <c r="N101" s="4" t="s">
        <v>68</v>
      </c>
      <c r="O101" s="21" t="s">
        <v>70</v>
      </c>
      <c r="Q101" s="231"/>
      <c r="R101" s="232"/>
    </row>
    <row r="102" spans="1:18" ht="17.25" customHeight="1">
      <c r="A102" s="9" t="s">
        <v>177</v>
      </c>
      <c r="B102" s="31">
        <v>304</v>
      </c>
      <c r="C102" s="22">
        <v>0.27250000000000002</v>
      </c>
      <c r="D102" s="35">
        <v>278</v>
      </c>
      <c r="E102" s="22">
        <f>IF(ISNUMBER(D102), (D102 - $B102) / $B102, "")</f>
        <v>-8.5526315789473686E-2</v>
      </c>
      <c r="F102" s="43">
        <f>IF(ISNUMBER(D102), $B112 * E102, "")</f>
        <v>-8552.6315789473683</v>
      </c>
      <c r="G102" s="35">
        <v>275</v>
      </c>
      <c r="H102" s="22">
        <f>IF(ISNUMBER(G102), (G102 - $B102) / $B102, "")</f>
        <v>-9.5394736842105268E-2</v>
      </c>
      <c r="I102" s="43">
        <f>IF(ISNUMBER(G102), $B112 * H102, "")</f>
        <v>-9539.4736842105267</v>
      </c>
      <c r="J102" s="35">
        <v>278</v>
      </c>
      <c r="K102" s="22">
        <f>IF(ISNUMBER(J102), (J102 - $B102) / $B102, "")</f>
        <v>-8.5526315789473686E-2</v>
      </c>
      <c r="L102" s="43">
        <f>IF(ISNUMBER(J102), $B112 * K102, "")</f>
        <v>-8552.6315789473683</v>
      </c>
      <c r="M102" s="35">
        <v>277</v>
      </c>
      <c r="N102" s="22">
        <f>IF(ISNUMBER(M102), (M102 - $B102) / $B102, "")</f>
        <v>-8.8815789473684209E-2</v>
      </c>
      <c r="O102" s="43">
        <f>IF(ISNUMBER(M102), $B112 * N102, "")</f>
        <v>-8881.5789473684217</v>
      </c>
      <c r="Q102" s="229"/>
      <c r="R102" s="230"/>
    </row>
    <row r="103" spans="1:18" ht="17.25" customHeight="1">
      <c r="A103" s="11" t="s">
        <v>75</v>
      </c>
      <c r="B103" s="32">
        <v>201</v>
      </c>
      <c r="C103" s="5">
        <v>0.20250000000000001</v>
      </c>
      <c r="D103" s="36">
        <v>241</v>
      </c>
      <c r="E103" s="5">
        <f t="shared" ref="E103:E111" si="30">IF(ISNUMBER(D103), (D103 - $B103) / $B103, "")</f>
        <v>0.19900497512437812</v>
      </c>
      <c r="F103" s="44">
        <f>IF(ISNUMBER(D103), $B112 * E103, "")</f>
        <v>19900.497512437811</v>
      </c>
      <c r="G103" s="36">
        <v>243</v>
      </c>
      <c r="H103" s="5">
        <f t="shared" ref="H103:H111" si="31">IF(ISNUMBER(G103), (G103 - $B103) / $B103, "")</f>
        <v>0.20895522388059701</v>
      </c>
      <c r="I103" s="44">
        <f>IF(ISNUMBER(G103), $B112 * H103, "")</f>
        <v>20895.5223880597</v>
      </c>
      <c r="J103" s="36">
        <v>231</v>
      </c>
      <c r="K103" s="5">
        <f t="shared" ref="K103:K111" si="32">IF(ISNUMBER(J103), (J103 - $B103) / $B103, "")</f>
        <v>0.14925373134328357</v>
      </c>
      <c r="L103" s="44">
        <f>IF(ISNUMBER(J103), $B112 * K103, "")</f>
        <v>14925.373134328356</v>
      </c>
      <c r="M103" s="36">
        <v>231</v>
      </c>
      <c r="N103" s="5">
        <f t="shared" ref="N103:N111" si="33">IF(ISNUMBER(M103), (M103 - $B103) / $B103, "")</f>
        <v>0.14925373134328357</v>
      </c>
      <c r="O103" s="44">
        <f>IF(ISNUMBER(M103), $B112 * N103, "")</f>
        <v>14925.373134328356</v>
      </c>
      <c r="Q103" s="229"/>
      <c r="R103" s="230"/>
    </row>
    <row r="104" spans="1:18" ht="17.25" customHeight="1">
      <c r="A104" s="11" t="s">
        <v>178</v>
      </c>
      <c r="B104" s="32">
        <v>305</v>
      </c>
      <c r="C104" s="5">
        <v>0.1825</v>
      </c>
      <c r="D104" s="36">
        <v>287</v>
      </c>
      <c r="E104" s="5">
        <f t="shared" si="30"/>
        <v>-5.9016393442622953E-2</v>
      </c>
      <c r="F104" s="44">
        <f>IF(ISNUMBER(D104), $B112 * E104, "")</f>
        <v>-5901.6393442622948</v>
      </c>
      <c r="G104" s="36">
        <v>288</v>
      </c>
      <c r="H104" s="5">
        <f t="shared" si="31"/>
        <v>-5.5737704918032788E-2</v>
      </c>
      <c r="I104" s="44">
        <f>IF(ISNUMBER(G104), $B112 * H104, "")</f>
        <v>-5573.7704918032787</v>
      </c>
      <c r="J104" s="36">
        <v>295</v>
      </c>
      <c r="K104" s="5">
        <f t="shared" si="32"/>
        <v>-3.2786885245901641E-2</v>
      </c>
      <c r="L104" s="44">
        <f>IF(ISNUMBER(J104), $B112 * K104, "")</f>
        <v>-3278.688524590164</v>
      </c>
      <c r="M104" s="36">
        <v>289</v>
      </c>
      <c r="N104" s="5">
        <f t="shared" si="33"/>
        <v>-5.2459016393442623E-2</v>
      </c>
      <c r="O104" s="44">
        <f>IF(ISNUMBER(M104), $B112 * N104, "")</f>
        <v>-5245.9016393442625</v>
      </c>
      <c r="Q104" s="229"/>
      <c r="R104" s="230"/>
    </row>
    <row r="105" spans="1:18" ht="17.25" customHeight="1">
      <c r="A105" s="11" t="s">
        <v>35</v>
      </c>
      <c r="B105" s="32">
        <v>347</v>
      </c>
      <c r="C105" s="5">
        <v>0.16500000000000001</v>
      </c>
      <c r="D105" s="36">
        <v>387</v>
      </c>
      <c r="E105" s="5">
        <f t="shared" si="30"/>
        <v>0.11527377521613832</v>
      </c>
      <c r="F105" s="44">
        <f>IF(ISNUMBER(D105), $B112 * E105, "")</f>
        <v>11527.377521613833</v>
      </c>
      <c r="G105" s="36">
        <v>366</v>
      </c>
      <c r="H105" s="5">
        <f t="shared" si="31"/>
        <v>5.4755043227665709E-2</v>
      </c>
      <c r="I105" s="44">
        <f>IF(ISNUMBER(G105), $B112 * H105, "")</f>
        <v>5475.504322766571</v>
      </c>
      <c r="J105" s="36">
        <v>376</v>
      </c>
      <c r="K105" s="5">
        <f t="shared" si="32"/>
        <v>8.3573487031700283E-2</v>
      </c>
      <c r="L105" s="44">
        <f>IF(ISNUMBER(J105), $B112 * K105, "")</f>
        <v>8357.3487031700279</v>
      </c>
      <c r="M105" s="36">
        <v>355</v>
      </c>
      <c r="N105" s="5">
        <f t="shared" si="33"/>
        <v>2.3054755043227664E-2</v>
      </c>
      <c r="O105" s="44">
        <f>IF(ISNUMBER(M105), $B112 * N105, "")</f>
        <v>2305.4755043227665</v>
      </c>
      <c r="Q105" s="229"/>
      <c r="R105" s="230"/>
    </row>
    <row r="106" spans="1:18" ht="17.25" customHeight="1">
      <c r="A106" s="8" t="s">
        <v>4</v>
      </c>
      <c r="B106" s="33">
        <v>10.1</v>
      </c>
      <c r="C106" s="24">
        <v>0.15</v>
      </c>
      <c r="D106" s="37">
        <v>16</v>
      </c>
      <c r="E106" s="24">
        <f t="shared" si="30"/>
        <v>0.58415841584158423</v>
      </c>
      <c r="F106" s="44">
        <f>IF(ISNUMBER(D106), $B112 * E106, "")</f>
        <v>58415.841584158421</v>
      </c>
      <c r="G106" s="37">
        <v>16.2</v>
      </c>
      <c r="H106" s="24">
        <f t="shared" si="31"/>
        <v>0.60396039603960394</v>
      </c>
      <c r="I106" s="44">
        <f>IF(ISNUMBER(G106), $B112 * H106, "")</f>
        <v>60396.039603960395</v>
      </c>
      <c r="J106" s="37">
        <v>15.3</v>
      </c>
      <c r="K106" s="24">
        <f t="shared" si="32"/>
        <v>0.51485148514851498</v>
      </c>
      <c r="L106" s="44">
        <f>IF(ISNUMBER(J106), $B112 * K106, "")</f>
        <v>51485.148514851498</v>
      </c>
      <c r="M106" s="37">
        <v>15.1</v>
      </c>
      <c r="N106" s="24">
        <f t="shared" si="33"/>
        <v>0.49504950495049505</v>
      </c>
      <c r="O106" s="44">
        <f>IF(ISNUMBER(M106), $B112 * N106, "")</f>
        <v>49504.950495049503</v>
      </c>
      <c r="Q106" s="229"/>
      <c r="R106" s="230"/>
    </row>
    <row r="107" spans="1:18" ht="17.25" customHeight="1">
      <c r="A107" s="11" t="s">
        <v>72</v>
      </c>
      <c r="B107" s="32">
        <v>147</v>
      </c>
      <c r="C107" s="5">
        <v>0.14000000000000001</v>
      </c>
      <c r="D107" s="36">
        <v>179</v>
      </c>
      <c r="E107" s="5">
        <f t="shared" si="30"/>
        <v>0.21768707482993196</v>
      </c>
      <c r="F107" s="48">
        <f>IF(ISNUMBER(D107), $B112 * E107, "")</f>
        <v>21768.707482993195</v>
      </c>
      <c r="G107" s="36">
        <v>182</v>
      </c>
      <c r="H107" s="5">
        <f t="shared" si="31"/>
        <v>0.23809523809523808</v>
      </c>
      <c r="I107" s="48">
        <f>IF(ISNUMBER(G107), $B112 * H107, "")</f>
        <v>23809.523809523809</v>
      </c>
      <c r="J107" s="36">
        <v>175</v>
      </c>
      <c r="K107" s="5">
        <f t="shared" si="32"/>
        <v>0.19047619047619047</v>
      </c>
      <c r="L107" s="48">
        <f>IF(ISNUMBER(J107), $B112 * K107, "")</f>
        <v>19047.619047619046</v>
      </c>
      <c r="M107" s="36">
        <v>177</v>
      </c>
      <c r="N107" s="5">
        <f t="shared" si="33"/>
        <v>0.20408163265306123</v>
      </c>
      <c r="O107" s="48">
        <f>IF(ISNUMBER(M107), $B112 * N107, "")</f>
        <v>20408.163265306124</v>
      </c>
      <c r="Q107" s="229"/>
      <c r="R107" s="230"/>
    </row>
    <row r="108" spans="1:18" ht="17.25" customHeight="1">
      <c r="A108" s="11" t="s">
        <v>179</v>
      </c>
      <c r="B108" s="32">
        <v>260</v>
      </c>
      <c r="C108" s="5">
        <v>0.14000000000000001</v>
      </c>
      <c r="D108" s="36">
        <v>292</v>
      </c>
      <c r="E108" s="5">
        <f t="shared" si="30"/>
        <v>0.12307692307692308</v>
      </c>
      <c r="F108" s="44">
        <f>IF(ISNUMBER(D108), $B112 * E108, "")</f>
        <v>12307.692307692309</v>
      </c>
      <c r="G108" s="36">
        <v>285</v>
      </c>
      <c r="H108" s="5">
        <f t="shared" si="31"/>
        <v>9.6153846153846159E-2</v>
      </c>
      <c r="I108" s="44">
        <f>IF(ISNUMBER(G108), $B112 * H108, "")</f>
        <v>9615.3846153846152</v>
      </c>
      <c r="J108" s="36">
        <v>275</v>
      </c>
      <c r="K108" s="5">
        <f t="shared" si="32"/>
        <v>5.7692307692307696E-2</v>
      </c>
      <c r="L108" s="44">
        <f>IF(ISNUMBER(J108), $B112 * K108, "")</f>
        <v>5769.2307692307695</v>
      </c>
      <c r="M108" s="36">
        <v>276</v>
      </c>
      <c r="N108" s="5">
        <f t="shared" si="33"/>
        <v>6.1538461538461542E-2</v>
      </c>
      <c r="O108" s="44">
        <f>IF(ISNUMBER(M108), $B112 * N108, "")</f>
        <v>6153.8461538461543</v>
      </c>
      <c r="Q108" s="229"/>
      <c r="R108" s="230"/>
    </row>
    <row r="109" spans="1:18" ht="17.25" customHeight="1">
      <c r="A109" s="11" t="s">
        <v>180</v>
      </c>
      <c r="B109" s="32">
        <v>522</v>
      </c>
      <c r="C109" s="5">
        <v>0.13250000000000001</v>
      </c>
      <c r="D109" s="36">
        <v>507</v>
      </c>
      <c r="E109" s="5">
        <f t="shared" si="30"/>
        <v>-2.8735632183908046E-2</v>
      </c>
      <c r="F109" s="44">
        <f>IF(ISNUMBER(D109), $B112 * E109, "")</f>
        <v>-2873.5632183908046</v>
      </c>
      <c r="G109" s="36">
        <v>501</v>
      </c>
      <c r="H109" s="5">
        <f t="shared" si="31"/>
        <v>-4.0229885057471264E-2</v>
      </c>
      <c r="I109" s="44">
        <f>IF(ISNUMBER(G109), $B112 * H109, "")</f>
        <v>-4022.9885057471265</v>
      </c>
      <c r="J109" s="36">
        <v>505</v>
      </c>
      <c r="K109" s="5">
        <f t="shared" si="32"/>
        <v>-3.2567049808429116E-2</v>
      </c>
      <c r="L109" s="44">
        <f>IF(ISNUMBER(J109), $B112 * K109, "")</f>
        <v>-3256.7049808429115</v>
      </c>
      <c r="M109" s="36">
        <v>508</v>
      </c>
      <c r="N109" s="5">
        <f t="shared" si="33"/>
        <v>-2.681992337164751E-2</v>
      </c>
      <c r="O109" s="44">
        <f>IF(ISNUMBER(M109), $B112 * N109, "")</f>
        <v>-2681.992337164751</v>
      </c>
      <c r="Q109" s="229"/>
      <c r="R109" s="230"/>
    </row>
    <row r="110" spans="1:18" ht="17.25" customHeight="1">
      <c r="A110" s="11" t="s">
        <v>181</v>
      </c>
      <c r="B110" s="32">
        <v>4820</v>
      </c>
      <c r="C110" s="5">
        <v>0.125</v>
      </c>
      <c r="D110" s="36">
        <v>5705</v>
      </c>
      <c r="E110" s="5">
        <f t="shared" si="30"/>
        <v>0.18360995850622408</v>
      </c>
      <c r="F110" s="44">
        <f>IF(ISNUMBER(D110), $B112 * E110, "")</f>
        <v>18360.995850622407</v>
      </c>
      <c r="G110" s="36">
        <v>6000</v>
      </c>
      <c r="H110" s="5">
        <f t="shared" si="31"/>
        <v>0.24481327800829875</v>
      </c>
      <c r="I110" s="44">
        <f>IF(ISNUMBER(G110), $B112 * H110, "")</f>
        <v>24481.327800829873</v>
      </c>
      <c r="J110" s="36">
        <v>6430</v>
      </c>
      <c r="K110" s="5">
        <f t="shared" si="32"/>
        <v>0.33402489626556015</v>
      </c>
      <c r="L110" s="44">
        <f>IF(ISNUMBER(J110), $B112 * K110, "")</f>
        <v>33402.489626556016</v>
      </c>
      <c r="M110" s="36">
        <v>6630</v>
      </c>
      <c r="N110" s="5">
        <f t="shared" si="33"/>
        <v>0.37551867219917012</v>
      </c>
      <c r="O110" s="44">
        <f>IF(ISNUMBER(M110), $B112 * N110, "")</f>
        <v>37551.867219917011</v>
      </c>
      <c r="Q110" s="231"/>
      <c r="R110" s="232"/>
    </row>
    <row r="111" spans="1:18" ht="17.25" customHeight="1" thickBot="1">
      <c r="A111" s="13" t="s">
        <v>182</v>
      </c>
      <c r="B111" s="34">
        <v>8100</v>
      </c>
      <c r="C111" s="16">
        <v>0.12</v>
      </c>
      <c r="D111" s="38">
        <v>8220</v>
      </c>
      <c r="E111" s="16">
        <f t="shared" si="30"/>
        <v>1.4814814814814815E-2</v>
      </c>
      <c r="F111" s="45">
        <f>IF(ISNUMBER(D111), $B112 * E111, "")</f>
        <v>1481.4814814814815</v>
      </c>
      <c r="G111" s="38">
        <v>8320</v>
      </c>
      <c r="H111" s="16">
        <f t="shared" si="31"/>
        <v>2.7160493827160494E-2</v>
      </c>
      <c r="I111" s="45">
        <f>IF(ISNUMBER(G111), $B112 * H111, "")</f>
        <v>2716.0493827160494</v>
      </c>
      <c r="J111" s="38">
        <v>8470</v>
      </c>
      <c r="K111" s="16">
        <f t="shared" si="32"/>
        <v>4.5679012345679011E-2</v>
      </c>
      <c r="L111" s="45">
        <f>IF(ISNUMBER(J111), $B112 * K111, "")</f>
        <v>4567.9012345679012</v>
      </c>
      <c r="M111" s="38">
        <v>8590</v>
      </c>
      <c r="N111" s="16">
        <f t="shared" si="33"/>
        <v>6.0493827160493827E-2</v>
      </c>
      <c r="O111" s="45">
        <f>IF(ISNUMBER(M111), $B112 * N111, "")</f>
        <v>6049.3827160493829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0.12643475959939901</v>
      </c>
      <c r="F112" s="47">
        <f>SUM(F102:F111)</f>
        <v>126434.759599399</v>
      </c>
      <c r="G112" s="57" t="s">
        <v>82</v>
      </c>
      <c r="H112" s="46">
        <f>IF(COUNT(H102:H111), SUM(H102:H111) / COUNT(H102:H111), 0)</f>
        <v>0.12825311924148011</v>
      </c>
      <c r="I112" s="47">
        <f>SUM(I102:I111)</f>
        <v>128253.11924148006</v>
      </c>
      <c r="J112" s="57" t="s">
        <v>82</v>
      </c>
      <c r="K112" s="46">
        <f>IF(COUNT(K102:K111), SUM(K102:K111) / COUNT(K102:K111), 0)</f>
        <v>0.12246708594594316</v>
      </c>
      <c r="L112" s="47">
        <f>SUM(L102:L111)</f>
        <v>122467.08594594315</v>
      </c>
      <c r="M112" s="57" t="s">
        <v>82</v>
      </c>
      <c r="N112" s="46">
        <f>IF(COUNT(N102:N111), SUM(N102:N111) / COUNT(N102:N111), 0)</f>
        <v>0.12008958556494187</v>
      </c>
      <c r="O112" s="47">
        <f>SUM(O102:O111)</f>
        <v>120089.58556494187</v>
      </c>
      <c r="Q112" s="233"/>
      <c r="R112" s="234"/>
    </row>
  </sheetData>
  <mergeCells count="149">
    <mergeCell ref="Q102:Q105"/>
    <mergeCell ref="R102:R105"/>
    <mergeCell ref="Q106:Q109"/>
    <mergeCell ref="R106:R109"/>
    <mergeCell ref="Q110:R112"/>
    <mergeCell ref="B112:C112"/>
    <mergeCell ref="A98:O98"/>
    <mergeCell ref="Q98:R101"/>
    <mergeCell ref="A100:A101"/>
    <mergeCell ref="B100:C100"/>
    <mergeCell ref="D100:F100"/>
    <mergeCell ref="G100:I100"/>
    <mergeCell ref="J100:L100"/>
    <mergeCell ref="M100:O100"/>
    <mergeCell ref="B99:C99"/>
    <mergeCell ref="D99:F99"/>
    <mergeCell ref="G99:I99"/>
    <mergeCell ref="J99:L99"/>
    <mergeCell ref="M99:O99"/>
    <mergeCell ref="Q85:Q88"/>
    <mergeCell ref="R85:R88"/>
    <mergeCell ref="Q89:Q92"/>
    <mergeCell ref="R89:R92"/>
    <mergeCell ref="Q93:R95"/>
    <mergeCell ref="B95:C95"/>
    <mergeCell ref="A81:O81"/>
    <mergeCell ref="Q81:R84"/>
    <mergeCell ref="A83:A84"/>
    <mergeCell ref="B83:C83"/>
    <mergeCell ref="D83:F83"/>
    <mergeCell ref="G83:I83"/>
    <mergeCell ref="J83:L83"/>
    <mergeCell ref="M83:O83"/>
    <mergeCell ref="B82:C82"/>
    <mergeCell ref="D82:F82"/>
    <mergeCell ref="G82:I82"/>
    <mergeCell ref="J82:L82"/>
    <mergeCell ref="M82:O82"/>
    <mergeCell ref="Q68:Q71"/>
    <mergeCell ref="R68:R71"/>
    <mergeCell ref="Q72:Q75"/>
    <mergeCell ref="R72:R75"/>
    <mergeCell ref="Q76:R78"/>
    <mergeCell ref="B78:C78"/>
    <mergeCell ref="A64:O64"/>
    <mergeCell ref="Q64:R67"/>
    <mergeCell ref="A66:A67"/>
    <mergeCell ref="B66:C66"/>
    <mergeCell ref="D66:F66"/>
    <mergeCell ref="G66:I66"/>
    <mergeCell ref="J66:L66"/>
    <mergeCell ref="M66:O66"/>
    <mergeCell ref="B65:C65"/>
    <mergeCell ref="D65:F65"/>
    <mergeCell ref="G65:I65"/>
    <mergeCell ref="J65:L65"/>
    <mergeCell ref="M65:O65"/>
    <mergeCell ref="Q51:Q54"/>
    <mergeCell ref="R51:R54"/>
    <mergeCell ref="Q55:Q58"/>
    <mergeCell ref="R55:R58"/>
    <mergeCell ref="Q59:R61"/>
    <mergeCell ref="B61:C61"/>
    <mergeCell ref="A47:O47"/>
    <mergeCell ref="Q47:R50"/>
    <mergeCell ref="A49:A50"/>
    <mergeCell ref="B49:C49"/>
    <mergeCell ref="D49:F49"/>
    <mergeCell ref="G49:I49"/>
    <mergeCell ref="J49:L49"/>
    <mergeCell ref="M49:O49"/>
    <mergeCell ref="B48:C48"/>
    <mergeCell ref="D48:F48"/>
    <mergeCell ref="G48:I48"/>
    <mergeCell ref="J48:L48"/>
    <mergeCell ref="M48:O48"/>
    <mergeCell ref="Q34:Q37"/>
    <mergeCell ref="R34:R37"/>
    <mergeCell ref="Q38:Q41"/>
    <mergeCell ref="R38:R41"/>
    <mergeCell ref="Q42:R44"/>
    <mergeCell ref="B44:C44"/>
    <mergeCell ref="B27:C27"/>
    <mergeCell ref="A30:O30"/>
    <mergeCell ref="Q30:R33"/>
    <mergeCell ref="A32:A33"/>
    <mergeCell ref="B32:C32"/>
    <mergeCell ref="D32:F32"/>
    <mergeCell ref="G32:I32"/>
    <mergeCell ref="J32:L32"/>
    <mergeCell ref="M32:O32"/>
    <mergeCell ref="B31:C31"/>
    <mergeCell ref="D31:F31"/>
    <mergeCell ref="G31:I31"/>
    <mergeCell ref="J31:L31"/>
    <mergeCell ref="M31:O31"/>
    <mergeCell ref="M15:O15"/>
    <mergeCell ref="Q17:Q20"/>
    <mergeCell ref="R17:R20"/>
    <mergeCell ref="Q21:Q24"/>
    <mergeCell ref="R21:R24"/>
    <mergeCell ref="Q25:R27"/>
    <mergeCell ref="B11:F11"/>
    <mergeCell ref="G11:I11"/>
    <mergeCell ref="K11:O11"/>
    <mergeCell ref="A13:O13"/>
    <mergeCell ref="Q13:R16"/>
    <mergeCell ref="A15:A16"/>
    <mergeCell ref="B15:C15"/>
    <mergeCell ref="D15:F15"/>
    <mergeCell ref="G15:I15"/>
    <mergeCell ref="J15:L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575" priority="89">
      <formula>$E$27&gt;0</formula>
    </cfRule>
    <cfRule type="expression" dxfId="1574" priority="90">
      <formula>$E$27&lt;0</formula>
    </cfRule>
  </conditionalFormatting>
  <conditionalFormatting sqref="G15:I16 H27:I27">
    <cfRule type="expression" dxfId="1573" priority="87">
      <formula>$H$27&gt;0</formula>
    </cfRule>
    <cfRule type="expression" dxfId="1572" priority="88">
      <formula>$H$27&lt;0</formula>
    </cfRule>
  </conditionalFormatting>
  <conditionalFormatting sqref="J15:L16 K27:L27">
    <cfRule type="expression" dxfId="1571" priority="85">
      <formula>$K$27&gt;0</formula>
    </cfRule>
    <cfRule type="expression" dxfId="1570" priority="86">
      <formula>$K$27&lt;0</formula>
    </cfRule>
  </conditionalFormatting>
  <conditionalFormatting sqref="M15:O16 N27:O27">
    <cfRule type="expression" dxfId="1569" priority="83">
      <formula>$N$27&gt;0</formula>
    </cfRule>
    <cfRule type="expression" dxfId="1568" priority="84">
      <formula>$N$27&lt;0</formula>
    </cfRule>
  </conditionalFormatting>
  <conditionalFormatting sqref="A17:O26 A34:O43">
    <cfRule type="expression" dxfId="1567" priority="91">
      <formula>AND($N17 &gt; 0, ISNUMBER($N17))</formula>
    </cfRule>
    <cfRule type="expression" dxfId="1566" priority="92">
      <formula>AND($N17 &lt; 0, ISNUMBER($N17))</formula>
    </cfRule>
    <cfRule type="expression" dxfId="1565" priority="93">
      <formula>AND($K17 &gt; 0, ISNUMBER($K17))</formula>
    </cfRule>
    <cfRule type="expression" dxfId="1564" priority="94">
      <formula>AND($K17 &lt; 0, ISNUMBER($K17))</formula>
    </cfRule>
    <cfRule type="expression" dxfId="1563" priority="95">
      <formula>AND($H17 &gt; 0, ISNUMBER($H17))</formula>
    </cfRule>
    <cfRule type="expression" dxfId="1562" priority="96">
      <formula>AND($H17 &lt; 0, ISNUMBER($H17))</formula>
    </cfRule>
    <cfRule type="expression" dxfId="1561" priority="97">
      <formula>AND($E17 &gt; 0, ISNUMBER($E17))</formula>
    </cfRule>
    <cfRule type="expression" dxfId="1560" priority="98">
      <formula>AND($E17 &lt; 0, ISNUMBER($E17))</formula>
    </cfRule>
  </conditionalFormatting>
  <conditionalFormatting sqref="D32:F33 E44:F44">
    <cfRule type="expression" dxfId="1559" priority="81">
      <formula>$E$44&gt;0</formula>
    </cfRule>
    <cfRule type="expression" dxfId="1558" priority="82">
      <formula>$E$44&lt;0</formula>
    </cfRule>
  </conditionalFormatting>
  <conditionalFormatting sqref="G32:I33 H44:I44">
    <cfRule type="expression" dxfId="1557" priority="79">
      <formula>$H$44&gt;0</formula>
    </cfRule>
    <cfRule type="expression" dxfId="1556" priority="80">
      <formula>$H$44&lt;0</formula>
    </cfRule>
  </conditionalFormatting>
  <conditionalFormatting sqref="J32:L33 K44:L44">
    <cfRule type="expression" dxfId="1555" priority="77">
      <formula>$K$44&gt;0</formula>
    </cfRule>
    <cfRule type="expression" dxfId="1554" priority="78">
      <formula>$K$44&lt;0</formula>
    </cfRule>
  </conditionalFormatting>
  <conditionalFormatting sqref="M32:O33 N44:O44">
    <cfRule type="expression" dxfId="1553" priority="75">
      <formula>$N$44&gt;0</formula>
    </cfRule>
    <cfRule type="expression" dxfId="1552" priority="76">
      <formula>$N$44&lt;0</formula>
    </cfRule>
  </conditionalFormatting>
  <conditionalFormatting sqref="A51:O60">
    <cfRule type="expression" dxfId="1551" priority="67">
      <formula>AND($N51 &gt; 0, ISNUMBER($N51))</formula>
    </cfRule>
    <cfRule type="expression" dxfId="1550" priority="68">
      <formula>AND($N51 &lt; 0, ISNUMBER($N51))</formula>
    </cfRule>
    <cfRule type="expression" dxfId="1549" priority="69">
      <formula>AND($K51 &gt; 0, ISNUMBER($K51))</formula>
    </cfRule>
    <cfRule type="expression" dxfId="1548" priority="70">
      <formula>AND($K51 &lt; 0, ISNUMBER($K51))</formula>
    </cfRule>
    <cfRule type="expression" dxfId="1547" priority="71">
      <formula>AND($H51 &gt; 0, ISNUMBER($H51))</formula>
    </cfRule>
    <cfRule type="expression" dxfId="1546" priority="72">
      <formula>AND($H51 &lt; 0, ISNUMBER($H51))</formula>
    </cfRule>
    <cfRule type="expression" dxfId="1545" priority="73">
      <formula>AND($E51 &gt; 0, ISNUMBER($E51))</formula>
    </cfRule>
    <cfRule type="expression" dxfId="1544" priority="74">
      <formula>AND($E51 &lt; 0, ISNUMBER($E51))</formula>
    </cfRule>
  </conditionalFormatting>
  <conditionalFormatting sqref="D49:F50 E61:F61">
    <cfRule type="expression" dxfId="1543" priority="65">
      <formula>$E$61&gt;0</formula>
    </cfRule>
    <cfRule type="expression" dxfId="1542" priority="66">
      <formula>$E$61&lt;0</formula>
    </cfRule>
  </conditionalFormatting>
  <conditionalFormatting sqref="G49:I50 H61:I61">
    <cfRule type="expression" dxfId="1541" priority="63">
      <formula>$H$61&gt;0</formula>
    </cfRule>
    <cfRule type="expression" dxfId="1540" priority="64">
      <formula>$H$61&lt;0</formula>
    </cfRule>
  </conditionalFormatting>
  <conditionalFormatting sqref="J49:L50 K61:L61">
    <cfRule type="expression" dxfId="1539" priority="61">
      <formula>$K$61&gt;0</formula>
    </cfRule>
    <cfRule type="expression" dxfId="1538" priority="62">
      <formula>$K$61&lt;0</formula>
    </cfRule>
  </conditionalFormatting>
  <conditionalFormatting sqref="M49:O50 N61:O61">
    <cfRule type="expression" dxfId="1537" priority="59">
      <formula>$N$61&gt;0</formula>
    </cfRule>
    <cfRule type="expression" dxfId="1536" priority="60">
      <formula>$N$61&lt;0</formula>
    </cfRule>
  </conditionalFormatting>
  <conditionalFormatting sqref="A68:O77">
    <cfRule type="expression" dxfId="1535" priority="51">
      <formula>AND($N68 &gt; 0, ISNUMBER($N68))</formula>
    </cfRule>
    <cfRule type="expression" dxfId="1534" priority="52">
      <formula>AND($N68 &lt; 0, ISNUMBER($N68))</formula>
    </cfRule>
    <cfRule type="expression" dxfId="1533" priority="53">
      <formula>AND($K68 &gt; 0, ISNUMBER($K68))</formula>
    </cfRule>
    <cfRule type="expression" dxfId="1532" priority="54">
      <formula>AND($K68 &lt; 0, ISNUMBER($K68))</formula>
    </cfRule>
    <cfRule type="expression" dxfId="1531" priority="55">
      <formula>AND($H68 &gt; 0, ISNUMBER($H68))</formula>
    </cfRule>
    <cfRule type="expression" dxfId="1530" priority="56">
      <formula>AND($H68 &lt; 0, ISNUMBER($H68))</formula>
    </cfRule>
    <cfRule type="expression" dxfId="1529" priority="57">
      <formula>AND($E68 &gt; 0, ISNUMBER($E68))</formula>
    </cfRule>
    <cfRule type="expression" dxfId="1528" priority="58">
      <formula>AND($E68 &lt; 0, ISNUMBER($E68))</formula>
    </cfRule>
  </conditionalFormatting>
  <conditionalFormatting sqref="D66:F67 E78:F78">
    <cfRule type="expression" dxfId="1527" priority="49">
      <formula>$E$78&gt;0</formula>
    </cfRule>
    <cfRule type="expression" dxfId="1526" priority="50">
      <formula>$E$78&lt;0</formula>
    </cfRule>
  </conditionalFormatting>
  <conditionalFormatting sqref="G66:I67 H78:I78">
    <cfRule type="expression" dxfId="1525" priority="47">
      <formula>$H$78&gt;0</formula>
    </cfRule>
    <cfRule type="expression" dxfId="1524" priority="48">
      <formula>$H$78&lt;0</formula>
    </cfRule>
  </conditionalFormatting>
  <conditionalFormatting sqref="J66:L67 K78:L78">
    <cfRule type="expression" dxfId="1523" priority="45">
      <formula>$K$78&gt;0</formula>
    </cfRule>
    <cfRule type="expression" dxfId="1522" priority="46">
      <formula>$K$78&lt;0</formula>
    </cfRule>
  </conditionalFormatting>
  <conditionalFormatting sqref="M66:O67 N78:O78">
    <cfRule type="expression" dxfId="1521" priority="43">
      <formula>$N$78&gt;0</formula>
    </cfRule>
    <cfRule type="expression" dxfId="1520" priority="44">
      <formula>$N$78&lt;0</formula>
    </cfRule>
  </conditionalFormatting>
  <conditionalFormatting sqref="A85:O94">
    <cfRule type="expression" dxfId="1519" priority="35">
      <formula>AND($N85 &gt; 0, ISNUMBER($N85))</formula>
    </cfRule>
    <cfRule type="expression" dxfId="1518" priority="36">
      <formula>AND($N85 &lt; 0, ISNUMBER($N85))</formula>
    </cfRule>
    <cfRule type="expression" dxfId="1517" priority="37">
      <formula>AND($K85 &gt; 0, ISNUMBER($K85))</formula>
    </cfRule>
    <cfRule type="expression" dxfId="1516" priority="38">
      <formula>AND($K85 &lt; 0, ISNUMBER($K85))</formula>
    </cfRule>
    <cfRule type="expression" dxfId="1515" priority="39">
      <formula>AND($H85 &gt; 0, ISNUMBER($H85))</formula>
    </cfRule>
    <cfRule type="expression" dxfId="1514" priority="40">
      <formula>AND($H85 &lt; 0, ISNUMBER($H85))</formula>
    </cfRule>
    <cfRule type="expression" dxfId="1513" priority="41">
      <formula>AND($E85 &gt; 0, ISNUMBER($E85))</formula>
    </cfRule>
    <cfRule type="expression" dxfId="1512" priority="42">
      <formula>AND($E85 &lt; 0, ISNUMBER($E85))</formula>
    </cfRule>
  </conditionalFormatting>
  <conditionalFormatting sqref="D83:F84 E95:F95">
    <cfRule type="expression" dxfId="1511" priority="33">
      <formula>$E$95&gt;0</formula>
    </cfRule>
    <cfRule type="expression" dxfId="1510" priority="34">
      <formula>$E$95&lt;0</formula>
    </cfRule>
  </conditionalFormatting>
  <conditionalFormatting sqref="G83:I84 H95:I95">
    <cfRule type="expression" dxfId="1509" priority="31">
      <formula>$H$95&gt;0</formula>
    </cfRule>
    <cfRule type="expression" dxfId="1508" priority="32">
      <formula>$H$95&lt;0</formula>
    </cfRule>
  </conditionalFormatting>
  <conditionalFormatting sqref="J83:L84 K95:L95">
    <cfRule type="expression" dxfId="1507" priority="29">
      <formula>$K$95&gt;0</formula>
    </cfRule>
    <cfRule type="expression" dxfId="1506" priority="30">
      <formula>$K$95&lt;0</formula>
    </cfRule>
  </conditionalFormatting>
  <conditionalFormatting sqref="M83:O84 N95:O95">
    <cfRule type="expression" dxfId="1505" priority="27">
      <formula>$N$95&gt;0</formula>
    </cfRule>
    <cfRule type="expression" dxfId="1504" priority="28">
      <formula>$N$95&lt;0</formula>
    </cfRule>
  </conditionalFormatting>
  <conditionalFormatting sqref="A102:O111">
    <cfRule type="expression" dxfId="1503" priority="19">
      <formula>AND($N102 &gt; 0, ISNUMBER($N102))</formula>
    </cfRule>
    <cfRule type="expression" dxfId="1502" priority="20">
      <formula>AND($N102 &lt; 0, ISNUMBER($N102))</formula>
    </cfRule>
    <cfRule type="expression" dxfId="1501" priority="21">
      <formula>AND($K102 &gt; 0, ISNUMBER($K102))</formula>
    </cfRule>
    <cfRule type="expression" dxfId="1500" priority="22">
      <formula>AND($K102 &lt; 0, ISNUMBER($K102))</formula>
    </cfRule>
    <cfRule type="expression" dxfId="1499" priority="23">
      <formula>AND($H102 &gt; 0, ISNUMBER($H102))</formula>
    </cfRule>
    <cfRule type="expression" dxfId="1498" priority="24">
      <formula>AND($H102 &lt; 0, ISNUMBER($H102))</formula>
    </cfRule>
    <cfRule type="expression" dxfId="1497" priority="25">
      <formula>AND($E102 &gt; 0, ISNUMBER($E102))</formula>
    </cfRule>
    <cfRule type="expression" dxfId="1496" priority="26">
      <formula>AND($E102 &lt; 0, ISNUMBER($E102))</formula>
    </cfRule>
  </conditionalFormatting>
  <conditionalFormatting sqref="D100:F101 E112:F112">
    <cfRule type="expression" dxfId="1495" priority="17">
      <formula>$E$112&gt;0</formula>
    </cfRule>
    <cfRule type="expression" dxfId="1494" priority="18">
      <formula>$E$112&lt;0</formula>
    </cfRule>
  </conditionalFormatting>
  <conditionalFormatting sqref="G100:I101 H112:I112">
    <cfRule type="expression" dxfId="1493" priority="15">
      <formula>$H$112&gt;0</formula>
    </cfRule>
    <cfRule type="expression" dxfId="1492" priority="16">
      <formula>$H$112&lt;0</formula>
    </cfRule>
  </conditionalFormatting>
  <conditionalFormatting sqref="J100:L101 K112:L112">
    <cfRule type="expression" dxfId="1491" priority="13">
      <formula>$K$112&gt;0</formula>
    </cfRule>
    <cfRule type="expression" dxfId="1490" priority="14">
      <formula>$K$112&lt;0</formula>
    </cfRule>
  </conditionalFormatting>
  <conditionalFormatting sqref="M100:O101 N112:O112">
    <cfRule type="expression" dxfId="1489" priority="11">
      <formula>$N$112&gt;0</formula>
    </cfRule>
    <cfRule type="expression" dxfId="1488" priority="12">
      <formula>$N$112&lt;0</formula>
    </cfRule>
  </conditionalFormatting>
  <conditionalFormatting sqref="G2:I3">
    <cfRule type="expression" dxfId="148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48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48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48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48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48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48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48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47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47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7DAC-72B3-4CAE-A485-901C610BF926}">
  <sheetPr codeName="Sheet5"/>
  <dimension ref="A1:R112"/>
  <sheetViews>
    <sheetView topLeftCell="A85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5.375" bestFit="1" customWidth="1"/>
    <col min="8" max="8" width="8.875" customWidth="1"/>
    <col min="9" max="9" width="14" bestFit="1" customWidth="1"/>
    <col min="10" max="10" width="15.37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44292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-17,766 KRW (-17.77%)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73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-36,393 KRW (-18.20%)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-32,762 KRW (-10.92%)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36,295 KRW (9.07%)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51,390 KRW (5.14%)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73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68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69" t="s">
        <v>67</v>
      </c>
      <c r="H16" s="70" t="s">
        <v>68</v>
      </c>
      <c r="I16" s="71" t="s">
        <v>70</v>
      </c>
      <c r="J16" s="4" t="s">
        <v>67</v>
      </c>
      <c r="K16" s="4" t="s">
        <v>68</v>
      </c>
      <c r="L16" s="72" t="s">
        <v>70</v>
      </c>
      <c r="M16" s="18" t="s">
        <v>67</v>
      </c>
      <c r="N16" s="4" t="s">
        <v>68</v>
      </c>
      <c r="O16" s="74" t="s">
        <v>70</v>
      </c>
      <c r="Q16" s="206"/>
      <c r="R16" s="207"/>
    </row>
    <row r="17" spans="1:18" ht="17.25" customHeight="1">
      <c r="A17" s="39" t="s">
        <v>4</v>
      </c>
      <c r="B17" s="35">
        <f>IF(NOT(_xlfn.IFNA(VLOOKUP($A17, $A$30:$O$112, 2, FALSE), "")=0), _xlfn.IFNA(VLOOKUP($A17, $A$30:$O$112, 2, FALSE), ""), "")</f>
        <v>15.1</v>
      </c>
      <c r="C17" s="22">
        <f>IF(NOT(_xlfn.IFNA(VLOOKUP($A17, $A$30:$O$112, 3, FALSE), "")=0), _xlfn.IFNA(VLOOKUP($A17, $A$30:$O$112, 3, FALSE), ""), "")</f>
        <v>0.17050000000000001</v>
      </c>
      <c r="D17" s="35">
        <f>IF(NOT(_xlfn.IFNA(VLOOKUP($A17, $A$30:$O$112, 4, FALSE), "")=0), _xlfn.IFNA(VLOOKUP($A17, $A$30:$O$112, 4, FALSE), ""), "")</f>
        <v>14.5</v>
      </c>
      <c r="E17" s="22">
        <f>IF(NOT(_xlfn.IFNA(VLOOKUP($A17, $A$30:$O$112, 5, FALSE), "")=0), _xlfn.IFNA(VLOOKUP($A17, $A$30:$O$112, 5, FALSE), ""), "")</f>
        <v>-3.9735099337748318E-2</v>
      </c>
      <c r="F17" s="58">
        <f>IF(NOT(_xlfn.IFNA(VLOOKUP($A17, $A$30:$O$112, 6, FALSE), "")=0), _xlfn.IFNA(VLOOKUP($A17, $A$30:$O$112, 6, FALSE), ""), "")</f>
        <v>-3973.509933774832</v>
      </c>
      <c r="G17" s="36">
        <f>IF(NOT(_xlfn.IFNA(VLOOKUP($A17, $A$30:$O$112, 7, FALSE), "")=0), _xlfn.IFNA(VLOOKUP($A17, $A$30:$O$112, 7, FALSE), ""), "")</f>
        <v>13.2</v>
      </c>
      <c r="H17" s="5">
        <f>IF(NOT(_xlfn.IFNA(VLOOKUP($A17, $A$30:$O$112, 8, FALSE), "")=0), _xlfn.IFNA(VLOOKUP($A17, $A$30:$O$112, 8, FALSE), ""), "")</f>
        <v>-0.12582781456953646</v>
      </c>
      <c r="I17" s="59">
        <f>IF(NOT(_xlfn.IFNA(VLOOKUP($A17, $A$30:$O$112, 9, FALSE), "")=0), _xlfn.IFNA(VLOOKUP($A17, $A$30:$O$112, 9, FALSE), ""), "")</f>
        <v>-12582.781456953646</v>
      </c>
      <c r="J17" s="35">
        <f>IF(NOT(_xlfn.IFNA(VLOOKUP($A17, $A$30:$O$112, 10, FALSE), "")=0), _xlfn.IFNA(VLOOKUP($A17, $A$30:$O$112, 10, FALSE), ""), "")</f>
        <v>12.9</v>
      </c>
      <c r="K17" s="22">
        <f>IF(NOT(_xlfn.IFNA(VLOOKUP($A17, $A$30:$O$112, 11, FALSE), "")=0), _xlfn.IFNA(VLOOKUP($A17, $A$30:$O$112, 11, FALSE), ""), "")</f>
        <v>-0.14569536423841056</v>
      </c>
      <c r="L17" s="58">
        <f>IF(NOT(_xlfn.IFNA(VLOOKUP($A17, $A$30:$O$112, 12, FALSE), "")=0), _xlfn.IFNA(VLOOKUP($A17, $A$30:$O$112, 12, FALSE), ""), "")</f>
        <v>-14569.536423841057</v>
      </c>
      <c r="M17" s="35">
        <f>IF(NOT(_xlfn.IFNA(VLOOKUP($A17, $A$30:$O$112, 13, FALSE), "")=0), _xlfn.IFNA(VLOOKUP($A17, $A$30:$O$112, 13, FALSE), ""), "")</f>
        <v>12.3</v>
      </c>
      <c r="N17" s="22">
        <f>IF(NOT(_xlfn.IFNA(VLOOKUP($A17, $A$30:$O$112, 14, FALSE), "")=0), _xlfn.IFNA(VLOOKUP($A17, $A$30:$O$112, 14, FALSE), ""), "")</f>
        <v>-0.18543046357615886</v>
      </c>
      <c r="O17" s="43">
        <f>IF(NOT(_xlfn.IFNA(VLOOKUP($A17, $A$30:$O$112, 15, FALSE), "")=0), _xlfn.IFNA(VLOOKUP($A17, $A$30:$O$112, 15, FALSE), ""), "")</f>
        <v>-18543.046357615887</v>
      </c>
      <c r="Q17" s="204"/>
      <c r="R17" s="205"/>
    </row>
    <row r="18" spans="1:18" ht="17.25" customHeight="1">
      <c r="A18" s="40" t="s">
        <v>52</v>
      </c>
      <c r="B18" s="36">
        <f t="shared" ref="B18:B26" si="0">IF(NOT(_xlfn.IFNA(VLOOKUP($A18, $A$30:$O$112, 2, FALSE), "")=0), _xlfn.IFNA(VLOOKUP($A18, $A$30:$O$112, 2, FALSE), ""), "")</f>
        <v>39.4</v>
      </c>
      <c r="C18" s="5">
        <f t="shared" ref="C18:C26" si="1">IF(NOT(_xlfn.IFNA(VLOOKUP($A18, $A$30:$O$112, 3, FALSE), "")=0), _xlfn.IFNA(VLOOKUP($A18, $A$30:$O$112, 3, FALSE), ""), "")</f>
        <v>8.2400000000000001E-2</v>
      </c>
      <c r="D18" s="36">
        <f t="shared" ref="D18:D26" si="2">IF(NOT(_xlfn.IFNA(VLOOKUP($A18, $A$30:$O$112, 4, FALSE), "")=0), _xlfn.IFNA(VLOOKUP($A18, $A$30:$O$112, 4, FALSE), ""), "")</f>
        <v>35.6</v>
      </c>
      <c r="E18" s="5">
        <f t="shared" ref="E18:E26" si="3">IF(NOT(_xlfn.IFNA(VLOOKUP($A18, $A$30:$O$112, 5, FALSE), "")=0), _xlfn.IFNA(VLOOKUP($A18, $A$30:$O$112, 5, FALSE), ""), "")</f>
        <v>-9.6446700507614141E-2</v>
      </c>
      <c r="F18" s="59">
        <f t="shared" ref="F18:F26" si="4">IF(NOT(_xlfn.IFNA(VLOOKUP($A18, $A$30:$O$112, 6, FALSE), "")=0), _xlfn.IFNA(VLOOKUP($A18, $A$30:$O$112, 6, FALSE), ""), "")</f>
        <v>-9644.670050761415</v>
      </c>
      <c r="G18" s="36">
        <f t="shared" ref="G18:G26" si="5">IF(NOT(_xlfn.IFNA(VLOOKUP($A18, $A$30:$O$112, 7, FALSE), "")=0), _xlfn.IFNA(VLOOKUP($A18, $A$30:$O$112, 7, FALSE), ""), "")</f>
        <v>34.200000000000003</v>
      </c>
      <c r="H18" s="5">
        <f t="shared" ref="H18:H26" si="6">IF(NOT(_xlfn.IFNA(VLOOKUP($A18, $A$30:$O$112, 8, FALSE), "")=0), _xlfn.IFNA(VLOOKUP($A18, $A$30:$O$112, 8, FALSE), ""), "")</f>
        <v>-0.13197969543147198</v>
      </c>
      <c r="I18" s="59">
        <f t="shared" ref="I18:I26" si="7">IF(NOT(_xlfn.IFNA(VLOOKUP($A18, $A$30:$O$112, 9, FALSE), "")=0), _xlfn.IFNA(VLOOKUP($A18, $A$30:$O$112, 9, FALSE), ""), "")</f>
        <v>-13197.969543147197</v>
      </c>
      <c r="J18" s="36">
        <f t="shared" ref="J18:J26" si="8">IF(NOT(_xlfn.IFNA(VLOOKUP($A18, $A$30:$O$112, 10, FALSE), "")=0), _xlfn.IFNA(VLOOKUP($A18, $A$30:$O$112, 10, FALSE), ""), "")</f>
        <v>33.6</v>
      </c>
      <c r="K18" s="5">
        <f t="shared" ref="K18:K26" si="9">IF(NOT(_xlfn.IFNA(VLOOKUP($A18, $A$30:$O$112, 11, FALSE), "")=0), _xlfn.IFNA(VLOOKUP($A18, $A$30:$O$112, 11, FALSE), ""), "")</f>
        <v>-0.14720812182741111</v>
      </c>
      <c r="L18" s="59">
        <f t="shared" ref="L18:L26" si="10">IF(NOT(_xlfn.IFNA(VLOOKUP($A18, $A$30:$O$112, 12, FALSE), "")=0), _xlfn.IFNA(VLOOKUP($A18, $A$30:$O$112, 12, FALSE), ""), "")</f>
        <v>-14720.812182741111</v>
      </c>
      <c r="M18" s="36">
        <f t="shared" ref="M18:M26" si="11">IF(NOT(_xlfn.IFNA(VLOOKUP($A18, $A$30:$O$112, 13, FALSE), "")=0), _xlfn.IFNA(VLOOKUP($A18, $A$30:$O$112, 13, FALSE), ""), "")</f>
        <v>32.4</v>
      </c>
      <c r="N18" s="5">
        <f t="shared" ref="N18:N26" si="12">IF(NOT(_xlfn.IFNA(VLOOKUP($A18, $A$30:$O$112, 14, FALSE), "")=0), _xlfn.IFNA(VLOOKUP($A18, $A$30:$O$112, 14, FALSE), ""), "")</f>
        <v>-0.17766497461928935</v>
      </c>
      <c r="O18" s="44">
        <f t="shared" ref="O18:O26" si="13">IF(NOT(_xlfn.IFNA(VLOOKUP($A18, $A$30:$O$112, 15, FALSE), "")=0), _xlfn.IFNA(VLOOKUP($A18, $A$30:$O$112, 15, FALSE), ""), "")</f>
        <v>-17766.497461928935</v>
      </c>
      <c r="Q18" s="204"/>
      <c r="R18" s="205"/>
    </row>
    <row r="19" spans="1:18" ht="17.25" customHeight="1">
      <c r="A19" s="40" t="s">
        <v>193</v>
      </c>
      <c r="B19" s="36">
        <f t="shared" si="0"/>
        <v>943</v>
      </c>
      <c r="C19" s="5">
        <f t="shared" si="1"/>
        <v>0.16850000000000001</v>
      </c>
      <c r="D19" s="36">
        <f t="shared" si="2"/>
        <v>1195</v>
      </c>
      <c r="E19" s="5">
        <f t="shared" si="3"/>
        <v>0.26723223753976671</v>
      </c>
      <c r="F19" s="59">
        <f t="shared" si="4"/>
        <v>26723.223753976672</v>
      </c>
      <c r="G19" s="36">
        <f t="shared" si="5"/>
        <v>1390</v>
      </c>
      <c r="H19" s="5">
        <f t="shared" si="6"/>
        <v>0.47401908801696713</v>
      </c>
      <c r="I19" s="59">
        <f t="shared" si="7"/>
        <v>47401.908801696714</v>
      </c>
      <c r="J19" s="36">
        <f t="shared" si="8"/>
        <v>1330</v>
      </c>
      <c r="K19" s="5">
        <f t="shared" si="9"/>
        <v>0.41039236479321317</v>
      </c>
      <c r="L19" s="59">
        <f t="shared" si="10"/>
        <v>41039.23647932132</v>
      </c>
      <c r="M19" s="36">
        <f t="shared" si="11"/>
        <v>1275</v>
      </c>
      <c r="N19" s="5">
        <f t="shared" si="12"/>
        <v>0.35206786850477201</v>
      </c>
      <c r="O19" s="44">
        <f t="shared" si="13"/>
        <v>35206.786850477198</v>
      </c>
      <c r="Q19" s="204"/>
      <c r="R19" s="205"/>
    </row>
    <row r="20" spans="1:18" ht="17.25" customHeight="1">
      <c r="A20" s="40" t="s">
        <v>194</v>
      </c>
      <c r="B20" s="36">
        <f t="shared" si="0"/>
        <v>137</v>
      </c>
      <c r="C20" s="5">
        <f t="shared" si="1"/>
        <v>0.161</v>
      </c>
      <c r="D20" s="36">
        <f t="shared" si="2"/>
        <v>141</v>
      </c>
      <c r="E20" s="5">
        <f t="shared" si="3"/>
        <v>2.9197080291970802E-2</v>
      </c>
      <c r="F20" s="59">
        <f t="shared" si="4"/>
        <v>2919.7080291970801</v>
      </c>
      <c r="G20" s="36">
        <f t="shared" si="5"/>
        <v>151</v>
      </c>
      <c r="H20" s="5">
        <f t="shared" si="6"/>
        <v>0.10218978102189781</v>
      </c>
      <c r="I20" s="59">
        <f t="shared" si="7"/>
        <v>10218.978102189782</v>
      </c>
      <c r="J20" s="36">
        <f t="shared" si="8"/>
        <v>147</v>
      </c>
      <c r="K20" s="5">
        <f t="shared" si="9"/>
        <v>7.2992700729927001E-2</v>
      </c>
      <c r="L20" s="59">
        <f t="shared" si="10"/>
        <v>7299.2700729927001</v>
      </c>
      <c r="M20" s="36">
        <f t="shared" si="11"/>
        <v>142</v>
      </c>
      <c r="N20" s="5">
        <f t="shared" si="12"/>
        <v>3.6496350364963501E-2</v>
      </c>
      <c r="O20" s="44">
        <f t="shared" si="13"/>
        <v>3649.63503649635</v>
      </c>
      <c r="Q20" s="204"/>
      <c r="R20" s="205"/>
    </row>
    <row r="21" spans="1:18" ht="17.25" customHeight="1">
      <c r="A21" s="41" t="s">
        <v>196</v>
      </c>
      <c r="B21" s="37">
        <f t="shared" si="0"/>
        <v>624</v>
      </c>
      <c r="C21" s="24">
        <f t="shared" si="1"/>
        <v>0.14499999999999999</v>
      </c>
      <c r="D21" s="37">
        <f t="shared" si="2"/>
        <v>688</v>
      </c>
      <c r="E21" s="24">
        <f t="shared" si="3"/>
        <v>0.10256410256410256</v>
      </c>
      <c r="F21" s="60">
        <f t="shared" si="4"/>
        <v>10256.410256410256</v>
      </c>
      <c r="G21" s="37">
        <f t="shared" si="5"/>
        <v>749</v>
      </c>
      <c r="H21" s="24">
        <f t="shared" si="6"/>
        <v>0.20032051282051283</v>
      </c>
      <c r="I21" s="60">
        <f t="shared" si="7"/>
        <v>20032.051282051281</v>
      </c>
      <c r="J21" s="37">
        <f t="shared" si="8"/>
        <v>751</v>
      </c>
      <c r="K21" s="24">
        <f t="shared" si="9"/>
        <v>0.20352564102564102</v>
      </c>
      <c r="L21" s="60">
        <f t="shared" si="10"/>
        <v>20352.564102564102</v>
      </c>
      <c r="M21" s="37">
        <f t="shared" si="11"/>
        <v>706</v>
      </c>
      <c r="N21" s="24">
        <f t="shared" si="12"/>
        <v>0.13141025641025642</v>
      </c>
      <c r="O21" s="62">
        <f t="shared" si="13"/>
        <v>13141.025641025641</v>
      </c>
      <c r="Q21" s="204"/>
      <c r="R21" s="205"/>
    </row>
    <row r="22" spans="1:18" ht="17.25" customHeight="1">
      <c r="A22" s="40" t="s">
        <v>181</v>
      </c>
      <c r="B22" s="36">
        <f t="shared" si="0"/>
        <v>6630</v>
      </c>
      <c r="C22" s="5">
        <f t="shared" si="1"/>
        <v>0.16420000000000001</v>
      </c>
      <c r="D22" s="36">
        <f t="shared" si="2"/>
        <v>5810</v>
      </c>
      <c r="E22" s="5">
        <f t="shared" si="3"/>
        <v>-0.12368024132730016</v>
      </c>
      <c r="F22" s="59">
        <f t="shared" si="4"/>
        <v>-12368.024132730015</v>
      </c>
      <c r="G22" s="36">
        <f t="shared" si="5"/>
        <v>6375</v>
      </c>
      <c r="H22" s="5">
        <f t="shared" si="6"/>
        <v>-3.8461538461538464E-2</v>
      </c>
      <c r="I22" s="59">
        <f t="shared" si="7"/>
        <v>-3846.1538461538462</v>
      </c>
      <c r="J22" s="36">
        <f t="shared" si="8"/>
        <v>6230</v>
      </c>
      <c r="K22" s="5">
        <f t="shared" si="9"/>
        <v>-6.0331825037707391E-2</v>
      </c>
      <c r="L22" s="59">
        <f t="shared" si="10"/>
        <v>-6033.1825037707395</v>
      </c>
      <c r="M22" s="36">
        <f t="shared" si="11"/>
        <v>6015</v>
      </c>
      <c r="N22" s="5">
        <f t="shared" si="12"/>
        <v>-9.2760180995475117E-2</v>
      </c>
      <c r="O22" s="44">
        <f t="shared" si="13"/>
        <v>-9276.0180995475112</v>
      </c>
      <c r="Q22" s="204"/>
      <c r="R22" s="205"/>
    </row>
    <row r="23" spans="1:18" ht="17.25" customHeight="1">
      <c r="A23" s="40" t="s">
        <v>195</v>
      </c>
      <c r="B23" s="36">
        <f t="shared" si="0"/>
        <v>3305</v>
      </c>
      <c r="C23" s="5">
        <f t="shared" si="1"/>
        <v>0.1203</v>
      </c>
      <c r="D23" s="36">
        <f t="shared" si="2"/>
        <v>3175</v>
      </c>
      <c r="E23" s="5">
        <f t="shared" si="3"/>
        <v>-3.9334341906202726E-2</v>
      </c>
      <c r="F23" s="59">
        <f t="shared" si="4"/>
        <v>-3933.4341906202726</v>
      </c>
      <c r="G23" s="36">
        <f t="shared" si="5"/>
        <v>2885</v>
      </c>
      <c r="H23" s="5">
        <f t="shared" si="6"/>
        <v>-0.12708018154311648</v>
      </c>
      <c r="I23" s="59">
        <f t="shared" si="7"/>
        <v>-12708.018154311649</v>
      </c>
      <c r="J23" s="36">
        <f t="shared" si="8"/>
        <v>2810</v>
      </c>
      <c r="K23" s="5">
        <f t="shared" si="9"/>
        <v>-0.14977307110438728</v>
      </c>
      <c r="L23" s="59">
        <f t="shared" si="10"/>
        <v>-14977.307110438729</v>
      </c>
      <c r="M23" s="36">
        <f t="shared" si="11"/>
        <v>2590</v>
      </c>
      <c r="N23" s="5">
        <f t="shared" si="12"/>
        <v>-0.21633888048411498</v>
      </c>
      <c r="O23" s="44">
        <f t="shared" si="13"/>
        <v>-21633.8880484115</v>
      </c>
      <c r="Q23" s="204"/>
      <c r="R23" s="205"/>
    </row>
    <row r="24" spans="1:18" ht="17.25" customHeight="1">
      <c r="A24" s="40"/>
      <c r="B24" s="36" t="str">
        <f t="shared" si="0"/>
        <v/>
      </c>
      <c r="C24" s="5" t="str">
        <f t="shared" si="1"/>
        <v/>
      </c>
      <c r="D24" s="36" t="str">
        <f t="shared" si="2"/>
        <v/>
      </c>
      <c r="E24" s="5" t="str">
        <f t="shared" si="3"/>
        <v/>
      </c>
      <c r="F24" s="59" t="str">
        <f t="shared" si="4"/>
        <v/>
      </c>
      <c r="G24" s="36" t="str">
        <f t="shared" si="5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0"/>
        <v/>
      </c>
      <c r="C25" s="5" t="str">
        <f t="shared" si="1"/>
        <v/>
      </c>
      <c r="D25" s="36" t="str">
        <f t="shared" si="2"/>
        <v/>
      </c>
      <c r="E25" s="5" t="str">
        <f t="shared" si="3"/>
        <v/>
      </c>
      <c r="F25" s="59" t="str">
        <f t="shared" si="4"/>
        <v/>
      </c>
      <c r="G25" s="36" t="str">
        <f t="shared" si="5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0"/>
        <v/>
      </c>
      <c r="C26" s="16" t="str">
        <f t="shared" si="1"/>
        <v/>
      </c>
      <c r="D26" s="38" t="str">
        <f t="shared" si="2"/>
        <v/>
      </c>
      <c r="E26" s="16" t="str">
        <f t="shared" si="3"/>
        <v/>
      </c>
      <c r="F26" s="61" t="str">
        <f t="shared" si="4"/>
        <v/>
      </c>
      <c r="G26" s="38" t="str">
        <f t="shared" si="5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1.4256719616710671E-2</v>
      </c>
      <c r="F27" s="47">
        <f>SUM(F17:F26)</f>
        <v>9979.7037316974711</v>
      </c>
      <c r="G27" s="57" t="s">
        <v>82</v>
      </c>
      <c r="H27" s="46">
        <f>IF(COUNT(H17:H26), SUM(H17:H26) / COUNT(H17:H26), 0)</f>
        <v>5.0454307407673475E-2</v>
      </c>
      <c r="I27" s="47">
        <f>SUM(I17:I26)</f>
        <v>35318.015185371441</v>
      </c>
      <c r="J27" s="57" t="s">
        <v>82</v>
      </c>
      <c r="K27" s="46">
        <f>IF(COUNT(K17:K26), SUM(K17:K26) / COUNT(K17:K26), 0)</f>
        <v>2.6271760620123551E-2</v>
      </c>
      <c r="L27" s="47">
        <f>SUM(L17:L26)</f>
        <v>18390.232434086487</v>
      </c>
      <c r="M27" s="57" t="s">
        <v>82</v>
      </c>
      <c r="N27" s="46">
        <f>IF(COUNT(N17:N26), SUM(N17:N26) / COUNT(N17:N26), 0)</f>
        <v>-2.1745717770720912E-2</v>
      </c>
      <c r="O27" s="47">
        <f>SUM(O17:O26)</f>
        <v>-15222.002439504644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1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72" t="s">
        <v>70</v>
      </c>
      <c r="M33" s="18" t="s">
        <v>67</v>
      </c>
      <c r="N33" s="4" t="s">
        <v>68</v>
      </c>
      <c r="O33" s="74" t="s">
        <v>70</v>
      </c>
      <c r="Q33" s="231"/>
      <c r="R33" s="232"/>
    </row>
    <row r="34" spans="1:18" ht="17.25" customHeight="1">
      <c r="A34" s="9" t="s">
        <v>52</v>
      </c>
      <c r="B34" s="31">
        <v>39.4</v>
      </c>
      <c r="C34" s="22">
        <v>8.2400000000000001E-2</v>
      </c>
      <c r="D34" s="35">
        <v>35.6</v>
      </c>
      <c r="E34" s="22">
        <f>IF(ISNUMBER(D34), (D34 - $B34) / $B34, "")</f>
        <v>-9.6446700507614141E-2</v>
      </c>
      <c r="F34" s="43">
        <f>IF(ISNUMBER(D34), $B44 * E34, "")</f>
        <v>-9644.670050761415</v>
      </c>
      <c r="G34" s="89">
        <v>34.200000000000003</v>
      </c>
      <c r="H34" s="22">
        <f>IF(ISNUMBER(G34), (G34 - $B34) / $B34, "")</f>
        <v>-0.13197969543147198</v>
      </c>
      <c r="I34" s="43">
        <f>IF(ISNUMBER(G34), $B44 * H34, "")</f>
        <v>-13197.969543147197</v>
      </c>
      <c r="J34" s="35">
        <v>33.6</v>
      </c>
      <c r="K34" s="22">
        <f>IF(ISNUMBER(J34), (J34 - $B34) / $B34, "")</f>
        <v>-0.14720812182741111</v>
      </c>
      <c r="L34" s="43">
        <f>IF(ISNUMBER(J34), $B44 * K34, "")</f>
        <v>-14720.812182741111</v>
      </c>
      <c r="M34" s="35">
        <v>32.4</v>
      </c>
      <c r="N34" s="22">
        <f>IF(ISNUMBER(M34), (M34 - $B34) / $B34, "")</f>
        <v>-0.17766497461928935</v>
      </c>
      <c r="O34" s="43">
        <f>IF(ISNUMBER(M34), $B44 * N34, "")</f>
        <v>-17766.497461928935</v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-9.6446700507614141E-2</v>
      </c>
      <c r="F44" s="47">
        <f>SUM(F34:F43)</f>
        <v>-9644.670050761415</v>
      </c>
      <c r="G44" s="57" t="s">
        <v>82</v>
      </c>
      <c r="H44" s="46">
        <f>IF(COUNT(H34:H43), SUM(H34:H43) / COUNT(H34:H43), 0)</f>
        <v>-0.13197969543147198</v>
      </c>
      <c r="I44" s="47">
        <f>SUM(I34:I43)</f>
        <v>-13197.969543147197</v>
      </c>
      <c r="J44" s="57" t="s">
        <v>82</v>
      </c>
      <c r="K44" s="46">
        <f>IF(COUNT(K34:K43), SUM(K34:K43) / COUNT(K34:K43), 0)</f>
        <v>-0.14720812182741111</v>
      </c>
      <c r="L44" s="47">
        <f>SUM(L34:L43)</f>
        <v>-14720.812182741111</v>
      </c>
      <c r="M44" s="57" t="s">
        <v>82</v>
      </c>
      <c r="N44" s="46">
        <f>IF(COUNT(N34:N43), SUM(N34:N43) / COUNT(N34:N43), 0)</f>
        <v>-0.17766497461928935</v>
      </c>
      <c r="O44" s="47">
        <f>SUM(O34:O43)</f>
        <v>-17766.497461928935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1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72" t="s">
        <v>70</v>
      </c>
      <c r="M50" s="18" t="s">
        <v>67</v>
      </c>
      <c r="N50" s="4" t="s">
        <v>68</v>
      </c>
      <c r="O50" s="74" t="s">
        <v>70</v>
      </c>
      <c r="Q50" s="231"/>
      <c r="R50" s="232"/>
    </row>
    <row r="51" spans="1:18" ht="17.25" customHeight="1">
      <c r="A51" s="9" t="s">
        <v>8</v>
      </c>
      <c r="B51" s="31">
        <v>46.5</v>
      </c>
      <c r="C51" s="22">
        <v>0.24660000000000001</v>
      </c>
      <c r="D51" s="35">
        <v>42.1</v>
      </c>
      <c r="E51" s="22">
        <f>IF(ISNUMBER(D51), (D51 - $B51) / $B51, "")</f>
        <v>-9.4623655913978463E-2</v>
      </c>
      <c r="F51" s="43">
        <f>IF(ISNUMBER(D51), $B61 * E51, "")</f>
        <v>-9462.3655913978455</v>
      </c>
      <c r="G51" s="35">
        <v>41.1</v>
      </c>
      <c r="H51" s="22">
        <f>IF(ISNUMBER(G51), (G51 - $B51) / $B51, "")</f>
        <v>-0.11612903225806448</v>
      </c>
      <c r="I51" s="43">
        <f>IF(ISNUMBER(G51), $B61 * H51, "")</f>
        <v>-11612.903225806447</v>
      </c>
      <c r="J51" s="35">
        <v>39.799999999999997</v>
      </c>
      <c r="K51" s="22">
        <f>IF(ISNUMBER(J51), (J51 - $B51) / $B51, "")</f>
        <v>-0.14408602150537642</v>
      </c>
      <c r="L51" s="43">
        <f>IF(ISNUMBER(J51), $B61 * K51, "")</f>
        <v>-14408.602150537641</v>
      </c>
      <c r="M51" s="35">
        <v>38.200000000000003</v>
      </c>
      <c r="N51" s="22">
        <f>IF(ISNUMBER(M51), (M51 - $B51) / $B51, "")</f>
        <v>-0.17849462365591393</v>
      </c>
      <c r="O51" s="43">
        <f>IF(ISNUMBER(M51), $B61 * N51, "")</f>
        <v>-17849.462365591393</v>
      </c>
      <c r="Q51" s="229"/>
      <c r="R51" s="230"/>
    </row>
    <row r="52" spans="1:18" ht="17.25" customHeight="1">
      <c r="A52" s="11" t="s">
        <v>4</v>
      </c>
      <c r="B52" s="32">
        <v>15.1</v>
      </c>
      <c r="C52" s="5">
        <v>0.17050000000000001</v>
      </c>
      <c r="D52" s="36">
        <v>14.5</v>
      </c>
      <c r="E52" s="5">
        <f t="shared" ref="E52:E60" si="18">IF(ISNUMBER(D52), (D52 - $B52) / $B52, "")</f>
        <v>-3.9735099337748318E-2</v>
      </c>
      <c r="F52" s="44">
        <f>IF(ISNUMBER(D52), $B61 * E52, "")</f>
        <v>-3973.509933774832</v>
      </c>
      <c r="G52" s="36">
        <v>13.2</v>
      </c>
      <c r="H52" s="5">
        <f t="shared" ref="H52:H60" si="19">IF(ISNUMBER(G52), (G52 - $B52) / $B52, "")</f>
        <v>-0.12582781456953646</v>
      </c>
      <c r="I52" s="44">
        <f>IF(ISNUMBER(G52), $B61 * H52, "")</f>
        <v>-12582.781456953646</v>
      </c>
      <c r="J52" s="36">
        <v>12.9</v>
      </c>
      <c r="K52" s="5">
        <f t="shared" ref="K52:K60" si="20">IF(ISNUMBER(J52), (J52 - $B52) / $B52, "")</f>
        <v>-0.14569536423841056</v>
      </c>
      <c r="L52" s="44">
        <f>IF(ISNUMBER(J52), $B61 * K52, "")</f>
        <v>-14569.536423841057</v>
      </c>
      <c r="M52" s="36">
        <v>12.3</v>
      </c>
      <c r="N52" s="5">
        <f t="shared" ref="N52:N60" si="21">IF(ISNUMBER(M52), (M52 - $B52) / $B52, "")</f>
        <v>-0.18543046357615886</v>
      </c>
      <c r="O52" s="44">
        <f>IF(ISNUMBER(M52), $B61 * N52, "")</f>
        <v>-18543.046357615887</v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-6.7179377625863387E-2</v>
      </c>
      <c r="F61" s="47">
        <f>SUM(F51:F60)</f>
        <v>-13435.875525172678</v>
      </c>
      <c r="G61" s="57" t="s">
        <v>82</v>
      </c>
      <c r="H61" s="46">
        <f>IF(COUNT(H51:H60), SUM(H51:H60) / COUNT(H51:H60), 0)</f>
        <v>-0.12097842341380047</v>
      </c>
      <c r="I61" s="47">
        <f>SUM(I51:I60)</f>
        <v>-24195.684682760093</v>
      </c>
      <c r="J61" s="57" t="s">
        <v>82</v>
      </c>
      <c r="K61" s="46">
        <f>IF(COUNT(K51:K60), SUM(K51:K60) / COUNT(K51:K60), 0)</f>
        <v>-0.14489069287189349</v>
      </c>
      <c r="L61" s="47">
        <f>SUM(L51:L60)</f>
        <v>-28978.138574378696</v>
      </c>
      <c r="M61" s="57" t="s">
        <v>82</v>
      </c>
      <c r="N61" s="46">
        <f>IF(COUNT(N51:N60), SUM(N51:N60) / COUNT(N51:N60), 0)</f>
        <v>-0.18196254361603639</v>
      </c>
      <c r="O61" s="47">
        <f>SUM(O51:O60)</f>
        <v>-36392.508723207284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1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72" t="s">
        <v>70</v>
      </c>
      <c r="M67" s="18" t="s">
        <v>67</v>
      </c>
      <c r="N67" s="4" t="s">
        <v>68</v>
      </c>
      <c r="O67" s="74" t="s">
        <v>70</v>
      </c>
      <c r="Q67" s="231"/>
      <c r="R67" s="232"/>
    </row>
    <row r="68" spans="1:18" ht="17.25" customHeight="1">
      <c r="A68" s="9" t="s">
        <v>72</v>
      </c>
      <c r="B68" s="31">
        <v>177</v>
      </c>
      <c r="C68" s="22">
        <v>8.5900000000000004E-2</v>
      </c>
      <c r="D68" s="35">
        <v>183</v>
      </c>
      <c r="E68" s="22">
        <f>IF(ISNUMBER(D68), (D68 - $B68) / $B68, "")</f>
        <v>3.3898305084745763E-2</v>
      </c>
      <c r="F68" s="43">
        <f>IF(ISNUMBER(D68), $B78 * E68, "")</f>
        <v>3389.8305084745762</v>
      </c>
      <c r="G68" s="35">
        <v>177</v>
      </c>
      <c r="H68" s="22">
        <f>IF(ISNUMBER(G68), (G68 - $B68) / $B68, "")</f>
        <v>0</v>
      </c>
      <c r="I68" s="43">
        <f>IF(ISNUMBER(G68), $B78 * H68, "")</f>
        <v>0</v>
      </c>
      <c r="J68" s="35">
        <v>171</v>
      </c>
      <c r="K68" s="22">
        <f>IF(ISNUMBER(J68), (J68 - $B68) / $B68, "")</f>
        <v>-3.3898305084745763E-2</v>
      </c>
      <c r="L68" s="43">
        <f>IF(ISNUMBER(J68), $B78 * K68, "")</f>
        <v>-3389.8305084745762</v>
      </c>
      <c r="M68" s="35">
        <v>161</v>
      </c>
      <c r="N68" s="22">
        <f>IF(ISNUMBER(M68), (M68 - $B68) / $B68, "")</f>
        <v>-9.03954802259887E-2</v>
      </c>
      <c r="O68" s="43">
        <f>IF(ISNUMBER(M68), $B78 * N68, "")</f>
        <v>-9039.5480225988704</v>
      </c>
      <c r="Q68" s="229"/>
      <c r="R68" s="230"/>
    </row>
    <row r="69" spans="1:18" ht="17.25" customHeight="1">
      <c r="A69" s="11" t="s">
        <v>75</v>
      </c>
      <c r="B69" s="32">
        <v>231</v>
      </c>
      <c r="C69" s="5">
        <v>7.4399999999999994E-2</v>
      </c>
      <c r="D69" s="36">
        <v>219</v>
      </c>
      <c r="E69" s="5">
        <f t="shared" ref="E69:E77" si="22">IF(ISNUMBER(D69), (D69 - $B69) / $B69, "")</f>
        <v>-5.1948051948051951E-2</v>
      </c>
      <c r="F69" s="44">
        <f>IF(ISNUMBER(D69), $B78 * E69, "")</f>
        <v>-5194.8051948051952</v>
      </c>
      <c r="G69" s="36">
        <v>212</v>
      </c>
      <c r="H69" s="5">
        <f t="shared" ref="H69:H77" si="23">IF(ISNUMBER(G69), (G69 - $B69) / $B69, "")</f>
        <v>-8.2251082251082255E-2</v>
      </c>
      <c r="I69" s="44">
        <f>IF(ISNUMBER(G69), $B78 * H69, "")</f>
        <v>-8225.1082251082262</v>
      </c>
      <c r="J69" s="36">
        <v>205</v>
      </c>
      <c r="K69" s="5">
        <f t="shared" ref="K69:K77" si="24">IF(ISNUMBER(J69), (J69 - $B69) / $B69, "")</f>
        <v>-0.11255411255411256</v>
      </c>
      <c r="L69" s="44">
        <f>IF(ISNUMBER(J69), $B78 * K69, "")</f>
        <v>-11255.411255411256</v>
      </c>
      <c r="M69" s="36">
        <v>196</v>
      </c>
      <c r="N69" s="5">
        <f t="shared" ref="N69:N77" si="25">IF(ISNUMBER(M69), (M69 - $B69) / $B69, "")</f>
        <v>-0.15151515151515152</v>
      </c>
      <c r="O69" s="44">
        <f>IF(ISNUMBER(M69), $B78 * N69, "")</f>
        <v>-15151.515151515152</v>
      </c>
      <c r="Q69" s="229"/>
      <c r="R69" s="230"/>
    </row>
    <row r="70" spans="1:18" ht="17.25" customHeight="1">
      <c r="A70" s="11" t="s">
        <v>186</v>
      </c>
      <c r="B70" s="32">
        <v>630</v>
      </c>
      <c r="C70" s="5">
        <v>6.6000000000000003E-2</v>
      </c>
      <c r="D70" s="36">
        <v>598</v>
      </c>
      <c r="E70" s="5">
        <f t="shared" si="22"/>
        <v>-5.0793650793650794E-2</v>
      </c>
      <c r="F70" s="44">
        <f>IF(ISNUMBER(D70), $B78 * E70, "")</f>
        <v>-5079.3650793650795</v>
      </c>
      <c r="G70" s="36">
        <v>599</v>
      </c>
      <c r="H70" s="5">
        <f t="shared" si="23"/>
        <v>-4.9206349206349205E-2</v>
      </c>
      <c r="I70" s="44">
        <f>IF(ISNUMBER(G70), $B78 * H70, "")</f>
        <v>-4920.6349206349205</v>
      </c>
      <c r="J70" s="36">
        <v>590</v>
      </c>
      <c r="K70" s="5">
        <f t="shared" si="24"/>
        <v>-6.3492063492063489E-2</v>
      </c>
      <c r="L70" s="44">
        <f>IF(ISNUMBER(J70), $B78 * K70, "")</f>
        <v>-6349.2063492063489</v>
      </c>
      <c r="M70" s="36">
        <v>576</v>
      </c>
      <c r="N70" s="5">
        <f t="shared" si="25"/>
        <v>-8.5714285714285715E-2</v>
      </c>
      <c r="O70" s="44">
        <f>IF(ISNUMBER(M70), $B78 * N70, "")</f>
        <v>-8571.4285714285706</v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-2.2947799218985664E-2</v>
      </c>
      <c r="F78" s="47">
        <f>SUM(F68:F77)</f>
        <v>-6884.3397656956986</v>
      </c>
      <c r="G78" s="57" t="s">
        <v>82</v>
      </c>
      <c r="H78" s="46">
        <f>IF(COUNT(H68:H77), SUM(H68:H77) / COUNT(H68:H77), 0)</f>
        <v>-4.381914381914382E-2</v>
      </c>
      <c r="I78" s="47">
        <f>SUM(I68:I77)</f>
        <v>-13145.743145743147</v>
      </c>
      <c r="J78" s="57" t="s">
        <v>82</v>
      </c>
      <c r="K78" s="46">
        <f>IF(COUNT(K68:K77), SUM(K68:K77) / COUNT(K68:K77), 0)</f>
        <v>-6.9981493710307277E-2</v>
      </c>
      <c r="L78" s="47">
        <f>SUM(L68:L77)</f>
        <v>-20994.448113092181</v>
      </c>
      <c r="M78" s="57" t="s">
        <v>82</v>
      </c>
      <c r="N78" s="46">
        <f>IF(COUNT(N68:N77), SUM(N68:N77) / COUNT(N68:N77), 0)</f>
        <v>-0.10920830581847531</v>
      </c>
      <c r="O78" s="47">
        <f>SUM(O68:O77)</f>
        <v>-32762.491745542597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1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72" t="s">
        <v>70</v>
      </c>
      <c r="M84" s="18" t="s">
        <v>67</v>
      </c>
      <c r="N84" s="4" t="s">
        <v>68</v>
      </c>
      <c r="O84" s="74" t="s">
        <v>70</v>
      </c>
      <c r="Q84" s="231"/>
      <c r="R84" s="232"/>
    </row>
    <row r="85" spans="1:18" ht="17.25" customHeight="1">
      <c r="A85" s="9" t="s">
        <v>48</v>
      </c>
      <c r="B85" s="31">
        <v>121</v>
      </c>
      <c r="C85" s="22">
        <v>0.22969999999999999</v>
      </c>
      <c r="D85" s="35">
        <v>113</v>
      </c>
      <c r="E85" s="22">
        <f>IF(ISNUMBER(D85), (D85 - $B85) / $B85, "")</f>
        <v>-6.6115702479338845E-2</v>
      </c>
      <c r="F85" s="43">
        <f>IF(ISNUMBER(D85), $B95 * E85, "")</f>
        <v>-6611.5702479338843</v>
      </c>
      <c r="G85" s="35">
        <v>108</v>
      </c>
      <c r="H85" s="22">
        <f>IF(ISNUMBER(G85), (G85 - $B85) / $B85, "")</f>
        <v>-0.10743801652892562</v>
      </c>
      <c r="I85" s="43">
        <f>IF(ISNUMBER(G85), $B95 * H85, "")</f>
        <v>-10743.801652892562</v>
      </c>
      <c r="J85" s="35">
        <v>106</v>
      </c>
      <c r="K85" s="22">
        <f>IF(ISNUMBER(J85), (J85 - $B85) / $B85, "")</f>
        <v>-0.12396694214876033</v>
      </c>
      <c r="L85" s="43">
        <f>IF(ISNUMBER(J85), $B95 * K85, "")</f>
        <v>-12396.694214876034</v>
      </c>
      <c r="M85" s="35">
        <v>102</v>
      </c>
      <c r="N85" s="22">
        <f>IF(ISNUMBER(M85), (M85 - $B85) / $B85, "")</f>
        <v>-0.15702479338842976</v>
      </c>
      <c r="O85" s="43">
        <f>IF(ISNUMBER(M85), $B95 * N85, "")</f>
        <v>-15702.479338842975</v>
      </c>
      <c r="Q85" s="229"/>
      <c r="R85" s="230"/>
    </row>
    <row r="86" spans="1:18" ht="17.25" customHeight="1">
      <c r="A86" s="11" t="s">
        <v>193</v>
      </c>
      <c r="B86" s="32">
        <v>943</v>
      </c>
      <c r="C86" s="5">
        <v>0.16850000000000001</v>
      </c>
      <c r="D86" s="36">
        <v>1195</v>
      </c>
      <c r="E86" s="5">
        <f t="shared" ref="E86:E94" si="26">IF(ISNUMBER(D86), (D86 - $B86) / $B86, "")</f>
        <v>0.26723223753976671</v>
      </c>
      <c r="F86" s="44">
        <f>IF(ISNUMBER(D86), $B95 * E86, "")</f>
        <v>26723.223753976672</v>
      </c>
      <c r="G86" s="36">
        <v>1390</v>
      </c>
      <c r="H86" s="5">
        <f t="shared" ref="H86:H94" si="27">IF(ISNUMBER(G86), (G86 - $B86) / $B86, "")</f>
        <v>0.47401908801696713</v>
      </c>
      <c r="I86" s="44">
        <f>IF(ISNUMBER(G86), $B95 * H86, "")</f>
        <v>47401.908801696714</v>
      </c>
      <c r="J86" s="36">
        <v>1330</v>
      </c>
      <c r="K86" s="5">
        <f t="shared" ref="K86:K94" si="28">IF(ISNUMBER(J86), (J86 - $B86) / $B86, "")</f>
        <v>0.41039236479321317</v>
      </c>
      <c r="L86" s="44">
        <f>IF(ISNUMBER(J86), $B95 * K86, "")</f>
        <v>41039.23647932132</v>
      </c>
      <c r="M86" s="36">
        <v>1275</v>
      </c>
      <c r="N86" s="5">
        <f t="shared" ref="N86:N94" si="29">IF(ISNUMBER(M86), (M86 - $B86) / $B86, "")</f>
        <v>0.35206786850477201</v>
      </c>
      <c r="O86" s="44">
        <f>IF(ISNUMBER(M86), $B95 * N86, "")</f>
        <v>35206.786850477198</v>
      </c>
      <c r="Q86" s="229"/>
      <c r="R86" s="230"/>
    </row>
    <row r="87" spans="1:18" ht="17.25" customHeight="1">
      <c r="A87" s="11" t="s">
        <v>194</v>
      </c>
      <c r="B87" s="32">
        <v>137</v>
      </c>
      <c r="C87" s="5">
        <v>0.161</v>
      </c>
      <c r="D87" s="36">
        <v>141</v>
      </c>
      <c r="E87" s="5">
        <f t="shared" si="26"/>
        <v>2.9197080291970802E-2</v>
      </c>
      <c r="F87" s="44">
        <f>IF(ISNUMBER(D87), $B95 * E87, "")</f>
        <v>2919.7080291970801</v>
      </c>
      <c r="G87" s="36">
        <v>151</v>
      </c>
      <c r="H87" s="5">
        <f t="shared" si="27"/>
        <v>0.10218978102189781</v>
      </c>
      <c r="I87" s="44">
        <f>IF(ISNUMBER(G87), $B95 * H87, "")</f>
        <v>10218.978102189782</v>
      </c>
      <c r="J87" s="36">
        <v>147</v>
      </c>
      <c r="K87" s="5">
        <f t="shared" si="28"/>
        <v>7.2992700729927001E-2</v>
      </c>
      <c r="L87" s="44">
        <f>IF(ISNUMBER(J87), $B95 * K87, "")</f>
        <v>7299.2700729927001</v>
      </c>
      <c r="M87" s="36">
        <v>142</v>
      </c>
      <c r="N87" s="5">
        <f t="shared" si="29"/>
        <v>3.6496350364963501E-2</v>
      </c>
      <c r="O87" s="44">
        <f>IF(ISNUMBER(M87), $B95 * N87, "")</f>
        <v>3649.63503649635</v>
      </c>
      <c r="Q87" s="229"/>
      <c r="R87" s="230"/>
    </row>
    <row r="88" spans="1:18" ht="17.25" customHeight="1">
      <c r="A88" s="11" t="s">
        <v>196</v>
      </c>
      <c r="B88" s="32">
        <v>624</v>
      </c>
      <c r="C88" s="5">
        <v>0.14499999999999999</v>
      </c>
      <c r="D88" s="36">
        <v>688</v>
      </c>
      <c r="E88" s="5">
        <f t="shared" si="26"/>
        <v>0.10256410256410256</v>
      </c>
      <c r="F88" s="44">
        <f>IF(ISNUMBER(D88), $B95 * E88, "")</f>
        <v>10256.410256410256</v>
      </c>
      <c r="G88" s="36">
        <v>749</v>
      </c>
      <c r="H88" s="5">
        <f t="shared" si="27"/>
        <v>0.20032051282051283</v>
      </c>
      <c r="I88" s="44">
        <f>IF(ISNUMBER(G88), $B95 * H88, "")</f>
        <v>20032.051282051281</v>
      </c>
      <c r="J88" s="36">
        <v>751</v>
      </c>
      <c r="K88" s="5">
        <f t="shared" si="28"/>
        <v>0.20352564102564102</v>
      </c>
      <c r="L88" s="44">
        <f>IF(ISNUMBER(J88), $B95 * K88, "")</f>
        <v>20352.564102564102</v>
      </c>
      <c r="M88" s="36">
        <v>706</v>
      </c>
      <c r="N88" s="5">
        <f t="shared" si="29"/>
        <v>0.13141025641025642</v>
      </c>
      <c r="O88" s="44">
        <f>IF(ISNUMBER(M88), $B95 * N88, "")</f>
        <v>13141.025641025641</v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8.3219429479125306E-2</v>
      </c>
      <c r="F95" s="47">
        <f>SUM(F85:F94)</f>
        <v>33287.771791650128</v>
      </c>
      <c r="G95" s="57" t="s">
        <v>82</v>
      </c>
      <c r="H95" s="46">
        <f>IF(COUNT(H85:H94), SUM(H85:H94) / COUNT(H85:H94), 0)</f>
        <v>0.16727284133261305</v>
      </c>
      <c r="I95" s="47">
        <f>SUM(I85:I94)</f>
        <v>66909.13653304521</v>
      </c>
      <c r="J95" s="57" t="s">
        <v>82</v>
      </c>
      <c r="K95" s="46">
        <f>IF(COUNT(K85:K94), SUM(K85:K94) / COUNT(K85:K94), 0)</f>
        <v>0.1407359411000052</v>
      </c>
      <c r="L95" s="47">
        <f>SUM(L85:L94)</f>
        <v>56294.376440002088</v>
      </c>
      <c r="M95" s="57" t="s">
        <v>82</v>
      </c>
      <c r="N95" s="46">
        <f>IF(COUNT(N85:N94), SUM(N85:N94) / COUNT(N85:N94), 0)</f>
        <v>9.0737420472890545E-2</v>
      </c>
      <c r="O95" s="47">
        <f>SUM(O85:O94)</f>
        <v>36294.968189156214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1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72" t="s">
        <v>70</v>
      </c>
      <c r="M101" s="18" t="s">
        <v>67</v>
      </c>
      <c r="N101" s="4" t="s">
        <v>68</v>
      </c>
      <c r="O101" s="74" t="s">
        <v>70</v>
      </c>
      <c r="Q101" s="231"/>
      <c r="R101" s="232"/>
    </row>
    <row r="102" spans="1:18" ht="17.25" customHeight="1">
      <c r="A102" s="9" t="s">
        <v>8</v>
      </c>
      <c r="B102" s="31">
        <v>46.5</v>
      </c>
      <c r="C102" s="22">
        <v>0.24660000000000001</v>
      </c>
      <c r="D102" s="35">
        <v>42.1</v>
      </c>
      <c r="E102" s="22">
        <f>IF(ISNUMBER(D102), (D102 - $B102) / $B102, "")</f>
        <v>-9.4623655913978463E-2</v>
      </c>
      <c r="F102" s="43">
        <f>IF(ISNUMBER(D102), $B112 * E102, "")</f>
        <v>-9462.3655913978455</v>
      </c>
      <c r="G102" s="35">
        <v>41.4</v>
      </c>
      <c r="H102" s="22">
        <f>IF(ISNUMBER(G102), (G102 - $B102) / $B102, "")</f>
        <v>-0.10967741935483874</v>
      </c>
      <c r="I102" s="43">
        <f>IF(ISNUMBER(G102), $B112 * H102, "")</f>
        <v>-10967.741935483875</v>
      </c>
      <c r="J102" s="35">
        <v>39.799999999999997</v>
      </c>
      <c r="K102" s="22">
        <f>IF(ISNUMBER(J102), (J102 - $B102) / $B102, "")</f>
        <v>-0.14408602150537642</v>
      </c>
      <c r="L102" s="43">
        <f>IF(ISNUMBER(J102), $B112 * K102, "")</f>
        <v>-14408.602150537641</v>
      </c>
      <c r="M102" s="35">
        <v>38.200000000000003</v>
      </c>
      <c r="N102" s="22">
        <f>IF(ISNUMBER(M102), (M102 - $B102) / $B102, "")</f>
        <v>-0.17849462365591393</v>
      </c>
      <c r="O102" s="43">
        <f>IF(ISNUMBER(M102), $B112 * N102, "")</f>
        <v>-17849.462365591393</v>
      </c>
      <c r="Q102" s="229"/>
      <c r="R102" s="230"/>
    </row>
    <row r="103" spans="1:18" ht="17.25" customHeight="1">
      <c r="A103" s="11" t="s">
        <v>48</v>
      </c>
      <c r="B103" s="32">
        <v>121</v>
      </c>
      <c r="C103" s="5">
        <v>0.22969999999999999</v>
      </c>
      <c r="D103" s="36">
        <v>113</v>
      </c>
      <c r="E103" s="5">
        <f t="shared" ref="E103:E111" si="30">IF(ISNUMBER(D103), (D103 - $B103) / $B103, "")</f>
        <v>-6.6115702479338845E-2</v>
      </c>
      <c r="F103" s="44">
        <f>IF(ISNUMBER(D103), $B112 * E103, "")</f>
        <v>-6611.5702479338843</v>
      </c>
      <c r="G103" s="36">
        <v>108</v>
      </c>
      <c r="H103" s="5">
        <f t="shared" ref="H103:H111" si="31">IF(ISNUMBER(G103), (G103 - $B103) / $B103, "")</f>
        <v>-0.10743801652892562</v>
      </c>
      <c r="I103" s="44">
        <f>IF(ISNUMBER(G103), $B112 * H103, "")</f>
        <v>-10743.801652892562</v>
      </c>
      <c r="J103" s="36">
        <v>106</v>
      </c>
      <c r="K103" s="5">
        <f t="shared" ref="K103:K111" si="32">IF(ISNUMBER(J103), (J103 - $B103) / $B103, "")</f>
        <v>-0.12396694214876033</v>
      </c>
      <c r="L103" s="44">
        <f>IF(ISNUMBER(J103), $B112 * K103, "")</f>
        <v>-12396.694214876034</v>
      </c>
      <c r="M103" s="36">
        <v>102</v>
      </c>
      <c r="N103" s="5">
        <f t="shared" ref="N103:N111" si="33">IF(ISNUMBER(M103), (M103 - $B103) / $B103, "")</f>
        <v>-0.15702479338842976</v>
      </c>
      <c r="O103" s="44">
        <f>IF(ISNUMBER(M103), $B112 * N103, "")</f>
        <v>-15702.479338842975</v>
      </c>
      <c r="Q103" s="229"/>
      <c r="R103" s="230"/>
    </row>
    <row r="104" spans="1:18" ht="17.25" customHeight="1">
      <c r="A104" s="11" t="s">
        <v>4</v>
      </c>
      <c r="B104" s="32">
        <v>15.1</v>
      </c>
      <c r="C104" s="5">
        <v>0.17050000000000001</v>
      </c>
      <c r="D104" s="36">
        <v>14.5</v>
      </c>
      <c r="E104" s="5">
        <f t="shared" si="30"/>
        <v>-3.9735099337748318E-2</v>
      </c>
      <c r="F104" s="44">
        <f>IF(ISNUMBER(D104), $B112 * E104, "")</f>
        <v>-3973.509933774832</v>
      </c>
      <c r="G104" s="36">
        <v>13.2</v>
      </c>
      <c r="H104" s="5">
        <f t="shared" si="31"/>
        <v>-0.12582781456953646</v>
      </c>
      <c r="I104" s="44">
        <f>IF(ISNUMBER(G104), $B112 * H104, "")</f>
        <v>-12582.781456953646</v>
      </c>
      <c r="J104" s="36">
        <v>12.9</v>
      </c>
      <c r="K104" s="5">
        <f t="shared" si="32"/>
        <v>-0.14569536423841056</v>
      </c>
      <c r="L104" s="44">
        <f>IF(ISNUMBER(J104), $B112 * K104, "")</f>
        <v>-14569.536423841057</v>
      </c>
      <c r="M104" s="36">
        <v>12.3</v>
      </c>
      <c r="N104" s="5">
        <f t="shared" si="33"/>
        <v>-0.18543046357615886</v>
      </c>
      <c r="O104" s="44">
        <f>IF(ISNUMBER(M104), $B112 * N104, "")</f>
        <v>-18543.046357615887</v>
      </c>
      <c r="Q104" s="229"/>
      <c r="R104" s="230"/>
    </row>
    <row r="105" spans="1:18" ht="17.25" customHeight="1">
      <c r="A105" s="11" t="s">
        <v>193</v>
      </c>
      <c r="B105" s="32">
        <v>943</v>
      </c>
      <c r="C105" s="5">
        <v>0.16850000000000001</v>
      </c>
      <c r="D105" s="36">
        <v>1195</v>
      </c>
      <c r="E105" s="5">
        <f t="shared" si="30"/>
        <v>0.26723223753976671</v>
      </c>
      <c r="F105" s="44">
        <f>IF(ISNUMBER(D105), $B112 * E105, "")</f>
        <v>26723.223753976672</v>
      </c>
      <c r="G105" s="36">
        <v>1390</v>
      </c>
      <c r="H105" s="5">
        <f t="shared" si="31"/>
        <v>0.47401908801696713</v>
      </c>
      <c r="I105" s="44">
        <f>IF(ISNUMBER(G105), $B112 * H105, "")</f>
        <v>47401.908801696714</v>
      </c>
      <c r="J105" s="36">
        <v>1330</v>
      </c>
      <c r="K105" s="5">
        <f t="shared" si="32"/>
        <v>0.41039236479321317</v>
      </c>
      <c r="L105" s="44">
        <f>IF(ISNUMBER(J105), $B112 * K105, "")</f>
        <v>41039.23647932132</v>
      </c>
      <c r="M105" s="36">
        <v>1275</v>
      </c>
      <c r="N105" s="5">
        <f t="shared" si="33"/>
        <v>0.35206786850477201</v>
      </c>
      <c r="O105" s="44">
        <f>IF(ISNUMBER(M105), $B112 * N105, "")</f>
        <v>35206.786850477198</v>
      </c>
      <c r="Q105" s="229"/>
      <c r="R105" s="230"/>
    </row>
    <row r="106" spans="1:18" ht="17.25" customHeight="1">
      <c r="A106" s="8" t="s">
        <v>181</v>
      </c>
      <c r="B106" s="33">
        <v>6630</v>
      </c>
      <c r="C106" s="24">
        <v>0.16420000000000001</v>
      </c>
      <c r="D106" s="37">
        <v>5810</v>
      </c>
      <c r="E106" s="24">
        <f t="shared" si="30"/>
        <v>-0.12368024132730016</v>
      </c>
      <c r="F106" s="44">
        <f>IF(ISNUMBER(D106), $B112 * E106, "")</f>
        <v>-12368.024132730015</v>
      </c>
      <c r="G106" s="37">
        <v>6375</v>
      </c>
      <c r="H106" s="24">
        <f t="shared" si="31"/>
        <v>-3.8461538461538464E-2</v>
      </c>
      <c r="I106" s="44">
        <f>IF(ISNUMBER(G106), $B112 * H106, "")</f>
        <v>-3846.1538461538462</v>
      </c>
      <c r="J106" s="37">
        <v>6230</v>
      </c>
      <c r="K106" s="24">
        <f t="shared" si="32"/>
        <v>-6.0331825037707391E-2</v>
      </c>
      <c r="L106" s="44">
        <f>IF(ISNUMBER(J106), $B112 * K106, "")</f>
        <v>-6033.1825037707395</v>
      </c>
      <c r="M106" s="37">
        <v>6015</v>
      </c>
      <c r="N106" s="24">
        <f t="shared" si="33"/>
        <v>-9.2760180995475117E-2</v>
      </c>
      <c r="O106" s="44">
        <f>IF(ISNUMBER(M106), $B112 * N106, "")</f>
        <v>-9276.0180995475112</v>
      </c>
      <c r="Q106" s="229"/>
      <c r="R106" s="230"/>
    </row>
    <row r="107" spans="1:18" ht="17.25" customHeight="1">
      <c r="A107" s="11" t="s">
        <v>194</v>
      </c>
      <c r="B107" s="32">
        <v>137</v>
      </c>
      <c r="C107" s="5">
        <v>0.161</v>
      </c>
      <c r="D107" s="36">
        <v>141</v>
      </c>
      <c r="E107" s="5">
        <f t="shared" si="30"/>
        <v>2.9197080291970802E-2</v>
      </c>
      <c r="F107" s="48">
        <f>IF(ISNUMBER(D107), $B112 * E107, "")</f>
        <v>2919.7080291970801</v>
      </c>
      <c r="G107" s="36">
        <v>151</v>
      </c>
      <c r="H107" s="5">
        <f t="shared" si="31"/>
        <v>0.10218978102189781</v>
      </c>
      <c r="I107" s="48">
        <f>IF(ISNUMBER(G107), $B112 * H107, "")</f>
        <v>10218.978102189782</v>
      </c>
      <c r="J107" s="36">
        <v>147</v>
      </c>
      <c r="K107" s="5">
        <f t="shared" si="32"/>
        <v>7.2992700729927001E-2</v>
      </c>
      <c r="L107" s="48">
        <f>IF(ISNUMBER(J107), $B112 * K107, "")</f>
        <v>7299.2700729927001</v>
      </c>
      <c r="M107" s="36">
        <v>142</v>
      </c>
      <c r="N107" s="5">
        <f t="shared" si="33"/>
        <v>3.6496350364963501E-2</v>
      </c>
      <c r="O107" s="48">
        <f>IF(ISNUMBER(M107), $B112 * N107, "")</f>
        <v>3649.63503649635</v>
      </c>
      <c r="Q107" s="229"/>
      <c r="R107" s="230"/>
    </row>
    <row r="108" spans="1:18" ht="17.25" customHeight="1">
      <c r="A108" s="11" t="s">
        <v>196</v>
      </c>
      <c r="B108" s="32">
        <v>624</v>
      </c>
      <c r="C108" s="5">
        <v>0.14499999999999999</v>
      </c>
      <c r="D108" s="36">
        <v>688</v>
      </c>
      <c r="E108" s="5">
        <f t="shared" si="30"/>
        <v>0.10256410256410256</v>
      </c>
      <c r="F108" s="44">
        <f>IF(ISNUMBER(D108), $B112 * E108, "")</f>
        <v>10256.410256410256</v>
      </c>
      <c r="G108" s="36">
        <v>749</v>
      </c>
      <c r="H108" s="5">
        <f t="shared" si="31"/>
        <v>0.20032051282051283</v>
      </c>
      <c r="I108" s="44">
        <f>IF(ISNUMBER(G108), $B112 * H108, "")</f>
        <v>20032.051282051281</v>
      </c>
      <c r="J108" s="36">
        <v>751</v>
      </c>
      <c r="K108" s="5">
        <f t="shared" si="32"/>
        <v>0.20352564102564102</v>
      </c>
      <c r="L108" s="44">
        <f>IF(ISNUMBER(J108), $B112 * K108, "")</f>
        <v>20352.564102564102</v>
      </c>
      <c r="M108" s="36">
        <v>706</v>
      </c>
      <c r="N108" s="5">
        <f t="shared" si="33"/>
        <v>0.13141025641025642</v>
      </c>
      <c r="O108" s="44">
        <f>IF(ISNUMBER(M108), $B112 * N108, "")</f>
        <v>13141.025641025641</v>
      </c>
      <c r="Q108" s="229"/>
      <c r="R108" s="230"/>
    </row>
    <row r="109" spans="1:18" ht="17.25" customHeight="1">
      <c r="A109" s="11" t="s">
        <v>195</v>
      </c>
      <c r="B109" s="32">
        <v>3305</v>
      </c>
      <c r="C109" s="5">
        <v>0.1203</v>
      </c>
      <c r="D109" s="36">
        <v>3175</v>
      </c>
      <c r="E109" s="5">
        <f t="shared" si="30"/>
        <v>-3.9334341906202726E-2</v>
      </c>
      <c r="F109" s="44">
        <f>IF(ISNUMBER(D109), $B112 * E109, "")</f>
        <v>-3933.4341906202726</v>
      </c>
      <c r="G109" s="36">
        <v>2885</v>
      </c>
      <c r="H109" s="5">
        <f t="shared" si="31"/>
        <v>-0.12708018154311648</v>
      </c>
      <c r="I109" s="44">
        <f>IF(ISNUMBER(G109), $B112 * H109, "")</f>
        <v>-12708.018154311649</v>
      </c>
      <c r="J109" s="36">
        <v>2810</v>
      </c>
      <c r="K109" s="5">
        <f t="shared" si="32"/>
        <v>-0.14977307110438728</v>
      </c>
      <c r="L109" s="44">
        <f>IF(ISNUMBER(J109), $B112 * K109, "")</f>
        <v>-14977.307110438729</v>
      </c>
      <c r="M109" s="36">
        <v>2590</v>
      </c>
      <c r="N109" s="5">
        <f t="shared" si="33"/>
        <v>-0.21633888048411498</v>
      </c>
      <c r="O109" s="44">
        <f>IF(ISNUMBER(M109), $B112 * N109, "")</f>
        <v>-21633.8880484115</v>
      </c>
      <c r="Q109" s="229"/>
      <c r="R109" s="230"/>
    </row>
    <row r="110" spans="1:18" ht="17.25" customHeight="1">
      <c r="A110" s="11" t="s">
        <v>197</v>
      </c>
      <c r="B110" s="32">
        <v>798300</v>
      </c>
      <c r="C110" s="5">
        <v>0.1103</v>
      </c>
      <c r="D110" s="36">
        <v>885100</v>
      </c>
      <c r="E110" s="5">
        <f t="shared" si="30"/>
        <v>0.10873105348866341</v>
      </c>
      <c r="F110" s="44">
        <f>IF(ISNUMBER(D110), $B112 * E110, "")</f>
        <v>10873.10534886634</v>
      </c>
      <c r="G110" s="36">
        <v>908900</v>
      </c>
      <c r="H110" s="5">
        <f t="shared" si="31"/>
        <v>0.13854440686458724</v>
      </c>
      <c r="I110" s="44">
        <f>IF(ISNUMBER(G110), $B112 * H110, "")</f>
        <v>13854.440686458724</v>
      </c>
      <c r="J110" s="36">
        <v>916900</v>
      </c>
      <c r="K110" s="5">
        <f t="shared" si="32"/>
        <v>0.14856570211699863</v>
      </c>
      <c r="L110" s="44">
        <f>IF(ISNUMBER(J110), $B112 * K110, "")</f>
        <v>14856.570211699862</v>
      </c>
      <c r="M110" s="36">
        <v>872200</v>
      </c>
      <c r="N110" s="5">
        <f t="shared" si="33"/>
        <v>9.2571714894150073E-2</v>
      </c>
      <c r="O110" s="44">
        <f>IF(ISNUMBER(M110), $B112 * N110, "")</f>
        <v>9257.1714894150082</v>
      </c>
      <c r="Q110" s="231"/>
      <c r="R110" s="232"/>
    </row>
    <row r="111" spans="1:18" ht="17.25" customHeight="1" thickBot="1">
      <c r="A111" s="13" t="s">
        <v>198</v>
      </c>
      <c r="B111" s="34">
        <v>56850</v>
      </c>
      <c r="C111" s="16">
        <v>9.35E-2</v>
      </c>
      <c r="D111" s="38">
        <v>72590</v>
      </c>
      <c r="E111" s="16">
        <f t="shared" si="30"/>
        <v>0.27686895338610379</v>
      </c>
      <c r="F111" s="45">
        <f>IF(ISNUMBER(D111), $B112 * E111, "")</f>
        <v>27686.895338610379</v>
      </c>
      <c r="G111" s="38">
        <v>74850</v>
      </c>
      <c r="H111" s="16">
        <f t="shared" si="31"/>
        <v>0.31662269129287601</v>
      </c>
      <c r="I111" s="45">
        <f>IF(ISNUMBER(G111), $B112 * H111, "")</f>
        <v>31662.269129287601</v>
      </c>
      <c r="J111" s="38">
        <v>102000</v>
      </c>
      <c r="K111" s="16">
        <f t="shared" si="32"/>
        <v>0.79419525065963059</v>
      </c>
      <c r="L111" s="45">
        <f>IF(ISNUMBER(J111), $B112 * K111, "")</f>
        <v>79419.525065963055</v>
      </c>
      <c r="M111" s="38">
        <v>98430</v>
      </c>
      <c r="N111" s="16">
        <f t="shared" si="33"/>
        <v>0.7313984168865435</v>
      </c>
      <c r="O111" s="45">
        <f>IF(ISNUMBER(M111), $B112 * N111, "")</f>
        <v>73139.841688654356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4.2110438630603875E-2</v>
      </c>
      <c r="F112" s="47">
        <f>SUM(F102:F111)</f>
        <v>42110.43863060388</v>
      </c>
      <c r="G112" s="57" t="s">
        <v>82</v>
      </c>
      <c r="H112" s="46">
        <f>IF(COUNT(H102:H111), SUM(H102:H111) / COUNT(H102:H111), 0)</f>
        <v>7.2321150955888522E-2</v>
      </c>
      <c r="I112" s="47">
        <f>SUM(I102:I111)</f>
        <v>72321.150955888515</v>
      </c>
      <c r="J112" s="57" t="s">
        <v>82</v>
      </c>
      <c r="K112" s="46">
        <f>IF(COUNT(K102:K111), SUM(K102:K111) / COUNT(K102:K111), 0)</f>
        <v>0.10058184352907684</v>
      </c>
      <c r="L112" s="47">
        <f>SUM(L102:L111)</f>
        <v>100581.84352907684</v>
      </c>
      <c r="M112" s="57" t="s">
        <v>82</v>
      </c>
      <c r="N112" s="46">
        <f>IF(COUNT(N102:N111), SUM(N102:N111) / COUNT(N102:N111), 0)</f>
        <v>5.1389566496059289E-2</v>
      </c>
      <c r="O112" s="47">
        <f>SUM(O102:O111)</f>
        <v>51389.566496059284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477" priority="89">
      <formula>$E$27&gt;0</formula>
    </cfRule>
    <cfRule type="expression" dxfId="1476" priority="90">
      <formula>$E$27&lt;0</formula>
    </cfRule>
  </conditionalFormatting>
  <conditionalFormatting sqref="G15:I16 H27:I27">
    <cfRule type="expression" dxfId="1475" priority="87">
      <formula>$H$27&gt;0</formula>
    </cfRule>
    <cfRule type="expression" dxfId="1474" priority="88">
      <formula>$H$27&lt;0</formula>
    </cfRule>
  </conditionalFormatting>
  <conditionalFormatting sqref="J15:L16 K27:L27">
    <cfRule type="expression" dxfId="1473" priority="85">
      <formula>$K$27&gt;0</formula>
    </cfRule>
    <cfRule type="expression" dxfId="1472" priority="86">
      <formula>$K$27&lt;0</formula>
    </cfRule>
  </conditionalFormatting>
  <conditionalFormatting sqref="M15:O16 N27:O27">
    <cfRule type="expression" dxfId="1471" priority="83">
      <formula>$N$27&gt;0</formula>
    </cfRule>
    <cfRule type="expression" dxfId="1470" priority="84">
      <formula>$N$27&lt;0</formula>
    </cfRule>
  </conditionalFormatting>
  <conditionalFormatting sqref="A17:O26 A34:O43">
    <cfRule type="expression" dxfId="1469" priority="91">
      <formula>AND($N17 &gt; 0, ISNUMBER($N17))</formula>
    </cfRule>
    <cfRule type="expression" dxfId="1468" priority="92">
      <formula>AND($N17 &lt; 0, ISNUMBER($N17))</formula>
    </cfRule>
    <cfRule type="expression" dxfId="1467" priority="93">
      <formula>AND($K17 &gt; 0, ISNUMBER($K17))</formula>
    </cfRule>
    <cfRule type="expression" dxfId="1466" priority="94">
      <formula>AND($K17 &lt; 0, ISNUMBER($K17))</formula>
    </cfRule>
    <cfRule type="expression" dxfId="1465" priority="95">
      <formula>AND($H17 &gt; 0, ISNUMBER($H17))</formula>
    </cfRule>
    <cfRule type="expression" dxfId="1464" priority="96">
      <formula>AND($H17 &lt; 0, ISNUMBER($H17))</formula>
    </cfRule>
    <cfRule type="expression" dxfId="1463" priority="97">
      <formula>AND($E17 &gt; 0, ISNUMBER($E17))</formula>
    </cfRule>
    <cfRule type="expression" dxfId="1462" priority="98">
      <formula>AND($E17 &lt; 0, ISNUMBER($E17))</formula>
    </cfRule>
  </conditionalFormatting>
  <conditionalFormatting sqref="D32:F33 E44:F44">
    <cfRule type="expression" dxfId="1461" priority="81">
      <formula>$E$44&gt;0</formula>
    </cfRule>
    <cfRule type="expression" dxfId="1460" priority="82">
      <formula>$E$44&lt;0</formula>
    </cfRule>
  </conditionalFormatting>
  <conditionalFormatting sqref="G32:I33 H44:I44">
    <cfRule type="expression" dxfId="1459" priority="79">
      <formula>$H$44&gt;0</formula>
    </cfRule>
    <cfRule type="expression" dxfId="1458" priority="80">
      <formula>$H$44&lt;0</formula>
    </cfRule>
  </conditionalFormatting>
  <conditionalFormatting sqref="J32:L33 K44:L44">
    <cfRule type="expression" dxfId="1457" priority="77">
      <formula>$K$44&gt;0</formula>
    </cfRule>
    <cfRule type="expression" dxfId="1456" priority="78">
      <formula>$K$44&lt;0</formula>
    </cfRule>
  </conditionalFormatting>
  <conditionalFormatting sqref="M32:O33 N44:O44">
    <cfRule type="expression" dxfId="1455" priority="75">
      <formula>$N$44&gt;0</formula>
    </cfRule>
    <cfRule type="expression" dxfId="1454" priority="76">
      <formula>$N$44&lt;0</formula>
    </cfRule>
  </conditionalFormatting>
  <conditionalFormatting sqref="A51:O60">
    <cfRule type="expression" dxfId="1453" priority="67">
      <formula>AND($N51 &gt; 0, ISNUMBER($N51))</formula>
    </cfRule>
    <cfRule type="expression" dxfId="1452" priority="68">
      <formula>AND($N51 &lt; 0, ISNUMBER($N51))</formula>
    </cfRule>
    <cfRule type="expression" dxfId="1451" priority="69">
      <formula>AND($K51 &gt; 0, ISNUMBER($K51))</formula>
    </cfRule>
    <cfRule type="expression" dxfId="1450" priority="70">
      <formula>AND($K51 &lt; 0, ISNUMBER($K51))</formula>
    </cfRule>
    <cfRule type="expression" dxfId="1449" priority="71">
      <formula>AND($H51 &gt; 0, ISNUMBER($H51))</formula>
    </cfRule>
    <cfRule type="expression" dxfId="1448" priority="72">
      <formula>AND($H51 &lt; 0, ISNUMBER($H51))</formula>
    </cfRule>
    <cfRule type="expression" dxfId="1447" priority="73">
      <formula>AND($E51 &gt; 0, ISNUMBER($E51))</formula>
    </cfRule>
    <cfRule type="expression" dxfId="1446" priority="74">
      <formula>AND($E51 &lt; 0, ISNUMBER($E51))</formula>
    </cfRule>
  </conditionalFormatting>
  <conditionalFormatting sqref="D49:F50 E61:F61">
    <cfRule type="expression" dxfId="1445" priority="65">
      <formula>$E$61&gt;0</formula>
    </cfRule>
    <cfRule type="expression" dxfId="1444" priority="66">
      <formula>$E$61&lt;0</formula>
    </cfRule>
  </conditionalFormatting>
  <conditionalFormatting sqref="G49:I50 H61:I61">
    <cfRule type="expression" dxfId="1443" priority="63">
      <formula>$H$61&gt;0</formula>
    </cfRule>
    <cfRule type="expression" dxfId="1442" priority="64">
      <formula>$H$61&lt;0</formula>
    </cfRule>
  </conditionalFormatting>
  <conditionalFormatting sqref="J49:L50 K61:L61">
    <cfRule type="expression" dxfId="1441" priority="61">
      <formula>$K$61&gt;0</formula>
    </cfRule>
    <cfRule type="expression" dxfId="1440" priority="62">
      <formula>$K$61&lt;0</formula>
    </cfRule>
  </conditionalFormatting>
  <conditionalFormatting sqref="M49:O50 N61:O61">
    <cfRule type="expression" dxfId="1439" priority="59">
      <formula>$N$61&gt;0</formula>
    </cfRule>
    <cfRule type="expression" dxfId="1438" priority="60">
      <formula>$N$61&lt;0</formula>
    </cfRule>
  </conditionalFormatting>
  <conditionalFormatting sqref="A68:O77">
    <cfRule type="expression" dxfId="1437" priority="51">
      <formula>AND($N68 &gt; 0, ISNUMBER($N68))</formula>
    </cfRule>
    <cfRule type="expression" dxfId="1436" priority="52">
      <formula>AND($N68 &lt; 0, ISNUMBER($N68))</formula>
    </cfRule>
    <cfRule type="expression" dxfId="1435" priority="53">
      <formula>AND($K68 &gt; 0, ISNUMBER($K68))</formula>
    </cfRule>
    <cfRule type="expression" dxfId="1434" priority="54">
      <formula>AND($K68 &lt; 0, ISNUMBER($K68))</formula>
    </cfRule>
    <cfRule type="expression" dxfId="1433" priority="55">
      <formula>AND($H68 &gt; 0, ISNUMBER($H68))</formula>
    </cfRule>
    <cfRule type="expression" dxfId="1432" priority="56">
      <formula>AND($H68 &lt; 0, ISNUMBER($H68))</formula>
    </cfRule>
    <cfRule type="expression" dxfId="1431" priority="57">
      <formula>AND($E68 &gt; 0, ISNUMBER($E68))</formula>
    </cfRule>
    <cfRule type="expression" dxfId="1430" priority="58">
      <formula>AND($E68 &lt; 0, ISNUMBER($E68))</formula>
    </cfRule>
  </conditionalFormatting>
  <conditionalFormatting sqref="D66:F67 E78:F78">
    <cfRule type="expression" dxfId="1429" priority="49">
      <formula>$E$78&gt;0</formula>
    </cfRule>
    <cfRule type="expression" dxfId="1428" priority="50">
      <formula>$E$78&lt;0</formula>
    </cfRule>
  </conditionalFormatting>
  <conditionalFormatting sqref="G66:I67 H78:I78">
    <cfRule type="expression" dxfId="1427" priority="47">
      <formula>$H$78&gt;0</formula>
    </cfRule>
    <cfRule type="expression" dxfId="1426" priority="48">
      <formula>$H$78&lt;0</formula>
    </cfRule>
  </conditionalFormatting>
  <conditionalFormatting sqref="J66:L67 K78:L78">
    <cfRule type="expression" dxfId="1425" priority="45">
      <formula>$K$78&gt;0</formula>
    </cfRule>
    <cfRule type="expression" dxfId="1424" priority="46">
      <formula>$K$78&lt;0</formula>
    </cfRule>
  </conditionalFormatting>
  <conditionalFormatting sqref="M66:O67 N78:O78">
    <cfRule type="expression" dxfId="1423" priority="43">
      <formula>$N$78&gt;0</formula>
    </cfRule>
    <cfRule type="expression" dxfId="1422" priority="44">
      <formula>$N$78&lt;0</formula>
    </cfRule>
  </conditionalFormatting>
  <conditionalFormatting sqref="A85:O94">
    <cfRule type="expression" dxfId="1421" priority="35">
      <formula>AND($N85 &gt; 0, ISNUMBER($N85))</formula>
    </cfRule>
    <cfRule type="expression" dxfId="1420" priority="36">
      <formula>AND($N85 &lt; 0, ISNUMBER($N85))</formula>
    </cfRule>
    <cfRule type="expression" dxfId="1419" priority="37">
      <formula>AND($K85 &gt; 0, ISNUMBER($K85))</formula>
    </cfRule>
    <cfRule type="expression" dxfId="1418" priority="38">
      <formula>AND($K85 &lt; 0, ISNUMBER($K85))</formula>
    </cfRule>
    <cfRule type="expression" dxfId="1417" priority="39">
      <formula>AND($H85 &gt; 0, ISNUMBER($H85))</formula>
    </cfRule>
    <cfRule type="expression" dxfId="1416" priority="40">
      <formula>AND($H85 &lt; 0, ISNUMBER($H85))</formula>
    </cfRule>
    <cfRule type="expression" dxfId="1415" priority="41">
      <formula>AND($E85 &gt; 0, ISNUMBER($E85))</formula>
    </cfRule>
    <cfRule type="expression" dxfId="1414" priority="42">
      <formula>AND($E85 &lt; 0, ISNUMBER($E85))</formula>
    </cfRule>
  </conditionalFormatting>
  <conditionalFormatting sqref="D83:F84 E95:F95">
    <cfRule type="expression" dxfId="1413" priority="33">
      <formula>$E$95&gt;0</formula>
    </cfRule>
    <cfRule type="expression" dxfId="1412" priority="34">
      <formula>$E$95&lt;0</formula>
    </cfRule>
  </conditionalFormatting>
  <conditionalFormatting sqref="G83:I84 H95:I95">
    <cfRule type="expression" dxfId="1411" priority="31">
      <formula>$H$95&gt;0</formula>
    </cfRule>
    <cfRule type="expression" dxfId="1410" priority="32">
      <formula>$H$95&lt;0</formula>
    </cfRule>
  </conditionalFormatting>
  <conditionalFormatting sqref="J83:L84 K95:L95">
    <cfRule type="expression" dxfId="1409" priority="29">
      <formula>$K$95&gt;0</formula>
    </cfRule>
    <cfRule type="expression" dxfId="1408" priority="30">
      <formula>$K$95&lt;0</formula>
    </cfRule>
  </conditionalFormatting>
  <conditionalFormatting sqref="M83:O84 N95:O95">
    <cfRule type="expression" dxfId="1407" priority="27">
      <formula>$N$95&gt;0</formula>
    </cfRule>
    <cfRule type="expression" dxfId="1406" priority="28">
      <formula>$N$95&lt;0</formula>
    </cfRule>
  </conditionalFormatting>
  <conditionalFormatting sqref="A102:O111">
    <cfRule type="expression" dxfId="1405" priority="19">
      <formula>AND($N102 &gt; 0, ISNUMBER($N102))</formula>
    </cfRule>
    <cfRule type="expression" dxfId="1404" priority="20">
      <formula>AND($N102 &lt; 0, ISNUMBER($N102))</formula>
    </cfRule>
    <cfRule type="expression" dxfId="1403" priority="21">
      <formula>AND($K102 &gt; 0, ISNUMBER($K102))</formula>
    </cfRule>
    <cfRule type="expression" dxfId="1402" priority="22">
      <formula>AND($K102 &lt; 0, ISNUMBER($K102))</formula>
    </cfRule>
    <cfRule type="expression" dxfId="1401" priority="23">
      <formula>AND($H102 &gt; 0, ISNUMBER($H102))</formula>
    </cfRule>
    <cfRule type="expression" dxfId="1400" priority="24">
      <formula>AND($H102 &lt; 0, ISNUMBER($H102))</formula>
    </cfRule>
    <cfRule type="expression" dxfId="1399" priority="25">
      <formula>AND($E102 &gt; 0, ISNUMBER($E102))</formula>
    </cfRule>
    <cfRule type="expression" dxfId="1398" priority="26">
      <formula>AND($E102 &lt; 0, ISNUMBER($E102))</formula>
    </cfRule>
  </conditionalFormatting>
  <conditionalFormatting sqref="D100:F101 E112:F112">
    <cfRule type="expression" dxfId="1397" priority="17">
      <formula>$E$112&gt;0</formula>
    </cfRule>
    <cfRule type="expression" dxfId="1396" priority="18">
      <formula>$E$112&lt;0</formula>
    </cfRule>
  </conditionalFormatting>
  <conditionalFormatting sqref="G100:I101 H112:I112">
    <cfRule type="expression" dxfId="1395" priority="15">
      <formula>$H$112&gt;0</formula>
    </cfRule>
    <cfRule type="expression" dxfId="1394" priority="16">
      <formula>$H$112&lt;0</formula>
    </cfRule>
  </conditionalFormatting>
  <conditionalFormatting sqref="J100:L101 K112:L112">
    <cfRule type="expression" dxfId="1393" priority="13">
      <formula>$K$112&gt;0</formula>
    </cfRule>
    <cfRule type="expression" dxfId="1392" priority="14">
      <formula>$K$112&lt;0</formula>
    </cfRule>
  </conditionalFormatting>
  <conditionalFormatting sqref="M100:O101 N112:O112">
    <cfRule type="expression" dxfId="1391" priority="11">
      <formula>$N$112&gt;0</formula>
    </cfRule>
    <cfRule type="expression" dxfId="1390" priority="12">
      <formula>$N$112&lt;0</formula>
    </cfRule>
  </conditionalFormatting>
  <conditionalFormatting sqref="G2:I3">
    <cfRule type="expression" dxfId="138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38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38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38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38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38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38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38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38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38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F0CF8-ABA6-459C-8903-0FC8285434B4}">
  <sheetPr codeName="Sheet4"/>
  <dimension ref="A1:R112"/>
  <sheetViews>
    <sheetView topLeftCell="A88" zoomScaleNormal="100" workbookViewId="0">
      <selection activeCell="A13" sqref="A13:O27"/>
    </sheetView>
  </sheetViews>
  <sheetFormatPr defaultRowHeight="16.5"/>
  <cols>
    <col min="1" max="1" width="13" bestFit="1" customWidth="1"/>
    <col min="2" max="2" width="15.37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5.25" bestFit="1" customWidth="1"/>
    <col min="13" max="13" width="15.37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44293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-16,712 KRW (-16.71%)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83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0 KRW (0.00%)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-30,310 KRW (-10.10%)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0 KRW (0.00%)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10,751 KRW (1.08%)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83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82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86" t="s">
        <v>67</v>
      </c>
      <c r="H16" s="87" t="s">
        <v>68</v>
      </c>
      <c r="I16" s="88" t="s">
        <v>70</v>
      </c>
      <c r="J16" s="4" t="s">
        <v>67</v>
      </c>
      <c r="K16" s="4" t="s">
        <v>68</v>
      </c>
      <c r="L16" s="84" t="s">
        <v>70</v>
      </c>
      <c r="M16" s="18" t="s">
        <v>67</v>
      </c>
      <c r="N16" s="4" t="s">
        <v>68</v>
      </c>
      <c r="O16" s="85" t="s">
        <v>70</v>
      </c>
      <c r="Q16" s="206"/>
      <c r="R16" s="207"/>
    </row>
    <row r="17" spans="1:18" ht="17.25" customHeight="1">
      <c r="A17" s="39" t="s">
        <v>105</v>
      </c>
      <c r="B17" s="89">
        <f>IF(NOT(_xlfn.IFNA(VLOOKUP($A17, $A$30:$O$112, 2, FALSE), "")=0), _xlfn.IFNA(VLOOKUP($A17, $A$30:$O$112, 2, FALSE), ""), "")</f>
        <v>49100</v>
      </c>
      <c r="C17" s="22">
        <f>IF(NOT(_xlfn.IFNA(VLOOKUP($A17, $A$30:$O$112, 3, FALSE), "")=0), _xlfn.IFNA(VLOOKUP($A17, $A$30:$O$112, 3, FALSE), ""), "")</f>
        <v>0.15720000000000001</v>
      </c>
      <c r="D17" s="89">
        <f>IF(NOT(_xlfn.IFNA(VLOOKUP($A17, $A$30:$O$112, 4, FALSE), "")=0), _xlfn.IFNA(VLOOKUP($A17, $A$30:$O$112, 4, FALSE), ""), "")</f>
        <v>83630</v>
      </c>
      <c r="E17" s="22">
        <f>IF(NOT(_xlfn.IFNA(VLOOKUP($A17, $A$30:$O$112, 5, FALSE), "")=0), _xlfn.IFNA(VLOOKUP($A17, $A$30:$O$112, 5, FALSE), ""), "")</f>
        <v>0.70325865580448066</v>
      </c>
      <c r="F17" s="58">
        <f>IF(NOT(_xlfn.IFNA(VLOOKUP($A17, $A$30:$O$112, 6, FALSE), "")=0), _xlfn.IFNA(VLOOKUP($A17, $A$30:$O$112, 6, FALSE), ""), "")</f>
        <v>70325.865580448066</v>
      </c>
      <c r="G17" s="36">
        <f t="shared" ref="G17:G26" si="0">IF(NOT(_xlfn.IFNA(VLOOKUP($A17, $A$30:$O$112, 7, FALSE), "")=0), _xlfn.IFNA(VLOOKUP($A17, $A$30:$O$112, 7, FALSE), ""), "")</f>
        <v>66000</v>
      </c>
      <c r="H17" s="5">
        <f>IF(NOT(_xlfn.IFNA(VLOOKUP($A17, $A$30:$O$112, 8, FALSE), "")=0), _xlfn.IFNA(VLOOKUP($A17, $A$30:$O$112, 8, FALSE), ""), "")</f>
        <v>0.34419551934826886</v>
      </c>
      <c r="I17" s="59">
        <f>IF(NOT(_xlfn.IFNA(VLOOKUP($A17, $A$30:$O$112, 9, FALSE), "")=0), _xlfn.IFNA(VLOOKUP($A17, $A$30:$O$112, 9, FALSE), ""), "")</f>
        <v>34419.551934826886</v>
      </c>
      <c r="J17" s="89">
        <f>IF(NOT(_xlfn.IFNA(VLOOKUP($A17, $A$30:$O$112, 10, FALSE), "")=0), _xlfn.IFNA(VLOOKUP($A17, $A$30:$O$112, 10, FALSE), ""), "")</f>
        <v>61220</v>
      </c>
      <c r="K17" s="22">
        <f>IF(NOT(_xlfn.IFNA(VLOOKUP($A17, $A$30:$O$112, 11, FALSE), "")=0), _xlfn.IFNA(VLOOKUP($A17, $A$30:$O$112, 11, FALSE), ""), "")</f>
        <v>0.24684317718940937</v>
      </c>
      <c r="L17" s="58">
        <f>IF(NOT(_xlfn.IFNA(VLOOKUP($A17, $A$30:$O$112, 12, FALSE), "")=0), _xlfn.IFNA(VLOOKUP($A17, $A$30:$O$112, 12, FALSE), ""), "")</f>
        <v>24684.317718940936</v>
      </c>
      <c r="M17" s="89">
        <f>IF(NOT(_xlfn.IFNA(VLOOKUP($A17, $A$30:$O$112, 13, FALSE), "")=0), _xlfn.IFNA(VLOOKUP($A17, $A$30:$O$112, 13, FALSE), ""), "")</f>
        <v>62880</v>
      </c>
      <c r="N17" s="22">
        <f>IF(NOT(_xlfn.IFNA(VLOOKUP($A17, $A$30:$O$112, 14, FALSE), "")=0), _xlfn.IFNA(VLOOKUP($A17, $A$30:$O$112, 14, FALSE), ""), "")</f>
        <v>0.28065173116089615</v>
      </c>
      <c r="O17" s="43">
        <f>IF(NOT(_xlfn.IFNA(VLOOKUP($A17, $A$30:$O$112, 15, FALSE), "")=0), _xlfn.IFNA(VLOOKUP($A17, $A$30:$O$112, 15, FALSE), ""), "")</f>
        <v>28065.173116089616</v>
      </c>
      <c r="Q17" s="204"/>
      <c r="R17" s="205"/>
    </row>
    <row r="18" spans="1:18" ht="17.25" customHeight="1">
      <c r="A18" s="40" t="s">
        <v>174</v>
      </c>
      <c r="B18" s="36">
        <f t="shared" ref="B18:B26" si="1">IF(NOT(_xlfn.IFNA(VLOOKUP($A18, $A$30:$O$112, 2, FALSE), "")=0), _xlfn.IFNA(VLOOKUP($A18, $A$30:$O$112, 2, FALSE), ""), "")</f>
        <v>17860</v>
      </c>
      <c r="C18" s="5">
        <f t="shared" ref="C18:C26" si="2">IF(NOT(_xlfn.IFNA(VLOOKUP($A18, $A$30:$O$112, 3, FALSE), "")=0), _xlfn.IFNA(VLOOKUP($A18, $A$30:$O$112, 3, FALSE), ""), "")</f>
        <v>0.1268</v>
      </c>
      <c r="D18" s="36">
        <f t="shared" ref="D18:D26" si="3">IF(NOT(_xlfn.IFNA(VLOOKUP($A18, $A$30:$O$112, 4, FALSE), "")=0), _xlfn.IFNA(VLOOKUP($A18, $A$30:$O$112, 4, FALSE), ""), "")</f>
        <v>24390</v>
      </c>
      <c r="E18" s="5">
        <f t="shared" ref="E18:E26" si="4">IF(NOT(_xlfn.IFNA(VLOOKUP($A18, $A$30:$O$112, 5, FALSE), "")=0), _xlfn.IFNA(VLOOKUP($A18, $A$30:$O$112, 5, FALSE), ""), "")</f>
        <v>0.36562150055991044</v>
      </c>
      <c r="F18" s="59">
        <f t="shared" ref="F18:F26" si="5">IF(NOT(_xlfn.IFNA(VLOOKUP($A18, $A$30:$O$112, 6, FALSE), "")=0), _xlfn.IFNA(VLOOKUP($A18, $A$30:$O$112, 6, FALSE), ""), "")</f>
        <v>36562.150055991042</v>
      </c>
      <c r="G18" s="36">
        <f t="shared" si="0"/>
        <v>20610</v>
      </c>
      <c r="H18" s="5">
        <f t="shared" ref="H18:H26" si="6">IF(NOT(_xlfn.IFNA(VLOOKUP($A18, $A$30:$O$112, 8, FALSE), "")=0), _xlfn.IFNA(VLOOKUP($A18, $A$30:$O$112, 8, FALSE), ""), "")</f>
        <v>0.15397536394176931</v>
      </c>
      <c r="I18" s="59">
        <f t="shared" ref="I18:I26" si="7">IF(NOT(_xlfn.IFNA(VLOOKUP($A18, $A$30:$O$112, 9, FALSE), "")=0), _xlfn.IFNA(VLOOKUP($A18, $A$30:$O$112, 9, FALSE), ""), "")</f>
        <v>15397.53639417693</v>
      </c>
      <c r="J18" s="36">
        <f t="shared" ref="J18:J26" si="8">IF(NOT(_xlfn.IFNA(VLOOKUP($A18, $A$30:$O$112, 10, FALSE), "")=0), _xlfn.IFNA(VLOOKUP($A18, $A$30:$O$112, 10, FALSE), ""), "")</f>
        <v>18550</v>
      </c>
      <c r="K18" s="5">
        <f t="shared" ref="K18:K26" si="9">IF(NOT(_xlfn.IFNA(VLOOKUP($A18, $A$30:$O$112, 11, FALSE), "")=0), _xlfn.IFNA(VLOOKUP($A18, $A$30:$O$112, 11, FALSE), ""), "")</f>
        <v>3.8633818589025759E-2</v>
      </c>
      <c r="L18" s="59">
        <f t="shared" ref="L18:L26" si="10">IF(NOT(_xlfn.IFNA(VLOOKUP($A18, $A$30:$O$112, 12, FALSE), "")=0), _xlfn.IFNA(VLOOKUP($A18, $A$30:$O$112, 12, FALSE), ""), "")</f>
        <v>3863.3818589025759</v>
      </c>
      <c r="M18" s="36">
        <f t="shared" ref="M18:M26" si="11">IF(NOT(_xlfn.IFNA(VLOOKUP($A18, $A$30:$O$112, 13, FALSE), "")=0), _xlfn.IFNA(VLOOKUP($A18, $A$30:$O$112, 13, FALSE), ""), "")</f>
        <v>22120</v>
      </c>
      <c r="N18" s="5">
        <f t="shared" ref="N18:N26" si="12">IF(NOT(_xlfn.IFNA(VLOOKUP($A18, $A$30:$O$112, 14, FALSE), "")=0), _xlfn.IFNA(VLOOKUP($A18, $A$30:$O$112, 14, FALSE), ""), "")</f>
        <v>0.23852183650615902</v>
      </c>
      <c r="O18" s="44">
        <f t="shared" ref="O18:O26" si="13">IF(NOT(_xlfn.IFNA(VLOOKUP($A18, $A$30:$O$112, 15, FALSE), "")=0), _xlfn.IFNA(VLOOKUP($A18, $A$30:$O$112, 15, FALSE), ""), "")</f>
        <v>23852.183650615902</v>
      </c>
      <c r="Q18" s="204"/>
      <c r="R18" s="205"/>
    </row>
    <row r="19" spans="1:18" ht="17.25" customHeight="1">
      <c r="A19" s="40" t="s">
        <v>120</v>
      </c>
      <c r="B19" s="36">
        <f t="shared" si="1"/>
        <v>9825</v>
      </c>
      <c r="C19" s="5">
        <f t="shared" si="2"/>
        <v>0.1008</v>
      </c>
      <c r="D19" s="36">
        <f t="shared" si="3"/>
        <v>8995</v>
      </c>
      <c r="E19" s="5">
        <f t="shared" si="4"/>
        <v>-8.447837150127227E-2</v>
      </c>
      <c r="F19" s="59">
        <f t="shared" si="5"/>
        <v>-8447.8371501272268</v>
      </c>
      <c r="G19" s="36">
        <f t="shared" si="0"/>
        <v>8115</v>
      </c>
      <c r="H19" s="5">
        <f t="shared" si="6"/>
        <v>-0.17404580152671756</v>
      </c>
      <c r="I19" s="59">
        <f t="shared" si="7"/>
        <v>-17404.580152671755</v>
      </c>
      <c r="J19" s="36">
        <f t="shared" si="8"/>
        <v>7525</v>
      </c>
      <c r="K19" s="5">
        <f t="shared" si="9"/>
        <v>-0.2340966921119593</v>
      </c>
      <c r="L19" s="59">
        <f t="shared" si="10"/>
        <v>-23409.669211195931</v>
      </c>
      <c r="M19" s="36">
        <f t="shared" si="11"/>
        <v>8025</v>
      </c>
      <c r="N19" s="5">
        <f t="shared" si="12"/>
        <v>-0.18320610687022901</v>
      </c>
      <c r="O19" s="44">
        <f t="shared" si="13"/>
        <v>-18320.610687022901</v>
      </c>
      <c r="Q19" s="204"/>
      <c r="R19" s="205"/>
    </row>
    <row r="20" spans="1:18" ht="17.25" customHeight="1">
      <c r="A20" s="40" t="s">
        <v>111</v>
      </c>
      <c r="B20" s="36">
        <f t="shared" si="1"/>
        <v>720</v>
      </c>
      <c r="C20" s="5">
        <f t="shared" si="2"/>
        <v>6.8199999999999997E-2</v>
      </c>
      <c r="D20" s="36">
        <f t="shared" si="3"/>
        <v>671</v>
      </c>
      <c r="E20" s="5">
        <f t="shared" si="4"/>
        <v>-6.805555555555555E-2</v>
      </c>
      <c r="F20" s="59">
        <f t="shared" si="5"/>
        <v>-6805.5555555555547</v>
      </c>
      <c r="G20" s="36">
        <f t="shared" si="0"/>
        <v>605</v>
      </c>
      <c r="H20" s="5">
        <f t="shared" si="6"/>
        <v>-0.15972222222222221</v>
      </c>
      <c r="I20" s="59">
        <f t="shared" si="7"/>
        <v>-15972.222222222221</v>
      </c>
      <c r="J20" s="36">
        <f t="shared" si="8"/>
        <v>565</v>
      </c>
      <c r="K20" s="5">
        <f t="shared" si="9"/>
        <v>-0.21527777777777779</v>
      </c>
      <c r="L20" s="59">
        <f t="shared" si="10"/>
        <v>-21527.777777777777</v>
      </c>
      <c r="M20" s="36">
        <f t="shared" si="11"/>
        <v>603</v>
      </c>
      <c r="N20" s="5">
        <f t="shared" si="12"/>
        <v>-0.16250000000000001</v>
      </c>
      <c r="O20" s="44">
        <f t="shared" si="13"/>
        <v>-16250</v>
      </c>
      <c r="Q20" s="204"/>
      <c r="R20" s="205"/>
    </row>
    <row r="21" spans="1:18" ht="17.25" customHeight="1">
      <c r="A21" s="41" t="s">
        <v>212</v>
      </c>
      <c r="B21" s="37">
        <f t="shared" si="1"/>
        <v>23180</v>
      </c>
      <c r="C21" s="24">
        <f t="shared" si="2"/>
        <v>5.7500000000000002E-2</v>
      </c>
      <c r="D21" s="37">
        <f t="shared" si="3"/>
        <v>30730</v>
      </c>
      <c r="E21" s="24">
        <f t="shared" si="4"/>
        <v>0.32571182053494391</v>
      </c>
      <c r="F21" s="60">
        <f t="shared" si="5"/>
        <v>32571.182053494391</v>
      </c>
      <c r="G21" s="37">
        <f t="shared" si="0"/>
        <v>24570</v>
      </c>
      <c r="H21" s="24">
        <f t="shared" si="6"/>
        <v>5.996548748921484E-2</v>
      </c>
      <c r="I21" s="60">
        <f t="shared" si="7"/>
        <v>5996.5487489214838</v>
      </c>
      <c r="J21" s="37">
        <f t="shared" si="8"/>
        <v>22550</v>
      </c>
      <c r="K21" s="24">
        <f t="shared" si="9"/>
        <v>-2.7178602243313203E-2</v>
      </c>
      <c r="L21" s="60">
        <f t="shared" si="10"/>
        <v>-2717.8602243313203</v>
      </c>
      <c r="M21" s="37">
        <f t="shared" si="11"/>
        <v>25230</v>
      </c>
      <c r="N21" s="24">
        <f t="shared" si="12"/>
        <v>8.8438308886971531E-2</v>
      </c>
      <c r="O21" s="62">
        <f t="shared" si="13"/>
        <v>8843.8308886971536</v>
      </c>
      <c r="Q21" s="204"/>
      <c r="R21" s="205"/>
    </row>
    <row r="22" spans="1:18" ht="17.25" customHeight="1">
      <c r="A22" s="40" t="s">
        <v>151</v>
      </c>
      <c r="B22" s="36">
        <f t="shared" si="1"/>
        <v>4615</v>
      </c>
      <c r="C22" s="5">
        <f t="shared" si="2"/>
        <v>5.3699999999999998E-2</v>
      </c>
      <c r="D22" s="36">
        <f t="shared" si="3"/>
        <v>4610</v>
      </c>
      <c r="E22" s="5">
        <f t="shared" si="4"/>
        <v>-1.0834236186348862E-3</v>
      </c>
      <c r="F22" s="59">
        <f t="shared" si="5"/>
        <v>-108.34236186348862</v>
      </c>
      <c r="G22" s="36">
        <f t="shared" si="0"/>
        <v>3960</v>
      </c>
      <c r="H22" s="5">
        <f t="shared" si="6"/>
        <v>-0.14192849404117011</v>
      </c>
      <c r="I22" s="59">
        <f t="shared" si="7"/>
        <v>-14192.849404117011</v>
      </c>
      <c r="J22" s="36">
        <f t="shared" si="8"/>
        <v>3675</v>
      </c>
      <c r="K22" s="5">
        <f t="shared" si="9"/>
        <v>-0.20368364030335862</v>
      </c>
      <c r="L22" s="59">
        <f t="shared" si="10"/>
        <v>-20368.364030335862</v>
      </c>
      <c r="M22" s="36">
        <f t="shared" si="11"/>
        <v>3920</v>
      </c>
      <c r="N22" s="5">
        <f t="shared" si="12"/>
        <v>-0.15059588299024917</v>
      </c>
      <c r="O22" s="44">
        <f t="shared" si="13"/>
        <v>-15059.588299024917</v>
      </c>
      <c r="Q22" s="204"/>
      <c r="R22" s="205"/>
    </row>
    <row r="23" spans="1:18" ht="17.25" customHeight="1">
      <c r="A23" s="40" t="s">
        <v>148</v>
      </c>
      <c r="B23" s="36">
        <f t="shared" si="1"/>
        <v>74.2</v>
      </c>
      <c r="C23" s="5">
        <f t="shared" si="2"/>
        <v>4.5100000000000001E-2</v>
      </c>
      <c r="D23" s="36">
        <f t="shared" si="3"/>
        <v>70.3</v>
      </c>
      <c r="E23" s="5">
        <f t="shared" si="4"/>
        <v>-5.2560646900269618E-2</v>
      </c>
      <c r="F23" s="59">
        <f t="shared" si="5"/>
        <v>-5256.0646900269621</v>
      </c>
      <c r="G23" s="36">
        <f t="shared" si="0"/>
        <v>62.7</v>
      </c>
      <c r="H23" s="5">
        <f t="shared" si="6"/>
        <v>-0.15498652291105119</v>
      </c>
      <c r="I23" s="59">
        <f t="shared" si="7"/>
        <v>-15498.65229110512</v>
      </c>
      <c r="J23" s="36">
        <f t="shared" si="8"/>
        <v>59.1</v>
      </c>
      <c r="K23" s="5">
        <f t="shared" si="9"/>
        <v>-0.20350404312668466</v>
      </c>
      <c r="L23" s="59">
        <f t="shared" si="10"/>
        <v>-20350.404312668466</v>
      </c>
      <c r="M23" s="36">
        <f t="shared" si="11"/>
        <v>61.8</v>
      </c>
      <c r="N23" s="5">
        <f t="shared" si="12"/>
        <v>-0.16711590296495965</v>
      </c>
      <c r="O23" s="44">
        <f t="shared" si="13"/>
        <v>-16711.590296495964</v>
      </c>
      <c r="Q23" s="204"/>
      <c r="R23" s="205"/>
    </row>
    <row r="24" spans="1:18" ht="17.25" customHeight="1">
      <c r="A24" s="40" t="s">
        <v>149</v>
      </c>
      <c r="B24" s="36">
        <f t="shared" si="1"/>
        <v>343100</v>
      </c>
      <c r="C24" s="5">
        <f t="shared" si="2"/>
        <v>4.3499999999999997E-2</v>
      </c>
      <c r="D24" s="36">
        <f t="shared" si="3"/>
        <v>409550</v>
      </c>
      <c r="E24" s="5">
        <f t="shared" si="4"/>
        <v>0.19367531331973187</v>
      </c>
      <c r="F24" s="59">
        <f t="shared" si="5"/>
        <v>19367.531331973187</v>
      </c>
      <c r="G24" s="36">
        <f t="shared" si="0"/>
        <v>316100</v>
      </c>
      <c r="H24" s="5">
        <f t="shared" si="6"/>
        <v>-7.8694258233751091E-2</v>
      </c>
      <c r="I24" s="59">
        <f t="shared" si="7"/>
        <v>-7869.4258233751088</v>
      </c>
      <c r="J24" s="36">
        <f t="shared" si="8"/>
        <v>295050</v>
      </c>
      <c r="K24" s="5">
        <f t="shared" si="9"/>
        <v>-0.14004663363450889</v>
      </c>
      <c r="L24" s="59">
        <f t="shared" si="10"/>
        <v>-14004.663363450889</v>
      </c>
      <c r="M24" s="36">
        <f t="shared" si="11"/>
        <v>307900</v>
      </c>
      <c r="N24" s="5">
        <f t="shared" si="12"/>
        <v>-0.10259399591955698</v>
      </c>
      <c r="O24" s="44">
        <f t="shared" si="13"/>
        <v>-10259.399591955698</v>
      </c>
      <c r="Q24" s="204"/>
      <c r="R24" s="205"/>
    </row>
    <row r="25" spans="1:18" ht="17.25" customHeight="1">
      <c r="A25" s="40" t="s">
        <v>175</v>
      </c>
      <c r="B25" s="36">
        <f t="shared" si="1"/>
        <v>584</v>
      </c>
      <c r="C25" s="5">
        <f t="shared" si="2"/>
        <v>4.2900000000000001E-2</v>
      </c>
      <c r="D25" s="36">
        <f t="shared" si="3"/>
        <v>615</v>
      </c>
      <c r="E25" s="5">
        <f t="shared" si="4"/>
        <v>5.3082191780821915E-2</v>
      </c>
      <c r="F25" s="59">
        <f t="shared" si="5"/>
        <v>5308.2191780821913</v>
      </c>
      <c r="G25" s="36">
        <f t="shared" si="0"/>
        <v>517</v>
      </c>
      <c r="H25" s="5">
        <f t="shared" si="6"/>
        <v>-0.11472602739726027</v>
      </c>
      <c r="I25" s="59">
        <f t="shared" si="7"/>
        <v>-11472.602739726028</v>
      </c>
      <c r="J25" s="36">
        <f t="shared" si="8"/>
        <v>473</v>
      </c>
      <c r="K25" s="5">
        <f t="shared" si="9"/>
        <v>-0.19006849315068494</v>
      </c>
      <c r="L25" s="59">
        <f t="shared" si="10"/>
        <v>-19006.849315068495</v>
      </c>
      <c r="M25" s="36">
        <f t="shared" si="11"/>
        <v>506</v>
      </c>
      <c r="N25" s="5">
        <f t="shared" si="12"/>
        <v>-0.13356164383561644</v>
      </c>
      <c r="O25" s="44">
        <f t="shared" si="13"/>
        <v>-13356.164383561645</v>
      </c>
      <c r="Q25" s="206"/>
      <c r="R25" s="207"/>
    </row>
    <row r="26" spans="1:18" ht="17.25" customHeight="1" thickBot="1">
      <c r="A26" s="42" t="s">
        <v>194</v>
      </c>
      <c r="B26" s="38">
        <f t="shared" si="1"/>
        <v>142</v>
      </c>
      <c r="C26" s="16">
        <f t="shared" si="2"/>
        <v>3.6499999999999998E-2</v>
      </c>
      <c r="D26" s="38">
        <f t="shared" si="3"/>
        <v>159</v>
      </c>
      <c r="E26" s="16">
        <f t="shared" si="4"/>
        <v>0.11971830985915492</v>
      </c>
      <c r="F26" s="61">
        <f t="shared" si="5"/>
        <v>11971.830985915492</v>
      </c>
      <c r="G26" s="38">
        <f t="shared" si="0"/>
        <v>139</v>
      </c>
      <c r="H26" s="16">
        <f t="shared" si="6"/>
        <v>-2.1126760563380281E-2</v>
      </c>
      <c r="I26" s="61">
        <f t="shared" si="7"/>
        <v>-2112.676056338028</v>
      </c>
      <c r="J26" s="38">
        <f t="shared" si="8"/>
        <v>128</v>
      </c>
      <c r="K26" s="16">
        <f t="shared" si="9"/>
        <v>-9.8591549295774641E-2</v>
      </c>
      <c r="L26" s="61">
        <f t="shared" si="10"/>
        <v>-9859.1549295774639</v>
      </c>
      <c r="M26" s="38">
        <f t="shared" si="11"/>
        <v>141</v>
      </c>
      <c r="N26" s="16">
        <f t="shared" si="12"/>
        <v>-7.0422535211267607E-3</v>
      </c>
      <c r="O26" s="45">
        <f t="shared" si="13"/>
        <v>-704.22535211267609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0.15548897942833115</v>
      </c>
      <c r="F27" s="47">
        <f>SUM(F17:F26)</f>
        <v>155488.97942833113</v>
      </c>
      <c r="G27" s="57" t="s">
        <v>82</v>
      </c>
      <c r="H27" s="46">
        <f>IF(COUNT(H17:H26), SUM(H17:H26) / COUNT(H17:H26), 0)</f>
        <v>-2.8709371611629973E-2</v>
      </c>
      <c r="I27" s="47">
        <f>SUM(I17:I26)</f>
        <v>-28709.371611629966</v>
      </c>
      <c r="J27" s="57" t="s">
        <v>82</v>
      </c>
      <c r="K27" s="46">
        <f>IF(COUNT(K17:K26), SUM(K17:K26) / COUNT(K17:K26), 0)</f>
        <v>-0.1026970435865627</v>
      </c>
      <c r="L27" s="47">
        <f>SUM(L17:L26)</f>
        <v>-102697.04358656269</v>
      </c>
      <c r="M27" s="57" t="s">
        <v>82</v>
      </c>
      <c r="N27" s="46">
        <f>IF(COUNT(N17:N26), SUM(N17:N26) / COUNT(N17:N26), 0)</f>
        <v>-2.9900390954771129E-2</v>
      </c>
      <c r="O27" s="47">
        <f>SUM(O17:O26)</f>
        <v>-29900.39095477113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82" t="s">
        <v>188</v>
      </c>
      <c r="B31" s="186" t="s">
        <v>14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87.7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-3.52035204E-2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84" t="s">
        <v>70</v>
      </c>
      <c r="M33" s="18" t="s">
        <v>67</v>
      </c>
      <c r="N33" s="4" t="s">
        <v>68</v>
      </c>
      <c r="O33" s="85" t="s">
        <v>70</v>
      </c>
      <c r="Q33" s="231"/>
      <c r="R33" s="232"/>
    </row>
    <row r="34" spans="1:18" ht="17.25" customHeight="1">
      <c r="A34" s="9" t="s">
        <v>14</v>
      </c>
      <c r="B34" s="31">
        <v>74.2</v>
      </c>
      <c r="C34" s="22">
        <v>4.5100000000000001E-2</v>
      </c>
      <c r="D34" s="89">
        <v>70.3</v>
      </c>
      <c r="E34" s="22">
        <f>IF(ISNUMBER(D34), (D34 - $B34) / $B34, "")</f>
        <v>-5.2560646900269618E-2</v>
      </c>
      <c r="F34" s="43">
        <f>IF(ISNUMBER(D34), $B44 * E34, "")</f>
        <v>-5256.0646900269621</v>
      </c>
      <c r="G34" s="89">
        <v>62.7</v>
      </c>
      <c r="H34" s="22">
        <f>IF(ISNUMBER(G34), (G34 - $B34) / $B34, "")</f>
        <v>-0.15498652291105119</v>
      </c>
      <c r="I34" s="43">
        <f>IF(ISNUMBER(G34), $B44 * H34, "")</f>
        <v>-15498.65229110512</v>
      </c>
      <c r="J34" s="89">
        <v>59.1</v>
      </c>
      <c r="K34" s="22">
        <f>IF(ISNUMBER(J34), (J34 - $B34) / $B34, "")</f>
        <v>-0.20350404312668466</v>
      </c>
      <c r="L34" s="43">
        <f>IF(ISNUMBER(J34), $B44 * K34, "")</f>
        <v>-20350.404312668466</v>
      </c>
      <c r="M34" s="89">
        <v>61.8</v>
      </c>
      <c r="N34" s="22">
        <f>IF(ISNUMBER(M34), (M34 - $B34) / $B34, "")</f>
        <v>-0.16711590296495965</v>
      </c>
      <c r="O34" s="43">
        <f>IF(ISNUMBER(M34), $B44 * N34, "")</f>
        <v>-16711.590296495964</v>
      </c>
      <c r="Q34" s="229"/>
      <c r="R34" s="230"/>
    </row>
    <row r="35" spans="1:18" ht="17.25" customHeight="1">
      <c r="A35" s="11"/>
      <c r="B35" s="32"/>
      <c r="C35" s="5"/>
      <c r="D35" s="36"/>
      <c r="E35" s="5" t="str">
        <f t="shared" ref="E35:E43" si="14">IF(ISNUMBER(D35), (D35 - $B35) / $B35, "")</f>
        <v/>
      </c>
      <c r="F35" s="44" t="str">
        <f>IF(ISNUMBER(D35), $B44 * E35, "")</f>
        <v/>
      </c>
      <c r="G35" s="36"/>
      <c r="H35" s="5" t="str">
        <f t="shared" ref="H35:H43" si="15">IF(ISNUMBER(G35), (G35 - $B35) / $B35, "")</f>
        <v/>
      </c>
      <c r="I35" s="44" t="str">
        <f>IF(ISNUMBER(G35), $B44 * H35, "")</f>
        <v/>
      </c>
      <c r="J35" s="36"/>
      <c r="K35" s="5" t="str">
        <f t="shared" ref="K35:K43" si="16">IF(ISNUMBER(J35), (J35 - $B35) / $B35, "")</f>
        <v/>
      </c>
      <c r="L35" s="44" t="str">
        <f>IF(ISNUMBER(J35), $B44 * K35, "")</f>
        <v/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-5.2560646900269618E-2</v>
      </c>
      <c r="F44" s="47">
        <f>SUM(F34:F43)</f>
        <v>-5256.0646900269621</v>
      </c>
      <c r="G44" s="57" t="s">
        <v>82</v>
      </c>
      <c r="H44" s="46">
        <f>IF(COUNT(H34:H43), SUM(H34:H43) / COUNT(H34:H43), 0)</f>
        <v>-0.15498652291105119</v>
      </c>
      <c r="I44" s="47">
        <f>SUM(I34:I43)</f>
        <v>-15498.65229110512</v>
      </c>
      <c r="J44" s="57" t="s">
        <v>82</v>
      </c>
      <c r="K44" s="46">
        <f>IF(COUNT(K34:K43), SUM(K34:K43) / COUNT(K34:K43), 0)</f>
        <v>-0.20350404312668466</v>
      </c>
      <c r="L44" s="47">
        <f>SUM(L34:L43)</f>
        <v>-20350.404312668466</v>
      </c>
      <c r="M44" s="57" t="s">
        <v>82</v>
      </c>
      <c r="N44" s="46">
        <f>IF(COUNT(N34:N43), SUM(N34:N43) / COUNT(N34:N43), 0)</f>
        <v>-0.16711590296495965</v>
      </c>
      <c r="O44" s="47">
        <f>SUM(O34:O43)</f>
        <v>-16711.590296495964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82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84" t="s">
        <v>70</v>
      </c>
      <c r="M50" s="18" t="s">
        <v>67</v>
      </c>
      <c r="N50" s="4" t="s">
        <v>68</v>
      </c>
      <c r="O50" s="85" t="s">
        <v>70</v>
      </c>
      <c r="Q50" s="231"/>
      <c r="R50" s="232"/>
    </row>
    <row r="51" spans="1:18" ht="17.25" customHeight="1">
      <c r="A51" s="9"/>
      <c r="B51" s="31"/>
      <c r="C51" s="22"/>
      <c r="D51" s="89"/>
      <c r="E51" s="22" t="str">
        <f>IF(ISNUMBER(D51), (D51 - $B51) / $B51, "")</f>
        <v/>
      </c>
      <c r="F51" s="43" t="str">
        <f>IF(ISNUMBER(D51), $B61 * E51, "")</f>
        <v/>
      </c>
      <c r="G51" s="89"/>
      <c r="H51" s="22" t="str">
        <f>IF(ISNUMBER(G51), (G51 - $B51) / $B51, "")</f>
        <v/>
      </c>
      <c r="I51" s="43" t="str">
        <f>IF(ISNUMBER(G51), $B61 * H51, "")</f>
        <v/>
      </c>
      <c r="J51" s="89"/>
      <c r="K51" s="22" t="str">
        <f>IF(ISNUMBER(J51), (J51 - $B51) / $B51, "")</f>
        <v/>
      </c>
      <c r="L51" s="43" t="str">
        <f>IF(ISNUMBER(J51), $B61 * K51, "")</f>
        <v/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</v>
      </c>
      <c r="F61" s="47">
        <f>SUM(F51:F60)</f>
        <v>0</v>
      </c>
      <c r="G61" s="57" t="s">
        <v>82</v>
      </c>
      <c r="H61" s="46">
        <f>IF(COUNT(H51:H60), SUM(H51:H60) / COUNT(H51:H60), 0)</f>
        <v>0</v>
      </c>
      <c r="I61" s="47">
        <f>SUM(I51:I60)</f>
        <v>0</v>
      </c>
      <c r="J61" s="57" t="s">
        <v>82</v>
      </c>
      <c r="K61" s="46">
        <f>IF(COUNT(K51:K60), SUM(K51:K60) / COUNT(K51:K60), 0)</f>
        <v>0</v>
      </c>
      <c r="L61" s="47">
        <f>SUM(L51:L60)</f>
        <v>0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82" t="s">
        <v>188</v>
      </c>
      <c r="B65" s="186" t="s">
        <v>194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303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2.7118644099999999E-2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84" t="s">
        <v>70</v>
      </c>
      <c r="M67" s="18" t="s">
        <v>67</v>
      </c>
      <c r="N67" s="4" t="s">
        <v>68</v>
      </c>
      <c r="O67" s="85" t="s">
        <v>70</v>
      </c>
      <c r="Q67" s="231"/>
      <c r="R67" s="232"/>
    </row>
    <row r="68" spans="1:18" ht="17.25" customHeight="1">
      <c r="A68" s="9" t="s">
        <v>43</v>
      </c>
      <c r="B68" s="31">
        <v>720</v>
      </c>
      <c r="C68" s="22">
        <v>6.8199999999999997E-2</v>
      </c>
      <c r="D68" s="89">
        <v>671</v>
      </c>
      <c r="E68" s="22">
        <f>IF(ISNUMBER(D68), (D68 - $B68) / $B68, "")</f>
        <v>-6.805555555555555E-2</v>
      </c>
      <c r="F68" s="43">
        <f>IF(ISNUMBER(D68), $B78 * E68, "")</f>
        <v>-6805.5555555555547</v>
      </c>
      <c r="G68" s="89">
        <v>605</v>
      </c>
      <c r="H68" s="22">
        <f>IF(ISNUMBER(G68), (G68 - $B68) / $B68, "")</f>
        <v>-0.15972222222222221</v>
      </c>
      <c r="I68" s="43">
        <f>IF(ISNUMBER(G68), $B78 * H68, "")</f>
        <v>-15972.222222222221</v>
      </c>
      <c r="J68" s="89">
        <v>565</v>
      </c>
      <c r="K68" s="22">
        <f>IF(ISNUMBER(J68), (J68 - $B68) / $B68, "")</f>
        <v>-0.21527777777777779</v>
      </c>
      <c r="L68" s="43">
        <f>IF(ISNUMBER(J68), $B78 * K68, "")</f>
        <v>-21527.777777777777</v>
      </c>
      <c r="M68" s="89">
        <v>603</v>
      </c>
      <c r="N68" s="22">
        <f>IF(ISNUMBER(M68), (M68 - $B68) / $B68, "")</f>
        <v>-0.16250000000000001</v>
      </c>
      <c r="O68" s="43">
        <f>IF(ISNUMBER(M68), $B78 * N68, "")</f>
        <v>-16250</v>
      </c>
      <c r="Q68" s="229"/>
      <c r="R68" s="230"/>
    </row>
    <row r="69" spans="1:18" ht="17.25" customHeight="1">
      <c r="A69" s="11" t="s">
        <v>215</v>
      </c>
      <c r="B69" s="32">
        <v>584</v>
      </c>
      <c r="C69" s="5">
        <v>4.2900000000000001E-2</v>
      </c>
      <c r="D69" s="36">
        <v>615</v>
      </c>
      <c r="E69" s="5">
        <f t="shared" ref="E69:E77" si="22">IF(ISNUMBER(D69), (D69 - $B69) / $B69, "")</f>
        <v>5.3082191780821915E-2</v>
      </c>
      <c r="F69" s="44">
        <f>IF(ISNUMBER(D69), $B78 * E69, "")</f>
        <v>5308.2191780821913</v>
      </c>
      <c r="G69" s="36">
        <v>517</v>
      </c>
      <c r="H69" s="5">
        <f t="shared" ref="H69:H77" si="23">IF(ISNUMBER(G69), (G69 - $B69) / $B69, "")</f>
        <v>-0.11472602739726027</v>
      </c>
      <c r="I69" s="44">
        <f>IF(ISNUMBER(G69), $B78 * H69, "")</f>
        <v>-11472.602739726028</v>
      </c>
      <c r="J69" s="36">
        <v>473</v>
      </c>
      <c r="K69" s="5">
        <f t="shared" ref="K69:K77" si="24">IF(ISNUMBER(J69), (J69 - $B69) / $B69, "")</f>
        <v>-0.19006849315068494</v>
      </c>
      <c r="L69" s="44">
        <f>IF(ISNUMBER(J69), $B78 * K69, "")</f>
        <v>-19006.849315068495</v>
      </c>
      <c r="M69" s="36">
        <v>506</v>
      </c>
      <c r="N69" s="5">
        <f t="shared" ref="N69:N77" si="25">IF(ISNUMBER(M69), (M69 - $B69) / $B69, "")</f>
        <v>-0.13356164383561644</v>
      </c>
      <c r="O69" s="44">
        <f>IF(ISNUMBER(M69), $B78 * N69, "")</f>
        <v>-13356.164383561645</v>
      </c>
      <c r="Q69" s="229"/>
      <c r="R69" s="230"/>
    </row>
    <row r="70" spans="1:18" ht="17.25" customHeight="1">
      <c r="A70" s="11" t="s">
        <v>194</v>
      </c>
      <c r="B70" s="32">
        <v>142</v>
      </c>
      <c r="C70" s="5">
        <v>3.6499999999999998E-2</v>
      </c>
      <c r="D70" s="36">
        <v>159</v>
      </c>
      <c r="E70" s="5">
        <f t="shared" si="22"/>
        <v>0.11971830985915492</v>
      </c>
      <c r="F70" s="44">
        <f>IF(ISNUMBER(D70), $B78 * E70, "")</f>
        <v>11971.830985915492</v>
      </c>
      <c r="G70" s="36">
        <v>139</v>
      </c>
      <c r="H70" s="5">
        <f t="shared" si="23"/>
        <v>-2.1126760563380281E-2</v>
      </c>
      <c r="I70" s="44">
        <f>IF(ISNUMBER(G70), $B78 * H70, "")</f>
        <v>-2112.676056338028</v>
      </c>
      <c r="J70" s="36">
        <v>128</v>
      </c>
      <c r="K70" s="5">
        <f t="shared" si="24"/>
        <v>-9.8591549295774641E-2</v>
      </c>
      <c r="L70" s="44">
        <f>IF(ISNUMBER(J70), $B78 * K70, "")</f>
        <v>-9859.1549295774639</v>
      </c>
      <c r="M70" s="36">
        <v>141</v>
      </c>
      <c r="N70" s="5">
        <f t="shared" si="25"/>
        <v>-7.0422535211267607E-3</v>
      </c>
      <c r="O70" s="44">
        <f>IF(ISNUMBER(M70), $B78 * N70, "")</f>
        <v>-704.22535211267609</v>
      </c>
      <c r="Q70" s="229"/>
      <c r="R70" s="230"/>
    </row>
    <row r="71" spans="1:18" ht="17.25" customHeight="1">
      <c r="A71" s="11"/>
      <c r="B71" s="32"/>
      <c r="C71" s="5"/>
      <c r="D71" s="36"/>
      <c r="E71" s="5" t="str">
        <f t="shared" si="22"/>
        <v/>
      </c>
      <c r="F71" s="44" t="str">
        <f>IF(ISNUMBER(D71), $B78 * E71, "")</f>
        <v/>
      </c>
      <c r="G71" s="36"/>
      <c r="H71" s="5" t="str">
        <f t="shared" si="23"/>
        <v/>
      </c>
      <c r="I71" s="44" t="str">
        <f>IF(ISNUMBER(G71), $B78 * H71, "")</f>
        <v/>
      </c>
      <c r="J71" s="36"/>
      <c r="K71" s="5" t="str">
        <f t="shared" si="24"/>
        <v/>
      </c>
      <c r="L71" s="44" t="str">
        <f>IF(ISNUMBER(J71), $B78 * K71, "")</f>
        <v/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/>
      <c r="B72" s="33"/>
      <c r="C72" s="24"/>
      <c r="D72" s="37"/>
      <c r="E72" s="24" t="str">
        <f t="shared" si="22"/>
        <v/>
      </c>
      <c r="F72" s="44" t="str">
        <f>IF(ISNUMBER(D72), $B78 * E72, "")</f>
        <v/>
      </c>
      <c r="G72" s="37"/>
      <c r="H72" s="24" t="str">
        <f t="shared" si="23"/>
        <v/>
      </c>
      <c r="I72" s="44" t="str">
        <f>IF(ISNUMBER(G72), $B78 * H72, "")</f>
        <v/>
      </c>
      <c r="J72" s="37"/>
      <c r="K72" s="24" t="str">
        <f t="shared" si="24"/>
        <v/>
      </c>
      <c r="L72" s="44" t="str">
        <f>IF(ISNUMBER(J72), $B78 * K72, "")</f>
        <v/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/>
      <c r="B73" s="32"/>
      <c r="C73" s="5"/>
      <c r="D73" s="36"/>
      <c r="E73" s="5" t="str">
        <f t="shared" si="22"/>
        <v/>
      </c>
      <c r="F73" s="48" t="str">
        <f>IF(ISNUMBER(D73), $B78 * E73, "")</f>
        <v/>
      </c>
      <c r="G73" s="36"/>
      <c r="H73" s="5" t="str">
        <f t="shared" si="23"/>
        <v/>
      </c>
      <c r="I73" s="48" t="str">
        <f>IF(ISNUMBER(G73), $B78 * H73, "")</f>
        <v/>
      </c>
      <c r="J73" s="36"/>
      <c r="K73" s="5" t="str">
        <f t="shared" si="24"/>
        <v/>
      </c>
      <c r="L73" s="48" t="str">
        <f>IF(ISNUMBER(J73), $B78 * K73, "")</f>
        <v/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/>
      <c r="B74" s="32"/>
      <c r="C74" s="5"/>
      <c r="D74" s="36"/>
      <c r="E74" s="5" t="str">
        <f t="shared" si="22"/>
        <v/>
      </c>
      <c r="F74" s="44" t="str">
        <f>IF(ISNUMBER(D74), $B78 * E74, "")</f>
        <v/>
      </c>
      <c r="G74" s="36"/>
      <c r="H74" s="5" t="str">
        <f t="shared" si="23"/>
        <v/>
      </c>
      <c r="I74" s="44" t="str">
        <f>IF(ISNUMBER(G74), $B78 * H74, "")</f>
        <v/>
      </c>
      <c r="J74" s="36"/>
      <c r="K74" s="5" t="str">
        <f t="shared" si="24"/>
        <v/>
      </c>
      <c r="L74" s="44" t="str">
        <f>IF(ISNUMBER(J74), $B78 * K74, "")</f>
        <v/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/>
      <c r="B75" s="32"/>
      <c r="C75" s="5"/>
      <c r="D75" s="36"/>
      <c r="E75" s="5" t="str">
        <f t="shared" si="22"/>
        <v/>
      </c>
      <c r="F75" s="44" t="str">
        <f>IF(ISNUMBER(D75), $B78 * E75, "")</f>
        <v/>
      </c>
      <c r="G75" s="36"/>
      <c r="H75" s="5" t="str">
        <f t="shared" si="23"/>
        <v/>
      </c>
      <c r="I75" s="44" t="str">
        <f>IF(ISNUMBER(G75), $B78 * H75, "")</f>
        <v/>
      </c>
      <c r="J75" s="36"/>
      <c r="K75" s="5" t="str">
        <f t="shared" si="24"/>
        <v/>
      </c>
      <c r="L75" s="44" t="str">
        <f>IF(ISNUMBER(J75), $B78 * K75, "")</f>
        <v/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/>
      <c r="B76" s="32"/>
      <c r="C76" s="5"/>
      <c r="D76" s="36"/>
      <c r="E76" s="5" t="str">
        <f t="shared" si="22"/>
        <v/>
      </c>
      <c r="F76" s="44" t="str">
        <f>IF(ISNUMBER(D76), $B78 * E76, "")</f>
        <v/>
      </c>
      <c r="G76" s="36"/>
      <c r="H76" s="5" t="str">
        <f t="shared" si="23"/>
        <v/>
      </c>
      <c r="I76" s="44" t="str">
        <f>IF(ISNUMBER(G76), $B78 * H76, "")</f>
        <v/>
      </c>
      <c r="J76" s="36"/>
      <c r="K76" s="5" t="str">
        <f t="shared" si="24"/>
        <v/>
      </c>
      <c r="L76" s="44" t="str">
        <f>IF(ISNUMBER(J76), $B78 * K76, "")</f>
        <v/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/>
      <c r="B77" s="34"/>
      <c r="C77" s="16"/>
      <c r="D77" s="38"/>
      <c r="E77" s="16" t="str">
        <f t="shared" si="22"/>
        <v/>
      </c>
      <c r="F77" s="45" t="str">
        <f>IF(ISNUMBER(D77), $B78 * E77, "")</f>
        <v/>
      </c>
      <c r="G77" s="38"/>
      <c r="H77" s="16" t="str">
        <f t="shared" si="23"/>
        <v/>
      </c>
      <c r="I77" s="45" t="str">
        <f>IF(ISNUMBER(G77), $B78 * H77, "")</f>
        <v/>
      </c>
      <c r="J77" s="38"/>
      <c r="K77" s="16" t="str">
        <f t="shared" si="24"/>
        <v/>
      </c>
      <c r="L77" s="45" t="str">
        <f>IF(ISNUMBER(J77), $B78 * K77, "")</f>
        <v/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3.4914982028140425E-2</v>
      </c>
      <c r="F78" s="47">
        <f>SUM(F68:F77)</f>
        <v>10474.494608442128</v>
      </c>
      <c r="G78" s="57" t="s">
        <v>82</v>
      </c>
      <c r="H78" s="46">
        <f>IF(COUNT(H68:H77), SUM(H68:H77) / COUNT(H68:H77), 0)</f>
        <v>-9.8525003394287602E-2</v>
      </c>
      <c r="I78" s="47">
        <f>SUM(I68:I77)</f>
        <v>-29557.501018286275</v>
      </c>
      <c r="J78" s="57" t="s">
        <v>82</v>
      </c>
      <c r="K78" s="46">
        <f>IF(COUNT(K68:K77), SUM(K68:K77) / COUNT(K68:K77), 0)</f>
        <v>-0.16797927340807914</v>
      </c>
      <c r="L78" s="47">
        <f>SUM(L68:L77)</f>
        <v>-50393.782022423737</v>
      </c>
      <c r="M78" s="57" t="s">
        <v>82</v>
      </c>
      <c r="N78" s="46">
        <f>IF(COUNT(N68:N77), SUM(N68:N77) / COUNT(N68:N77), 0)</f>
        <v>-0.10103463245224774</v>
      </c>
      <c r="O78" s="47">
        <f>SUM(O68:O77)</f>
        <v>-30310.389735674322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82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84" t="s">
        <v>70</v>
      </c>
      <c r="M84" s="18" t="s">
        <v>67</v>
      </c>
      <c r="N84" s="4" t="s">
        <v>68</v>
      </c>
      <c r="O84" s="85" t="s">
        <v>70</v>
      </c>
      <c r="Q84" s="231"/>
      <c r="R84" s="232"/>
    </row>
    <row r="85" spans="1:18" ht="17.25" customHeight="1">
      <c r="A85" s="9"/>
      <c r="B85" s="31"/>
      <c r="C85" s="22"/>
      <c r="D85" s="89"/>
      <c r="E85" s="22" t="str">
        <f>IF(ISNUMBER(D85), (D85 - $B85) / $B85, "")</f>
        <v/>
      </c>
      <c r="F85" s="43" t="str">
        <f>IF(ISNUMBER(D85), $B95 * E85, "")</f>
        <v/>
      </c>
      <c r="G85" s="89"/>
      <c r="H85" s="22" t="str">
        <f>IF(ISNUMBER(G85), (G85 - $B85) / $B85, "")</f>
        <v/>
      </c>
      <c r="I85" s="43" t="str">
        <f>IF(ISNUMBER(G85), $B95 * H85, "")</f>
        <v/>
      </c>
      <c r="J85" s="89"/>
      <c r="K85" s="22" t="str">
        <f>IF(ISNUMBER(J85), (J85 - $B85) / $B85, "")</f>
        <v/>
      </c>
      <c r="L85" s="43" t="str">
        <f>IF(ISNUMBER(J85), $B95 * K85, "")</f>
        <v/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/>
      <c r="B86" s="32"/>
      <c r="C86" s="5"/>
      <c r="D86" s="36"/>
      <c r="E86" s="5" t="str">
        <f t="shared" ref="E86:E94" si="26">IF(ISNUMBER(D86), (D86 - $B86) / $B86, "")</f>
        <v/>
      </c>
      <c r="F86" s="44" t="str">
        <f>IF(ISNUMBER(D86), $B95 * E86, "")</f>
        <v/>
      </c>
      <c r="G86" s="36"/>
      <c r="H86" s="5" t="str">
        <f t="shared" ref="H86:H94" si="27">IF(ISNUMBER(G86), (G86 - $B86) / $B86, "")</f>
        <v/>
      </c>
      <c r="I86" s="44" t="str">
        <f>IF(ISNUMBER(G86), $B95 * H86, "")</f>
        <v/>
      </c>
      <c r="J86" s="36"/>
      <c r="K86" s="5" t="str">
        <f t="shared" ref="K86:K94" si="28">IF(ISNUMBER(J86), (J86 - $B86) / $B86, "")</f>
        <v/>
      </c>
      <c r="L86" s="44" t="str">
        <f>IF(ISNUMBER(J86), $B95 * K86, "")</f>
        <v/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/>
      <c r="B87" s="32"/>
      <c r="C87" s="5"/>
      <c r="D87" s="36"/>
      <c r="E87" s="5" t="str">
        <f t="shared" si="26"/>
        <v/>
      </c>
      <c r="F87" s="44" t="str">
        <f>IF(ISNUMBER(D87), $B95 * E87, "")</f>
        <v/>
      </c>
      <c r="G87" s="36"/>
      <c r="H87" s="5" t="str">
        <f t="shared" si="27"/>
        <v/>
      </c>
      <c r="I87" s="44" t="str">
        <f>IF(ISNUMBER(G87), $B95 * H87, "")</f>
        <v/>
      </c>
      <c r="J87" s="36"/>
      <c r="K87" s="5" t="str">
        <f t="shared" si="28"/>
        <v/>
      </c>
      <c r="L87" s="44" t="str">
        <f>IF(ISNUMBER(J87), $B95 * K87, "")</f>
        <v/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/>
      <c r="B88" s="32"/>
      <c r="C88" s="5"/>
      <c r="D88" s="36"/>
      <c r="E88" s="5" t="str">
        <f t="shared" si="26"/>
        <v/>
      </c>
      <c r="F88" s="44" t="str">
        <f>IF(ISNUMBER(D88), $B95 * E88, "")</f>
        <v/>
      </c>
      <c r="G88" s="36"/>
      <c r="H88" s="5" t="str">
        <f t="shared" si="27"/>
        <v/>
      </c>
      <c r="I88" s="44" t="str">
        <f>IF(ISNUMBER(G88), $B95 * H88, "")</f>
        <v/>
      </c>
      <c r="J88" s="36"/>
      <c r="K88" s="5" t="str">
        <f t="shared" si="28"/>
        <v/>
      </c>
      <c r="L88" s="44" t="str">
        <f>IF(ISNUMBER(J88), $B95 * K88, "")</f>
        <v/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</v>
      </c>
      <c r="F95" s="47">
        <f>SUM(F85:F94)</f>
        <v>0</v>
      </c>
      <c r="G95" s="57" t="s">
        <v>82</v>
      </c>
      <c r="H95" s="46">
        <f>IF(COUNT(H85:H94), SUM(H85:H94) / COUNT(H85:H94), 0)</f>
        <v>0</v>
      </c>
      <c r="I95" s="47">
        <f>SUM(I85:I94)</f>
        <v>0</v>
      </c>
      <c r="J95" s="57" t="s">
        <v>82</v>
      </c>
      <c r="K95" s="46">
        <f>IF(COUNT(K85:K94), SUM(K85:K94) / COUNT(K85:K94), 0)</f>
        <v>0</v>
      </c>
      <c r="L95" s="47">
        <f>SUM(L85:L94)</f>
        <v>0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82" t="s">
        <v>188</v>
      </c>
      <c r="B99" s="186" t="s">
        <v>215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465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-4.3209876500000001E-2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84" t="s">
        <v>70</v>
      </c>
      <c r="M101" s="18" t="s">
        <v>67</v>
      </c>
      <c r="N101" s="4" t="s">
        <v>68</v>
      </c>
      <c r="O101" s="85" t="s">
        <v>70</v>
      </c>
      <c r="Q101" s="231"/>
      <c r="R101" s="232"/>
    </row>
    <row r="102" spans="1:18" ht="17.25" customHeight="1">
      <c r="A102" s="9" t="s">
        <v>198</v>
      </c>
      <c r="B102" s="31">
        <v>98430</v>
      </c>
      <c r="C102" s="22">
        <v>0.54110000000000003</v>
      </c>
      <c r="D102" s="89">
        <v>173900</v>
      </c>
      <c r="E102" s="22">
        <f>IF(ISNUMBER(D102), (D102 - $B102) / $B102, "")</f>
        <v>0.76673778319618002</v>
      </c>
      <c r="F102" s="43">
        <f>IF(ISNUMBER(D102), $B112 * E102, "")</f>
        <v>76673.778319617995</v>
      </c>
      <c r="G102" s="89">
        <v>142900</v>
      </c>
      <c r="H102" s="22">
        <f>IF(ISNUMBER(G102), (G102 - $B102) / $B102, "")</f>
        <v>0.4517931524941583</v>
      </c>
      <c r="I102" s="43">
        <f>IF(ISNUMBER(G102), $B112 * H102, "")</f>
        <v>45179.315249415828</v>
      </c>
      <c r="J102" s="89">
        <v>132950</v>
      </c>
      <c r="K102" s="22">
        <f>IF(ISNUMBER(J102), (J102 - $B102) / $B102, "")</f>
        <v>0.35070608554302551</v>
      </c>
      <c r="L102" s="43">
        <f>IF(ISNUMBER(J102), $B112 * K102, "")</f>
        <v>35070.608554302555</v>
      </c>
      <c r="M102" s="89">
        <v>137750</v>
      </c>
      <c r="N102" s="22">
        <f>IF(ISNUMBER(M102), (M102 - $B102) / $B102, "")</f>
        <v>0.39947170578075791</v>
      </c>
      <c r="O102" s="43">
        <f>IF(ISNUMBER(M102), $B112 * N102, "")</f>
        <v>39947.170578075791</v>
      </c>
      <c r="Q102" s="229"/>
      <c r="R102" s="230"/>
    </row>
    <row r="103" spans="1:18" ht="17.25" customHeight="1">
      <c r="A103" s="11" t="s">
        <v>216</v>
      </c>
      <c r="B103" s="32">
        <v>49100</v>
      </c>
      <c r="C103" s="5">
        <v>0.15720000000000001</v>
      </c>
      <c r="D103" s="36">
        <v>83630</v>
      </c>
      <c r="E103" s="5">
        <f t="shared" ref="E103:E111" si="30">IF(ISNUMBER(D103), (D103 - $B103) / $B103, "")</f>
        <v>0.70325865580448066</v>
      </c>
      <c r="F103" s="44">
        <f>IF(ISNUMBER(D103), $B112 * E103, "")</f>
        <v>70325.865580448066</v>
      </c>
      <c r="G103" s="36">
        <v>66000</v>
      </c>
      <c r="H103" s="5">
        <f t="shared" ref="H103:H111" si="31">IF(ISNUMBER(G103), (G103 - $B103) / $B103, "")</f>
        <v>0.34419551934826886</v>
      </c>
      <c r="I103" s="44">
        <f>IF(ISNUMBER(G103), $B112 * H103, "")</f>
        <v>34419.551934826886</v>
      </c>
      <c r="J103" s="36">
        <v>61220</v>
      </c>
      <c r="K103" s="5">
        <f t="shared" ref="K103:K111" si="32">IF(ISNUMBER(J103), (J103 - $B103) / $B103, "")</f>
        <v>0.24684317718940937</v>
      </c>
      <c r="L103" s="44">
        <f>IF(ISNUMBER(J103), $B112 * K103, "")</f>
        <v>24684.317718940936</v>
      </c>
      <c r="M103" s="36">
        <v>62880</v>
      </c>
      <c r="N103" s="5">
        <f t="shared" ref="N103:N111" si="33">IF(ISNUMBER(M103), (M103 - $B103) / $B103, "")</f>
        <v>0.28065173116089615</v>
      </c>
      <c r="O103" s="44">
        <f>IF(ISNUMBER(M103), $B112 * N103, "")</f>
        <v>28065.173116089616</v>
      </c>
      <c r="Q103" s="229"/>
      <c r="R103" s="230"/>
    </row>
    <row r="104" spans="1:18" ht="17.25" customHeight="1">
      <c r="A104" s="11" t="s">
        <v>78</v>
      </c>
      <c r="B104" s="32">
        <v>17860</v>
      </c>
      <c r="C104" s="5">
        <v>0.1268</v>
      </c>
      <c r="D104" s="36">
        <v>24390</v>
      </c>
      <c r="E104" s="5">
        <f t="shared" si="30"/>
        <v>0.36562150055991044</v>
      </c>
      <c r="F104" s="44">
        <f>IF(ISNUMBER(D104), $B112 * E104, "")</f>
        <v>36562.150055991042</v>
      </c>
      <c r="G104" s="36">
        <v>20610</v>
      </c>
      <c r="H104" s="5">
        <f t="shared" si="31"/>
        <v>0.15397536394176931</v>
      </c>
      <c r="I104" s="44">
        <f>IF(ISNUMBER(G104), $B112 * H104, "")</f>
        <v>15397.53639417693</v>
      </c>
      <c r="J104" s="36">
        <v>18550</v>
      </c>
      <c r="K104" s="5">
        <f t="shared" si="32"/>
        <v>3.8633818589025759E-2</v>
      </c>
      <c r="L104" s="44">
        <f>IF(ISNUMBER(J104), $B112 * K104, "")</f>
        <v>3863.3818589025759</v>
      </c>
      <c r="M104" s="36">
        <v>22120</v>
      </c>
      <c r="N104" s="5">
        <f t="shared" si="33"/>
        <v>0.23852183650615902</v>
      </c>
      <c r="O104" s="44">
        <f>IF(ISNUMBER(M104), $B112 * N104, "")</f>
        <v>23852.183650615902</v>
      </c>
      <c r="Q104" s="229"/>
      <c r="R104" s="230"/>
    </row>
    <row r="105" spans="1:18" ht="17.25" customHeight="1">
      <c r="A105" s="11" t="s">
        <v>42</v>
      </c>
      <c r="B105" s="32">
        <v>9825</v>
      </c>
      <c r="C105" s="5">
        <v>0.1008</v>
      </c>
      <c r="D105" s="36">
        <v>8995</v>
      </c>
      <c r="E105" s="5">
        <f t="shared" si="30"/>
        <v>-8.447837150127227E-2</v>
      </c>
      <c r="F105" s="44">
        <f>IF(ISNUMBER(D105), $B112 * E105, "")</f>
        <v>-8447.8371501272268</v>
      </c>
      <c r="G105" s="36">
        <v>8115</v>
      </c>
      <c r="H105" s="5">
        <f t="shared" si="31"/>
        <v>-0.17404580152671756</v>
      </c>
      <c r="I105" s="44">
        <f>IF(ISNUMBER(G105), $B112 * H105, "")</f>
        <v>-17404.580152671755</v>
      </c>
      <c r="J105" s="36">
        <v>7525</v>
      </c>
      <c r="K105" s="5">
        <f t="shared" si="32"/>
        <v>-0.2340966921119593</v>
      </c>
      <c r="L105" s="44">
        <f>IF(ISNUMBER(J105), $B112 * K105, "")</f>
        <v>-23409.669211195931</v>
      </c>
      <c r="M105" s="36">
        <v>8025</v>
      </c>
      <c r="N105" s="5">
        <f t="shared" si="33"/>
        <v>-0.18320610687022901</v>
      </c>
      <c r="O105" s="44">
        <f>IF(ISNUMBER(M105), $B112 * N105, "")</f>
        <v>-18320.610687022901</v>
      </c>
      <c r="Q105" s="229"/>
      <c r="R105" s="230"/>
    </row>
    <row r="106" spans="1:18" ht="17.25" customHeight="1">
      <c r="A106" s="8" t="s">
        <v>43</v>
      </c>
      <c r="B106" s="33">
        <v>720</v>
      </c>
      <c r="C106" s="24">
        <v>6.8199999999999997E-2</v>
      </c>
      <c r="D106" s="37">
        <v>671</v>
      </c>
      <c r="E106" s="24">
        <f t="shared" si="30"/>
        <v>-6.805555555555555E-2</v>
      </c>
      <c r="F106" s="44">
        <f>IF(ISNUMBER(D106), $B112 * E106, "")</f>
        <v>-6805.5555555555547</v>
      </c>
      <c r="G106" s="37">
        <v>605</v>
      </c>
      <c r="H106" s="24">
        <f t="shared" si="31"/>
        <v>-0.15972222222222221</v>
      </c>
      <c r="I106" s="44">
        <f>IF(ISNUMBER(G106), $B112 * H106, "")</f>
        <v>-15972.222222222221</v>
      </c>
      <c r="J106" s="37">
        <v>565</v>
      </c>
      <c r="K106" s="24">
        <f t="shared" si="32"/>
        <v>-0.21527777777777779</v>
      </c>
      <c r="L106" s="44">
        <f>IF(ISNUMBER(J106), $B112 * K106, "")</f>
        <v>-21527.777777777777</v>
      </c>
      <c r="M106" s="37">
        <v>603</v>
      </c>
      <c r="N106" s="24">
        <f t="shared" si="33"/>
        <v>-0.16250000000000001</v>
      </c>
      <c r="O106" s="44">
        <f>IF(ISNUMBER(M106), $B112 * N106, "")</f>
        <v>-16250</v>
      </c>
      <c r="Q106" s="229"/>
      <c r="R106" s="230"/>
    </row>
    <row r="107" spans="1:18" ht="17.25" customHeight="1">
      <c r="A107" s="11" t="s">
        <v>217</v>
      </c>
      <c r="B107" s="32">
        <v>23180</v>
      </c>
      <c r="C107" s="5">
        <v>5.7500000000000002E-2</v>
      </c>
      <c r="D107" s="36">
        <v>30730</v>
      </c>
      <c r="E107" s="5">
        <f t="shared" si="30"/>
        <v>0.32571182053494391</v>
      </c>
      <c r="F107" s="48">
        <f>IF(ISNUMBER(D107), $B112 * E107, "")</f>
        <v>32571.182053494391</v>
      </c>
      <c r="G107" s="36">
        <v>24570</v>
      </c>
      <c r="H107" s="5">
        <f t="shared" si="31"/>
        <v>5.996548748921484E-2</v>
      </c>
      <c r="I107" s="48">
        <f>IF(ISNUMBER(G107), $B112 * H107, "")</f>
        <v>5996.5487489214838</v>
      </c>
      <c r="J107" s="36">
        <v>22550</v>
      </c>
      <c r="K107" s="5">
        <f t="shared" si="32"/>
        <v>-2.7178602243313203E-2</v>
      </c>
      <c r="L107" s="48">
        <f>IF(ISNUMBER(J107), $B112 * K107, "")</f>
        <v>-2717.8602243313203</v>
      </c>
      <c r="M107" s="36">
        <v>25230</v>
      </c>
      <c r="N107" s="5">
        <f t="shared" si="33"/>
        <v>8.8438308886971531E-2</v>
      </c>
      <c r="O107" s="48">
        <f>IF(ISNUMBER(M107), $B112 * N107, "")</f>
        <v>8843.8308886971536</v>
      </c>
      <c r="Q107" s="229"/>
      <c r="R107" s="230"/>
    </row>
    <row r="108" spans="1:18" ht="17.25" customHeight="1">
      <c r="A108" s="11" t="s">
        <v>73</v>
      </c>
      <c r="B108" s="32">
        <v>4615</v>
      </c>
      <c r="C108" s="5">
        <v>5.3699999999999998E-2</v>
      </c>
      <c r="D108" s="36">
        <v>4610</v>
      </c>
      <c r="E108" s="5">
        <f t="shared" si="30"/>
        <v>-1.0834236186348862E-3</v>
      </c>
      <c r="F108" s="44">
        <f>IF(ISNUMBER(D108), $B112 * E108, "")</f>
        <v>-108.34236186348862</v>
      </c>
      <c r="G108" s="36">
        <v>3960</v>
      </c>
      <c r="H108" s="5">
        <f t="shared" si="31"/>
        <v>-0.14192849404117011</v>
      </c>
      <c r="I108" s="44">
        <f>IF(ISNUMBER(G108), $B112 * H108, "")</f>
        <v>-14192.849404117011</v>
      </c>
      <c r="J108" s="36">
        <v>3675</v>
      </c>
      <c r="K108" s="5">
        <f t="shared" si="32"/>
        <v>-0.20368364030335862</v>
      </c>
      <c r="L108" s="44">
        <f>IF(ISNUMBER(J108), $B112 * K108, "")</f>
        <v>-20368.364030335862</v>
      </c>
      <c r="M108" s="36">
        <v>3920</v>
      </c>
      <c r="N108" s="5">
        <f t="shared" si="33"/>
        <v>-0.15059588299024917</v>
      </c>
      <c r="O108" s="44">
        <f>IF(ISNUMBER(M108), $B112 * N108, "")</f>
        <v>-15059.588299024917</v>
      </c>
      <c r="Q108" s="229"/>
      <c r="R108" s="230"/>
    </row>
    <row r="109" spans="1:18" ht="17.25" customHeight="1">
      <c r="A109" s="11" t="s">
        <v>14</v>
      </c>
      <c r="B109" s="32">
        <v>74.2</v>
      </c>
      <c r="C109" s="5">
        <v>4.5100000000000001E-2</v>
      </c>
      <c r="D109" s="36">
        <v>70.3</v>
      </c>
      <c r="E109" s="5">
        <f t="shared" si="30"/>
        <v>-5.2560646900269618E-2</v>
      </c>
      <c r="F109" s="44">
        <f>IF(ISNUMBER(D109), $B112 * E109, "")</f>
        <v>-5256.0646900269621</v>
      </c>
      <c r="G109" s="36">
        <v>62.7</v>
      </c>
      <c r="H109" s="5">
        <f t="shared" si="31"/>
        <v>-0.15498652291105119</v>
      </c>
      <c r="I109" s="44">
        <f>IF(ISNUMBER(G109), $B112 * H109, "")</f>
        <v>-15498.65229110512</v>
      </c>
      <c r="J109" s="36">
        <v>59.1</v>
      </c>
      <c r="K109" s="5">
        <f t="shared" si="32"/>
        <v>-0.20350404312668466</v>
      </c>
      <c r="L109" s="44">
        <f>IF(ISNUMBER(J109), $B112 * K109, "")</f>
        <v>-20350.404312668466</v>
      </c>
      <c r="M109" s="36">
        <v>61.8</v>
      </c>
      <c r="N109" s="5">
        <f t="shared" si="33"/>
        <v>-0.16711590296495965</v>
      </c>
      <c r="O109" s="44">
        <f>IF(ISNUMBER(M109), $B112 * N109, "")</f>
        <v>-16711.590296495964</v>
      </c>
      <c r="Q109" s="229"/>
      <c r="R109" s="230"/>
    </row>
    <row r="110" spans="1:18" ht="17.25" customHeight="1">
      <c r="A110" s="11" t="s">
        <v>218</v>
      </c>
      <c r="B110" s="32">
        <v>343100</v>
      </c>
      <c r="C110" s="5">
        <v>4.3499999999999997E-2</v>
      </c>
      <c r="D110" s="36">
        <v>409550</v>
      </c>
      <c r="E110" s="5">
        <f t="shared" si="30"/>
        <v>0.19367531331973187</v>
      </c>
      <c r="F110" s="44">
        <f>IF(ISNUMBER(D110), $B112 * E110, "")</f>
        <v>19367.531331973187</v>
      </c>
      <c r="G110" s="36">
        <v>316100</v>
      </c>
      <c r="H110" s="5">
        <f t="shared" si="31"/>
        <v>-7.8694258233751091E-2</v>
      </c>
      <c r="I110" s="44">
        <f>IF(ISNUMBER(G110), $B112 * H110, "")</f>
        <v>-7869.4258233751088</v>
      </c>
      <c r="J110" s="36">
        <v>295050</v>
      </c>
      <c r="K110" s="5">
        <f t="shared" si="32"/>
        <v>-0.14004663363450889</v>
      </c>
      <c r="L110" s="44">
        <f>IF(ISNUMBER(J110), $B112 * K110, "")</f>
        <v>-14004.663363450889</v>
      </c>
      <c r="M110" s="36">
        <v>307900</v>
      </c>
      <c r="N110" s="5">
        <f t="shared" si="33"/>
        <v>-0.10259399591955698</v>
      </c>
      <c r="O110" s="44">
        <f>IF(ISNUMBER(M110), $B112 * N110, "")</f>
        <v>-10259.399591955698</v>
      </c>
      <c r="Q110" s="231"/>
      <c r="R110" s="232"/>
    </row>
    <row r="111" spans="1:18" ht="17.25" customHeight="1" thickBot="1">
      <c r="A111" s="13" t="s">
        <v>215</v>
      </c>
      <c r="B111" s="34">
        <v>584</v>
      </c>
      <c r="C111" s="16">
        <v>4.2900000000000001E-2</v>
      </c>
      <c r="D111" s="38">
        <v>615</v>
      </c>
      <c r="E111" s="16">
        <f t="shared" si="30"/>
        <v>5.3082191780821915E-2</v>
      </c>
      <c r="F111" s="45">
        <f>IF(ISNUMBER(D111), $B112 * E111, "")</f>
        <v>5308.2191780821913</v>
      </c>
      <c r="G111" s="38">
        <v>517</v>
      </c>
      <c r="H111" s="16">
        <f t="shared" si="31"/>
        <v>-0.11472602739726027</v>
      </c>
      <c r="I111" s="45">
        <f>IF(ISNUMBER(G111), $B112 * H111, "")</f>
        <v>-11472.602739726028</v>
      </c>
      <c r="J111" s="38">
        <v>473</v>
      </c>
      <c r="K111" s="16">
        <f t="shared" si="32"/>
        <v>-0.19006849315068494</v>
      </c>
      <c r="L111" s="45">
        <f>IF(ISNUMBER(J111), $B112 * K111, "")</f>
        <v>-19006.849315068495</v>
      </c>
      <c r="M111" s="38">
        <v>506</v>
      </c>
      <c r="N111" s="16">
        <f t="shared" si="33"/>
        <v>-0.13356164383561644</v>
      </c>
      <c r="O111" s="45">
        <f>IF(ISNUMBER(M111), $B112 * N111, "")</f>
        <v>-13356.164383561645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0.22019092676203367</v>
      </c>
      <c r="F112" s="47">
        <f>SUM(F102:F111)</f>
        <v>220190.92676203363</v>
      </c>
      <c r="G112" s="57" t="s">
        <v>82</v>
      </c>
      <c r="H112" s="46">
        <f>IF(COUNT(H102:H111), SUM(H102:H111) / COUNT(H102:H111), 0)</f>
        <v>1.8582619694123885E-2</v>
      </c>
      <c r="I112" s="47">
        <f>SUM(I102:I111)</f>
        <v>18582.619694123889</v>
      </c>
      <c r="J112" s="57" t="s">
        <v>82</v>
      </c>
      <c r="K112" s="46">
        <f>IF(COUNT(K102:K111), SUM(K102:K111) / COUNT(K102:K111), 0)</f>
        <v>-5.7767280102682672E-2</v>
      </c>
      <c r="L112" s="47">
        <f>SUM(L102:L111)</f>
        <v>-57767.280102682678</v>
      </c>
      <c r="M112" s="57" t="s">
        <v>82</v>
      </c>
      <c r="N112" s="46">
        <f>IF(COUNT(N102:N111), SUM(N102:N111) / COUNT(N102:N111), 0)</f>
        <v>1.0751004975417335E-2</v>
      </c>
      <c r="O112" s="47">
        <f>SUM(O102:O111)</f>
        <v>10751.004975417341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379" priority="89">
      <formula>$E$27&gt;0</formula>
    </cfRule>
    <cfRule type="expression" dxfId="1378" priority="90">
      <formula>$E$27&lt;0</formula>
    </cfRule>
  </conditionalFormatting>
  <conditionalFormatting sqref="G15:I16 H27:I27">
    <cfRule type="expression" dxfId="1377" priority="87">
      <formula>$H$27&gt;0</formula>
    </cfRule>
    <cfRule type="expression" dxfId="1376" priority="88">
      <formula>$H$27&lt;0</formula>
    </cfRule>
  </conditionalFormatting>
  <conditionalFormatting sqref="J15:L16 K27:L27">
    <cfRule type="expression" dxfId="1375" priority="85">
      <formula>$K$27&gt;0</formula>
    </cfRule>
    <cfRule type="expression" dxfId="1374" priority="86">
      <formula>$K$27&lt;0</formula>
    </cfRule>
  </conditionalFormatting>
  <conditionalFormatting sqref="M15:O16 N27:O27">
    <cfRule type="expression" dxfId="1373" priority="83">
      <formula>$N$27&gt;0</formula>
    </cfRule>
    <cfRule type="expression" dxfId="1372" priority="84">
      <formula>$N$27&lt;0</formula>
    </cfRule>
  </conditionalFormatting>
  <conditionalFormatting sqref="A17:O26 A34:O43">
    <cfRule type="expression" dxfId="1371" priority="91">
      <formula>AND($N17 &gt; 0, ISNUMBER($N17))</formula>
    </cfRule>
    <cfRule type="expression" dxfId="1370" priority="92">
      <formula>AND($N17 &lt; 0, ISNUMBER($N17))</formula>
    </cfRule>
    <cfRule type="expression" dxfId="1369" priority="93">
      <formula>AND($K17 &gt; 0, ISNUMBER($K17))</formula>
    </cfRule>
    <cfRule type="expression" dxfId="1368" priority="94">
      <formula>AND($K17 &lt; 0, ISNUMBER($K17))</formula>
    </cfRule>
    <cfRule type="expression" dxfId="1367" priority="95">
      <formula>AND($H17 &gt; 0, ISNUMBER($H17))</formula>
    </cfRule>
    <cfRule type="expression" dxfId="1366" priority="96">
      <formula>AND($H17 &lt; 0, ISNUMBER($H17))</formula>
    </cfRule>
    <cfRule type="expression" dxfId="1365" priority="97">
      <formula>AND($E17 &gt; 0, ISNUMBER($E17))</formula>
    </cfRule>
    <cfRule type="expression" dxfId="1364" priority="98">
      <formula>AND($E17 &lt; 0, ISNUMBER($E17))</formula>
    </cfRule>
  </conditionalFormatting>
  <conditionalFormatting sqref="D32:F33 E44:F44">
    <cfRule type="expression" dxfId="1363" priority="81">
      <formula>$E$44&gt;0</formula>
    </cfRule>
    <cfRule type="expression" dxfId="1362" priority="82">
      <formula>$E$44&lt;0</formula>
    </cfRule>
  </conditionalFormatting>
  <conditionalFormatting sqref="G32:I33 H44:I44">
    <cfRule type="expression" dxfId="1361" priority="79">
      <formula>$H$44&gt;0</formula>
    </cfRule>
    <cfRule type="expression" dxfId="1360" priority="80">
      <formula>$H$44&lt;0</formula>
    </cfRule>
  </conditionalFormatting>
  <conditionalFormatting sqref="J32:L33 K44:L44">
    <cfRule type="expression" dxfId="1359" priority="77">
      <formula>$K$44&gt;0</formula>
    </cfRule>
    <cfRule type="expression" dxfId="1358" priority="78">
      <formula>$K$44&lt;0</formula>
    </cfRule>
  </conditionalFormatting>
  <conditionalFormatting sqref="M32:O33 N44:O44">
    <cfRule type="expression" dxfId="1357" priority="75">
      <formula>$N$44&gt;0</formula>
    </cfRule>
    <cfRule type="expression" dxfId="1356" priority="76">
      <formula>$N$44&lt;0</formula>
    </cfRule>
  </conditionalFormatting>
  <conditionalFormatting sqref="A51:O60">
    <cfRule type="expression" dxfId="1355" priority="67">
      <formula>AND($N51 &gt; 0, ISNUMBER($N51))</formula>
    </cfRule>
    <cfRule type="expression" dxfId="1354" priority="68">
      <formula>AND($N51 &lt; 0, ISNUMBER($N51))</formula>
    </cfRule>
    <cfRule type="expression" dxfId="1353" priority="69">
      <formula>AND($K51 &gt; 0, ISNUMBER($K51))</formula>
    </cfRule>
    <cfRule type="expression" dxfId="1352" priority="70">
      <formula>AND($K51 &lt; 0, ISNUMBER($K51))</formula>
    </cfRule>
    <cfRule type="expression" dxfId="1351" priority="71">
      <formula>AND($H51 &gt; 0, ISNUMBER($H51))</formula>
    </cfRule>
    <cfRule type="expression" dxfId="1350" priority="72">
      <formula>AND($H51 &lt; 0, ISNUMBER($H51))</formula>
    </cfRule>
    <cfRule type="expression" dxfId="1349" priority="73">
      <formula>AND($E51 &gt; 0, ISNUMBER($E51))</formula>
    </cfRule>
    <cfRule type="expression" dxfId="1348" priority="74">
      <formula>AND($E51 &lt; 0, ISNUMBER($E51))</formula>
    </cfRule>
  </conditionalFormatting>
  <conditionalFormatting sqref="D49:F50 E61:F61">
    <cfRule type="expression" dxfId="1347" priority="65">
      <formula>$E$61&gt;0</formula>
    </cfRule>
    <cfRule type="expression" dxfId="1346" priority="66">
      <formula>$E$61&lt;0</formula>
    </cfRule>
  </conditionalFormatting>
  <conditionalFormatting sqref="G49:I50 H61:I61">
    <cfRule type="expression" dxfId="1345" priority="63">
      <formula>$H$61&gt;0</formula>
    </cfRule>
    <cfRule type="expression" dxfId="1344" priority="64">
      <formula>$H$61&lt;0</formula>
    </cfRule>
  </conditionalFormatting>
  <conditionalFormatting sqref="J49:L50 K61:L61">
    <cfRule type="expression" dxfId="1343" priority="61">
      <formula>$K$61&gt;0</formula>
    </cfRule>
    <cfRule type="expression" dxfId="1342" priority="62">
      <formula>$K$61&lt;0</formula>
    </cfRule>
  </conditionalFormatting>
  <conditionalFormatting sqref="M49:O50 N61:O61">
    <cfRule type="expression" dxfId="1341" priority="59">
      <formula>$N$61&gt;0</formula>
    </cfRule>
    <cfRule type="expression" dxfId="1340" priority="60">
      <formula>$N$61&lt;0</formula>
    </cfRule>
  </conditionalFormatting>
  <conditionalFormatting sqref="A68:O77">
    <cfRule type="expression" dxfId="1339" priority="51">
      <formula>AND($N68 &gt; 0, ISNUMBER($N68))</formula>
    </cfRule>
    <cfRule type="expression" dxfId="1338" priority="52">
      <formula>AND($N68 &lt; 0, ISNUMBER($N68))</formula>
    </cfRule>
    <cfRule type="expression" dxfId="1337" priority="53">
      <formula>AND($K68 &gt; 0, ISNUMBER($K68))</formula>
    </cfRule>
    <cfRule type="expression" dxfId="1336" priority="54">
      <formula>AND($K68 &lt; 0, ISNUMBER($K68))</formula>
    </cfRule>
    <cfRule type="expression" dxfId="1335" priority="55">
      <formula>AND($H68 &gt; 0, ISNUMBER($H68))</formula>
    </cfRule>
    <cfRule type="expression" dxfId="1334" priority="56">
      <formula>AND($H68 &lt; 0, ISNUMBER($H68))</formula>
    </cfRule>
    <cfRule type="expression" dxfId="1333" priority="57">
      <formula>AND($E68 &gt; 0, ISNUMBER($E68))</formula>
    </cfRule>
    <cfRule type="expression" dxfId="1332" priority="58">
      <formula>AND($E68 &lt; 0, ISNUMBER($E68))</formula>
    </cfRule>
  </conditionalFormatting>
  <conditionalFormatting sqref="D66:F67 E78:F78">
    <cfRule type="expression" dxfId="1331" priority="49">
      <formula>$E$78&gt;0</formula>
    </cfRule>
    <cfRule type="expression" dxfId="1330" priority="50">
      <formula>$E$78&lt;0</formula>
    </cfRule>
  </conditionalFormatting>
  <conditionalFormatting sqref="G66:I67 H78:I78">
    <cfRule type="expression" dxfId="1329" priority="47">
      <formula>$H$78&gt;0</formula>
    </cfRule>
    <cfRule type="expression" dxfId="1328" priority="48">
      <formula>$H$78&lt;0</formula>
    </cfRule>
  </conditionalFormatting>
  <conditionalFormatting sqref="J66:L67 K78:L78">
    <cfRule type="expression" dxfId="1327" priority="45">
      <formula>$K$78&gt;0</formula>
    </cfRule>
    <cfRule type="expression" dxfId="1326" priority="46">
      <formula>$K$78&lt;0</formula>
    </cfRule>
  </conditionalFormatting>
  <conditionalFormatting sqref="M66:O67 N78:O78">
    <cfRule type="expression" dxfId="1325" priority="43">
      <formula>$N$78&gt;0</formula>
    </cfRule>
    <cfRule type="expression" dxfId="1324" priority="44">
      <formula>$N$78&lt;0</formula>
    </cfRule>
  </conditionalFormatting>
  <conditionalFormatting sqref="A85:O94">
    <cfRule type="expression" dxfId="1323" priority="35">
      <formula>AND($N85 &gt; 0, ISNUMBER($N85))</formula>
    </cfRule>
    <cfRule type="expression" dxfId="1322" priority="36">
      <formula>AND($N85 &lt; 0, ISNUMBER($N85))</formula>
    </cfRule>
    <cfRule type="expression" dxfId="1321" priority="37">
      <formula>AND($K85 &gt; 0, ISNUMBER($K85))</formula>
    </cfRule>
    <cfRule type="expression" dxfId="1320" priority="38">
      <formula>AND($K85 &lt; 0, ISNUMBER($K85))</formula>
    </cfRule>
    <cfRule type="expression" dxfId="1319" priority="39">
      <formula>AND($H85 &gt; 0, ISNUMBER($H85))</formula>
    </cfRule>
    <cfRule type="expression" dxfId="1318" priority="40">
      <formula>AND($H85 &lt; 0, ISNUMBER($H85))</formula>
    </cfRule>
    <cfRule type="expression" dxfId="1317" priority="41">
      <formula>AND($E85 &gt; 0, ISNUMBER($E85))</formula>
    </cfRule>
    <cfRule type="expression" dxfId="1316" priority="42">
      <formula>AND($E85 &lt; 0, ISNUMBER($E85))</formula>
    </cfRule>
  </conditionalFormatting>
  <conditionalFormatting sqref="D83:F84 E95:F95">
    <cfRule type="expression" dxfId="1315" priority="33">
      <formula>$E$95&gt;0</formula>
    </cfRule>
    <cfRule type="expression" dxfId="1314" priority="34">
      <formula>$E$95&lt;0</formula>
    </cfRule>
  </conditionalFormatting>
  <conditionalFormatting sqref="G83:I84 H95:I95">
    <cfRule type="expression" dxfId="1313" priority="31">
      <formula>$H$95&gt;0</formula>
    </cfRule>
    <cfRule type="expression" dxfId="1312" priority="32">
      <formula>$H$95&lt;0</formula>
    </cfRule>
  </conditionalFormatting>
  <conditionalFormatting sqref="J83:L84 K95:L95">
    <cfRule type="expression" dxfId="1311" priority="29">
      <formula>$K$95&gt;0</formula>
    </cfRule>
    <cfRule type="expression" dxfId="1310" priority="30">
      <formula>$K$95&lt;0</formula>
    </cfRule>
  </conditionalFormatting>
  <conditionalFormatting sqref="M83:O84 N95:O95">
    <cfRule type="expression" dxfId="1309" priority="27">
      <formula>$N$95&gt;0</formula>
    </cfRule>
    <cfRule type="expression" dxfId="1308" priority="28">
      <formula>$N$95&lt;0</formula>
    </cfRule>
  </conditionalFormatting>
  <conditionalFormatting sqref="A102:O111">
    <cfRule type="expression" dxfId="1307" priority="19">
      <formula>AND($N102 &gt; 0, ISNUMBER($N102))</formula>
    </cfRule>
    <cfRule type="expression" dxfId="1306" priority="20">
      <formula>AND($N102 &lt; 0, ISNUMBER($N102))</formula>
    </cfRule>
    <cfRule type="expression" dxfId="1305" priority="21">
      <formula>AND($K102 &gt; 0, ISNUMBER($K102))</formula>
    </cfRule>
    <cfRule type="expression" dxfId="1304" priority="22">
      <formula>AND($K102 &lt; 0, ISNUMBER($K102))</formula>
    </cfRule>
    <cfRule type="expression" dxfId="1303" priority="23">
      <formula>AND($H102 &gt; 0, ISNUMBER($H102))</formula>
    </cfRule>
    <cfRule type="expression" dxfId="1302" priority="24">
      <formula>AND($H102 &lt; 0, ISNUMBER($H102))</formula>
    </cfRule>
    <cfRule type="expression" dxfId="1301" priority="25">
      <formula>AND($E102 &gt; 0, ISNUMBER($E102))</formula>
    </cfRule>
    <cfRule type="expression" dxfId="1300" priority="26">
      <formula>AND($E102 &lt; 0, ISNUMBER($E102))</formula>
    </cfRule>
  </conditionalFormatting>
  <conditionalFormatting sqref="D100:F101 E112:F112">
    <cfRule type="expression" dxfId="1299" priority="17">
      <formula>$E$112&gt;0</formula>
    </cfRule>
    <cfRule type="expression" dxfId="1298" priority="18">
      <formula>$E$112&lt;0</formula>
    </cfRule>
  </conditionalFormatting>
  <conditionalFormatting sqref="G100:I101 H112:I112">
    <cfRule type="expression" dxfId="1297" priority="15">
      <formula>$H$112&gt;0</formula>
    </cfRule>
    <cfRule type="expression" dxfId="1296" priority="16">
      <formula>$H$112&lt;0</formula>
    </cfRule>
  </conditionalFormatting>
  <conditionalFormatting sqref="J100:L101 K112:L112">
    <cfRule type="expression" dxfId="1295" priority="13">
      <formula>$K$112&gt;0</formula>
    </cfRule>
    <cfRule type="expression" dxfId="1294" priority="14">
      <formula>$K$112&lt;0</formula>
    </cfRule>
  </conditionalFormatting>
  <conditionalFormatting sqref="M100:O101 N112:O112">
    <cfRule type="expression" dxfId="1293" priority="11">
      <formula>$N$112&gt;0</formula>
    </cfRule>
    <cfRule type="expression" dxfId="1292" priority="12">
      <formula>$N$112&lt;0</formula>
    </cfRule>
  </conditionalFormatting>
  <conditionalFormatting sqref="G2:I3">
    <cfRule type="expression" dxfId="129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29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28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28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28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28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28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28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28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28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E80-3A01-4493-B514-D4E565E4F686}">
  <sheetPr codeName="Sheet10"/>
  <dimension ref="A1:R112"/>
  <sheetViews>
    <sheetView topLeftCell="A34" zoomScaleNormal="100" workbookViewId="0">
      <selection activeCell="A105" sqref="A105:A10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44294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123,040 KRW (12.30%)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96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158,801 KRW (17.64%)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116,525 KRW (11.65%)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106,212 KRW (10.62%)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37,994 KRW (3.80%)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96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91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92" t="s">
        <v>67</v>
      </c>
      <c r="H16" s="93" t="s">
        <v>68</v>
      </c>
      <c r="I16" s="94" t="s">
        <v>70</v>
      </c>
      <c r="J16" s="4" t="s">
        <v>67</v>
      </c>
      <c r="K16" s="4" t="s">
        <v>68</v>
      </c>
      <c r="L16" s="95" t="s">
        <v>70</v>
      </c>
      <c r="M16" s="18" t="s">
        <v>67</v>
      </c>
      <c r="N16" s="4" t="s">
        <v>68</v>
      </c>
      <c r="O16" s="97" t="s">
        <v>70</v>
      </c>
      <c r="Q16" s="206"/>
      <c r="R16" s="207"/>
    </row>
    <row r="17" spans="1:18" ht="17.25" customHeight="1">
      <c r="A17" s="39" t="s">
        <v>165</v>
      </c>
      <c r="B17" s="89">
        <f>IF(NOT(_xlfn.IFNA(VLOOKUP($A17, $A$30:$O$112, 2, FALSE), "")=0), _xlfn.IFNA(VLOOKUP($A17, $A$30:$O$112, 2, FALSE), ""), "")</f>
        <v>137750</v>
      </c>
      <c r="C17" s="22">
        <f>IF(NOT(_xlfn.IFNA(VLOOKUP($A17, $A$30:$O$112, 3, FALSE), "")=0), _xlfn.IFNA(VLOOKUP($A17, $A$30:$O$112, 3, FALSE), ""), "")</f>
        <v>0.37763776380000003</v>
      </c>
      <c r="D17" s="89">
        <f>IF(NOT(_xlfn.IFNA(VLOOKUP($A17, $A$30:$O$112, 4, FALSE), "")=0), _xlfn.IFNA(VLOOKUP($A17, $A$30:$O$112, 4, FALSE), ""), "")</f>
        <v>120800</v>
      </c>
      <c r="E17" s="22">
        <f>IF(NOT(_xlfn.IFNA(VLOOKUP($A17, $A$30:$O$112, 5, FALSE), "")=0), _xlfn.IFNA(VLOOKUP($A17, $A$30:$O$112, 5, FALSE), ""), "")</f>
        <v>-0.12304900181488203</v>
      </c>
      <c r="F17" s="58">
        <f>IF(NOT(_xlfn.IFNA(VLOOKUP($A17, $A$30:$O$112, 6, FALSE), "")=0), _xlfn.IFNA(VLOOKUP($A17, $A$30:$O$112, 6, FALSE), ""), "")</f>
        <v>-12304.900181488203</v>
      </c>
      <c r="G17" s="36">
        <f t="shared" ref="G17:G26" si="0">IF(NOT(_xlfn.IFNA(VLOOKUP($A17, $A$30:$O$112, 7, FALSE), "")=0), _xlfn.IFNA(VLOOKUP($A17, $A$30:$O$112, 7, FALSE), ""), "")</f>
        <v>123750</v>
      </c>
      <c r="H17" s="5">
        <f>IF(NOT(_xlfn.IFNA(VLOOKUP($A17, $A$30:$O$112, 8, FALSE), "")=0), _xlfn.IFNA(VLOOKUP($A17, $A$30:$O$112, 8, FALSE), ""), "")</f>
        <v>-0.10163339382940109</v>
      </c>
      <c r="I17" s="59">
        <f>IF(NOT(_xlfn.IFNA(VLOOKUP($A17, $A$30:$O$112, 9, FALSE), "")=0), _xlfn.IFNA(VLOOKUP($A17, $A$30:$O$112, 9, FALSE), ""), "")</f>
        <v>-10163.339382940108</v>
      </c>
      <c r="J17" s="89">
        <f>IF(NOT(_xlfn.IFNA(VLOOKUP($A17, $A$30:$O$112, 10, FALSE), "")=0), _xlfn.IFNA(VLOOKUP($A17, $A$30:$O$112, 10, FALSE), ""), "")</f>
        <v>122550</v>
      </c>
      <c r="K17" s="22">
        <f>IF(NOT(_xlfn.IFNA(VLOOKUP($A17, $A$30:$O$112, 11, FALSE), "")=0), _xlfn.IFNA(VLOOKUP($A17, $A$30:$O$112, 11, FALSE), ""), "")</f>
        <v>-0.1103448275862069</v>
      </c>
      <c r="L17" s="58">
        <f>IF(NOT(_xlfn.IFNA(VLOOKUP($A17, $A$30:$O$112, 12, FALSE), "")=0), _xlfn.IFNA(VLOOKUP($A17, $A$30:$O$112, 12, FALSE), ""), "")</f>
        <v>-11034.48275862069</v>
      </c>
      <c r="M17" s="89">
        <f>IF(NOT(_xlfn.IFNA(VLOOKUP($A17, $A$30:$O$112, 13, FALSE), "")=0), _xlfn.IFNA(VLOOKUP($A17, $A$30:$O$112, 13, FALSE), ""), "")</f>
        <v>138600</v>
      </c>
      <c r="N17" s="22">
        <f>IF(NOT(_xlfn.IFNA(VLOOKUP($A17, $A$30:$O$112, 14, FALSE), "")=0), _xlfn.IFNA(VLOOKUP($A17, $A$30:$O$112, 14, FALSE), ""), "")</f>
        <v>6.1705989110707807E-3</v>
      </c>
      <c r="O17" s="43">
        <f>IF(NOT(_xlfn.IFNA(VLOOKUP($A17, $A$30:$O$112, 15, FALSE), "")=0), _xlfn.IFNA(VLOOKUP($A17, $A$30:$O$112, 15, FALSE), ""), "")</f>
        <v>617.0598911070781</v>
      </c>
      <c r="Q17" s="204"/>
      <c r="R17" s="205"/>
    </row>
    <row r="18" spans="1:18" ht="17.25" customHeight="1">
      <c r="A18" s="40" t="s">
        <v>189</v>
      </c>
      <c r="B18" s="36">
        <f t="shared" ref="B18:B26" si="1">IF(NOT(_xlfn.IFNA(VLOOKUP($A18, $A$30:$O$112, 2, FALSE), "")=0), _xlfn.IFNA(VLOOKUP($A18, $A$30:$O$112, 2, FALSE), ""), "")</f>
        <v>59110</v>
      </c>
      <c r="C18" s="5">
        <f t="shared" ref="C18:C26" si="2">IF(NOT(_xlfn.IFNA(VLOOKUP($A18, $A$30:$O$112, 3, FALSE), "")=0), _xlfn.IFNA(VLOOKUP($A18, $A$30:$O$112, 3, FALSE), ""), "")</f>
        <v>0.16772026870000001</v>
      </c>
      <c r="D18" s="36">
        <f t="shared" ref="D18:D26" si="3">IF(NOT(_xlfn.IFNA(VLOOKUP($A18, $A$30:$O$112, 4, FALSE), "")=0), _xlfn.IFNA(VLOOKUP($A18, $A$30:$O$112, 4, FALSE), ""), "")</f>
        <v>54280</v>
      </c>
      <c r="E18" s="5">
        <f t="shared" ref="E18:E26" si="4">IF(NOT(_xlfn.IFNA(VLOOKUP($A18, $A$30:$O$112, 5, FALSE), "")=0), _xlfn.IFNA(VLOOKUP($A18, $A$30:$O$112, 5, FALSE), ""), "")</f>
        <v>-8.171206225680934E-2</v>
      </c>
      <c r="F18" s="59">
        <f t="shared" ref="F18:F26" si="5">IF(NOT(_xlfn.IFNA(VLOOKUP($A18, $A$30:$O$112, 6, FALSE), "")=0), _xlfn.IFNA(VLOOKUP($A18, $A$30:$O$112, 6, FALSE), ""), "")</f>
        <v>-8171.206225680934</v>
      </c>
      <c r="G18" s="36">
        <f t="shared" si="0"/>
        <v>59810</v>
      </c>
      <c r="H18" s="5">
        <f t="shared" ref="H18:H26" si="6">IF(NOT(_xlfn.IFNA(VLOOKUP($A18, $A$30:$O$112, 8, FALSE), "")=0), _xlfn.IFNA(VLOOKUP($A18, $A$30:$O$112, 8, FALSE), ""), "")</f>
        <v>1.1842327863305701E-2</v>
      </c>
      <c r="I18" s="59">
        <f t="shared" ref="I18:I26" si="7">IF(NOT(_xlfn.IFNA(VLOOKUP($A18, $A$30:$O$112, 9, FALSE), "")=0), _xlfn.IFNA(VLOOKUP($A18, $A$30:$O$112, 9, FALSE), ""), "")</f>
        <v>1184.2327863305702</v>
      </c>
      <c r="J18" s="36">
        <f t="shared" ref="J18:J26" si="8">IF(NOT(_xlfn.IFNA(VLOOKUP($A18, $A$30:$O$112, 10, FALSE), "")=0), _xlfn.IFNA(VLOOKUP($A18, $A$30:$O$112, 10, FALSE), ""), "")</f>
        <v>58230</v>
      </c>
      <c r="K18" s="5">
        <f t="shared" ref="K18:K26" si="9">IF(NOT(_xlfn.IFNA(VLOOKUP($A18, $A$30:$O$112, 11, FALSE), "")=0), _xlfn.IFNA(VLOOKUP($A18, $A$30:$O$112, 11, FALSE), ""), "")</f>
        <v>-1.4887497885298596E-2</v>
      </c>
      <c r="L18" s="59">
        <f t="shared" ref="L18:L26" si="10">IF(NOT(_xlfn.IFNA(VLOOKUP($A18, $A$30:$O$112, 12, FALSE), "")=0), _xlfn.IFNA(VLOOKUP($A18, $A$30:$O$112, 12, FALSE), ""), "")</f>
        <v>-1488.7497885298596</v>
      </c>
      <c r="M18" s="36">
        <f t="shared" ref="M18:M26" si="11">IF(NOT(_xlfn.IFNA(VLOOKUP($A18, $A$30:$O$112, 13, FALSE), "")=0), _xlfn.IFNA(VLOOKUP($A18, $A$30:$O$112, 13, FALSE), ""), "")</f>
        <v>59760</v>
      </c>
      <c r="N18" s="5">
        <f t="shared" ref="N18:N26" si="12">IF(NOT(_xlfn.IFNA(VLOOKUP($A18, $A$30:$O$112, 14, FALSE), "")=0), _xlfn.IFNA(VLOOKUP($A18, $A$30:$O$112, 14, FALSE), ""), "")</f>
        <v>1.0996447301641009E-2</v>
      </c>
      <c r="O18" s="44">
        <f t="shared" ref="O18:O26" si="13">IF(NOT(_xlfn.IFNA(VLOOKUP($A18, $A$30:$O$112, 15, FALSE), "")=0), _xlfn.IFNA(VLOOKUP($A18, $A$30:$O$112, 15, FALSE), ""), "")</f>
        <v>1099.6447301641008</v>
      </c>
      <c r="Q18" s="204"/>
      <c r="R18" s="205"/>
    </row>
    <row r="19" spans="1:18" ht="17.25" customHeight="1">
      <c r="A19" s="40" t="s">
        <v>105</v>
      </c>
      <c r="B19" s="36">
        <f t="shared" si="1"/>
        <v>62880</v>
      </c>
      <c r="C19" s="5">
        <f t="shared" si="2"/>
        <v>0.16057585830000001</v>
      </c>
      <c r="D19" s="36">
        <f t="shared" si="3"/>
        <v>57690</v>
      </c>
      <c r="E19" s="5">
        <f t="shared" si="4"/>
        <v>-8.2538167938931303E-2</v>
      </c>
      <c r="F19" s="59">
        <f t="shared" si="5"/>
        <v>-8253.816793893131</v>
      </c>
      <c r="G19" s="36">
        <f t="shared" si="0"/>
        <v>58000</v>
      </c>
      <c r="H19" s="5">
        <f t="shared" si="6"/>
        <v>-7.7608142493638677E-2</v>
      </c>
      <c r="I19" s="59">
        <f t="shared" si="7"/>
        <v>-7760.8142493638679</v>
      </c>
      <c r="J19" s="36">
        <f t="shared" si="8"/>
        <v>57400</v>
      </c>
      <c r="K19" s="5">
        <f t="shared" si="9"/>
        <v>-8.7150127226463106E-2</v>
      </c>
      <c r="L19" s="59">
        <f t="shared" si="10"/>
        <v>-8715.0127226463101</v>
      </c>
      <c r="M19" s="36">
        <f t="shared" si="11"/>
        <v>62130</v>
      </c>
      <c r="N19" s="5">
        <f t="shared" si="12"/>
        <v>-1.1927480916030535E-2</v>
      </c>
      <c r="O19" s="44">
        <f t="shared" si="13"/>
        <v>-1192.7480916030536</v>
      </c>
      <c r="Q19" s="204"/>
      <c r="R19" s="205"/>
    </row>
    <row r="20" spans="1:18" ht="17.25" customHeight="1">
      <c r="A20" s="40" t="s">
        <v>170</v>
      </c>
      <c r="B20" s="36">
        <f t="shared" si="1"/>
        <v>3845</v>
      </c>
      <c r="C20" s="5">
        <f t="shared" si="2"/>
        <v>0.1242690058</v>
      </c>
      <c r="D20" s="36">
        <f t="shared" si="3"/>
        <v>4710</v>
      </c>
      <c r="E20" s="5">
        <f t="shared" si="4"/>
        <v>0.22496749024707413</v>
      </c>
      <c r="F20" s="59">
        <f t="shared" si="5"/>
        <v>22496.749024707413</v>
      </c>
      <c r="G20" s="36">
        <f t="shared" si="0"/>
        <v>5165</v>
      </c>
      <c r="H20" s="5">
        <f t="shared" si="6"/>
        <v>0.34330299089726918</v>
      </c>
      <c r="I20" s="59">
        <f t="shared" si="7"/>
        <v>34330.299089726919</v>
      </c>
      <c r="J20" s="36">
        <f t="shared" si="8"/>
        <v>5185</v>
      </c>
      <c r="K20" s="5">
        <f t="shared" si="9"/>
        <v>0.34850455136540964</v>
      </c>
      <c r="L20" s="59">
        <f t="shared" si="10"/>
        <v>34850.455136540964</v>
      </c>
      <c r="M20" s="36">
        <f t="shared" si="11"/>
        <v>5370</v>
      </c>
      <c r="N20" s="5">
        <f t="shared" si="12"/>
        <v>0.39661898569570869</v>
      </c>
      <c r="O20" s="44">
        <f t="shared" si="13"/>
        <v>39661.898569570869</v>
      </c>
      <c r="Q20" s="204"/>
      <c r="R20" s="205"/>
    </row>
    <row r="21" spans="1:18" ht="17.25" customHeight="1">
      <c r="A21" s="41" t="s">
        <v>174</v>
      </c>
      <c r="B21" s="37">
        <f t="shared" si="1"/>
        <v>22120</v>
      </c>
      <c r="C21" s="24">
        <f t="shared" si="2"/>
        <v>7.8498293499999997E-2</v>
      </c>
      <c r="D21" s="37">
        <f t="shared" si="3"/>
        <v>18920</v>
      </c>
      <c r="E21" s="24">
        <f t="shared" si="4"/>
        <v>-0.14466546112115733</v>
      </c>
      <c r="F21" s="60">
        <f t="shared" si="5"/>
        <v>-14466.546112115733</v>
      </c>
      <c r="G21" s="37">
        <f t="shared" si="0"/>
        <v>18900</v>
      </c>
      <c r="H21" s="24">
        <f t="shared" si="6"/>
        <v>-0.14556962025316456</v>
      </c>
      <c r="I21" s="60">
        <f t="shared" si="7"/>
        <v>-14556.962025316456</v>
      </c>
      <c r="J21" s="37">
        <f t="shared" si="8"/>
        <v>19260</v>
      </c>
      <c r="K21" s="24">
        <f t="shared" si="9"/>
        <v>-0.12929475587703435</v>
      </c>
      <c r="L21" s="60">
        <f t="shared" si="10"/>
        <v>-12929.475587703435</v>
      </c>
      <c r="M21" s="37">
        <f t="shared" si="11"/>
        <v>20180</v>
      </c>
      <c r="N21" s="24">
        <f t="shared" si="12"/>
        <v>-8.7703435804701621E-2</v>
      </c>
      <c r="O21" s="62">
        <f t="shared" si="13"/>
        <v>-8770.3435804701621</v>
      </c>
      <c r="Q21" s="204"/>
      <c r="R21" s="205"/>
    </row>
    <row r="22" spans="1:18" ht="17.25" customHeight="1">
      <c r="A22" s="40" t="s">
        <v>212</v>
      </c>
      <c r="B22" s="36">
        <f t="shared" si="1"/>
        <v>25230</v>
      </c>
      <c r="C22" s="5">
        <f t="shared" si="2"/>
        <v>4.9064449099999997E-2</v>
      </c>
      <c r="D22" s="36">
        <f t="shared" si="3"/>
        <v>23310</v>
      </c>
      <c r="E22" s="5">
        <f t="shared" si="4"/>
        <v>-7.6099881093935784E-2</v>
      </c>
      <c r="F22" s="59">
        <f t="shared" si="5"/>
        <v>-7609.9881093935783</v>
      </c>
      <c r="G22" s="36">
        <f t="shared" si="0"/>
        <v>23290</v>
      </c>
      <c r="H22" s="5">
        <f t="shared" si="6"/>
        <v>-7.689258818866429E-2</v>
      </c>
      <c r="I22" s="59">
        <f t="shared" si="7"/>
        <v>-7689.2588188664295</v>
      </c>
      <c r="J22" s="36">
        <f t="shared" si="8"/>
        <v>23510</v>
      </c>
      <c r="K22" s="5">
        <f t="shared" si="9"/>
        <v>-6.8172810146650817E-2</v>
      </c>
      <c r="L22" s="59">
        <f t="shared" si="10"/>
        <v>-6817.2810146650818</v>
      </c>
      <c r="M22" s="36">
        <f t="shared" si="11"/>
        <v>24450</v>
      </c>
      <c r="N22" s="5">
        <f t="shared" si="12"/>
        <v>-3.0915576694411414E-2</v>
      </c>
      <c r="O22" s="44">
        <f t="shared" si="13"/>
        <v>-3091.5576694411416</v>
      </c>
      <c r="Q22" s="204"/>
      <c r="R22" s="205"/>
    </row>
    <row r="23" spans="1:18" ht="17.25" customHeight="1">
      <c r="A23" s="40" t="s">
        <v>147</v>
      </c>
      <c r="B23" s="36">
        <f t="shared" si="1"/>
        <v>16060</v>
      </c>
      <c r="C23" s="5">
        <f t="shared" si="2"/>
        <v>1.8389346899999999E-2</v>
      </c>
      <c r="D23" s="36">
        <f t="shared" si="3"/>
        <v>15270</v>
      </c>
      <c r="E23" s="5">
        <f t="shared" si="4"/>
        <v>-4.9190535491905357E-2</v>
      </c>
      <c r="F23" s="59">
        <f t="shared" si="5"/>
        <v>-4919.0535491905357</v>
      </c>
      <c r="G23" s="36">
        <f t="shared" si="0"/>
        <v>15630</v>
      </c>
      <c r="H23" s="5">
        <f t="shared" si="6"/>
        <v>-2.6774595267745952E-2</v>
      </c>
      <c r="I23" s="59">
        <f t="shared" si="7"/>
        <v>-2677.4595267745954</v>
      </c>
      <c r="J23" s="36">
        <f t="shared" si="8"/>
        <v>15800</v>
      </c>
      <c r="K23" s="5">
        <f t="shared" si="9"/>
        <v>-1.61892901618929E-2</v>
      </c>
      <c r="L23" s="59">
        <f t="shared" si="10"/>
        <v>-1618.92901618929</v>
      </c>
      <c r="M23" s="36">
        <f t="shared" si="11"/>
        <v>16770</v>
      </c>
      <c r="N23" s="5">
        <f t="shared" si="12"/>
        <v>4.4209215442092158E-2</v>
      </c>
      <c r="O23" s="44">
        <f t="shared" si="13"/>
        <v>4420.9215442092154</v>
      </c>
      <c r="Q23" s="204"/>
      <c r="R23" s="205"/>
    </row>
    <row r="24" spans="1:18" ht="17.25" customHeight="1">
      <c r="A24" s="40" t="s">
        <v>213</v>
      </c>
      <c r="B24" s="36">
        <f t="shared" si="1"/>
        <v>12440</v>
      </c>
      <c r="C24" s="5">
        <f t="shared" si="2"/>
        <v>-3.2051281999999999E-3</v>
      </c>
      <c r="D24" s="36">
        <f t="shared" si="3"/>
        <v>11620</v>
      </c>
      <c r="E24" s="5">
        <f t="shared" si="4"/>
        <v>-6.591639871382636E-2</v>
      </c>
      <c r="F24" s="59">
        <f t="shared" si="5"/>
        <v>-6591.6398713826356</v>
      </c>
      <c r="G24" s="36">
        <f t="shared" si="0"/>
        <v>11710</v>
      </c>
      <c r="H24" s="5">
        <f t="shared" si="6"/>
        <v>-5.8681672025723476E-2</v>
      </c>
      <c r="I24" s="59">
        <f t="shared" si="7"/>
        <v>-5868.1672025723474</v>
      </c>
      <c r="J24" s="36">
        <f t="shared" si="8"/>
        <v>11870</v>
      </c>
      <c r="K24" s="5">
        <f t="shared" si="9"/>
        <v>-4.5819935691318328E-2</v>
      </c>
      <c r="L24" s="59">
        <f t="shared" si="10"/>
        <v>-4581.9935691318324</v>
      </c>
      <c r="M24" s="36">
        <f t="shared" si="11"/>
        <v>12320</v>
      </c>
      <c r="N24" s="5">
        <f t="shared" si="12"/>
        <v>-9.6463022508038593E-3</v>
      </c>
      <c r="O24" s="44">
        <f t="shared" si="13"/>
        <v>-964.63022508038591</v>
      </c>
      <c r="Q24" s="204"/>
      <c r="R24" s="205"/>
    </row>
    <row r="25" spans="1:18" ht="17.25" customHeight="1">
      <c r="A25" s="40" t="s">
        <v>140</v>
      </c>
      <c r="B25" s="36">
        <f t="shared" si="1"/>
        <v>462</v>
      </c>
      <c r="C25" s="5">
        <f t="shared" si="2"/>
        <v>-1.2820512799999999E-2</v>
      </c>
      <c r="D25" s="36">
        <f t="shared" si="3"/>
        <v>449</v>
      </c>
      <c r="E25" s="5">
        <f t="shared" si="4"/>
        <v>-2.813852813852814E-2</v>
      </c>
      <c r="F25" s="59">
        <f t="shared" si="5"/>
        <v>-2813.8528138528141</v>
      </c>
      <c r="G25" s="36">
        <f t="shared" si="0"/>
        <v>458</v>
      </c>
      <c r="H25" s="5">
        <f t="shared" si="6"/>
        <v>-8.658008658008658E-3</v>
      </c>
      <c r="I25" s="59">
        <f t="shared" si="7"/>
        <v>-865.80086580086584</v>
      </c>
      <c r="J25" s="36">
        <f t="shared" si="8"/>
        <v>473</v>
      </c>
      <c r="K25" s="5">
        <f t="shared" si="9"/>
        <v>2.3809523809523808E-2</v>
      </c>
      <c r="L25" s="59">
        <f t="shared" si="10"/>
        <v>2380.9523809523807</v>
      </c>
      <c r="M25" s="36">
        <f t="shared" si="11"/>
        <v>491</v>
      </c>
      <c r="N25" s="5">
        <f t="shared" si="12"/>
        <v>6.2770562770562768E-2</v>
      </c>
      <c r="O25" s="44">
        <f t="shared" si="13"/>
        <v>6277.0562770562765</v>
      </c>
      <c r="Q25" s="206"/>
      <c r="R25" s="207"/>
    </row>
    <row r="26" spans="1:18" ht="17.25" customHeight="1" thickBot="1">
      <c r="A26" s="42" t="s">
        <v>209</v>
      </c>
      <c r="B26" s="38">
        <f t="shared" si="1"/>
        <v>78990</v>
      </c>
      <c r="C26" s="16">
        <f t="shared" si="2"/>
        <v>-6.6091274500000005E-2</v>
      </c>
      <c r="D26" s="38">
        <f t="shared" si="3"/>
        <v>77400</v>
      </c>
      <c r="E26" s="16">
        <f t="shared" si="4"/>
        <v>-2.0129130269654388E-2</v>
      </c>
      <c r="F26" s="61">
        <f t="shared" si="5"/>
        <v>-2012.9130269654388</v>
      </c>
      <c r="G26" s="38">
        <f t="shared" si="0"/>
        <v>76910</v>
      </c>
      <c r="H26" s="16">
        <f t="shared" si="6"/>
        <v>-2.6332447145208254E-2</v>
      </c>
      <c r="I26" s="61">
        <f t="shared" si="7"/>
        <v>-2633.2447145208253</v>
      </c>
      <c r="J26" s="38">
        <f t="shared" si="8"/>
        <v>77250</v>
      </c>
      <c r="K26" s="16">
        <f t="shared" si="9"/>
        <v>-2.2028104823395366E-2</v>
      </c>
      <c r="L26" s="61">
        <f t="shared" si="10"/>
        <v>-2202.8104823395365</v>
      </c>
      <c r="M26" s="38">
        <f t="shared" si="11"/>
        <v>78940</v>
      </c>
      <c r="N26" s="16">
        <f t="shared" si="12"/>
        <v>-6.3299151791365994E-4</v>
      </c>
      <c r="O26" s="45">
        <f t="shared" si="13"/>
        <v>-63.299151791365993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-4.4647167659255589E-2</v>
      </c>
      <c r="F27" s="47">
        <f>SUM(F17:F26)</f>
        <v>-44647.167659255581</v>
      </c>
      <c r="G27" s="57" t="s">
        <v>82</v>
      </c>
      <c r="H27" s="46">
        <f>IF(COUNT(H17:H26), SUM(H17:H26) / COUNT(H17:H26), 0)</f>
        <v>-1.6700514910098004E-2</v>
      </c>
      <c r="I27" s="47">
        <f>SUM(I17:I26)</f>
        <v>-16700.514910098005</v>
      </c>
      <c r="J27" s="57" t="s">
        <v>82</v>
      </c>
      <c r="K27" s="46">
        <f>IF(COUNT(K17:K26), SUM(K17:K26) / COUNT(K17:K26), 0)</f>
        <v>-1.2157327422332687E-2</v>
      </c>
      <c r="L27" s="47">
        <f>SUM(L17:L26)</f>
        <v>-12157.327422332692</v>
      </c>
      <c r="M27" s="57" t="s">
        <v>82</v>
      </c>
      <c r="N27" s="46">
        <f>IF(COUNT(N17:N26), SUM(N17:N26) / COUNT(N17:N26), 0)</f>
        <v>3.7994002293721421E-2</v>
      </c>
      <c r="O27" s="47">
        <f>SUM(O17:O26)</f>
        <v>37994.002293721423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91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95" t="s">
        <v>70</v>
      </c>
      <c r="M33" s="18" t="s">
        <v>67</v>
      </c>
      <c r="N33" s="4" t="s">
        <v>68</v>
      </c>
      <c r="O33" s="97" t="s">
        <v>70</v>
      </c>
      <c r="Q33" s="231"/>
      <c r="R33" s="232"/>
    </row>
    <row r="34" spans="1:18" ht="17.25" customHeight="1">
      <c r="A34" s="9" t="s">
        <v>94</v>
      </c>
      <c r="B34" s="31">
        <v>75.8</v>
      </c>
      <c r="C34" s="22">
        <v>-0.12166859789999999</v>
      </c>
      <c r="D34" s="89">
        <v>77.099999999999994</v>
      </c>
      <c r="E34" s="22">
        <f>IF(ISNUMBER(D34), (D34 - $B34) / $B34, "")</f>
        <v>1.715039577836408E-2</v>
      </c>
      <c r="F34" s="43">
        <f>IF(ISNUMBER(D34), $B44 * E34, "")</f>
        <v>1715.0395778364079</v>
      </c>
      <c r="G34" s="89">
        <v>77.5</v>
      </c>
      <c r="H34" s="22">
        <f>IF(ISNUMBER(G34), (G34 - $B34) / $B34, "")</f>
        <v>2.2427440633245421E-2</v>
      </c>
      <c r="I34" s="43">
        <f>IF(ISNUMBER(G34), $B44 * H34, "")</f>
        <v>2242.7440633245419</v>
      </c>
      <c r="J34" s="89">
        <v>78</v>
      </c>
      <c r="K34" s="22">
        <f>IF(ISNUMBER(J34), (J34 - $B34) / $B34, "")</f>
        <v>2.9023746701847004E-2</v>
      </c>
      <c r="L34" s="43">
        <f>IF(ISNUMBER(J34), $B44 * K34, "")</f>
        <v>2902.3746701847003</v>
      </c>
      <c r="M34" s="89">
        <v>79.2</v>
      </c>
      <c r="N34" s="22">
        <f>IF(ISNUMBER(M34), (M34 - $B34) / $B34, "")</f>
        <v>4.4854881266490843E-2</v>
      </c>
      <c r="O34" s="43">
        <f>IF(ISNUMBER(M34), $B44 * N34, "")</f>
        <v>4485.4881266490838</v>
      </c>
      <c r="Q34" s="229"/>
      <c r="R34" s="230"/>
    </row>
    <row r="35" spans="1:18" ht="17.25" customHeight="1">
      <c r="A35" s="11" t="s">
        <v>163</v>
      </c>
      <c r="B35" s="32">
        <v>33.200000000000003</v>
      </c>
      <c r="C35" s="5">
        <v>-0.1741293532</v>
      </c>
      <c r="D35" s="36">
        <v>34.6</v>
      </c>
      <c r="E35" s="5">
        <f t="shared" ref="E35:E43" si="14">IF(ISNUMBER(D35), (D35 - $B35) / $B35, "")</f>
        <v>4.2168674698795136E-2</v>
      </c>
      <c r="F35" s="44">
        <f>IF(ISNUMBER(D35), $B44 * E35, "")</f>
        <v>4216.8674698795139</v>
      </c>
      <c r="G35" s="36">
        <v>35.799999999999997</v>
      </c>
      <c r="H35" s="5">
        <f t="shared" ref="H35:H43" si="15">IF(ISNUMBER(G35), (G35 - $B35) / $B35, "")</f>
        <v>7.8313253012048015E-2</v>
      </c>
      <c r="I35" s="44">
        <f>IF(ISNUMBER(G35), $B44 * H35, "")</f>
        <v>7831.3253012048017</v>
      </c>
      <c r="J35" s="36">
        <v>36.299999999999997</v>
      </c>
      <c r="K35" s="5">
        <f t="shared" ref="K35:K43" si="16">IF(ISNUMBER(J35), (J35 - $B35) / $B35, "")</f>
        <v>9.3373493975903429E-2</v>
      </c>
      <c r="L35" s="44">
        <f>IF(ISNUMBER(J35), $B44 * K35, "")</f>
        <v>9337.3493975903421</v>
      </c>
      <c r="M35" s="36">
        <v>37</v>
      </c>
      <c r="N35" s="5">
        <f t="shared" ref="N35:N43" si="17">IF(ISNUMBER(M35), (M35 - $B35) / $B35, "")</f>
        <v>0.11445783132530112</v>
      </c>
      <c r="O35" s="44">
        <f>IF(ISNUMBER(M35), $B44 * N35, "")</f>
        <v>11445.783132530112</v>
      </c>
      <c r="Q35" s="229"/>
      <c r="R35" s="230"/>
    </row>
    <row r="36" spans="1:18" ht="17.25" customHeight="1">
      <c r="A36" s="11" t="s">
        <v>143</v>
      </c>
      <c r="B36" s="32">
        <v>10.7</v>
      </c>
      <c r="C36" s="5">
        <v>-0.1769230769</v>
      </c>
      <c r="D36" s="36">
        <v>10.6</v>
      </c>
      <c r="E36" s="5">
        <f t="shared" si="14"/>
        <v>-9.3457943925233326E-3</v>
      </c>
      <c r="F36" s="44">
        <f>IF(ISNUMBER(D36), $B44 * E36, "")</f>
        <v>-934.57943925233326</v>
      </c>
      <c r="G36" s="36">
        <v>11.4</v>
      </c>
      <c r="H36" s="5">
        <f t="shared" si="15"/>
        <v>6.5420560747663656E-2</v>
      </c>
      <c r="I36" s="44">
        <f>IF(ISNUMBER(G36), $B44 * H36, "")</f>
        <v>6542.0560747663658</v>
      </c>
      <c r="J36" s="36">
        <v>11.5</v>
      </c>
      <c r="K36" s="5">
        <f t="shared" si="16"/>
        <v>7.4766355140186994E-2</v>
      </c>
      <c r="L36" s="44">
        <f>IF(ISNUMBER(J36), $B44 * K36, "")</f>
        <v>7476.6355140186997</v>
      </c>
      <c r="M36" s="36">
        <v>11.7</v>
      </c>
      <c r="N36" s="5">
        <f t="shared" si="17"/>
        <v>9.3457943925233655E-2</v>
      </c>
      <c r="O36" s="44">
        <f>IF(ISNUMBER(M36), $B44 * N36, "")</f>
        <v>9345.7943925233649</v>
      </c>
      <c r="Q36" s="229"/>
      <c r="R36" s="230"/>
    </row>
    <row r="37" spans="1:18" ht="17.25" customHeight="1">
      <c r="A37" s="11" t="s">
        <v>148</v>
      </c>
      <c r="B37" s="32">
        <v>61.8</v>
      </c>
      <c r="C37" s="5">
        <v>-0.21374045799999999</v>
      </c>
      <c r="D37" s="36">
        <v>63.8</v>
      </c>
      <c r="E37" s="5">
        <f t="shared" si="14"/>
        <v>3.236245954692557E-2</v>
      </c>
      <c r="F37" s="44">
        <f>IF(ISNUMBER(D37), $B44 * E37, "")</f>
        <v>3236.245954692557</v>
      </c>
      <c r="G37" s="36">
        <v>64.599999999999994</v>
      </c>
      <c r="H37" s="5">
        <f t="shared" si="15"/>
        <v>4.5307443365695747E-2</v>
      </c>
      <c r="I37" s="44">
        <f>IF(ISNUMBER(G37), $B44 * H37, "")</f>
        <v>4530.7443365695744</v>
      </c>
      <c r="J37" s="36">
        <v>65.7</v>
      </c>
      <c r="K37" s="5">
        <f t="shared" si="16"/>
        <v>6.3106796116504951E-2</v>
      </c>
      <c r="L37" s="44">
        <f>IF(ISNUMBER(J37), $B44 * K37, "")</f>
        <v>6310.6796116504947</v>
      </c>
      <c r="M37" s="36">
        <v>66.900000000000006</v>
      </c>
      <c r="N37" s="5">
        <f t="shared" si="17"/>
        <v>8.2524271844660338E-2</v>
      </c>
      <c r="O37" s="44">
        <f>IF(ISNUMBER(M37), $B44 * N37, "")</f>
        <v>8252.4271844660343</v>
      </c>
      <c r="Q37" s="229"/>
      <c r="R37" s="230"/>
    </row>
    <row r="38" spans="1:18" ht="17.25" customHeight="1">
      <c r="A38" s="8" t="s">
        <v>145</v>
      </c>
      <c r="B38" s="33">
        <v>40.6</v>
      </c>
      <c r="C38" s="24">
        <v>-0.23684210529999999</v>
      </c>
      <c r="D38" s="37">
        <v>43.1</v>
      </c>
      <c r="E38" s="24">
        <f t="shared" si="14"/>
        <v>6.1576354679802957E-2</v>
      </c>
      <c r="F38" s="44">
        <f>IF(ISNUMBER(D38), $B44 * E38, "")</f>
        <v>6157.6354679802953</v>
      </c>
      <c r="G38" s="37">
        <v>46.7</v>
      </c>
      <c r="H38" s="24">
        <f t="shared" si="15"/>
        <v>0.15024630541871925</v>
      </c>
      <c r="I38" s="44">
        <f>IF(ISNUMBER(G38), $B44 * H38, "")</f>
        <v>15024.630541871926</v>
      </c>
      <c r="J38" s="37">
        <v>46.9</v>
      </c>
      <c r="K38" s="24">
        <f t="shared" si="16"/>
        <v>0.15517241379310337</v>
      </c>
      <c r="L38" s="44">
        <f>IF(ISNUMBER(J38), $B44 * K38, "")</f>
        <v>15517.241379310337</v>
      </c>
      <c r="M38" s="37">
        <v>46.9</v>
      </c>
      <c r="N38" s="24">
        <f t="shared" si="17"/>
        <v>0.15517241379310337</v>
      </c>
      <c r="O38" s="44">
        <f>IF(ISNUMBER(M38), $B44 * N38, "")</f>
        <v>15517.241379310337</v>
      </c>
      <c r="Q38" s="229"/>
      <c r="R38" s="230"/>
    </row>
    <row r="39" spans="1:18" ht="17.25" customHeight="1">
      <c r="A39" s="11" t="s">
        <v>95</v>
      </c>
      <c r="B39" s="32">
        <v>27.6</v>
      </c>
      <c r="C39" s="5">
        <v>-0.23756906080000001</v>
      </c>
      <c r="D39" s="36">
        <v>29.6</v>
      </c>
      <c r="E39" s="5">
        <f t="shared" si="14"/>
        <v>7.2463768115942032E-2</v>
      </c>
      <c r="F39" s="48">
        <f>IF(ISNUMBER(D39), $B44 * E39, "")</f>
        <v>7246.376811594203</v>
      </c>
      <c r="G39" s="36">
        <v>30.1</v>
      </c>
      <c r="H39" s="5">
        <f t="shared" si="15"/>
        <v>9.0579710144927536E-2</v>
      </c>
      <c r="I39" s="48">
        <f>IF(ISNUMBER(G39), $B44 * H39, "")</f>
        <v>9057.971014492754</v>
      </c>
      <c r="J39" s="36">
        <v>30.8</v>
      </c>
      <c r="K39" s="5">
        <f t="shared" si="16"/>
        <v>0.11594202898550722</v>
      </c>
      <c r="L39" s="48">
        <f>IF(ISNUMBER(J39), $B44 * K39, "")</f>
        <v>11594.202898550722</v>
      </c>
      <c r="M39" s="36">
        <v>31.2</v>
      </c>
      <c r="N39" s="5">
        <f t="shared" si="17"/>
        <v>0.13043478260869557</v>
      </c>
      <c r="O39" s="48">
        <f>IF(ISNUMBER(M39), $B44 * N39, "")</f>
        <v>13043.478260869557</v>
      </c>
      <c r="Q39" s="229"/>
      <c r="R39" s="230"/>
    </row>
    <row r="40" spans="1:18" ht="17.25" customHeight="1">
      <c r="A40" s="11" t="s">
        <v>155</v>
      </c>
      <c r="B40" s="32">
        <v>25.8</v>
      </c>
      <c r="C40" s="5">
        <v>-0.23893805309999999</v>
      </c>
      <c r="D40" s="36">
        <v>28.1</v>
      </c>
      <c r="E40" s="5">
        <f t="shared" si="14"/>
        <v>8.9147286821705446E-2</v>
      </c>
      <c r="F40" s="44">
        <f>IF(ISNUMBER(D40), $B44 * E40, "")</f>
        <v>8914.7286821705438</v>
      </c>
      <c r="G40" s="36">
        <v>28.4</v>
      </c>
      <c r="H40" s="5">
        <f t="shared" si="15"/>
        <v>0.10077519379844953</v>
      </c>
      <c r="I40" s="44">
        <f>IF(ISNUMBER(G40), $B44 * H40, "")</f>
        <v>10077.519379844953</v>
      </c>
      <c r="J40" s="36">
        <v>29.2</v>
      </c>
      <c r="K40" s="5">
        <f t="shared" si="16"/>
        <v>0.13178294573643404</v>
      </c>
      <c r="L40" s="44">
        <f>IF(ISNUMBER(J40), $B44 * K40, "")</f>
        <v>13178.294573643403</v>
      </c>
      <c r="M40" s="36">
        <v>29.8</v>
      </c>
      <c r="N40" s="5">
        <f t="shared" si="17"/>
        <v>0.15503875968992248</v>
      </c>
      <c r="O40" s="44">
        <f>IF(ISNUMBER(M40), $B44 * N40, "")</f>
        <v>15503.875968992248</v>
      </c>
      <c r="Q40" s="229"/>
      <c r="R40" s="230"/>
    </row>
    <row r="41" spans="1:18" ht="17.25" customHeight="1">
      <c r="A41" s="11" t="s">
        <v>128</v>
      </c>
      <c r="B41" s="32">
        <v>91.6</v>
      </c>
      <c r="C41" s="5">
        <v>-0.25528455280000001</v>
      </c>
      <c r="D41" s="36">
        <v>104</v>
      </c>
      <c r="E41" s="5">
        <f t="shared" si="14"/>
        <v>0.13537117903930138</v>
      </c>
      <c r="F41" s="44">
        <f>IF(ISNUMBER(D41), $B44 * E41, "")</f>
        <v>13537.117903930137</v>
      </c>
      <c r="G41" s="36">
        <v>104</v>
      </c>
      <c r="H41" s="5">
        <f t="shared" si="15"/>
        <v>0.13537117903930138</v>
      </c>
      <c r="I41" s="44">
        <f>IF(ISNUMBER(G41), $B44 * H41, "")</f>
        <v>13537.117903930137</v>
      </c>
      <c r="J41" s="36">
        <v>105</v>
      </c>
      <c r="K41" s="5">
        <f t="shared" si="16"/>
        <v>0.14628820960698696</v>
      </c>
      <c r="L41" s="44">
        <f>IF(ISNUMBER(J41), $B44 * K41, "")</f>
        <v>14628.820960698697</v>
      </c>
      <c r="M41" s="36">
        <v>107</v>
      </c>
      <c r="N41" s="5">
        <f t="shared" si="17"/>
        <v>0.16812227074235814</v>
      </c>
      <c r="O41" s="44">
        <f>IF(ISNUMBER(M41), $B44 * N41, "")</f>
        <v>16812.227074235812</v>
      </c>
      <c r="Q41" s="229"/>
      <c r="R41" s="230"/>
    </row>
    <row r="42" spans="1:18" ht="17.25" customHeight="1">
      <c r="A42" s="11" t="s">
        <v>123</v>
      </c>
      <c r="B42" s="32">
        <v>81.3</v>
      </c>
      <c r="C42" s="5">
        <v>-0.26090909089999997</v>
      </c>
      <c r="D42" s="36">
        <v>88.8</v>
      </c>
      <c r="E42" s="5">
        <f t="shared" si="14"/>
        <v>9.2250922509225092E-2</v>
      </c>
      <c r="F42" s="44">
        <f>IF(ISNUMBER(D42), $B44 * E42, "")</f>
        <v>9225.0922509225093</v>
      </c>
      <c r="G42" s="36">
        <v>94.6</v>
      </c>
      <c r="H42" s="5">
        <f t="shared" si="15"/>
        <v>0.16359163591635914</v>
      </c>
      <c r="I42" s="44">
        <f>IF(ISNUMBER(G42), $B44 * H42, "")</f>
        <v>16359.163591635914</v>
      </c>
      <c r="J42" s="36">
        <v>96.4</v>
      </c>
      <c r="K42" s="5">
        <f t="shared" si="16"/>
        <v>0.18573185731857331</v>
      </c>
      <c r="L42" s="44">
        <f>IF(ISNUMBER(J42), $B44 * K42, "")</f>
        <v>18573.185731857331</v>
      </c>
      <c r="M42" s="36">
        <v>96</v>
      </c>
      <c r="N42" s="5">
        <f t="shared" si="17"/>
        <v>0.18081180811808123</v>
      </c>
      <c r="O42" s="44">
        <f>IF(ISNUMBER(M42), $B44 * N42, "")</f>
        <v>18081.180811808124</v>
      </c>
      <c r="P42" s="17"/>
      <c r="Q42" s="231"/>
      <c r="R42" s="232"/>
    </row>
    <row r="43" spans="1:18" ht="17.25" customHeight="1" thickBot="1">
      <c r="A43" s="13" t="s">
        <v>103</v>
      </c>
      <c r="B43" s="34">
        <v>99.5</v>
      </c>
      <c r="C43" s="16">
        <v>-0.26296296299999999</v>
      </c>
      <c r="D43" s="38">
        <v>108</v>
      </c>
      <c r="E43" s="16">
        <f t="shared" si="14"/>
        <v>8.5427135678391955E-2</v>
      </c>
      <c r="F43" s="45">
        <f>IF(ISNUMBER(D43), $B44 * E43, "")</f>
        <v>8542.7135678391951</v>
      </c>
      <c r="G43" s="38">
        <v>106</v>
      </c>
      <c r="H43" s="16">
        <f t="shared" si="15"/>
        <v>6.5326633165829151E-2</v>
      </c>
      <c r="I43" s="45">
        <f>IF(ISNUMBER(G43), $B44 * H43, "")</f>
        <v>6532.6633165829153</v>
      </c>
      <c r="J43" s="38">
        <v>109</v>
      </c>
      <c r="K43" s="16">
        <f t="shared" si="16"/>
        <v>9.5477386934673364E-2</v>
      </c>
      <c r="L43" s="45">
        <f>IF(ISNUMBER(J43), $B44 * K43, "")</f>
        <v>9547.7386934673359</v>
      </c>
      <c r="M43" s="38">
        <v>110</v>
      </c>
      <c r="N43" s="16">
        <f t="shared" si="17"/>
        <v>0.10552763819095477</v>
      </c>
      <c r="O43" s="45">
        <f>IF(ISNUMBER(M43), $B44 * N43, "")</f>
        <v>10552.763819095477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6.1857238247593038E-2</v>
      </c>
      <c r="F44" s="47">
        <f>SUM(F34:F43)</f>
        <v>61857.238247593021</v>
      </c>
      <c r="G44" s="57" t="s">
        <v>82</v>
      </c>
      <c r="H44" s="46">
        <f>IF(COUNT(H34:H43), SUM(H34:H43) / COUNT(H34:H43), 0)</f>
        <v>9.1735935524223905E-2</v>
      </c>
      <c r="I44" s="47">
        <f>SUM(I34:I43)</f>
        <v>91735.935524223882</v>
      </c>
      <c r="J44" s="57" t="s">
        <v>82</v>
      </c>
      <c r="K44" s="46">
        <f>IF(COUNT(K34:K43), SUM(K34:K43) / COUNT(K34:K43), 0)</f>
        <v>0.10906652343097208</v>
      </c>
      <c r="L44" s="47">
        <f>SUM(L34:L43)</f>
        <v>109066.52343097207</v>
      </c>
      <c r="M44" s="57" t="s">
        <v>82</v>
      </c>
      <c r="N44" s="46">
        <f>IF(COUNT(N34:N43), SUM(N34:N43) / COUNT(N34:N43), 0)</f>
        <v>0.12304026015048015</v>
      </c>
      <c r="O44" s="47">
        <f>SUM(O34:O43)</f>
        <v>123040.26015048014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91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95" t="s">
        <v>70</v>
      </c>
      <c r="M50" s="18" t="s">
        <v>67</v>
      </c>
      <c r="N50" s="4" t="s">
        <v>68</v>
      </c>
      <c r="O50" s="97" t="s">
        <v>70</v>
      </c>
      <c r="Q50" s="231"/>
      <c r="R50" s="232"/>
    </row>
    <row r="51" spans="1:18" ht="17.25" customHeight="1">
      <c r="A51" s="9" t="s">
        <v>100</v>
      </c>
      <c r="B51" s="31">
        <v>34.200000000000003</v>
      </c>
      <c r="C51" s="22">
        <v>-0.2676659529</v>
      </c>
      <c r="D51" s="89">
        <v>37.299999999999997</v>
      </c>
      <c r="E51" s="22">
        <f>IF(ISNUMBER(D51), (D51 - $B51) / $B51, "")</f>
        <v>9.0643274853800998E-2</v>
      </c>
      <c r="F51" s="43">
        <f>IF(ISNUMBER(D51), $B61 * E51, "")</f>
        <v>9064.3274853800995</v>
      </c>
      <c r="G51" s="89">
        <v>38.5</v>
      </c>
      <c r="H51" s="22">
        <f>IF(ISNUMBER(G51), (G51 - $B51) / $B51, "")</f>
        <v>0.12573099415204669</v>
      </c>
      <c r="I51" s="43">
        <f>IF(ISNUMBER(G51), $B61 * H51, "")</f>
        <v>12573.09941520467</v>
      </c>
      <c r="J51" s="89">
        <v>39</v>
      </c>
      <c r="K51" s="22">
        <f>IF(ISNUMBER(J51), (J51 - $B51) / $B51, "")</f>
        <v>0.14035087719298237</v>
      </c>
      <c r="L51" s="43">
        <f>IF(ISNUMBER(J51), $B61 * K51, "")</f>
        <v>14035.087719298237</v>
      </c>
      <c r="M51" s="89">
        <v>39.4</v>
      </c>
      <c r="N51" s="22">
        <f>IF(ISNUMBER(M51), (M51 - $B51) / $B51, "")</f>
        <v>0.15204678362573085</v>
      </c>
      <c r="O51" s="43">
        <f>IF(ISNUMBER(M51), $B61 * N51, "")</f>
        <v>15204.678362573084</v>
      </c>
      <c r="Q51" s="229"/>
      <c r="R51" s="230"/>
    </row>
    <row r="52" spans="1:18" ht="17.25" customHeight="1">
      <c r="A52" s="11" t="s">
        <v>136</v>
      </c>
      <c r="B52" s="32">
        <v>24.4</v>
      </c>
      <c r="C52" s="5">
        <v>-0.27380952380000001</v>
      </c>
      <c r="D52" s="36">
        <v>26.5</v>
      </c>
      <c r="E52" s="5">
        <f t="shared" ref="E52:E60" si="18">IF(ISNUMBER(D52), (D52 - $B52) / $B52, "")</f>
        <v>8.6065573770491871E-2</v>
      </c>
      <c r="F52" s="44">
        <f>IF(ISNUMBER(D52), $B61 * E52, "")</f>
        <v>8606.5573770491865</v>
      </c>
      <c r="G52" s="36">
        <v>27.1</v>
      </c>
      <c r="H52" s="5">
        <f t="shared" ref="H52:H60" si="19">IF(ISNUMBER(G52), (G52 - $B52) / $B52, "")</f>
        <v>0.11065573770491816</v>
      </c>
      <c r="I52" s="44">
        <f>IF(ISNUMBER(G52), $B61 * H52, "")</f>
        <v>11065.573770491816</v>
      </c>
      <c r="J52" s="36">
        <v>27.9</v>
      </c>
      <c r="K52" s="5">
        <f t="shared" ref="K52:K60" si="20">IF(ISNUMBER(J52), (J52 - $B52) / $B52, "")</f>
        <v>0.14344262295081969</v>
      </c>
      <c r="L52" s="44">
        <f>IF(ISNUMBER(J52), $B61 * K52, "")</f>
        <v>14344.26229508197</v>
      </c>
      <c r="M52" s="36">
        <v>28.3</v>
      </c>
      <c r="N52" s="5">
        <f t="shared" ref="N52:N60" si="21">IF(ISNUMBER(M52), (M52 - $B52) / $B52, "")</f>
        <v>0.15983606557377059</v>
      </c>
      <c r="O52" s="44">
        <f>IF(ISNUMBER(M52), $B61 * N52, "")</f>
        <v>15983.606557377059</v>
      </c>
      <c r="Q52" s="229"/>
      <c r="R52" s="230"/>
    </row>
    <row r="53" spans="1:18" ht="17.25" customHeight="1">
      <c r="A53" s="11" t="s">
        <v>146</v>
      </c>
      <c r="B53" s="32">
        <v>82.7</v>
      </c>
      <c r="C53" s="5">
        <v>-0.27456140350000002</v>
      </c>
      <c r="D53" s="36">
        <v>109</v>
      </c>
      <c r="E53" s="5">
        <f t="shared" si="18"/>
        <v>0.31801692865779924</v>
      </c>
      <c r="F53" s="44">
        <f>IF(ISNUMBER(D53), $B61 * E53, "")</f>
        <v>31801.692865779925</v>
      </c>
      <c r="G53" s="36">
        <v>107</v>
      </c>
      <c r="H53" s="5">
        <f t="shared" si="19"/>
        <v>0.29383313180169285</v>
      </c>
      <c r="I53" s="44">
        <f>IF(ISNUMBER(G53), $B61 * H53, "")</f>
        <v>29383.313180169283</v>
      </c>
      <c r="J53" s="36">
        <v>104</v>
      </c>
      <c r="K53" s="5">
        <f t="shared" si="20"/>
        <v>0.25755743651753321</v>
      </c>
      <c r="L53" s="44">
        <f>IF(ISNUMBER(J53), $B61 * K53, "")</f>
        <v>25755.743651753321</v>
      </c>
      <c r="M53" s="36">
        <v>106</v>
      </c>
      <c r="N53" s="5">
        <f t="shared" si="21"/>
        <v>0.2817412333736396</v>
      </c>
      <c r="O53" s="44">
        <f>IF(ISNUMBER(M53), $B61 * N53, "")</f>
        <v>28174.123337363959</v>
      </c>
      <c r="Q53" s="229"/>
      <c r="R53" s="230"/>
    </row>
    <row r="54" spans="1:18" ht="17.25" customHeight="1">
      <c r="A54" s="11" t="s">
        <v>135</v>
      </c>
      <c r="B54" s="32">
        <v>26.4</v>
      </c>
      <c r="C54" s="5">
        <v>-0.27472527470000002</v>
      </c>
      <c r="D54" s="36">
        <v>29.5</v>
      </c>
      <c r="E54" s="5">
        <f t="shared" si="18"/>
        <v>0.11742424242424249</v>
      </c>
      <c r="F54" s="44">
        <f>IF(ISNUMBER(D54), $B61 * E54, "")</f>
        <v>11742.424242424249</v>
      </c>
      <c r="G54" s="36">
        <v>30.1</v>
      </c>
      <c r="H54" s="5">
        <f t="shared" si="19"/>
        <v>0.14015151515151528</v>
      </c>
      <c r="I54" s="44">
        <f>IF(ISNUMBER(G54), $B61 * H54, "")</f>
        <v>14015.151515151527</v>
      </c>
      <c r="J54" s="36">
        <v>30.5</v>
      </c>
      <c r="K54" s="5">
        <f t="shared" si="20"/>
        <v>0.15530303030303036</v>
      </c>
      <c r="L54" s="44">
        <f>IF(ISNUMBER(J54), $B61 * K54, "")</f>
        <v>15530.303030303035</v>
      </c>
      <c r="M54" s="36">
        <v>30.7</v>
      </c>
      <c r="N54" s="5">
        <f t="shared" si="21"/>
        <v>0.1628787878787879</v>
      </c>
      <c r="O54" s="44">
        <f>IF(ISNUMBER(M54), $B61 * N54, "")</f>
        <v>16287.87878787879</v>
      </c>
      <c r="Q54" s="229"/>
      <c r="R54" s="230"/>
    </row>
    <row r="55" spans="1:18" ht="17.25" customHeight="1">
      <c r="A55" s="8" t="s">
        <v>132</v>
      </c>
      <c r="B55" s="33">
        <v>30.8</v>
      </c>
      <c r="C55" s="24">
        <v>-0.2752941176</v>
      </c>
      <c r="D55" s="37">
        <v>32.799999999999997</v>
      </c>
      <c r="E55" s="24">
        <f t="shared" si="18"/>
        <v>6.4935064935064818E-2</v>
      </c>
      <c r="F55" s="44">
        <f>IF(ISNUMBER(D55), $B61 * E55, "")</f>
        <v>6493.506493506482</v>
      </c>
      <c r="G55" s="37">
        <v>33.6</v>
      </c>
      <c r="H55" s="24">
        <f t="shared" si="19"/>
        <v>9.0909090909090925E-2</v>
      </c>
      <c r="I55" s="44">
        <f>IF(ISNUMBER(G55), $B61 * H55, "")</f>
        <v>9090.9090909090919</v>
      </c>
      <c r="J55" s="37">
        <v>35</v>
      </c>
      <c r="K55" s="24">
        <f t="shared" si="20"/>
        <v>0.13636363636363633</v>
      </c>
      <c r="L55" s="44">
        <f>IF(ISNUMBER(J55), $B61 * K55, "")</f>
        <v>13636.363636363632</v>
      </c>
      <c r="M55" s="37">
        <v>36.200000000000003</v>
      </c>
      <c r="N55" s="24">
        <f t="shared" si="21"/>
        <v>0.17532467532467538</v>
      </c>
      <c r="O55" s="44">
        <f>IF(ISNUMBER(M55), $B61 * N55, "")</f>
        <v>17532.467532467537</v>
      </c>
      <c r="Q55" s="229"/>
      <c r="R55" s="230"/>
    </row>
    <row r="56" spans="1:18" ht="17.25" customHeight="1">
      <c r="A56" s="11" t="s">
        <v>107</v>
      </c>
      <c r="B56" s="32">
        <v>39.4</v>
      </c>
      <c r="C56" s="5">
        <v>-0.27706422019999999</v>
      </c>
      <c r="D56" s="36">
        <v>43.2</v>
      </c>
      <c r="E56" s="5">
        <f t="shared" si="18"/>
        <v>9.6446700507614322E-2</v>
      </c>
      <c r="F56" s="48">
        <f>IF(ISNUMBER(D56), $B61 * E56, "")</f>
        <v>9644.6700507614314</v>
      </c>
      <c r="G56" s="36">
        <v>43.5</v>
      </c>
      <c r="H56" s="5">
        <f t="shared" si="19"/>
        <v>0.10406091370558379</v>
      </c>
      <c r="I56" s="48">
        <f>IF(ISNUMBER(G56), $B61 * H56, "")</f>
        <v>10406.091370558379</v>
      </c>
      <c r="J56" s="36">
        <v>45</v>
      </c>
      <c r="K56" s="5">
        <f t="shared" si="20"/>
        <v>0.14213197969543151</v>
      </c>
      <c r="L56" s="48">
        <f>IF(ISNUMBER(J56), $B61 * K56, "")</f>
        <v>14213.197969543151</v>
      </c>
      <c r="M56" s="36">
        <v>45.5</v>
      </c>
      <c r="N56" s="5">
        <f t="shared" si="21"/>
        <v>0.15482233502538076</v>
      </c>
      <c r="O56" s="48">
        <f>IF(ISNUMBER(M56), $B61 * N56, "")</f>
        <v>15482.233502538076</v>
      </c>
      <c r="Q56" s="229"/>
      <c r="R56" s="230"/>
    </row>
    <row r="57" spans="1:18" ht="17.25" customHeight="1">
      <c r="A57" s="11" t="s">
        <v>133</v>
      </c>
      <c r="B57" s="32">
        <v>24.5</v>
      </c>
      <c r="C57" s="5">
        <v>-0.28152492670000001</v>
      </c>
      <c r="D57" s="36">
        <v>27</v>
      </c>
      <c r="E57" s="5">
        <f t="shared" si="18"/>
        <v>0.10204081632653061</v>
      </c>
      <c r="F57" s="44">
        <f>IF(ISNUMBER(D57), $B61 * E57, "")</f>
        <v>10204.081632653062</v>
      </c>
      <c r="G57" s="36">
        <v>29.2</v>
      </c>
      <c r="H57" s="5">
        <f t="shared" si="19"/>
        <v>0.19183673469387752</v>
      </c>
      <c r="I57" s="44">
        <f>IF(ISNUMBER(G57), $B61 * H57, "")</f>
        <v>19183.673469387752</v>
      </c>
      <c r="J57" s="36">
        <v>31</v>
      </c>
      <c r="K57" s="5">
        <f t="shared" si="20"/>
        <v>0.26530612244897961</v>
      </c>
      <c r="L57" s="44">
        <f>IF(ISNUMBER(J57), $B61 * K57, "")</f>
        <v>26530.612244897962</v>
      </c>
      <c r="M57" s="36">
        <v>29.7</v>
      </c>
      <c r="N57" s="5">
        <f t="shared" si="21"/>
        <v>0.21224489795918364</v>
      </c>
      <c r="O57" s="44">
        <f>IF(ISNUMBER(M57), $B61 * N57, "")</f>
        <v>21224.489795918365</v>
      </c>
      <c r="Q57" s="229"/>
      <c r="R57" s="230"/>
    </row>
    <row r="58" spans="1:18" ht="17.25" customHeight="1">
      <c r="A58" s="11" t="s">
        <v>158</v>
      </c>
      <c r="B58" s="32">
        <v>28.5</v>
      </c>
      <c r="C58" s="5">
        <v>-0.283919598</v>
      </c>
      <c r="D58" s="36">
        <v>31.1</v>
      </c>
      <c r="E58" s="5">
        <f t="shared" si="18"/>
        <v>9.1228070175438644E-2</v>
      </c>
      <c r="F58" s="44">
        <f>IF(ISNUMBER(D58), $B61 * E58, "")</f>
        <v>9122.8070175438643</v>
      </c>
      <c r="G58" s="36">
        <v>31.2</v>
      </c>
      <c r="H58" s="5">
        <f t="shared" si="19"/>
        <v>9.4736842105263133E-2</v>
      </c>
      <c r="I58" s="44">
        <f>IF(ISNUMBER(G58), $B61 * H58, "")</f>
        <v>9473.6842105263131</v>
      </c>
      <c r="J58" s="36">
        <v>32.5</v>
      </c>
      <c r="K58" s="5">
        <f t="shared" si="20"/>
        <v>0.14035087719298245</v>
      </c>
      <c r="L58" s="44">
        <f>IF(ISNUMBER(J58), $B61 * K58, "")</f>
        <v>14035.087719298244</v>
      </c>
      <c r="M58" s="36">
        <v>32.200000000000003</v>
      </c>
      <c r="N58" s="5">
        <f t="shared" si="21"/>
        <v>0.12982456140350887</v>
      </c>
      <c r="O58" s="44">
        <f>IF(ISNUMBER(M58), $B61 * N58, "")</f>
        <v>12982.456140350887</v>
      </c>
      <c r="Q58" s="229"/>
      <c r="R58" s="230"/>
    </row>
    <row r="59" spans="1:18" ht="17.25" customHeight="1">
      <c r="A59" s="11" t="s">
        <v>119</v>
      </c>
      <c r="B59" s="32">
        <v>22.6</v>
      </c>
      <c r="C59" s="5">
        <v>-0.28481012659999999</v>
      </c>
      <c r="D59" s="36">
        <v>24.5</v>
      </c>
      <c r="E59" s="5">
        <f t="shared" si="18"/>
        <v>8.4070796460176928E-2</v>
      </c>
      <c r="F59" s="44">
        <f>IF(ISNUMBER(D59), $B61 * E59, "")</f>
        <v>8407.0796460176934</v>
      </c>
      <c r="G59" s="36">
        <v>25</v>
      </c>
      <c r="H59" s="5">
        <f t="shared" si="19"/>
        <v>0.10619469026548665</v>
      </c>
      <c r="I59" s="44">
        <f>IF(ISNUMBER(G59), $B61 * H59, "")</f>
        <v>10619.469026548666</v>
      </c>
      <c r="J59" s="36">
        <v>25.9</v>
      </c>
      <c r="K59" s="5">
        <f t="shared" si="20"/>
        <v>0.14601769911504411</v>
      </c>
      <c r="L59" s="44">
        <f>IF(ISNUMBER(J59), $B61 * K59, "")</f>
        <v>14601.769911504411</v>
      </c>
      <c r="M59" s="36">
        <v>26.2</v>
      </c>
      <c r="N59" s="5">
        <f t="shared" si="21"/>
        <v>0.15929203539822998</v>
      </c>
      <c r="O59" s="44">
        <f>IF(ISNUMBER(M59), $B61 * N59, "")</f>
        <v>15929.203539822998</v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0.11676349645679555</v>
      </c>
      <c r="F61" s="47">
        <f>SUM(F51:F60)</f>
        <v>105087.14681111599</v>
      </c>
      <c r="G61" s="57" t="s">
        <v>82</v>
      </c>
      <c r="H61" s="46">
        <f>IF(COUNT(H51:H60), SUM(H51:H60) / COUNT(H51:H60), 0)</f>
        <v>0.13978996116549725</v>
      </c>
      <c r="I61" s="47">
        <f>SUM(I51:I60)</f>
        <v>125810.96504894749</v>
      </c>
      <c r="J61" s="57" t="s">
        <v>82</v>
      </c>
      <c r="K61" s="46">
        <f>IF(COUNT(K51:K60), SUM(K51:K60) / COUNT(K51:K60), 0)</f>
        <v>0.16964714242004886</v>
      </c>
      <c r="L61" s="47">
        <f>SUM(L51:L60)</f>
        <v>152682.42817804398</v>
      </c>
      <c r="M61" s="57" t="s">
        <v>82</v>
      </c>
      <c r="N61" s="46">
        <f>IF(COUNT(N51:N60), SUM(N51:N60) / COUNT(N51:N60), 0)</f>
        <v>0.17644570839587861</v>
      </c>
      <c r="O61" s="47">
        <f>SUM(O51:O60)</f>
        <v>158801.13755629078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91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95" t="s">
        <v>70</v>
      </c>
      <c r="M67" s="18" t="s">
        <v>67</v>
      </c>
      <c r="N67" s="4" t="s">
        <v>68</v>
      </c>
      <c r="O67" s="97" t="s">
        <v>70</v>
      </c>
      <c r="Q67" s="231"/>
      <c r="R67" s="232"/>
    </row>
    <row r="68" spans="1:18" ht="17.25" customHeight="1">
      <c r="A68" s="9" t="s">
        <v>140</v>
      </c>
      <c r="B68" s="31">
        <v>462</v>
      </c>
      <c r="C68" s="22">
        <v>-1.2820512799999999E-2</v>
      </c>
      <c r="D68" s="89">
        <v>449</v>
      </c>
      <c r="E68" s="22">
        <f>IF(ISNUMBER(D68), (D68 - $B68) / $B68, "")</f>
        <v>-2.813852813852814E-2</v>
      </c>
      <c r="F68" s="43">
        <f>IF(ISNUMBER(D68), $B78 * E68, "")</f>
        <v>-2813.8528138528141</v>
      </c>
      <c r="G68" s="89">
        <v>458</v>
      </c>
      <c r="H68" s="22">
        <f>IF(ISNUMBER(G68), (G68 - $B68) / $B68, "")</f>
        <v>-8.658008658008658E-3</v>
      </c>
      <c r="I68" s="43">
        <f>IF(ISNUMBER(G68), $B78 * H68, "")</f>
        <v>-865.80086580086584</v>
      </c>
      <c r="J68" s="89">
        <v>473</v>
      </c>
      <c r="K68" s="22">
        <f>IF(ISNUMBER(J68), (J68 - $B68) / $B68, "")</f>
        <v>2.3809523809523808E-2</v>
      </c>
      <c r="L68" s="43">
        <f>IF(ISNUMBER(J68), $B78 * K68, "")</f>
        <v>2380.9523809523807</v>
      </c>
      <c r="M68" s="89">
        <v>491</v>
      </c>
      <c r="N68" s="22">
        <f>IF(ISNUMBER(M68), (M68 - $B68) / $B68, "")</f>
        <v>6.2770562770562768E-2</v>
      </c>
      <c r="O68" s="43">
        <f>IF(ISNUMBER(M68), $B78 * N68, "")</f>
        <v>6277.0562770562765</v>
      </c>
      <c r="Q68" s="229"/>
      <c r="R68" s="230"/>
    </row>
    <row r="69" spans="1:18" ht="17.25" customHeight="1">
      <c r="A69" s="11" t="s">
        <v>126</v>
      </c>
      <c r="B69" s="32">
        <v>141</v>
      </c>
      <c r="C69" s="5">
        <v>-6.6225165599999997E-2</v>
      </c>
      <c r="D69" s="36">
        <v>141</v>
      </c>
      <c r="E69" s="5">
        <f t="shared" ref="E69:E77" si="22">IF(ISNUMBER(D69), (D69 - $B69) / $B69, "")</f>
        <v>0</v>
      </c>
      <c r="F69" s="44">
        <f>IF(ISNUMBER(D69), $B78 * E69, "")</f>
        <v>0</v>
      </c>
      <c r="G69" s="36">
        <v>143</v>
      </c>
      <c r="H69" s="5">
        <f t="shared" ref="H69:H77" si="23">IF(ISNUMBER(G69), (G69 - $B69) / $B69, "")</f>
        <v>1.4184397163120567E-2</v>
      </c>
      <c r="I69" s="44">
        <f>IF(ISNUMBER(G69), $B78 * H69, "")</f>
        <v>1418.4397163120568</v>
      </c>
      <c r="J69" s="36">
        <v>143</v>
      </c>
      <c r="K69" s="5">
        <f t="shared" ref="K69:K77" si="24">IF(ISNUMBER(J69), (J69 - $B69) / $B69, "")</f>
        <v>1.4184397163120567E-2</v>
      </c>
      <c r="L69" s="44">
        <f>IF(ISNUMBER(J69), $B78 * K69, "")</f>
        <v>1418.4397163120568</v>
      </c>
      <c r="M69" s="36">
        <v>152</v>
      </c>
      <c r="N69" s="5">
        <f t="shared" ref="N69:N77" si="25">IF(ISNUMBER(M69), (M69 - $B69) / $B69, "")</f>
        <v>7.8014184397163122E-2</v>
      </c>
      <c r="O69" s="44">
        <f>IF(ISNUMBER(M69), $B78 * N69, "")</f>
        <v>7801.4184397163126</v>
      </c>
      <c r="Q69" s="229"/>
      <c r="R69" s="230"/>
    </row>
    <row r="70" spans="1:18" ht="17.25" customHeight="1">
      <c r="A70" s="11" t="s">
        <v>150</v>
      </c>
      <c r="B70" s="32">
        <v>246</v>
      </c>
      <c r="C70" s="5">
        <v>-0.1054545455</v>
      </c>
      <c r="D70" s="36">
        <v>252</v>
      </c>
      <c r="E70" s="5">
        <f t="shared" si="22"/>
        <v>2.4390243902439025E-2</v>
      </c>
      <c r="F70" s="44">
        <f>IF(ISNUMBER(D70), $B78 * E70, "")</f>
        <v>2439.0243902439024</v>
      </c>
      <c r="G70" s="36">
        <v>257</v>
      </c>
      <c r="H70" s="5">
        <f t="shared" si="23"/>
        <v>4.4715447154471545E-2</v>
      </c>
      <c r="I70" s="44">
        <f>IF(ISNUMBER(G70), $B78 * H70, "")</f>
        <v>4471.5447154471549</v>
      </c>
      <c r="J70" s="36">
        <v>262</v>
      </c>
      <c r="K70" s="5">
        <f t="shared" si="24"/>
        <v>6.5040650406504072E-2</v>
      </c>
      <c r="L70" s="44">
        <f>IF(ISNUMBER(J70), $B78 * K70, "")</f>
        <v>6504.0650406504074</v>
      </c>
      <c r="M70" s="36">
        <v>266</v>
      </c>
      <c r="N70" s="5">
        <f t="shared" si="25"/>
        <v>8.1300813008130079E-2</v>
      </c>
      <c r="O70" s="44">
        <f>IF(ISNUMBER(M70), $B78 * N70, "")</f>
        <v>8130.0813008130081</v>
      </c>
      <c r="Q70" s="229"/>
      <c r="R70" s="230"/>
    </row>
    <row r="71" spans="1:18" ht="17.25" customHeight="1">
      <c r="A71" s="11" t="s">
        <v>130</v>
      </c>
      <c r="B71" s="32">
        <v>380</v>
      </c>
      <c r="C71" s="5">
        <v>-0.13043478259999999</v>
      </c>
      <c r="D71" s="36">
        <v>389</v>
      </c>
      <c r="E71" s="5">
        <f t="shared" si="22"/>
        <v>2.368421052631579E-2</v>
      </c>
      <c r="F71" s="44">
        <f>IF(ISNUMBER(D71), $B78 * E71, "")</f>
        <v>2368.4210526315792</v>
      </c>
      <c r="G71" s="36">
        <v>399</v>
      </c>
      <c r="H71" s="5">
        <f t="shared" si="23"/>
        <v>0.05</v>
      </c>
      <c r="I71" s="44">
        <f>IF(ISNUMBER(G71), $B78 * H71, "")</f>
        <v>5000</v>
      </c>
      <c r="J71" s="36">
        <v>406</v>
      </c>
      <c r="K71" s="5">
        <f t="shared" si="24"/>
        <v>6.8421052631578952E-2</v>
      </c>
      <c r="L71" s="44">
        <f>IF(ISNUMBER(J71), $B78 * K71, "")</f>
        <v>6842.105263157895</v>
      </c>
      <c r="M71" s="36">
        <v>412</v>
      </c>
      <c r="N71" s="5">
        <f t="shared" si="25"/>
        <v>8.4210526315789472E-2</v>
      </c>
      <c r="O71" s="44">
        <f>IF(ISNUMBER(M71), $B78 * N71, "")</f>
        <v>8421.0526315789466</v>
      </c>
      <c r="Q71" s="229"/>
      <c r="R71" s="230"/>
    </row>
    <row r="72" spans="1:18" ht="17.25" customHeight="1">
      <c r="A72" s="8" t="s">
        <v>125</v>
      </c>
      <c r="B72" s="33">
        <v>518</v>
      </c>
      <c r="C72" s="24">
        <v>-0.13810316140000001</v>
      </c>
      <c r="D72" s="37">
        <v>590</v>
      </c>
      <c r="E72" s="24">
        <f t="shared" si="22"/>
        <v>0.138996138996139</v>
      </c>
      <c r="F72" s="44">
        <f>IF(ISNUMBER(D72), $B78 * E72, "")</f>
        <v>13899.6138996139</v>
      </c>
      <c r="G72" s="37">
        <v>590</v>
      </c>
      <c r="H72" s="24">
        <f t="shared" si="23"/>
        <v>0.138996138996139</v>
      </c>
      <c r="I72" s="44">
        <f>IF(ISNUMBER(G72), $B78 * H72, "")</f>
        <v>13899.6138996139</v>
      </c>
      <c r="J72" s="37">
        <v>597</v>
      </c>
      <c r="K72" s="24">
        <f t="shared" si="24"/>
        <v>0.15250965250965251</v>
      </c>
      <c r="L72" s="44">
        <f>IF(ISNUMBER(J72), $B78 * K72, "")</f>
        <v>15250.965250965251</v>
      </c>
      <c r="M72" s="37">
        <v>643</v>
      </c>
      <c r="N72" s="24">
        <f t="shared" si="25"/>
        <v>0.2413127413127413</v>
      </c>
      <c r="O72" s="44">
        <f>IF(ISNUMBER(M72), $B78 * N72, "")</f>
        <v>24131.274131274131</v>
      </c>
      <c r="Q72" s="229"/>
      <c r="R72" s="230"/>
    </row>
    <row r="73" spans="1:18" ht="17.25" customHeight="1">
      <c r="A73" s="11" t="s">
        <v>164</v>
      </c>
      <c r="B73" s="32">
        <v>141</v>
      </c>
      <c r="C73" s="5">
        <v>-0.15568862280000001</v>
      </c>
      <c r="D73" s="36">
        <v>148</v>
      </c>
      <c r="E73" s="5">
        <f t="shared" si="22"/>
        <v>4.9645390070921988E-2</v>
      </c>
      <c r="F73" s="48">
        <f>IF(ISNUMBER(D73), $B78 * E73, "")</f>
        <v>4964.5390070921985</v>
      </c>
      <c r="G73" s="36">
        <v>151</v>
      </c>
      <c r="H73" s="5">
        <f t="shared" si="23"/>
        <v>7.0921985815602842E-2</v>
      </c>
      <c r="I73" s="48">
        <f>IF(ISNUMBER(G73), $B78 * H73, "")</f>
        <v>7092.1985815602839</v>
      </c>
      <c r="J73" s="36">
        <v>153</v>
      </c>
      <c r="K73" s="5">
        <f t="shared" si="24"/>
        <v>8.5106382978723402E-2</v>
      </c>
      <c r="L73" s="48">
        <f>IF(ISNUMBER(J73), $B78 * K73, "")</f>
        <v>8510.6382978723395</v>
      </c>
      <c r="M73" s="36">
        <v>156</v>
      </c>
      <c r="N73" s="5">
        <f t="shared" si="25"/>
        <v>0.10638297872340426</v>
      </c>
      <c r="O73" s="48">
        <f>IF(ISNUMBER(M73), $B78 * N73, "")</f>
        <v>10638.297872340425</v>
      </c>
      <c r="Q73" s="229"/>
      <c r="R73" s="230"/>
    </row>
    <row r="74" spans="1:18" ht="17.25" customHeight="1">
      <c r="A74" s="11" t="s">
        <v>116</v>
      </c>
      <c r="B74" s="32">
        <v>237</v>
      </c>
      <c r="C74" s="5">
        <v>-0.16254416960000001</v>
      </c>
      <c r="D74" s="36">
        <v>244</v>
      </c>
      <c r="E74" s="5">
        <f t="shared" si="22"/>
        <v>2.9535864978902954E-2</v>
      </c>
      <c r="F74" s="44">
        <f>IF(ISNUMBER(D74), $B78 * E74, "")</f>
        <v>2953.5864978902955</v>
      </c>
      <c r="G74" s="36">
        <v>250</v>
      </c>
      <c r="H74" s="5">
        <f t="shared" si="23"/>
        <v>5.4852320675105488E-2</v>
      </c>
      <c r="I74" s="44">
        <f>IF(ISNUMBER(G74), $B78 * H74, "")</f>
        <v>5485.2320675105484</v>
      </c>
      <c r="J74" s="36">
        <v>252</v>
      </c>
      <c r="K74" s="5">
        <f t="shared" si="24"/>
        <v>6.3291139240506333E-2</v>
      </c>
      <c r="L74" s="44">
        <f>IF(ISNUMBER(J74), $B78 * K74, "")</f>
        <v>6329.1139240506336</v>
      </c>
      <c r="M74" s="36">
        <v>257</v>
      </c>
      <c r="N74" s="5">
        <f t="shared" si="25"/>
        <v>8.4388185654008435E-2</v>
      </c>
      <c r="O74" s="44">
        <f>IF(ISNUMBER(M74), $B78 * N74, "")</f>
        <v>8438.818565400843</v>
      </c>
      <c r="Q74" s="229"/>
      <c r="R74" s="230"/>
    </row>
    <row r="75" spans="1:18" ht="17.25" customHeight="1">
      <c r="A75" s="11" t="s">
        <v>96</v>
      </c>
      <c r="B75" s="32">
        <v>715</v>
      </c>
      <c r="C75" s="5">
        <v>-0.1656942824</v>
      </c>
      <c r="D75" s="36">
        <v>797</v>
      </c>
      <c r="E75" s="5">
        <f t="shared" si="22"/>
        <v>0.11468531468531469</v>
      </c>
      <c r="F75" s="44">
        <f>IF(ISNUMBER(D75), $B78 * E75, "")</f>
        <v>11468.53146853147</v>
      </c>
      <c r="G75" s="36">
        <v>799</v>
      </c>
      <c r="H75" s="5">
        <f t="shared" si="23"/>
        <v>0.11748251748251748</v>
      </c>
      <c r="I75" s="44">
        <f>IF(ISNUMBER(G75), $B78 * H75, "")</f>
        <v>11748.251748251749</v>
      </c>
      <c r="J75" s="36">
        <v>814</v>
      </c>
      <c r="K75" s="5">
        <f t="shared" si="24"/>
        <v>0.13846153846153847</v>
      </c>
      <c r="L75" s="44">
        <f>IF(ISNUMBER(J75), $B78 * K75, "")</f>
        <v>13846.153846153848</v>
      </c>
      <c r="M75" s="36">
        <v>899</v>
      </c>
      <c r="N75" s="5">
        <f t="shared" si="25"/>
        <v>0.25734265734265732</v>
      </c>
      <c r="O75" s="44">
        <f>IF(ISNUMBER(M75), $B78 * N75, "")</f>
        <v>25734.265734265733</v>
      </c>
      <c r="Q75" s="229"/>
      <c r="R75" s="230"/>
    </row>
    <row r="76" spans="1:18" ht="17.25" customHeight="1">
      <c r="A76" s="11" t="s">
        <v>157</v>
      </c>
      <c r="B76" s="32">
        <v>675</v>
      </c>
      <c r="C76" s="5">
        <v>-0.17076167079999999</v>
      </c>
      <c r="D76" s="36">
        <v>710</v>
      </c>
      <c r="E76" s="5">
        <f t="shared" si="22"/>
        <v>5.185185185185185E-2</v>
      </c>
      <c r="F76" s="44">
        <f>IF(ISNUMBER(D76), $B78 * E76, "")</f>
        <v>5185.1851851851852</v>
      </c>
      <c r="G76" s="36">
        <v>699</v>
      </c>
      <c r="H76" s="5">
        <f t="shared" si="23"/>
        <v>3.5555555555555556E-2</v>
      </c>
      <c r="I76" s="44">
        <f>IF(ISNUMBER(G76), $B78 * H76, "")</f>
        <v>3555.5555555555557</v>
      </c>
      <c r="J76" s="36">
        <v>709</v>
      </c>
      <c r="K76" s="5">
        <f t="shared" si="24"/>
        <v>5.0370370370370371E-2</v>
      </c>
      <c r="L76" s="44">
        <f>IF(ISNUMBER(J76), $B78 * K76, "")</f>
        <v>5037.0370370370374</v>
      </c>
      <c r="M76" s="36">
        <v>726</v>
      </c>
      <c r="N76" s="5">
        <f t="shared" si="25"/>
        <v>7.5555555555555556E-2</v>
      </c>
      <c r="O76" s="44">
        <f>IF(ISNUMBER(M76), $B78 * N76, "")</f>
        <v>7555.5555555555557</v>
      </c>
      <c r="Q76" s="231"/>
      <c r="R76" s="232"/>
    </row>
    <row r="77" spans="1:18" ht="17.25" customHeight="1" thickBot="1">
      <c r="A77" s="13" t="s">
        <v>168</v>
      </c>
      <c r="B77" s="34">
        <v>415</v>
      </c>
      <c r="C77" s="16">
        <v>-0.1716566866</v>
      </c>
      <c r="D77" s="38">
        <v>434</v>
      </c>
      <c r="E77" s="16">
        <f t="shared" si="22"/>
        <v>4.5783132530120479E-2</v>
      </c>
      <c r="F77" s="45">
        <f>IF(ISNUMBER(D77), $B78 * E77, "")</f>
        <v>4578.3132530120483</v>
      </c>
      <c r="G77" s="38">
        <v>438</v>
      </c>
      <c r="H77" s="16">
        <f t="shared" si="23"/>
        <v>5.5421686746987948E-2</v>
      </c>
      <c r="I77" s="45">
        <f>IF(ISNUMBER(G77), $B78 * H77, "")</f>
        <v>5542.1686746987953</v>
      </c>
      <c r="J77" s="38">
        <v>450</v>
      </c>
      <c r="K77" s="16">
        <f t="shared" si="24"/>
        <v>8.4337349397590355E-2</v>
      </c>
      <c r="L77" s="45">
        <f>IF(ISNUMBER(J77), $B78 * K77, "")</f>
        <v>8433.7349397590351</v>
      </c>
      <c r="M77" s="38">
        <v>454</v>
      </c>
      <c r="N77" s="16">
        <f t="shared" si="25"/>
        <v>9.3975903614457831E-2</v>
      </c>
      <c r="O77" s="45">
        <f>IF(ISNUMBER(M77), $B78 * N77, "")</f>
        <v>9397.5903614457839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4.5043361940347769E-2</v>
      </c>
      <c r="F78" s="47">
        <f>SUM(F68:F77)</f>
        <v>45043.361940347764</v>
      </c>
      <c r="G78" s="57" t="s">
        <v>82</v>
      </c>
      <c r="H78" s="46">
        <f>IF(COUNT(H68:H77), SUM(H68:H77) / COUNT(H68:H77), 0)</f>
        <v>5.7347204093149175E-2</v>
      </c>
      <c r="I78" s="47">
        <f>SUM(I68:I77)</f>
        <v>57347.204093149179</v>
      </c>
      <c r="J78" s="57" t="s">
        <v>82</v>
      </c>
      <c r="K78" s="46">
        <f>IF(COUNT(K68:K77), SUM(K68:K77) / COUNT(K68:K77), 0)</f>
        <v>7.4553205696910888E-2</v>
      </c>
      <c r="L78" s="47">
        <f>SUM(L68:L77)</f>
        <v>74553.205696910882</v>
      </c>
      <c r="M78" s="57" t="s">
        <v>82</v>
      </c>
      <c r="N78" s="46">
        <f>IF(COUNT(N68:N77), SUM(N68:N77) / COUNT(N68:N77), 0)</f>
        <v>0.11652541086944701</v>
      </c>
      <c r="O78" s="47">
        <f>SUM(O68:O77)</f>
        <v>116525.41086944702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91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95" t="s">
        <v>70</v>
      </c>
      <c r="M84" s="18" t="s">
        <v>67</v>
      </c>
      <c r="N84" s="4" t="s">
        <v>68</v>
      </c>
      <c r="O84" s="97" t="s">
        <v>70</v>
      </c>
      <c r="Q84" s="231"/>
      <c r="R84" s="232"/>
    </row>
    <row r="85" spans="1:18" ht="17.25" customHeight="1">
      <c r="A85" s="9" t="s">
        <v>138</v>
      </c>
      <c r="B85" s="31">
        <v>167</v>
      </c>
      <c r="C85" s="22">
        <v>-0.1732673267</v>
      </c>
      <c r="D85" s="89">
        <v>186</v>
      </c>
      <c r="E85" s="22">
        <f>IF(ISNUMBER(D85), (D85 - $B85) / $B85, "")</f>
        <v>0.11377245508982035</v>
      </c>
      <c r="F85" s="43">
        <f>IF(ISNUMBER(D85), $B95 * E85, "")</f>
        <v>11377.245508982036</v>
      </c>
      <c r="G85" s="89">
        <v>188</v>
      </c>
      <c r="H85" s="22">
        <f>IF(ISNUMBER(G85), (G85 - $B85) / $B85, "")</f>
        <v>0.12574850299401197</v>
      </c>
      <c r="I85" s="43">
        <f>IF(ISNUMBER(G85), $B95 * H85, "")</f>
        <v>12574.850299401196</v>
      </c>
      <c r="J85" s="89">
        <v>187</v>
      </c>
      <c r="K85" s="22">
        <f>IF(ISNUMBER(J85), (J85 - $B85) / $B85, "")</f>
        <v>0.11976047904191617</v>
      </c>
      <c r="L85" s="43">
        <f>IF(ISNUMBER(J85), $B95 * K85, "")</f>
        <v>11976.047904191617</v>
      </c>
      <c r="M85" s="89">
        <v>193</v>
      </c>
      <c r="N85" s="22">
        <f>IF(ISNUMBER(M85), (M85 - $B85) / $B85, "")</f>
        <v>0.15568862275449102</v>
      </c>
      <c r="O85" s="43">
        <f>IF(ISNUMBER(M85), $B95 * N85, "")</f>
        <v>15568.862275449103</v>
      </c>
      <c r="Q85" s="229"/>
      <c r="R85" s="230"/>
    </row>
    <row r="86" spans="1:18" ht="17.25" customHeight="1">
      <c r="A86" s="11" t="s">
        <v>104</v>
      </c>
      <c r="B86" s="32">
        <v>593</v>
      </c>
      <c r="C86" s="5">
        <v>-0.18319559229999999</v>
      </c>
      <c r="D86" s="36">
        <v>639</v>
      </c>
      <c r="E86" s="5">
        <f t="shared" ref="E86:E94" si="26">IF(ISNUMBER(D86), (D86 - $B86) / $B86, "")</f>
        <v>7.7571669477234401E-2</v>
      </c>
      <c r="F86" s="44">
        <f>IF(ISNUMBER(D86), $B95 * E86, "")</f>
        <v>7757.16694772344</v>
      </c>
      <c r="G86" s="36">
        <v>638</v>
      </c>
      <c r="H86" s="5">
        <f t="shared" ref="H86:H94" si="27">IF(ISNUMBER(G86), (G86 - $B86) / $B86, "")</f>
        <v>7.5885328836424959E-2</v>
      </c>
      <c r="I86" s="44">
        <f>IF(ISNUMBER(G86), $B95 * H86, "")</f>
        <v>7588.532883642496</v>
      </c>
      <c r="J86" s="36">
        <v>656</v>
      </c>
      <c r="K86" s="5">
        <f t="shared" ref="K86:K94" si="28">IF(ISNUMBER(J86), (J86 - $B86) / $B86, "")</f>
        <v>0.10623946037099494</v>
      </c>
      <c r="L86" s="44">
        <f>IF(ISNUMBER(J86), $B95 * K86, "")</f>
        <v>10623.946037099493</v>
      </c>
      <c r="M86" s="36">
        <v>669</v>
      </c>
      <c r="N86" s="5">
        <f t="shared" ref="N86:N94" si="29">IF(ISNUMBER(M86), (M86 - $B86) / $B86, "")</f>
        <v>0.12816188870151771</v>
      </c>
      <c r="O86" s="44">
        <f>IF(ISNUMBER(M86), $B95 * N86, "")</f>
        <v>12816.188870151771</v>
      </c>
      <c r="Q86" s="229"/>
      <c r="R86" s="230"/>
    </row>
    <row r="87" spans="1:18" ht="17.25" customHeight="1">
      <c r="A87" s="11" t="s">
        <v>121</v>
      </c>
      <c r="B87" s="32">
        <v>682</v>
      </c>
      <c r="C87" s="5">
        <v>-0.1832335329</v>
      </c>
      <c r="D87" s="36">
        <v>741</v>
      </c>
      <c r="E87" s="5">
        <f t="shared" si="26"/>
        <v>8.6510263929618775E-2</v>
      </c>
      <c r="F87" s="44">
        <f>IF(ISNUMBER(D87), $B95 * E87, "")</f>
        <v>8651.0263929618777</v>
      </c>
      <c r="G87" s="36">
        <v>743</v>
      </c>
      <c r="H87" s="5">
        <f t="shared" si="27"/>
        <v>8.9442815249266866E-2</v>
      </c>
      <c r="I87" s="44">
        <f>IF(ISNUMBER(G87), $B95 * H87, "")</f>
        <v>8944.281524926686</v>
      </c>
      <c r="J87" s="36">
        <v>755</v>
      </c>
      <c r="K87" s="5">
        <f t="shared" si="28"/>
        <v>0.10703812316715543</v>
      </c>
      <c r="L87" s="44">
        <f>IF(ISNUMBER(J87), $B95 * K87, "")</f>
        <v>10703.812316715543</v>
      </c>
      <c r="M87" s="36">
        <v>757</v>
      </c>
      <c r="N87" s="5">
        <f t="shared" si="29"/>
        <v>0.10997067448680352</v>
      </c>
      <c r="O87" s="44">
        <f>IF(ISNUMBER(M87), $B95 * N87, "")</f>
        <v>10997.067448680353</v>
      </c>
      <c r="Q87" s="229"/>
      <c r="R87" s="230"/>
    </row>
    <row r="88" spans="1:18" ht="17.25" customHeight="1">
      <c r="A88" s="11" t="s">
        <v>160</v>
      </c>
      <c r="B88" s="32">
        <v>214</v>
      </c>
      <c r="C88" s="5">
        <v>-0.18631178709999999</v>
      </c>
      <c r="D88" s="36">
        <v>227</v>
      </c>
      <c r="E88" s="5">
        <f t="shared" si="26"/>
        <v>6.0747663551401869E-2</v>
      </c>
      <c r="F88" s="44">
        <f>IF(ISNUMBER(D88), $B95 * E88, "")</f>
        <v>6074.7663551401865</v>
      </c>
      <c r="G88" s="36">
        <v>232</v>
      </c>
      <c r="H88" s="5">
        <f t="shared" si="27"/>
        <v>8.4112149532710276E-2</v>
      </c>
      <c r="I88" s="44">
        <f>IF(ISNUMBER(G88), $B95 * H88, "")</f>
        <v>8411.2149532710282</v>
      </c>
      <c r="J88" s="36">
        <v>233</v>
      </c>
      <c r="K88" s="5">
        <f t="shared" si="28"/>
        <v>8.8785046728971959E-2</v>
      </c>
      <c r="L88" s="44">
        <f>IF(ISNUMBER(J88), $B95 * K88, "")</f>
        <v>8878.5046728971956</v>
      </c>
      <c r="M88" s="36">
        <v>239</v>
      </c>
      <c r="N88" s="5">
        <f t="shared" si="29"/>
        <v>0.11682242990654206</v>
      </c>
      <c r="O88" s="44">
        <f>IF(ISNUMBER(M88), $B95 * N88, "")</f>
        <v>11682.242990654206</v>
      </c>
      <c r="Q88" s="229"/>
      <c r="R88" s="230"/>
    </row>
    <row r="89" spans="1:18" ht="17.25" customHeight="1">
      <c r="A89" s="8" t="s">
        <v>172</v>
      </c>
      <c r="B89" s="33">
        <v>604</v>
      </c>
      <c r="C89" s="24">
        <v>-0.18926174500000001</v>
      </c>
      <c r="D89" s="37">
        <v>600</v>
      </c>
      <c r="E89" s="24">
        <f t="shared" si="26"/>
        <v>-6.6225165562913907E-3</v>
      </c>
      <c r="F89" s="44">
        <f>IF(ISNUMBER(D89), $B95 * E89, "")</f>
        <v>-662.25165562913912</v>
      </c>
      <c r="G89" s="37">
        <v>600</v>
      </c>
      <c r="H89" s="24">
        <f t="shared" si="27"/>
        <v>-6.6225165562913907E-3</v>
      </c>
      <c r="I89" s="44">
        <f>IF(ISNUMBER(G89), $B95 * H89, "")</f>
        <v>-662.25165562913912</v>
      </c>
      <c r="J89" s="37">
        <v>609</v>
      </c>
      <c r="K89" s="24">
        <f t="shared" si="28"/>
        <v>8.2781456953642391E-3</v>
      </c>
      <c r="L89" s="44">
        <f>IF(ISNUMBER(J89), $B95 * K89, "")</f>
        <v>827.81456953642396</v>
      </c>
      <c r="M89" s="37">
        <v>620</v>
      </c>
      <c r="N89" s="24">
        <f t="shared" si="29"/>
        <v>2.6490066225165563E-2</v>
      </c>
      <c r="O89" s="44">
        <f>IF(ISNUMBER(M89), $B95 * N89, "")</f>
        <v>2649.0066225165565</v>
      </c>
      <c r="Q89" s="229"/>
      <c r="R89" s="230"/>
    </row>
    <row r="90" spans="1:18" ht="17.25" customHeight="1">
      <c r="A90" s="11" t="s">
        <v>127</v>
      </c>
      <c r="B90" s="32">
        <v>199</v>
      </c>
      <c r="C90" s="5">
        <v>-0.2008032129</v>
      </c>
      <c r="D90" s="36">
        <v>211</v>
      </c>
      <c r="E90" s="5">
        <f t="shared" si="26"/>
        <v>6.030150753768844E-2</v>
      </c>
      <c r="F90" s="48">
        <f>IF(ISNUMBER(D90), $B95 * E90, "")</f>
        <v>6030.150753768844</v>
      </c>
      <c r="G90" s="36">
        <v>214</v>
      </c>
      <c r="H90" s="5">
        <f t="shared" si="27"/>
        <v>7.5376884422110546E-2</v>
      </c>
      <c r="I90" s="48">
        <f>IF(ISNUMBER(G90), $B95 * H90, "")</f>
        <v>7537.6884422110543</v>
      </c>
      <c r="J90" s="36">
        <v>218</v>
      </c>
      <c r="K90" s="5">
        <f t="shared" si="28"/>
        <v>9.5477386934673364E-2</v>
      </c>
      <c r="L90" s="48">
        <f>IF(ISNUMBER(J90), $B95 * K90, "")</f>
        <v>9547.7386934673359</v>
      </c>
      <c r="M90" s="36">
        <v>234</v>
      </c>
      <c r="N90" s="5">
        <f t="shared" si="29"/>
        <v>0.17587939698492464</v>
      </c>
      <c r="O90" s="48">
        <f>IF(ISNUMBER(M90), $B95 * N90, "")</f>
        <v>17587.939698492464</v>
      </c>
      <c r="Q90" s="229"/>
      <c r="R90" s="230"/>
    </row>
    <row r="91" spans="1:18" ht="17.25" customHeight="1">
      <c r="A91" s="11" t="s">
        <v>111</v>
      </c>
      <c r="B91" s="32">
        <v>603</v>
      </c>
      <c r="C91" s="5">
        <v>-0.20238095240000001</v>
      </c>
      <c r="D91" s="36">
        <v>639</v>
      </c>
      <c r="E91" s="5">
        <f t="shared" si="26"/>
        <v>5.9701492537313432E-2</v>
      </c>
      <c r="F91" s="44">
        <f>IF(ISNUMBER(D91), $B95 * E91, "")</f>
        <v>5970.1492537313434</v>
      </c>
      <c r="G91" s="36">
        <v>641</v>
      </c>
      <c r="H91" s="5">
        <f t="shared" si="27"/>
        <v>6.3018242122719739E-2</v>
      </c>
      <c r="I91" s="44">
        <f>IF(ISNUMBER(G91), $B95 * H91, "")</f>
        <v>6301.8242122719739</v>
      </c>
      <c r="J91" s="36">
        <v>650</v>
      </c>
      <c r="K91" s="5">
        <f t="shared" si="28"/>
        <v>7.7943615257048099E-2</v>
      </c>
      <c r="L91" s="44">
        <f>IF(ISNUMBER(J91), $B95 * K91, "")</f>
        <v>7794.3615257048095</v>
      </c>
      <c r="M91" s="36">
        <v>657</v>
      </c>
      <c r="N91" s="5">
        <f t="shared" si="29"/>
        <v>8.9552238805970144E-2</v>
      </c>
      <c r="O91" s="44">
        <f>IF(ISNUMBER(M91), $B95 * N91, "")</f>
        <v>8955.2238805970137</v>
      </c>
      <c r="Q91" s="229"/>
      <c r="R91" s="230"/>
    </row>
    <row r="92" spans="1:18" ht="17.25" customHeight="1">
      <c r="A92" s="11" t="s">
        <v>144</v>
      </c>
      <c r="B92" s="32">
        <v>470</v>
      </c>
      <c r="C92" s="5">
        <v>-0.20875420880000001</v>
      </c>
      <c r="D92" s="36">
        <v>486</v>
      </c>
      <c r="E92" s="5">
        <f t="shared" si="26"/>
        <v>3.4042553191489362E-2</v>
      </c>
      <c r="F92" s="44">
        <f>IF(ISNUMBER(D92), $B95 * E92, "")</f>
        <v>3404.2553191489365</v>
      </c>
      <c r="G92" s="36">
        <v>497</v>
      </c>
      <c r="H92" s="5">
        <f t="shared" si="27"/>
        <v>5.7446808510638298E-2</v>
      </c>
      <c r="I92" s="44">
        <f>IF(ISNUMBER(G92), $B95 * H92, "")</f>
        <v>5744.6808510638293</v>
      </c>
      <c r="J92" s="36">
        <v>504</v>
      </c>
      <c r="K92" s="5">
        <f t="shared" si="28"/>
        <v>7.2340425531914887E-2</v>
      </c>
      <c r="L92" s="44">
        <f>IF(ISNUMBER(J92), $B95 * K92, "")</f>
        <v>7234.0425531914889</v>
      </c>
      <c r="M92" s="36">
        <v>521</v>
      </c>
      <c r="N92" s="5">
        <f t="shared" si="29"/>
        <v>0.10851063829787234</v>
      </c>
      <c r="O92" s="44">
        <f>IF(ISNUMBER(M92), $B95 * N92, "")</f>
        <v>10851.063829787234</v>
      </c>
      <c r="Q92" s="229"/>
      <c r="R92" s="230"/>
    </row>
    <row r="93" spans="1:18" ht="17.25" customHeight="1">
      <c r="A93" s="11" t="s">
        <v>117</v>
      </c>
      <c r="B93" s="32">
        <v>161</v>
      </c>
      <c r="C93" s="5">
        <v>-0.2107843137</v>
      </c>
      <c r="D93" s="36">
        <v>168</v>
      </c>
      <c r="E93" s="5">
        <f t="shared" si="26"/>
        <v>4.3478260869565216E-2</v>
      </c>
      <c r="F93" s="44">
        <f>IF(ISNUMBER(D93), $B95 * E93, "")</f>
        <v>4347.826086956522</v>
      </c>
      <c r="G93" s="36">
        <v>172</v>
      </c>
      <c r="H93" s="5">
        <f t="shared" si="27"/>
        <v>6.8322981366459631E-2</v>
      </c>
      <c r="I93" s="44">
        <f>IF(ISNUMBER(G93), $B95 * H93, "")</f>
        <v>6832.2981366459635</v>
      </c>
      <c r="J93" s="36">
        <v>173</v>
      </c>
      <c r="K93" s="5">
        <f t="shared" si="28"/>
        <v>7.4534161490683232E-2</v>
      </c>
      <c r="L93" s="44">
        <f>IF(ISNUMBER(J93), $B95 * K93, "")</f>
        <v>7453.4161490683227</v>
      </c>
      <c r="M93" s="36">
        <v>178</v>
      </c>
      <c r="N93" s="5">
        <f t="shared" si="29"/>
        <v>0.10559006211180125</v>
      </c>
      <c r="O93" s="44">
        <f>IF(ISNUMBER(M93), $B95 * N93, "")</f>
        <v>10559.006211180125</v>
      </c>
      <c r="Q93" s="231"/>
      <c r="R93" s="232"/>
    </row>
    <row r="94" spans="1:18" ht="17.25" customHeight="1" thickBot="1">
      <c r="A94" s="13" t="s">
        <v>175</v>
      </c>
      <c r="B94" s="34">
        <v>506</v>
      </c>
      <c r="C94" s="16">
        <v>-0.21428571430000001</v>
      </c>
      <c r="D94" s="38">
        <v>503</v>
      </c>
      <c r="E94" s="16">
        <f t="shared" si="26"/>
        <v>-5.9288537549407111E-3</v>
      </c>
      <c r="F94" s="45">
        <f>IF(ISNUMBER(D94), $B95 * E94, "")</f>
        <v>-592.88537549407113</v>
      </c>
      <c r="G94" s="38">
        <v>505</v>
      </c>
      <c r="H94" s="16">
        <f t="shared" si="27"/>
        <v>-1.976284584980237E-3</v>
      </c>
      <c r="I94" s="45">
        <f>IF(ISNUMBER(G94), $B95 * H94, "")</f>
        <v>-197.62845849802369</v>
      </c>
      <c r="J94" s="38">
        <v>510</v>
      </c>
      <c r="K94" s="16">
        <f t="shared" si="28"/>
        <v>7.9051383399209481E-3</v>
      </c>
      <c r="L94" s="45">
        <f>IF(ISNUMBER(J94), $B95 * K94, "")</f>
        <v>790.51383399209476</v>
      </c>
      <c r="M94" s="38">
        <v>529</v>
      </c>
      <c r="N94" s="16">
        <f t="shared" si="29"/>
        <v>4.5454545454545456E-2</v>
      </c>
      <c r="O94" s="45">
        <f>IF(ISNUMBER(M94), $B95 * N94, "")</f>
        <v>4545.454545454546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5.2357449587289981E-2</v>
      </c>
      <c r="F95" s="47">
        <f>SUM(F85:F94)</f>
        <v>52357.449587289979</v>
      </c>
      <c r="G95" s="57" t="s">
        <v>82</v>
      </c>
      <c r="H95" s="46">
        <f>IF(COUNT(H85:H94), SUM(H85:H94) / COUNT(H85:H94), 0)</f>
        <v>6.3075491189307081E-2</v>
      </c>
      <c r="I95" s="47">
        <f>SUM(I85:I94)</f>
        <v>63075.49118930706</v>
      </c>
      <c r="J95" s="57" t="s">
        <v>82</v>
      </c>
      <c r="K95" s="46">
        <f>IF(COUNT(K85:K94), SUM(K85:K94) / COUNT(K85:K94), 0)</f>
        <v>7.5830198255864317E-2</v>
      </c>
      <c r="L95" s="47">
        <f>SUM(L85:L94)</f>
        <v>75830.198255864321</v>
      </c>
      <c r="M95" s="57" t="s">
        <v>82</v>
      </c>
      <c r="N95" s="46">
        <f>IF(COUNT(N85:N94), SUM(N85:N94) / COUNT(N85:N94), 0)</f>
        <v>0.10621205637296335</v>
      </c>
      <c r="O95" s="47">
        <f>SUM(O85:O94)</f>
        <v>106212.05637296337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91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95" t="s">
        <v>70</v>
      </c>
      <c r="M101" s="18" t="s">
        <v>67</v>
      </c>
      <c r="N101" s="4" t="s">
        <v>68</v>
      </c>
      <c r="O101" s="97" t="s">
        <v>70</v>
      </c>
      <c r="Q101" s="231"/>
      <c r="R101" s="232"/>
    </row>
    <row r="102" spans="1:18" ht="17.25" customHeight="1">
      <c r="A102" s="9" t="s">
        <v>165</v>
      </c>
      <c r="B102" s="31">
        <v>137750</v>
      </c>
      <c r="C102" s="22">
        <v>0.37763776380000003</v>
      </c>
      <c r="D102" s="89">
        <v>120800</v>
      </c>
      <c r="E102" s="22">
        <f>IF(ISNUMBER(D102), (D102 - $B102) / $B102, "")</f>
        <v>-0.12304900181488203</v>
      </c>
      <c r="F102" s="43">
        <f>IF(ISNUMBER(D102), $B112 * E102, "")</f>
        <v>-12304.900181488203</v>
      </c>
      <c r="G102" s="89">
        <v>123750</v>
      </c>
      <c r="H102" s="22">
        <f>IF(ISNUMBER(G102), (G102 - $B102) / $B102, "")</f>
        <v>-0.10163339382940109</v>
      </c>
      <c r="I102" s="43">
        <f>IF(ISNUMBER(G102), $B112 * H102, "")</f>
        <v>-10163.339382940108</v>
      </c>
      <c r="J102" s="89">
        <v>122550</v>
      </c>
      <c r="K102" s="22">
        <f>IF(ISNUMBER(J102), (J102 - $B102) / $B102, "")</f>
        <v>-0.1103448275862069</v>
      </c>
      <c r="L102" s="43">
        <f>IF(ISNUMBER(J102), $B112 * K102, "")</f>
        <v>-11034.48275862069</v>
      </c>
      <c r="M102" s="89">
        <v>138600</v>
      </c>
      <c r="N102" s="22">
        <f>IF(ISNUMBER(M102), (M102 - $B102) / $B102, "")</f>
        <v>6.1705989110707807E-3</v>
      </c>
      <c r="O102" s="43">
        <f>IF(ISNUMBER(M102), $B112 * N102, "")</f>
        <v>617.0598911070781</v>
      </c>
      <c r="Q102" s="229"/>
      <c r="R102" s="230"/>
    </row>
    <row r="103" spans="1:18" ht="17.25" customHeight="1">
      <c r="A103" s="11" t="s">
        <v>189</v>
      </c>
      <c r="B103" s="32">
        <v>59110</v>
      </c>
      <c r="C103" s="5">
        <v>0.16772026870000001</v>
      </c>
      <c r="D103" s="36">
        <v>54280</v>
      </c>
      <c r="E103" s="5">
        <f t="shared" ref="E103:E111" si="30">IF(ISNUMBER(D103), (D103 - $B103) / $B103, "")</f>
        <v>-8.171206225680934E-2</v>
      </c>
      <c r="F103" s="44">
        <f>IF(ISNUMBER(D103), $B112 * E103, "")</f>
        <v>-8171.206225680934</v>
      </c>
      <c r="G103" s="36">
        <v>59810</v>
      </c>
      <c r="H103" s="5">
        <f t="shared" ref="H103:H111" si="31">IF(ISNUMBER(G103), (G103 - $B103) / $B103, "")</f>
        <v>1.1842327863305701E-2</v>
      </c>
      <c r="I103" s="44">
        <f>IF(ISNUMBER(G103), $B112 * H103, "")</f>
        <v>1184.2327863305702</v>
      </c>
      <c r="J103" s="36">
        <v>58230</v>
      </c>
      <c r="K103" s="5">
        <f t="shared" ref="K103:K111" si="32">IF(ISNUMBER(J103), (J103 - $B103) / $B103, "")</f>
        <v>-1.4887497885298596E-2</v>
      </c>
      <c r="L103" s="44">
        <f>IF(ISNUMBER(J103), $B112 * K103, "")</f>
        <v>-1488.7497885298596</v>
      </c>
      <c r="M103" s="36">
        <v>59760</v>
      </c>
      <c r="N103" s="5">
        <f t="shared" ref="N103:N111" si="33">IF(ISNUMBER(M103), (M103 - $B103) / $B103, "")</f>
        <v>1.0996447301641009E-2</v>
      </c>
      <c r="O103" s="44">
        <f>IF(ISNUMBER(M103), $B112 * N103, "")</f>
        <v>1099.6447301641008</v>
      </c>
      <c r="Q103" s="229"/>
      <c r="R103" s="230"/>
    </row>
    <row r="104" spans="1:18" ht="17.25" customHeight="1">
      <c r="A104" s="11" t="s">
        <v>105</v>
      </c>
      <c r="B104" s="32">
        <v>62880</v>
      </c>
      <c r="C104" s="5">
        <v>0.16057585830000001</v>
      </c>
      <c r="D104" s="36">
        <v>57690</v>
      </c>
      <c r="E104" s="5">
        <f t="shared" si="30"/>
        <v>-8.2538167938931303E-2</v>
      </c>
      <c r="F104" s="44">
        <f>IF(ISNUMBER(D104), $B112 * E104, "")</f>
        <v>-8253.816793893131</v>
      </c>
      <c r="G104" s="36">
        <v>58000</v>
      </c>
      <c r="H104" s="5">
        <f t="shared" si="31"/>
        <v>-7.7608142493638677E-2</v>
      </c>
      <c r="I104" s="44">
        <f>IF(ISNUMBER(G104), $B112 * H104, "")</f>
        <v>-7760.8142493638679</v>
      </c>
      <c r="J104" s="36">
        <v>57400</v>
      </c>
      <c r="K104" s="5">
        <f t="shared" si="32"/>
        <v>-8.7150127226463106E-2</v>
      </c>
      <c r="L104" s="44">
        <f>IF(ISNUMBER(J104), $B112 * K104, "")</f>
        <v>-8715.0127226463101</v>
      </c>
      <c r="M104" s="36">
        <v>62130</v>
      </c>
      <c r="N104" s="5">
        <f t="shared" si="33"/>
        <v>-1.1927480916030535E-2</v>
      </c>
      <c r="O104" s="44">
        <f>IF(ISNUMBER(M104), $B112 * N104, "")</f>
        <v>-1192.7480916030536</v>
      </c>
      <c r="Q104" s="229"/>
      <c r="R104" s="230"/>
    </row>
    <row r="105" spans="1:18" ht="17.25" customHeight="1">
      <c r="A105" s="11" t="s">
        <v>170</v>
      </c>
      <c r="B105" s="32">
        <v>3845</v>
      </c>
      <c r="C105" s="5">
        <v>0.1242690058</v>
      </c>
      <c r="D105" s="36">
        <v>4710</v>
      </c>
      <c r="E105" s="5">
        <f t="shared" si="30"/>
        <v>0.22496749024707413</v>
      </c>
      <c r="F105" s="44">
        <f>IF(ISNUMBER(D105), $B112 * E105, "")</f>
        <v>22496.749024707413</v>
      </c>
      <c r="G105" s="36">
        <v>5165</v>
      </c>
      <c r="H105" s="5">
        <f t="shared" si="31"/>
        <v>0.34330299089726918</v>
      </c>
      <c r="I105" s="44">
        <f>IF(ISNUMBER(G105), $B112 * H105, "")</f>
        <v>34330.299089726919</v>
      </c>
      <c r="J105" s="36">
        <v>5185</v>
      </c>
      <c r="K105" s="5">
        <f t="shared" si="32"/>
        <v>0.34850455136540964</v>
      </c>
      <c r="L105" s="44">
        <f>IF(ISNUMBER(J105), $B112 * K105, "")</f>
        <v>34850.455136540964</v>
      </c>
      <c r="M105" s="36">
        <v>5370</v>
      </c>
      <c r="N105" s="5">
        <f t="shared" si="33"/>
        <v>0.39661898569570869</v>
      </c>
      <c r="O105" s="44">
        <f>IF(ISNUMBER(M105), $B112 * N105, "")</f>
        <v>39661.898569570869</v>
      </c>
      <c r="Q105" s="229"/>
      <c r="R105" s="230"/>
    </row>
    <row r="106" spans="1:18" ht="17.25" customHeight="1">
      <c r="A106" s="8" t="s">
        <v>174</v>
      </c>
      <c r="B106" s="33">
        <v>22120</v>
      </c>
      <c r="C106" s="24">
        <v>7.8498293499999997E-2</v>
      </c>
      <c r="D106" s="37">
        <v>18920</v>
      </c>
      <c r="E106" s="24">
        <f t="shared" si="30"/>
        <v>-0.14466546112115733</v>
      </c>
      <c r="F106" s="44">
        <f>IF(ISNUMBER(D106), $B112 * E106, "")</f>
        <v>-14466.546112115733</v>
      </c>
      <c r="G106" s="37">
        <v>18900</v>
      </c>
      <c r="H106" s="24">
        <f t="shared" si="31"/>
        <v>-0.14556962025316456</v>
      </c>
      <c r="I106" s="44">
        <f>IF(ISNUMBER(G106), $B112 * H106, "")</f>
        <v>-14556.962025316456</v>
      </c>
      <c r="J106" s="37">
        <v>19260</v>
      </c>
      <c r="K106" s="24">
        <f t="shared" si="32"/>
        <v>-0.12929475587703435</v>
      </c>
      <c r="L106" s="44">
        <f>IF(ISNUMBER(J106), $B112 * K106, "")</f>
        <v>-12929.475587703435</v>
      </c>
      <c r="M106" s="37">
        <v>20180</v>
      </c>
      <c r="N106" s="24">
        <f t="shared" si="33"/>
        <v>-8.7703435804701621E-2</v>
      </c>
      <c r="O106" s="44">
        <f>IF(ISNUMBER(M106), $B112 * N106, "")</f>
        <v>-8770.3435804701621</v>
      </c>
      <c r="Q106" s="229"/>
      <c r="R106" s="230"/>
    </row>
    <row r="107" spans="1:18" ht="17.25" customHeight="1">
      <c r="A107" s="11" t="s">
        <v>212</v>
      </c>
      <c r="B107" s="32">
        <v>25230</v>
      </c>
      <c r="C107" s="5">
        <v>4.9064449099999997E-2</v>
      </c>
      <c r="D107" s="36">
        <v>23310</v>
      </c>
      <c r="E107" s="5">
        <f t="shared" si="30"/>
        <v>-7.6099881093935784E-2</v>
      </c>
      <c r="F107" s="48">
        <f>IF(ISNUMBER(D107), $B112 * E107, "")</f>
        <v>-7609.9881093935783</v>
      </c>
      <c r="G107" s="36">
        <v>23290</v>
      </c>
      <c r="H107" s="5">
        <f t="shared" si="31"/>
        <v>-7.689258818866429E-2</v>
      </c>
      <c r="I107" s="48">
        <f>IF(ISNUMBER(G107), $B112 * H107, "")</f>
        <v>-7689.2588188664295</v>
      </c>
      <c r="J107" s="36">
        <v>23510</v>
      </c>
      <c r="K107" s="5">
        <f t="shared" si="32"/>
        <v>-6.8172810146650817E-2</v>
      </c>
      <c r="L107" s="48">
        <f>IF(ISNUMBER(J107), $B112 * K107, "")</f>
        <v>-6817.2810146650818</v>
      </c>
      <c r="M107" s="36">
        <v>24450</v>
      </c>
      <c r="N107" s="5">
        <f t="shared" si="33"/>
        <v>-3.0915576694411414E-2</v>
      </c>
      <c r="O107" s="48">
        <f>IF(ISNUMBER(M107), $B112 * N107, "")</f>
        <v>-3091.5576694411416</v>
      </c>
      <c r="Q107" s="229"/>
      <c r="R107" s="230"/>
    </row>
    <row r="108" spans="1:18" ht="17.25" customHeight="1">
      <c r="A108" s="11" t="s">
        <v>147</v>
      </c>
      <c r="B108" s="32">
        <v>16060</v>
      </c>
      <c r="C108" s="5">
        <v>1.8389346899999999E-2</v>
      </c>
      <c r="D108" s="36">
        <v>15270</v>
      </c>
      <c r="E108" s="5">
        <f t="shared" si="30"/>
        <v>-4.9190535491905357E-2</v>
      </c>
      <c r="F108" s="44">
        <f>IF(ISNUMBER(D108), $B112 * E108, "")</f>
        <v>-4919.0535491905357</v>
      </c>
      <c r="G108" s="36">
        <v>15630</v>
      </c>
      <c r="H108" s="5">
        <f t="shared" si="31"/>
        <v>-2.6774595267745952E-2</v>
      </c>
      <c r="I108" s="44">
        <f>IF(ISNUMBER(G108), $B112 * H108, "")</f>
        <v>-2677.4595267745954</v>
      </c>
      <c r="J108" s="36">
        <v>15800</v>
      </c>
      <c r="K108" s="5">
        <f t="shared" si="32"/>
        <v>-1.61892901618929E-2</v>
      </c>
      <c r="L108" s="44">
        <f>IF(ISNUMBER(J108), $B112 * K108, "")</f>
        <v>-1618.92901618929</v>
      </c>
      <c r="M108" s="36">
        <v>16770</v>
      </c>
      <c r="N108" s="5">
        <f t="shared" si="33"/>
        <v>4.4209215442092158E-2</v>
      </c>
      <c r="O108" s="44">
        <f>IF(ISNUMBER(M108), $B112 * N108, "")</f>
        <v>4420.9215442092154</v>
      </c>
      <c r="Q108" s="229"/>
      <c r="R108" s="230"/>
    </row>
    <row r="109" spans="1:18" ht="17.25" customHeight="1">
      <c r="A109" s="11" t="s">
        <v>213</v>
      </c>
      <c r="B109" s="32">
        <v>12440</v>
      </c>
      <c r="C109" s="5">
        <v>-3.2051281999999999E-3</v>
      </c>
      <c r="D109" s="36">
        <v>11620</v>
      </c>
      <c r="E109" s="5">
        <f t="shared" si="30"/>
        <v>-6.591639871382636E-2</v>
      </c>
      <c r="F109" s="44">
        <f>IF(ISNUMBER(D109), $B112 * E109, "")</f>
        <v>-6591.6398713826356</v>
      </c>
      <c r="G109" s="36">
        <v>11710</v>
      </c>
      <c r="H109" s="5">
        <f t="shared" si="31"/>
        <v>-5.8681672025723476E-2</v>
      </c>
      <c r="I109" s="44">
        <f>IF(ISNUMBER(G109), $B112 * H109, "")</f>
        <v>-5868.1672025723474</v>
      </c>
      <c r="J109" s="36">
        <v>11870</v>
      </c>
      <c r="K109" s="5">
        <f t="shared" si="32"/>
        <v>-4.5819935691318328E-2</v>
      </c>
      <c r="L109" s="44">
        <f>IF(ISNUMBER(J109), $B112 * K109, "")</f>
        <v>-4581.9935691318324</v>
      </c>
      <c r="M109" s="36">
        <v>12320</v>
      </c>
      <c r="N109" s="5">
        <f t="shared" si="33"/>
        <v>-9.6463022508038593E-3</v>
      </c>
      <c r="O109" s="44">
        <f>IF(ISNUMBER(M109), $B112 * N109, "")</f>
        <v>-964.63022508038591</v>
      </c>
      <c r="Q109" s="229"/>
      <c r="R109" s="230"/>
    </row>
    <row r="110" spans="1:18" ht="17.25" customHeight="1">
      <c r="A110" s="11" t="s">
        <v>140</v>
      </c>
      <c r="B110" s="32">
        <v>462</v>
      </c>
      <c r="C110" s="5">
        <v>-1.2820512799999999E-2</v>
      </c>
      <c r="D110" s="36">
        <v>449</v>
      </c>
      <c r="E110" s="5">
        <f t="shared" si="30"/>
        <v>-2.813852813852814E-2</v>
      </c>
      <c r="F110" s="44">
        <f>IF(ISNUMBER(D110), $B112 * E110, "")</f>
        <v>-2813.8528138528141</v>
      </c>
      <c r="G110" s="36">
        <v>458</v>
      </c>
      <c r="H110" s="5">
        <f t="shared" si="31"/>
        <v>-8.658008658008658E-3</v>
      </c>
      <c r="I110" s="44">
        <f>IF(ISNUMBER(G110), $B112 * H110, "")</f>
        <v>-865.80086580086584</v>
      </c>
      <c r="J110" s="36">
        <v>473</v>
      </c>
      <c r="K110" s="5">
        <f t="shared" si="32"/>
        <v>2.3809523809523808E-2</v>
      </c>
      <c r="L110" s="44">
        <f>IF(ISNUMBER(J110), $B112 * K110, "")</f>
        <v>2380.9523809523807</v>
      </c>
      <c r="M110" s="36">
        <v>491</v>
      </c>
      <c r="N110" s="5">
        <f t="shared" si="33"/>
        <v>6.2770562770562768E-2</v>
      </c>
      <c r="O110" s="44">
        <f>IF(ISNUMBER(M110), $B112 * N110, "")</f>
        <v>6277.0562770562765</v>
      </c>
      <c r="Q110" s="231"/>
      <c r="R110" s="232"/>
    </row>
    <row r="111" spans="1:18" ht="17.25" customHeight="1" thickBot="1">
      <c r="A111" s="13" t="s">
        <v>209</v>
      </c>
      <c r="B111" s="34">
        <v>78990</v>
      </c>
      <c r="C111" s="16">
        <v>-6.6091274500000005E-2</v>
      </c>
      <c r="D111" s="38">
        <v>77400</v>
      </c>
      <c r="E111" s="16">
        <f t="shared" si="30"/>
        <v>-2.0129130269654388E-2</v>
      </c>
      <c r="F111" s="45">
        <f>IF(ISNUMBER(D111), $B112 * E111, "")</f>
        <v>-2012.9130269654388</v>
      </c>
      <c r="G111" s="38">
        <v>76910</v>
      </c>
      <c r="H111" s="16">
        <f t="shared" si="31"/>
        <v>-2.6332447145208254E-2</v>
      </c>
      <c r="I111" s="45">
        <f>IF(ISNUMBER(G111), $B112 * H111, "")</f>
        <v>-2633.2447145208253</v>
      </c>
      <c r="J111" s="38">
        <v>77250</v>
      </c>
      <c r="K111" s="16">
        <f t="shared" si="32"/>
        <v>-2.2028104823395366E-2</v>
      </c>
      <c r="L111" s="45">
        <f>IF(ISNUMBER(J111), $B112 * K111, "")</f>
        <v>-2202.8104823395365</v>
      </c>
      <c r="M111" s="38">
        <v>78940</v>
      </c>
      <c r="N111" s="16">
        <f t="shared" si="33"/>
        <v>-6.3299151791365994E-4</v>
      </c>
      <c r="O111" s="45">
        <f>IF(ISNUMBER(M111), $B112 * N111, "")</f>
        <v>-63.299151791365993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-4.4647167659255589E-2</v>
      </c>
      <c r="F112" s="47">
        <f>SUM(F102:F111)</f>
        <v>-44647.167659255581</v>
      </c>
      <c r="G112" s="57" t="s">
        <v>82</v>
      </c>
      <c r="H112" s="46">
        <f>IF(COUNT(H102:H111), SUM(H102:H111) / COUNT(H102:H111), 0)</f>
        <v>-1.6700514910098004E-2</v>
      </c>
      <c r="I112" s="47">
        <f>SUM(I102:I111)</f>
        <v>-16700.514910098005</v>
      </c>
      <c r="J112" s="57" t="s">
        <v>82</v>
      </c>
      <c r="K112" s="46">
        <f>IF(COUNT(K102:K111), SUM(K102:K111) / COUNT(K102:K111), 0)</f>
        <v>-1.2157327422332687E-2</v>
      </c>
      <c r="L112" s="47">
        <f>SUM(L102:L111)</f>
        <v>-12157.327422332692</v>
      </c>
      <c r="M112" s="57" t="s">
        <v>82</v>
      </c>
      <c r="N112" s="46">
        <f>IF(COUNT(N102:N111), SUM(N102:N111) / COUNT(N102:N111), 0)</f>
        <v>3.7994002293721421E-2</v>
      </c>
      <c r="O112" s="47">
        <f>SUM(O102:O111)</f>
        <v>37994.002293721423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281" priority="89">
      <formula>$E$27&gt;0</formula>
    </cfRule>
    <cfRule type="expression" dxfId="1280" priority="90">
      <formula>$E$27&lt;0</formula>
    </cfRule>
  </conditionalFormatting>
  <conditionalFormatting sqref="G15:I16 H27:I27">
    <cfRule type="expression" dxfId="1279" priority="87">
      <formula>$H$27&gt;0</formula>
    </cfRule>
    <cfRule type="expression" dxfId="1278" priority="88">
      <formula>$H$27&lt;0</formula>
    </cfRule>
  </conditionalFormatting>
  <conditionalFormatting sqref="J15:L16 K27:L27">
    <cfRule type="expression" dxfId="1277" priority="85">
      <formula>$K$27&gt;0</formula>
    </cfRule>
    <cfRule type="expression" dxfId="1276" priority="86">
      <formula>$K$27&lt;0</formula>
    </cfRule>
  </conditionalFormatting>
  <conditionalFormatting sqref="M15:O16 N27:O27">
    <cfRule type="expression" dxfId="1275" priority="83">
      <formula>$N$27&gt;0</formula>
    </cfRule>
    <cfRule type="expression" dxfId="1274" priority="84">
      <formula>$N$27&lt;0</formula>
    </cfRule>
  </conditionalFormatting>
  <conditionalFormatting sqref="A17:O26 A34:O43">
    <cfRule type="expression" dxfId="1273" priority="91">
      <formula>AND($N17 &gt; 0, ISNUMBER($N17))</formula>
    </cfRule>
    <cfRule type="expression" dxfId="1272" priority="92">
      <formula>AND($N17 &lt; 0, ISNUMBER($N17))</formula>
    </cfRule>
    <cfRule type="expression" dxfId="1271" priority="93">
      <formula>AND($K17 &gt; 0, ISNUMBER($K17))</formula>
    </cfRule>
    <cfRule type="expression" dxfId="1270" priority="94">
      <formula>AND($K17 &lt; 0, ISNUMBER($K17))</formula>
    </cfRule>
    <cfRule type="expression" dxfId="1269" priority="95">
      <formula>AND($H17 &gt; 0, ISNUMBER($H17))</formula>
    </cfRule>
    <cfRule type="expression" dxfId="1268" priority="96">
      <formula>AND($H17 &lt; 0, ISNUMBER($H17))</formula>
    </cfRule>
    <cfRule type="expression" dxfId="1267" priority="97">
      <formula>AND($E17 &gt; 0, ISNUMBER($E17))</formula>
    </cfRule>
    <cfRule type="expression" dxfId="1266" priority="98">
      <formula>AND($E17 &lt; 0, ISNUMBER($E17))</formula>
    </cfRule>
  </conditionalFormatting>
  <conditionalFormatting sqref="D32:F33 E44:F44">
    <cfRule type="expression" dxfId="1265" priority="81">
      <formula>$E$44&gt;0</formula>
    </cfRule>
    <cfRule type="expression" dxfId="1264" priority="82">
      <formula>$E$44&lt;0</formula>
    </cfRule>
  </conditionalFormatting>
  <conditionalFormatting sqref="G32:I33 H44:I44">
    <cfRule type="expression" dxfId="1263" priority="79">
      <formula>$H$44&gt;0</formula>
    </cfRule>
    <cfRule type="expression" dxfId="1262" priority="80">
      <formula>$H$44&lt;0</formula>
    </cfRule>
  </conditionalFormatting>
  <conditionalFormatting sqref="J32:L33 K44:L44">
    <cfRule type="expression" dxfId="1261" priority="77">
      <formula>$K$44&gt;0</formula>
    </cfRule>
    <cfRule type="expression" dxfId="1260" priority="78">
      <formula>$K$44&lt;0</formula>
    </cfRule>
  </conditionalFormatting>
  <conditionalFormatting sqref="M32:O33 N44:O44">
    <cfRule type="expression" dxfId="1259" priority="75">
      <formula>$N$44&gt;0</formula>
    </cfRule>
    <cfRule type="expression" dxfId="1258" priority="76">
      <formula>$N$44&lt;0</formula>
    </cfRule>
  </conditionalFormatting>
  <conditionalFormatting sqref="A51:O60">
    <cfRule type="expression" dxfId="1257" priority="67">
      <formula>AND($N51 &gt; 0, ISNUMBER($N51))</formula>
    </cfRule>
    <cfRule type="expression" dxfId="1256" priority="68">
      <formula>AND($N51 &lt; 0, ISNUMBER($N51))</formula>
    </cfRule>
    <cfRule type="expression" dxfId="1255" priority="69">
      <formula>AND($K51 &gt; 0, ISNUMBER($K51))</formula>
    </cfRule>
    <cfRule type="expression" dxfId="1254" priority="70">
      <formula>AND($K51 &lt; 0, ISNUMBER($K51))</formula>
    </cfRule>
    <cfRule type="expression" dxfId="1253" priority="71">
      <formula>AND($H51 &gt; 0, ISNUMBER($H51))</formula>
    </cfRule>
    <cfRule type="expression" dxfId="1252" priority="72">
      <formula>AND($H51 &lt; 0, ISNUMBER($H51))</formula>
    </cfRule>
    <cfRule type="expression" dxfId="1251" priority="73">
      <formula>AND($E51 &gt; 0, ISNUMBER($E51))</formula>
    </cfRule>
    <cfRule type="expression" dxfId="1250" priority="74">
      <formula>AND($E51 &lt; 0, ISNUMBER($E51))</formula>
    </cfRule>
  </conditionalFormatting>
  <conditionalFormatting sqref="D49:F50 E61:F61">
    <cfRule type="expression" dxfId="1249" priority="65">
      <formula>$E$61&gt;0</formula>
    </cfRule>
    <cfRule type="expression" dxfId="1248" priority="66">
      <formula>$E$61&lt;0</formula>
    </cfRule>
  </conditionalFormatting>
  <conditionalFormatting sqref="G49:I50 H61:I61">
    <cfRule type="expression" dxfId="1247" priority="63">
      <formula>$H$61&gt;0</formula>
    </cfRule>
    <cfRule type="expression" dxfId="1246" priority="64">
      <formula>$H$61&lt;0</formula>
    </cfRule>
  </conditionalFormatting>
  <conditionalFormatting sqref="J49:L50 K61:L61">
    <cfRule type="expression" dxfId="1245" priority="61">
      <formula>$K$61&gt;0</formula>
    </cfRule>
    <cfRule type="expression" dxfId="1244" priority="62">
      <formula>$K$61&lt;0</formula>
    </cfRule>
  </conditionalFormatting>
  <conditionalFormatting sqref="M49:O50 N61:O61">
    <cfRule type="expression" dxfId="1243" priority="59">
      <formula>$N$61&gt;0</formula>
    </cfRule>
    <cfRule type="expression" dxfId="1242" priority="60">
      <formula>$N$61&lt;0</formula>
    </cfRule>
  </conditionalFormatting>
  <conditionalFormatting sqref="A68:O77">
    <cfRule type="expression" dxfId="1241" priority="51">
      <formula>AND($N68 &gt; 0, ISNUMBER($N68))</formula>
    </cfRule>
    <cfRule type="expression" dxfId="1240" priority="52">
      <formula>AND($N68 &lt; 0, ISNUMBER($N68))</formula>
    </cfRule>
    <cfRule type="expression" dxfId="1239" priority="53">
      <formula>AND($K68 &gt; 0, ISNUMBER($K68))</formula>
    </cfRule>
    <cfRule type="expression" dxfId="1238" priority="54">
      <formula>AND($K68 &lt; 0, ISNUMBER($K68))</formula>
    </cfRule>
    <cfRule type="expression" dxfId="1237" priority="55">
      <formula>AND($H68 &gt; 0, ISNUMBER($H68))</formula>
    </cfRule>
    <cfRule type="expression" dxfId="1236" priority="56">
      <formula>AND($H68 &lt; 0, ISNUMBER($H68))</formula>
    </cfRule>
    <cfRule type="expression" dxfId="1235" priority="57">
      <formula>AND($E68 &gt; 0, ISNUMBER($E68))</formula>
    </cfRule>
    <cfRule type="expression" dxfId="1234" priority="58">
      <formula>AND($E68 &lt; 0, ISNUMBER($E68))</formula>
    </cfRule>
  </conditionalFormatting>
  <conditionalFormatting sqref="D66:F67 E78:F78">
    <cfRule type="expression" dxfId="1233" priority="49">
      <formula>$E$78&gt;0</formula>
    </cfRule>
    <cfRule type="expression" dxfId="1232" priority="50">
      <formula>$E$78&lt;0</formula>
    </cfRule>
  </conditionalFormatting>
  <conditionalFormatting sqref="G66:I67 H78:I78">
    <cfRule type="expression" dxfId="1231" priority="47">
      <formula>$H$78&gt;0</formula>
    </cfRule>
    <cfRule type="expression" dxfId="1230" priority="48">
      <formula>$H$78&lt;0</formula>
    </cfRule>
  </conditionalFormatting>
  <conditionalFormatting sqref="J66:L67 K78:L78">
    <cfRule type="expression" dxfId="1229" priority="45">
      <formula>$K$78&gt;0</formula>
    </cfRule>
    <cfRule type="expression" dxfId="1228" priority="46">
      <formula>$K$78&lt;0</formula>
    </cfRule>
  </conditionalFormatting>
  <conditionalFormatting sqref="M66:O67 N78:O78">
    <cfRule type="expression" dxfId="1227" priority="43">
      <formula>$N$78&gt;0</formula>
    </cfRule>
    <cfRule type="expression" dxfId="1226" priority="44">
      <formula>$N$78&lt;0</formula>
    </cfRule>
  </conditionalFormatting>
  <conditionalFormatting sqref="A85:O94">
    <cfRule type="expression" dxfId="1225" priority="35">
      <formula>AND($N85 &gt; 0, ISNUMBER($N85))</formula>
    </cfRule>
    <cfRule type="expression" dxfId="1224" priority="36">
      <formula>AND($N85 &lt; 0, ISNUMBER($N85))</formula>
    </cfRule>
    <cfRule type="expression" dxfId="1223" priority="37">
      <formula>AND($K85 &gt; 0, ISNUMBER($K85))</formula>
    </cfRule>
    <cfRule type="expression" dxfId="1222" priority="38">
      <formula>AND($K85 &lt; 0, ISNUMBER($K85))</formula>
    </cfRule>
    <cfRule type="expression" dxfId="1221" priority="39">
      <formula>AND($H85 &gt; 0, ISNUMBER($H85))</formula>
    </cfRule>
    <cfRule type="expression" dxfId="1220" priority="40">
      <formula>AND($H85 &lt; 0, ISNUMBER($H85))</formula>
    </cfRule>
    <cfRule type="expression" dxfId="1219" priority="41">
      <formula>AND($E85 &gt; 0, ISNUMBER($E85))</formula>
    </cfRule>
    <cfRule type="expression" dxfId="1218" priority="42">
      <formula>AND($E85 &lt; 0, ISNUMBER($E85))</formula>
    </cfRule>
  </conditionalFormatting>
  <conditionalFormatting sqref="D83:F84 E95:F95">
    <cfRule type="expression" dxfId="1217" priority="33">
      <formula>$E$95&gt;0</formula>
    </cfRule>
    <cfRule type="expression" dxfId="1216" priority="34">
      <formula>$E$95&lt;0</formula>
    </cfRule>
  </conditionalFormatting>
  <conditionalFormatting sqref="G83:I84 H95:I95">
    <cfRule type="expression" dxfId="1215" priority="31">
      <formula>$H$95&gt;0</formula>
    </cfRule>
    <cfRule type="expression" dxfId="1214" priority="32">
      <formula>$H$95&lt;0</formula>
    </cfRule>
  </conditionalFormatting>
  <conditionalFormatting sqref="J83:L84 K95:L95">
    <cfRule type="expression" dxfId="1213" priority="29">
      <formula>$K$95&gt;0</formula>
    </cfRule>
    <cfRule type="expression" dxfId="1212" priority="30">
      <formula>$K$95&lt;0</formula>
    </cfRule>
  </conditionalFormatting>
  <conditionalFormatting sqref="M83:O84 N95:O95">
    <cfRule type="expression" dxfId="1211" priority="27">
      <formula>$N$95&gt;0</formula>
    </cfRule>
    <cfRule type="expression" dxfId="1210" priority="28">
      <formula>$N$95&lt;0</formula>
    </cfRule>
  </conditionalFormatting>
  <conditionalFormatting sqref="A102:O111">
    <cfRule type="expression" dxfId="1209" priority="19">
      <formula>AND($N102 &gt; 0, ISNUMBER($N102))</formula>
    </cfRule>
    <cfRule type="expression" dxfId="1208" priority="20">
      <formula>AND($N102 &lt; 0, ISNUMBER($N102))</formula>
    </cfRule>
    <cfRule type="expression" dxfId="1207" priority="21">
      <formula>AND($K102 &gt; 0, ISNUMBER($K102))</formula>
    </cfRule>
    <cfRule type="expression" dxfId="1206" priority="22">
      <formula>AND($K102 &lt; 0, ISNUMBER($K102))</formula>
    </cfRule>
    <cfRule type="expression" dxfId="1205" priority="23">
      <formula>AND($H102 &gt; 0, ISNUMBER($H102))</formula>
    </cfRule>
    <cfRule type="expression" dxfId="1204" priority="24">
      <formula>AND($H102 &lt; 0, ISNUMBER($H102))</formula>
    </cfRule>
    <cfRule type="expression" dxfId="1203" priority="25">
      <formula>AND($E102 &gt; 0, ISNUMBER($E102))</formula>
    </cfRule>
    <cfRule type="expression" dxfId="1202" priority="26">
      <formula>AND($E102 &lt; 0, ISNUMBER($E102))</formula>
    </cfRule>
  </conditionalFormatting>
  <conditionalFormatting sqref="D100:F101 E112:F112">
    <cfRule type="expression" dxfId="1201" priority="17">
      <formula>$E$112&gt;0</formula>
    </cfRule>
    <cfRule type="expression" dxfId="1200" priority="18">
      <formula>$E$112&lt;0</formula>
    </cfRule>
  </conditionalFormatting>
  <conditionalFormatting sqref="G100:I101 H112:I112">
    <cfRule type="expression" dxfId="1199" priority="15">
      <formula>$H$112&gt;0</formula>
    </cfRule>
    <cfRule type="expression" dxfId="1198" priority="16">
      <formula>$H$112&lt;0</formula>
    </cfRule>
  </conditionalFormatting>
  <conditionalFormatting sqref="J100:L101 K112:L112">
    <cfRule type="expression" dxfId="1197" priority="13">
      <formula>$K$112&gt;0</formula>
    </cfRule>
    <cfRule type="expression" dxfId="1196" priority="14">
      <formula>$K$112&lt;0</formula>
    </cfRule>
  </conditionalFormatting>
  <conditionalFormatting sqref="M100:O101 N112:O112">
    <cfRule type="expression" dxfId="1195" priority="11">
      <formula>$N$112&gt;0</formula>
    </cfRule>
    <cfRule type="expression" dxfId="1194" priority="12">
      <formula>$N$112&lt;0</formula>
    </cfRule>
  </conditionalFormatting>
  <conditionalFormatting sqref="G2:I3">
    <cfRule type="expression" dxfId="119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19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19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19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18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18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18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18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18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18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49E81-7E0D-49B8-B078-F3DE628B19CE}">
  <sheetPr codeName="Sheet11"/>
  <dimension ref="A1:R112"/>
  <sheetViews>
    <sheetView topLeftCell="A94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44295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4,103 KRW (2.05%)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99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129,393 KRW (12.94%)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184,813 KRW (18.48%)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165,600 KRW (16.56%)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97,067 KRW (9.71%)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99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98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02" t="s">
        <v>67</v>
      </c>
      <c r="H16" s="103" t="s">
        <v>68</v>
      </c>
      <c r="I16" s="104" t="s">
        <v>70</v>
      </c>
      <c r="J16" s="4" t="s">
        <v>67</v>
      </c>
      <c r="K16" s="4" t="s">
        <v>68</v>
      </c>
      <c r="L16" s="100" t="s">
        <v>70</v>
      </c>
      <c r="M16" s="18" t="s">
        <v>67</v>
      </c>
      <c r="N16" s="4" t="s">
        <v>68</v>
      </c>
      <c r="O16" s="101" t="s">
        <v>70</v>
      </c>
      <c r="Q16" s="206"/>
      <c r="R16" s="207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106</v>
      </c>
      <c r="C17" s="22">
        <f>IF(NOT(_xlfn.IFNA(VLOOKUP($A17, $A$30:$O$112, 3, FALSE), "")=0), _xlfn.IFNA(VLOOKUP($A17, $A$30:$O$112, 3, FALSE), ""), "")</f>
        <v>0.28174123340000001</v>
      </c>
      <c r="D17" s="89">
        <f>IF(NOT(_xlfn.IFNA(VLOOKUP($A17, $A$30:$O$112, 4, FALSE), "")=0), _xlfn.IFNA(VLOOKUP($A17, $A$30:$O$112, 4, FALSE), ""), "")</f>
        <v>117</v>
      </c>
      <c r="E17" s="22">
        <f>IF(NOT(_xlfn.IFNA(VLOOKUP($A17, $A$30:$O$112, 5, FALSE), "")=0), _xlfn.IFNA(VLOOKUP($A17, $A$30:$O$112, 5, FALSE), ""), "")</f>
        <v>0.10377358490566038</v>
      </c>
      <c r="F17" s="58">
        <f>IF(NOT(_xlfn.IFNA(VLOOKUP($A17, $A$30:$O$112, 6, FALSE), "")=0), _xlfn.IFNA(VLOOKUP($A17, $A$30:$O$112, 6, FALSE), ""), "")</f>
        <v>10377.358490566039</v>
      </c>
      <c r="G17" s="36">
        <f t="shared" ref="G17:G26" si="0">IF(NOT(_xlfn.IFNA(VLOOKUP($A17, $A$30:$O$112, 7, FALSE), "")=0), _xlfn.IFNA(VLOOKUP($A17, $A$30:$O$112, 7, FALSE), ""), "")</f>
        <v>116</v>
      </c>
      <c r="H17" s="5">
        <f>IF(NOT(_xlfn.IFNA(VLOOKUP($A17, $A$30:$O$112, 8, FALSE), "")=0), _xlfn.IFNA(VLOOKUP($A17, $A$30:$O$112, 8, FALSE), ""), "")</f>
        <v>9.4339622641509441E-2</v>
      </c>
      <c r="I17" s="59">
        <f>IF(NOT(_xlfn.IFNA(VLOOKUP($A17, $A$30:$O$112, 9, FALSE), "")=0), _xlfn.IFNA(VLOOKUP($A17, $A$30:$O$112, 9, FALSE), ""), "")</f>
        <v>9433.962264150945</v>
      </c>
      <c r="J17" s="89">
        <f>IF(NOT(_xlfn.IFNA(VLOOKUP($A17, $A$30:$O$112, 10, FALSE), "")=0), _xlfn.IFNA(VLOOKUP($A17, $A$30:$O$112, 10, FALSE), ""), "")</f>
        <v>119</v>
      </c>
      <c r="K17" s="22">
        <f>IF(NOT(_xlfn.IFNA(VLOOKUP($A17, $A$30:$O$112, 11, FALSE), "")=0), _xlfn.IFNA(VLOOKUP($A17, $A$30:$O$112, 11, FALSE), ""), "")</f>
        <v>0.12264150943396226</v>
      </c>
      <c r="L17" s="58">
        <f>IF(NOT(_xlfn.IFNA(VLOOKUP($A17, $A$30:$O$112, 12, FALSE), "")=0), _xlfn.IFNA(VLOOKUP($A17, $A$30:$O$112, 12, FALSE), ""), "")</f>
        <v>12264.150943396227</v>
      </c>
      <c r="M17" s="89">
        <f>IF(NOT(_xlfn.IFNA(VLOOKUP($A17, $A$30:$O$112, 13, FALSE), "")=0), _xlfn.IFNA(VLOOKUP($A17, $A$30:$O$112, 13, FALSE), ""), "")</f>
        <v>117</v>
      </c>
      <c r="N17" s="22">
        <f>IF(NOT(_xlfn.IFNA(VLOOKUP($A17, $A$30:$O$112, 14, FALSE), "")=0), _xlfn.IFNA(VLOOKUP($A17, $A$30:$O$112, 14, FALSE), ""), "")</f>
        <v>0.10377358490566038</v>
      </c>
      <c r="O17" s="43">
        <f>IF(NOT(_xlfn.IFNA(VLOOKUP($A17, $A$30:$O$112, 15, FALSE), "")=0), _xlfn.IFNA(VLOOKUP($A17, $A$30:$O$112, 15, FALSE), ""), "")</f>
        <v>10377.358490566039</v>
      </c>
      <c r="Q17" s="204"/>
      <c r="R17" s="205"/>
    </row>
    <row r="18" spans="1:18" ht="17.25" customHeight="1">
      <c r="A18" s="40" t="s">
        <v>118</v>
      </c>
      <c r="B18" s="36">
        <f t="shared" ref="B18:B26" si="1">IF(NOT(_xlfn.IFNA(VLOOKUP($A18, $A$30:$O$112, 2, FALSE), "")=0), _xlfn.IFNA(VLOOKUP($A18, $A$30:$O$112, 2, FALSE), ""), "")</f>
        <v>365</v>
      </c>
      <c r="C18" s="5">
        <f t="shared" ref="C18:C26" si="2">IF(NOT(_xlfn.IFNA(VLOOKUP($A18, $A$30:$O$112, 3, FALSE), "")=0), _xlfn.IFNA(VLOOKUP($A18, $A$30:$O$112, 3, FALSE), ""), "")</f>
        <v>0.21262458470000001</v>
      </c>
      <c r="D18" s="36">
        <f t="shared" ref="D18:D26" si="3">IF(NOT(_xlfn.IFNA(VLOOKUP($A18, $A$30:$O$112, 4, FALSE), "")=0), _xlfn.IFNA(VLOOKUP($A18, $A$30:$O$112, 4, FALSE), ""), "")</f>
        <v>387</v>
      </c>
      <c r="E18" s="5">
        <f t="shared" ref="E18:E26" si="4">IF(NOT(_xlfn.IFNA(VLOOKUP($A18, $A$30:$O$112, 5, FALSE), "")=0), _xlfn.IFNA(VLOOKUP($A18, $A$30:$O$112, 5, FALSE), ""), "")</f>
        <v>6.0273972602739728E-2</v>
      </c>
      <c r="F18" s="59">
        <f t="shared" ref="F18:F26" si="5">IF(NOT(_xlfn.IFNA(VLOOKUP($A18, $A$30:$O$112, 6, FALSE), "")=0), _xlfn.IFNA(VLOOKUP($A18, $A$30:$O$112, 6, FALSE), ""), "")</f>
        <v>6027.3972602739732</v>
      </c>
      <c r="G18" s="36">
        <f t="shared" si="0"/>
        <v>385</v>
      </c>
      <c r="H18" s="5">
        <f t="shared" ref="H18:H26" si="6">IF(NOT(_xlfn.IFNA(VLOOKUP($A18, $A$30:$O$112, 8, FALSE), "")=0), _xlfn.IFNA(VLOOKUP($A18, $A$30:$O$112, 8, FALSE), ""), "")</f>
        <v>5.4794520547945202E-2</v>
      </c>
      <c r="I18" s="59">
        <f t="shared" ref="I18:I26" si="7">IF(NOT(_xlfn.IFNA(VLOOKUP($A18, $A$30:$O$112, 9, FALSE), "")=0), _xlfn.IFNA(VLOOKUP($A18, $A$30:$O$112, 9, FALSE), ""), "")</f>
        <v>5479.4520547945203</v>
      </c>
      <c r="J18" s="36">
        <f t="shared" ref="J18:J26" si="8">IF(NOT(_xlfn.IFNA(VLOOKUP($A18, $A$30:$O$112, 10, FALSE), "")=0), _xlfn.IFNA(VLOOKUP($A18, $A$30:$O$112, 10, FALSE), ""), "")</f>
        <v>390</v>
      </c>
      <c r="K18" s="5">
        <f t="shared" ref="K18:K26" si="9">IF(NOT(_xlfn.IFNA(VLOOKUP($A18, $A$30:$O$112, 11, FALSE), "")=0), _xlfn.IFNA(VLOOKUP($A18, $A$30:$O$112, 11, FALSE), ""), "")</f>
        <v>6.8493150684931503E-2</v>
      </c>
      <c r="L18" s="59">
        <f t="shared" ref="L18:L26" si="10">IF(NOT(_xlfn.IFNA(VLOOKUP($A18, $A$30:$O$112, 12, FALSE), "")=0), _xlfn.IFNA(VLOOKUP($A18, $A$30:$O$112, 12, FALSE), ""), "")</f>
        <v>6849.3150684931506</v>
      </c>
      <c r="M18" s="36">
        <f t="shared" ref="M18:M26" si="11">IF(NOT(_xlfn.IFNA(VLOOKUP($A18, $A$30:$O$112, 13, FALSE), "")=0), _xlfn.IFNA(VLOOKUP($A18, $A$30:$O$112, 13, FALSE), ""), "")</f>
        <v>391</v>
      </c>
      <c r="N18" s="5">
        <f t="shared" ref="N18:N26" si="12">IF(NOT(_xlfn.IFNA(VLOOKUP($A18, $A$30:$O$112, 14, FALSE), "")=0), _xlfn.IFNA(VLOOKUP($A18, $A$30:$O$112, 14, FALSE), ""), "")</f>
        <v>7.1232876712328766E-2</v>
      </c>
      <c r="O18" s="44">
        <f t="shared" ref="O18:O26" si="13">IF(NOT(_xlfn.IFNA(VLOOKUP($A18, $A$30:$O$112, 15, FALSE), "")=0), _xlfn.IFNA(VLOOKUP($A18, $A$30:$O$112, 15, FALSE), ""), "")</f>
        <v>7123.2876712328762</v>
      </c>
      <c r="Q18" s="204"/>
      <c r="R18" s="205"/>
    </row>
    <row r="19" spans="1:18" ht="17.25" customHeight="1">
      <c r="A19" s="40" t="s">
        <v>101</v>
      </c>
      <c r="B19" s="36">
        <f t="shared" si="1"/>
        <v>312</v>
      </c>
      <c r="C19" s="5">
        <f t="shared" si="2"/>
        <v>0.2</v>
      </c>
      <c r="D19" s="36">
        <f t="shared" si="3"/>
        <v>330</v>
      </c>
      <c r="E19" s="5">
        <f t="shared" si="4"/>
        <v>5.7692307692307696E-2</v>
      </c>
      <c r="F19" s="59">
        <f t="shared" si="5"/>
        <v>5769.2307692307695</v>
      </c>
      <c r="G19" s="36">
        <f t="shared" si="0"/>
        <v>331</v>
      </c>
      <c r="H19" s="5">
        <f t="shared" si="6"/>
        <v>6.0897435897435896E-2</v>
      </c>
      <c r="I19" s="59">
        <f t="shared" si="7"/>
        <v>6089.7435897435898</v>
      </c>
      <c r="J19" s="36">
        <f t="shared" si="8"/>
        <v>335</v>
      </c>
      <c r="K19" s="5">
        <f t="shared" si="9"/>
        <v>7.371794871794872E-2</v>
      </c>
      <c r="L19" s="59">
        <f t="shared" si="10"/>
        <v>7371.7948717948721</v>
      </c>
      <c r="M19" s="36">
        <f t="shared" si="11"/>
        <v>330</v>
      </c>
      <c r="N19" s="5">
        <f t="shared" si="12"/>
        <v>5.7692307692307696E-2</v>
      </c>
      <c r="O19" s="44">
        <f t="shared" si="13"/>
        <v>5769.2307692307695</v>
      </c>
      <c r="Q19" s="204"/>
      <c r="R19" s="205"/>
    </row>
    <row r="20" spans="1:18" ht="17.25" customHeight="1">
      <c r="A20" s="40" t="s">
        <v>115</v>
      </c>
      <c r="B20" s="36">
        <f t="shared" si="1"/>
        <v>20230</v>
      </c>
      <c r="C20" s="5">
        <f t="shared" si="2"/>
        <v>0.1928066038</v>
      </c>
      <c r="D20" s="36">
        <f t="shared" si="3"/>
        <v>23570</v>
      </c>
      <c r="E20" s="5">
        <f t="shared" si="4"/>
        <v>0.16510133465150767</v>
      </c>
      <c r="F20" s="59">
        <f t="shared" si="5"/>
        <v>16510.133465150768</v>
      </c>
      <c r="G20" s="36">
        <f t="shared" si="0"/>
        <v>22890</v>
      </c>
      <c r="H20" s="5">
        <f t="shared" si="6"/>
        <v>0.13148788927335639</v>
      </c>
      <c r="I20" s="59">
        <f t="shared" si="7"/>
        <v>13148.78892733564</v>
      </c>
      <c r="J20" s="36">
        <f t="shared" si="8"/>
        <v>23300</v>
      </c>
      <c r="K20" s="5">
        <f t="shared" si="9"/>
        <v>0.15175481957488879</v>
      </c>
      <c r="L20" s="59">
        <f t="shared" si="10"/>
        <v>15175.481957488879</v>
      </c>
      <c r="M20" s="36">
        <f t="shared" si="11"/>
        <v>22900</v>
      </c>
      <c r="N20" s="5">
        <f t="shared" si="12"/>
        <v>0.13198220464656452</v>
      </c>
      <c r="O20" s="44">
        <f t="shared" si="13"/>
        <v>13198.220464656451</v>
      </c>
      <c r="Q20" s="204"/>
      <c r="R20" s="205"/>
    </row>
    <row r="21" spans="1:18" ht="17.25" customHeight="1">
      <c r="A21" s="41" t="s">
        <v>95</v>
      </c>
      <c r="B21" s="37">
        <f t="shared" si="1"/>
        <v>31.2</v>
      </c>
      <c r="C21" s="24">
        <f t="shared" si="2"/>
        <v>0.19083969470000001</v>
      </c>
      <c r="D21" s="37">
        <f t="shared" si="3"/>
        <v>34.299999999999997</v>
      </c>
      <c r="E21" s="24">
        <f t="shared" si="4"/>
        <v>9.9358974358974297E-2</v>
      </c>
      <c r="F21" s="60">
        <f t="shared" si="5"/>
        <v>9935.8974358974301</v>
      </c>
      <c r="G21" s="37">
        <f t="shared" si="0"/>
        <v>34.200000000000003</v>
      </c>
      <c r="H21" s="24">
        <f t="shared" si="6"/>
        <v>9.615384615384627E-2</v>
      </c>
      <c r="I21" s="60">
        <f t="shared" si="7"/>
        <v>9615.3846153846262</v>
      </c>
      <c r="J21" s="37">
        <f t="shared" si="8"/>
        <v>34.700000000000003</v>
      </c>
      <c r="K21" s="24">
        <f t="shared" si="9"/>
        <v>0.11217948717948729</v>
      </c>
      <c r="L21" s="60">
        <f t="shared" si="10"/>
        <v>11217.94871794873</v>
      </c>
      <c r="M21" s="37">
        <f t="shared" si="11"/>
        <v>35.299999999999997</v>
      </c>
      <c r="N21" s="24">
        <f t="shared" si="12"/>
        <v>0.13141025641025633</v>
      </c>
      <c r="O21" s="62">
        <f t="shared" si="13"/>
        <v>13141.025641025633</v>
      </c>
      <c r="Q21" s="204"/>
      <c r="R21" s="205"/>
    </row>
    <row r="22" spans="1:18" ht="17.25" customHeight="1">
      <c r="A22" s="40" t="s">
        <v>141</v>
      </c>
      <c r="B22" s="36">
        <f t="shared" si="1"/>
        <v>4480</v>
      </c>
      <c r="C22" s="5">
        <f t="shared" si="2"/>
        <v>0.18990703850000001</v>
      </c>
      <c r="D22" s="36">
        <f t="shared" si="3"/>
        <v>4170</v>
      </c>
      <c r="E22" s="5">
        <f t="shared" si="4"/>
        <v>-6.9196428571428575E-2</v>
      </c>
      <c r="F22" s="59">
        <f t="shared" si="5"/>
        <v>-6919.6428571428578</v>
      </c>
      <c r="G22" s="36">
        <f t="shared" si="0"/>
        <v>4495</v>
      </c>
      <c r="H22" s="5">
        <f t="shared" si="6"/>
        <v>3.3482142857142855E-3</v>
      </c>
      <c r="I22" s="59">
        <f t="shared" si="7"/>
        <v>334.82142857142856</v>
      </c>
      <c r="J22" s="36">
        <f t="shared" si="8"/>
        <v>4950</v>
      </c>
      <c r="K22" s="5">
        <f t="shared" si="9"/>
        <v>0.10491071428571429</v>
      </c>
      <c r="L22" s="59">
        <f t="shared" si="10"/>
        <v>10491.071428571429</v>
      </c>
      <c r="M22" s="36">
        <f t="shared" si="11"/>
        <v>4870</v>
      </c>
      <c r="N22" s="5">
        <f t="shared" si="12"/>
        <v>8.7053571428571425E-2</v>
      </c>
      <c r="O22" s="44">
        <f t="shared" si="13"/>
        <v>8705.3571428571431</v>
      </c>
      <c r="Q22" s="204"/>
      <c r="R22" s="205"/>
    </row>
    <row r="23" spans="1:18" ht="17.25" customHeight="1">
      <c r="A23" s="40" t="s">
        <v>123</v>
      </c>
      <c r="B23" s="36">
        <f t="shared" si="1"/>
        <v>96</v>
      </c>
      <c r="C23" s="5">
        <f t="shared" si="2"/>
        <v>0.1895910781</v>
      </c>
      <c r="D23" s="36">
        <f t="shared" si="3"/>
        <v>98.5</v>
      </c>
      <c r="E23" s="5">
        <f t="shared" si="4"/>
        <v>2.6041666666666668E-2</v>
      </c>
      <c r="F23" s="59">
        <f t="shared" si="5"/>
        <v>2604.166666666667</v>
      </c>
      <c r="G23" s="36">
        <f t="shared" si="0"/>
        <v>98</v>
      </c>
      <c r="H23" s="5">
        <f t="shared" si="6"/>
        <v>2.0833333333333332E-2</v>
      </c>
      <c r="I23" s="59">
        <f t="shared" si="7"/>
        <v>2083.333333333333</v>
      </c>
      <c r="J23" s="36">
        <f t="shared" si="8"/>
        <v>98.4</v>
      </c>
      <c r="K23" s="5">
        <f t="shared" si="9"/>
        <v>2.500000000000006E-2</v>
      </c>
      <c r="L23" s="59">
        <f t="shared" si="10"/>
        <v>2500.0000000000059</v>
      </c>
      <c r="M23" s="36">
        <f t="shared" si="11"/>
        <v>97.1</v>
      </c>
      <c r="N23" s="5">
        <f t="shared" si="12"/>
        <v>1.1458333333333274E-2</v>
      </c>
      <c r="O23" s="44">
        <f t="shared" si="13"/>
        <v>1145.8333333333273</v>
      </c>
      <c r="Q23" s="204"/>
      <c r="R23" s="205"/>
    </row>
    <row r="24" spans="1:18" ht="17.25" customHeight="1">
      <c r="A24" s="40" t="s">
        <v>93</v>
      </c>
      <c r="B24" s="36">
        <f t="shared" si="1"/>
        <v>59490</v>
      </c>
      <c r="C24" s="5">
        <f t="shared" si="2"/>
        <v>0.18932427030000001</v>
      </c>
      <c r="D24" s="36">
        <f t="shared" si="3"/>
        <v>64590</v>
      </c>
      <c r="E24" s="5">
        <f t="shared" si="4"/>
        <v>8.5728693898134145E-2</v>
      </c>
      <c r="F24" s="59">
        <f t="shared" si="5"/>
        <v>8572.8693898134152</v>
      </c>
      <c r="G24" s="36">
        <f t="shared" si="0"/>
        <v>64930</v>
      </c>
      <c r="H24" s="5">
        <f t="shared" si="6"/>
        <v>9.1443940158009746E-2</v>
      </c>
      <c r="I24" s="59">
        <f t="shared" si="7"/>
        <v>9144.3940158009736</v>
      </c>
      <c r="J24" s="36">
        <f t="shared" si="8"/>
        <v>65230</v>
      </c>
      <c r="K24" s="5">
        <f t="shared" si="9"/>
        <v>9.648680450495882E-2</v>
      </c>
      <c r="L24" s="59">
        <f t="shared" si="10"/>
        <v>9648.6804504958818</v>
      </c>
      <c r="M24" s="36">
        <f t="shared" si="11"/>
        <v>65680</v>
      </c>
      <c r="N24" s="5">
        <f t="shared" si="12"/>
        <v>0.10405110102538241</v>
      </c>
      <c r="O24" s="44">
        <f t="shared" si="13"/>
        <v>10405.110102538241</v>
      </c>
      <c r="Q24" s="204"/>
      <c r="R24" s="205"/>
    </row>
    <row r="25" spans="1:18" ht="17.25" customHeight="1">
      <c r="A25" s="40" t="s">
        <v>133</v>
      </c>
      <c r="B25" s="36">
        <f t="shared" si="1"/>
        <v>29.7</v>
      </c>
      <c r="C25" s="5">
        <f t="shared" si="2"/>
        <v>0.188</v>
      </c>
      <c r="D25" s="36">
        <f t="shared" si="3"/>
        <v>34.299999999999997</v>
      </c>
      <c r="E25" s="5">
        <f t="shared" si="4"/>
        <v>0.15488215488215482</v>
      </c>
      <c r="F25" s="59">
        <f t="shared" si="5"/>
        <v>15488.215488215481</v>
      </c>
      <c r="G25" s="36">
        <f t="shared" si="0"/>
        <v>32.200000000000003</v>
      </c>
      <c r="H25" s="5">
        <f t="shared" si="6"/>
        <v>8.4175084175084292E-2</v>
      </c>
      <c r="I25" s="59">
        <f t="shared" si="7"/>
        <v>8417.5084175084285</v>
      </c>
      <c r="J25" s="36">
        <f t="shared" si="8"/>
        <v>32.9</v>
      </c>
      <c r="K25" s="5">
        <f t="shared" si="9"/>
        <v>0.10774410774410773</v>
      </c>
      <c r="L25" s="59">
        <f t="shared" si="10"/>
        <v>10774.410774410773</v>
      </c>
      <c r="M25" s="36">
        <f t="shared" si="11"/>
        <v>32.700000000000003</v>
      </c>
      <c r="N25" s="5">
        <f t="shared" si="12"/>
        <v>0.10101010101010113</v>
      </c>
      <c r="O25" s="44">
        <f t="shared" si="13"/>
        <v>10101.010101010113</v>
      </c>
      <c r="Q25" s="206"/>
      <c r="R25" s="207"/>
    </row>
    <row r="26" spans="1:18" ht="17.25" customHeight="1" thickBot="1">
      <c r="A26" s="42" t="s">
        <v>127</v>
      </c>
      <c r="B26" s="38">
        <f t="shared" si="1"/>
        <v>234</v>
      </c>
      <c r="C26" s="16">
        <f t="shared" si="2"/>
        <v>0.18181818180000001</v>
      </c>
      <c r="D26" s="38">
        <f t="shared" si="3"/>
        <v>249</v>
      </c>
      <c r="E26" s="16">
        <f t="shared" si="4"/>
        <v>6.4102564102564097E-2</v>
      </c>
      <c r="F26" s="61">
        <f t="shared" si="5"/>
        <v>6410.2564102564093</v>
      </c>
      <c r="G26" s="38">
        <f t="shared" si="0"/>
        <v>246</v>
      </c>
      <c r="H26" s="16">
        <f t="shared" si="6"/>
        <v>5.128205128205128E-2</v>
      </c>
      <c r="I26" s="61">
        <f t="shared" si="7"/>
        <v>5128.2051282051279</v>
      </c>
      <c r="J26" s="38">
        <f t="shared" si="8"/>
        <v>248</v>
      </c>
      <c r="K26" s="16">
        <f t="shared" si="9"/>
        <v>5.9829059829059832E-2</v>
      </c>
      <c r="L26" s="61">
        <f t="shared" si="10"/>
        <v>5982.9059829059834</v>
      </c>
      <c r="M26" s="38">
        <f t="shared" si="11"/>
        <v>248</v>
      </c>
      <c r="N26" s="16">
        <f t="shared" si="12"/>
        <v>5.9829059829059832E-2</v>
      </c>
      <c r="O26" s="45">
        <f t="shared" si="13"/>
        <v>5982.9059829059834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7.4775882518928097E-2</v>
      </c>
      <c r="F27" s="47">
        <f>SUM(F17:F26)</f>
        <v>74775.882518928091</v>
      </c>
      <c r="G27" s="57" t="s">
        <v>82</v>
      </c>
      <c r="H27" s="46">
        <f>IF(COUNT(H17:H26), SUM(H17:H26) / COUNT(H17:H26), 0)</f>
        <v>6.8875593774828617E-2</v>
      </c>
      <c r="I27" s="47">
        <f>SUM(I17:I26)</f>
        <v>68875.593774828609</v>
      </c>
      <c r="J27" s="57" t="s">
        <v>82</v>
      </c>
      <c r="K27" s="46">
        <f>IF(COUNT(K17:K26), SUM(K17:K26) / COUNT(K17:K26), 0)</f>
        <v>9.2275760195505929E-2</v>
      </c>
      <c r="L27" s="47">
        <f>SUM(L17:L26)</f>
        <v>92275.760195505936</v>
      </c>
      <c r="M27" s="57" t="s">
        <v>82</v>
      </c>
      <c r="N27" s="46">
        <f>IF(COUNT(N17:N26), SUM(N17:N26) / COUNT(N17:N26), 0)</f>
        <v>8.5949339699356572E-2</v>
      </c>
      <c r="O27" s="47">
        <f>SUM(O17:O26)</f>
        <v>85949.339699356569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98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00" t="s">
        <v>70</v>
      </c>
      <c r="M33" s="18" t="s">
        <v>67</v>
      </c>
      <c r="N33" s="4" t="s">
        <v>68</v>
      </c>
      <c r="O33" s="101" t="s">
        <v>70</v>
      </c>
      <c r="Q33" s="231"/>
      <c r="R33" s="232"/>
    </row>
    <row r="34" spans="1:18" ht="17.25" customHeight="1">
      <c r="A34" s="9" t="s">
        <v>148</v>
      </c>
      <c r="B34" s="31">
        <v>66.900000000000006</v>
      </c>
      <c r="C34" s="22">
        <v>4.69483568E-2</v>
      </c>
      <c r="D34" s="89">
        <v>67.099999999999994</v>
      </c>
      <c r="E34" s="22">
        <f>IF(ISNUMBER(D34), (D34 - $B34) / $B34, "")</f>
        <v>2.989536621823447E-3</v>
      </c>
      <c r="F34" s="43">
        <f>IF(ISNUMBER(D34), $B44 * E34, "")</f>
        <v>298.95366218234471</v>
      </c>
      <c r="G34" s="89">
        <v>68.2</v>
      </c>
      <c r="H34" s="22">
        <f>IF(ISNUMBER(G34), (G34 - $B34) / $B34, "")</f>
        <v>1.9431988041853469E-2</v>
      </c>
      <c r="I34" s="43">
        <f>IF(ISNUMBER(G34), $B44 * H34, "")</f>
        <v>1943.1988041853469</v>
      </c>
      <c r="J34" s="89">
        <v>69.099999999999994</v>
      </c>
      <c r="K34" s="22">
        <f>IF(ISNUMBER(J34), (J34 - $B34) / $B34, "")</f>
        <v>3.288490284005962E-2</v>
      </c>
      <c r="L34" s="43">
        <f>IF(ISNUMBER(J34), $B44 * K34, "")</f>
        <v>3288.4902840059622</v>
      </c>
      <c r="M34" s="89">
        <v>68.8</v>
      </c>
      <c r="N34" s="22">
        <f>IF(ISNUMBER(M34), (M34 - $B34) / $B34, "")</f>
        <v>2.8400597907324236E-2</v>
      </c>
      <c r="O34" s="43">
        <f>IF(ISNUMBER(M34), $B44 * N34, "")</f>
        <v>2840.0597907324236</v>
      </c>
      <c r="Q34" s="229"/>
      <c r="R34" s="230"/>
    </row>
    <row r="35" spans="1:18" ht="17.25" customHeight="1">
      <c r="A35" s="11" t="s">
        <v>94</v>
      </c>
      <c r="B35" s="32">
        <v>79.2</v>
      </c>
      <c r="C35" s="5">
        <v>3.5294117600000001E-2</v>
      </c>
      <c r="D35" s="36">
        <v>78.8</v>
      </c>
      <c r="E35" s="5">
        <f t="shared" ref="E35:E43" si="14">IF(ISNUMBER(D35), (D35 - $B35) / $B35, "")</f>
        <v>-5.0505050505051221E-3</v>
      </c>
      <c r="F35" s="44">
        <f>IF(ISNUMBER(D35), $B44 * E35, "")</f>
        <v>-505.05050505051219</v>
      </c>
      <c r="G35" s="36">
        <v>81.099999999999994</v>
      </c>
      <c r="H35" s="5">
        <f t="shared" ref="H35:H43" si="15">IF(ISNUMBER(G35), (G35 - $B35) / $B35, "")</f>
        <v>2.3989898989898881E-2</v>
      </c>
      <c r="I35" s="44">
        <f>IF(ISNUMBER(G35), $B44 * H35, "")</f>
        <v>2398.9898989898879</v>
      </c>
      <c r="J35" s="36">
        <v>80.599999999999994</v>
      </c>
      <c r="K35" s="5">
        <f t="shared" ref="K35:K43" si="16">IF(ISNUMBER(J35), (J35 - $B35) / $B35, "")</f>
        <v>1.7676767676767569E-2</v>
      </c>
      <c r="L35" s="44">
        <f>IF(ISNUMBER(J35), $B44 * K35, "")</f>
        <v>1767.6767676767568</v>
      </c>
      <c r="M35" s="36">
        <v>80.2</v>
      </c>
      <c r="N35" s="5">
        <f t="shared" ref="N35:N43" si="17">IF(ISNUMBER(M35), (M35 - $B35) / $B35, "")</f>
        <v>1.2626262626262626E-2</v>
      </c>
      <c r="O35" s="44">
        <f>IF(ISNUMBER(M35), $B44 * N35, "")</f>
        <v>1262.6262626262626</v>
      </c>
      <c r="Q35" s="229"/>
      <c r="R35" s="230"/>
    </row>
    <row r="36" spans="1:18" ht="17.25" customHeight="1">
      <c r="A36" s="11"/>
      <c r="B36" s="32"/>
      <c r="C36" s="5"/>
      <c r="D36" s="36"/>
      <c r="E36" s="5" t="str">
        <f t="shared" si="14"/>
        <v/>
      </c>
      <c r="F36" s="44" t="str">
        <f>IF(ISNUMBER(D36), $B44 * E36, "")</f>
        <v/>
      </c>
      <c r="G36" s="36"/>
      <c r="H36" s="5" t="str">
        <f t="shared" si="15"/>
        <v/>
      </c>
      <c r="I36" s="44" t="str">
        <f>IF(ISNUMBER(G36), $B44 * H36, "")</f>
        <v/>
      </c>
      <c r="J36" s="36"/>
      <c r="K36" s="5" t="str">
        <f t="shared" si="16"/>
        <v/>
      </c>
      <c r="L36" s="44" t="str">
        <f>IF(ISNUMBER(J36), $B44 * K36, "")</f>
        <v/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/>
      <c r="B37" s="32"/>
      <c r="C37" s="5"/>
      <c r="D37" s="36"/>
      <c r="E37" s="5" t="str">
        <f t="shared" si="14"/>
        <v/>
      </c>
      <c r="F37" s="44" t="str">
        <f>IF(ISNUMBER(D37), $B44 * E37, "")</f>
        <v/>
      </c>
      <c r="G37" s="36"/>
      <c r="H37" s="5" t="str">
        <f t="shared" si="15"/>
        <v/>
      </c>
      <c r="I37" s="44" t="str">
        <f>IF(ISNUMBER(G37), $B44 * H37, "")</f>
        <v/>
      </c>
      <c r="J37" s="36"/>
      <c r="K37" s="5" t="str">
        <f t="shared" si="16"/>
        <v/>
      </c>
      <c r="L37" s="44" t="str">
        <f>IF(ISNUMBER(J37), $B44 * K37, "")</f>
        <v/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/>
      <c r="B38" s="33"/>
      <c r="C38" s="24"/>
      <c r="D38" s="37"/>
      <c r="E38" s="24" t="str">
        <f t="shared" si="14"/>
        <v/>
      </c>
      <c r="F38" s="44" t="str">
        <f>IF(ISNUMBER(D38), $B44 * E38, "")</f>
        <v/>
      </c>
      <c r="G38" s="37"/>
      <c r="H38" s="24" t="str">
        <f t="shared" si="15"/>
        <v/>
      </c>
      <c r="I38" s="44" t="str">
        <f>IF(ISNUMBER(G38), $B44 * H38, "")</f>
        <v/>
      </c>
      <c r="J38" s="37"/>
      <c r="K38" s="24" t="str">
        <f t="shared" si="16"/>
        <v/>
      </c>
      <c r="L38" s="44" t="str">
        <f>IF(ISNUMBER(J38), $B44 * K38, "")</f>
        <v/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/>
      <c r="B39" s="32"/>
      <c r="C39" s="5"/>
      <c r="D39" s="36"/>
      <c r="E39" s="5" t="str">
        <f t="shared" si="14"/>
        <v/>
      </c>
      <c r="F39" s="48" t="str">
        <f>IF(ISNUMBER(D39), $B44 * E39, "")</f>
        <v/>
      </c>
      <c r="G39" s="36"/>
      <c r="H39" s="5" t="str">
        <f t="shared" si="15"/>
        <v/>
      </c>
      <c r="I39" s="48" t="str">
        <f>IF(ISNUMBER(G39), $B44 * H39, "")</f>
        <v/>
      </c>
      <c r="J39" s="36"/>
      <c r="K39" s="5" t="str">
        <f t="shared" si="16"/>
        <v/>
      </c>
      <c r="L39" s="48" t="str">
        <f>IF(ISNUMBER(J39), $B44 * K39, "")</f>
        <v/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-1.0304842143408375E-3</v>
      </c>
      <c r="F44" s="47">
        <f>SUM(F34:F43)</f>
        <v>-206.09684286816747</v>
      </c>
      <c r="G44" s="57" t="s">
        <v>82</v>
      </c>
      <c r="H44" s="46">
        <f>IF(COUNT(H34:H43), SUM(H34:H43) / COUNT(H34:H43), 0)</f>
        <v>2.1710943515876175E-2</v>
      </c>
      <c r="I44" s="47">
        <f>SUM(I34:I43)</f>
        <v>4342.1887031752349</v>
      </c>
      <c r="J44" s="57" t="s">
        <v>82</v>
      </c>
      <c r="K44" s="46">
        <f>IF(COUNT(K34:K43), SUM(K34:K43) / COUNT(K34:K43), 0)</f>
        <v>2.5280835258413594E-2</v>
      </c>
      <c r="L44" s="47">
        <f>SUM(L34:L43)</f>
        <v>5056.1670516827189</v>
      </c>
      <c r="M44" s="57" t="s">
        <v>82</v>
      </c>
      <c r="N44" s="46">
        <f>IF(COUNT(N34:N43), SUM(N34:N43) / COUNT(N34:N43), 0)</f>
        <v>2.051343026679343E-2</v>
      </c>
      <c r="O44" s="47">
        <f>SUM(O34:O43)</f>
        <v>4102.686053358686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98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00" t="s">
        <v>70</v>
      </c>
      <c r="M50" s="18" t="s">
        <v>67</v>
      </c>
      <c r="N50" s="4" t="s">
        <v>68</v>
      </c>
      <c r="O50" s="101" t="s">
        <v>70</v>
      </c>
      <c r="Q50" s="231"/>
      <c r="R50" s="232"/>
    </row>
    <row r="51" spans="1:18" ht="17.25" customHeight="1">
      <c r="A51" s="9" t="s">
        <v>95</v>
      </c>
      <c r="B51" s="31">
        <v>31.2</v>
      </c>
      <c r="C51" s="22">
        <v>0.19083969470000001</v>
      </c>
      <c r="D51" s="89">
        <v>34.299999999999997</v>
      </c>
      <c r="E51" s="22">
        <f>IF(ISNUMBER(D51), (D51 - $B51) / $B51, "")</f>
        <v>9.9358974358974297E-2</v>
      </c>
      <c r="F51" s="43">
        <f>IF(ISNUMBER(D51), $B61 * E51, "")</f>
        <v>9935.8974358974301</v>
      </c>
      <c r="G51" s="89">
        <v>34.200000000000003</v>
      </c>
      <c r="H51" s="22">
        <f>IF(ISNUMBER(G51), (G51 - $B51) / $B51, "")</f>
        <v>9.615384615384627E-2</v>
      </c>
      <c r="I51" s="43">
        <f>IF(ISNUMBER(G51), $B61 * H51, "")</f>
        <v>9615.3846153846262</v>
      </c>
      <c r="J51" s="89">
        <v>34.700000000000003</v>
      </c>
      <c r="K51" s="22">
        <f>IF(ISNUMBER(J51), (J51 - $B51) / $B51, "")</f>
        <v>0.11217948717948729</v>
      </c>
      <c r="L51" s="43">
        <f>IF(ISNUMBER(J51), $B61 * K51, "")</f>
        <v>11217.94871794873</v>
      </c>
      <c r="M51" s="89">
        <v>35.299999999999997</v>
      </c>
      <c r="N51" s="22">
        <f>IF(ISNUMBER(M51), (M51 - $B51) / $B51, "")</f>
        <v>0.13141025641025633</v>
      </c>
      <c r="O51" s="43">
        <f>IF(ISNUMBER(M51), $B61 * N51, "")</f>
        <v>13141.025641025633</v>
      </c>
      <c r="Q51" s="229"/>
      <c r="R51" s="230"/>
    </row>
    <row r="52" spans="1:18" ht="17.25" customHeight="1">
      <c r="A52" s="11" t="s">
        <v>123</v>
      </c>
      <c r="B52" s="32">
        <v>96</v>
      </c>
      <c r="C52" s="5">
        <v>0.1895910781</v>
      </c>
      <c r="D52" s="36">
        <v>98.5</v>
      </c>
      <c r="E52" s="5">
        <f t="shared" ref="E52:E60" si="18">IF(ISNUMBER(D52), (D52 - $B52) / $B52, "")</f>
        <v>2.6041666666666668E-2</v>
      </c>
      <c r="F52" s="44">
        <f>IF(ISNUMBER(D52), $B61 * E52, "")</f>
        <v>2604.166666666667</v>
      </c>
      <c r="G52" s="36">
        <v>98</v>
      </c>
      <c r="H52" s="5">
        <f t="shared" ref="H52:H60" si="19">IF(ISNUMBER(G52), (G52 - $B52) / $B52, "")</f>
        <v>2.0833333333333332E-2</v>
      </c>
      <c r="I52" s="44">
        <f>IF(ISNUMBER(G52), $B61 * H52, "")</f>
        <v>2083.333333333333</v>
      </c>
      <c r="J52" s="36">
        <v>98.4</v>
      </c>
      <c r="K52" s="5">
        <f t="shared" ref="K52:K60" si="20">IF(ISNUMBER(J52), (J52 - $B52) / $B52, "")</f>
        <v>2.500000000000006E-2</v>
      </c>
      <c r="L52" s="44">
        <f>IF(ISNUMBER(J52), $B61 * K52, "")</f>
        <v>2500.0000000000059</v>
      </c>
      <c r="M52" s="36">
        <v>97.1</v>
      </c>
      <c r="N52" s="5">
        <f t="shared" ref="N52:N60" si="21">IF(ISNUMBER(M52), (M52 - $B52) / $B52, "")</f>
        <v>1.1458333333333274E-2</v>
      </c>
      <c r="O52" s="44">
        <f>IF(ISNUMBER(M52), $B61 * N52, "")</f>
        <v>1145.8333333333273</v>
      </c>
      <c r="Q52" s="229"/>
      <c r="R52" s="230"/>
    </row>
    <row r="53" spans="1:18" ht="17.25" customHeight="1">
      <c r="A53" s="11" t="s">
        <v>133</v>
      </c>
      <c r="B53" s="32">
        <v>29.7</v>
      </c>
      <c r="C53" s="5">
        <v>0.188</v>
      </c>
      <c r="D53" s="36">
        <v>34.299999999999997</v>
      </c>
      <c r="E53" s="5">
        <f t="shared" si="18"/>
        <v>0.15488215488215482</v>
      </c>
      <c r="F53" s="44">
        <f>IF(ISNUMBER(D53), $B61 * E53, "")</f>
        <v>15488.215488215481</v>
      </c>
      <c r="G53" s="36">
        <v>32.200000000000003</v>
      </c>
      <c r="H53" s="5">
        <f t="shared" si="19"/>
        <v>8.4175084175084292E-2</v>
      </c>
      <c r="I53" s="44">
        <f>IF(ISNUMBER(G53), $B61 * H53, "")</f>
        <v>8417.5084175084285</v>
      </c>
      <c r="J53" s="36">
        <v>32.9</v>
      </c>
      <c r="K53" s="5">
        <f t="shared" si="20"/>
        <v>0.10774410774410773</v>
      </c>
      <c r="L53" s="44">
        <f>IF(ISNUMBER(J53), $B61 * K53, "")</f>
        <v>10774.410774410773</v>
      </c>
      <c r="M53" s="36">
        <v>32.700000000000003</v>
      </c>
      <c r="N53" s="5">
        <f t="shared" si="21"/>
        <v>0.10101010101010113</v>
      </c>
      <c r="O53" s="44">
        <f>IF(ISNUMBER(M53), $B61 * N53, "")</f>
        <v>10101.010101010113</v>
      </c>
      <c r="Q53" s="229"/>
      <c r="R53" s="230"/>
    </row>
    <row r="54" spans="1:18" ht="17.25" customHeight="1">
      <c r="A54" s="11" t="s">
        <v>132</v>
      </c>
      <c r="B54" s="32">
        <v>36.200000000000003</v>
      </c>
      <c r="C54" s="5">
        <v>0.18300653589999999</v>
      </c>
      <c r="D54" s="36">
        <v>44.3</v>
      </c>
      <c r="E54" s="5">
        <f t="shared" si="18"/>
        <v>0.22375690607734788</v>
      </c>
      <c r="F54" s="44">
        <f>IF(ISNUMBER(D54), $B61 * E54, "")</f>
        <v>22375.690607734789</v>
      </c>
      <c r="G54" s="36">
        <v>40.1</v>
      </c>
      <c r="H54" s="5">
        <f t="shared" si="19"/>
        <v>0.1077348066298342</v>
      </c>
      <c r="I54" s="44">
        <f>IF(ISNUMBER(G54), $B61 * H54, "")</f>
        <v>10773.48066298342</v>
      </c>
      <c r="J54" s="36">
        <v>40.6</v>
      </c>
      <c r="K54" s="5">
        <f t="shared" si="20"/>
        <v>0.1215469613259668</v>
      </c>
      <c r="L54" s="44">
        <f>IF(ISNUMBER(J54), $B61 * K54, "")</f>
        <v>12154.69613259668</v>
      </c>
      <c r="M54" s="36">
        <v>42.2</v>
      </c>
      <c r="N54" s="5">
        <f t="shared" si="21"/>
        <v>0.16574585635359115</v>
      </c>
      <c r="O54" s="44">
        <f>IF(ISNUMBER(M54), $B61 * N54, "")</f>
        <v>16574.585635359115</v>
      </c>
      <c r="Q54" s="229"/>
      <c r="R54" s="230"/>
    </row>
    <row r="55" spans="1:18" ht="17.25" customHeight="1">
      <c r="A55" s="8" t="s">
        <v>100</v>
      </c>
      <c r="B55" s="33">
        <v>39.4</v>
      </c>
      <c r="C55" s="24">
        <v>0.16913946590000001</v>
      </c>
      <c r="D55" s="37">
        <v>47.7</v>
      </c>
      <c r="E55" s="24">
        <f t="shared" si="18"/>
        <v>0.21065989847715746</v>
      </c>
      <c r="F55" s="44">
        <f>IF(ISNUMBER(D55), $B61 * E55, "")</f>
        <v>21065.989847715748</v>
      </c>
      <c r="G55" s="37">
        <v>46.9</v>
      </c>
      <c r="H55" s="24">
        <f t="shared" si="19"/>
        <v>0.19035532994923859</v>
      </c>
      <c r="I55" s="44">
        <f>IF(ISNUMBER(G55), $B61 * H55, "")</f>
        <v>19035.532994923858</v>
      </c>
      <c r="J55" s="37">
        <v>46.8</v>
      </c>
      <c r="K55" s="24">
        <f t="shared" si="20"/>
        <v>0.18781725888324871</v>
      </c>
      <c r="L55" s="44">
        <f>IF(ISNUMBER(J55), $B61 * K55, "")</f>
        <v>18781.725888324872</v>
      </c>
      <c r="M55" s="37">
        <v>46.7</v>
      </c>
      <c r="N55" s="24">
        <f t="shared" si="21"/>
        <v>0.18527918781725899</v>
      </c>
      <c r="O55" s="44">
        <f>IF(ISNUMBER(M55), $B61 * N55, "")</f>
        <v>18527.918781725901</v>
      </c>
      <c r="Q55" s="229"/>
      <c r="R55" s="230"/>
    </row>
    <row r="56" spans="1:18" ht="17.25" customHeight="1">
      <c r="A56" s="11" t="s">
        <v>135</v>
      </c>
      <c r="B56" s="32">
        <v>30.7</v>
      </c>
      <c r="C56" s="5">
        <v>0.16730038019999999</v>
      </c>
      <c r="D56" s="36">
        <v>36.1</v>
      </c>
      <c r="E56" s="5">
        <f t="shared" si="18"/>
        <v>0.17589576547231278</v>
      </c>
      <c r="F56" s="48">
        <f>IF(ISNUMBER(D56), $B61 * E56, "")</f>
        <v>17589.576547231278</v>
      </c>
      <c r="G56" s="36">
        <v>34.6</v>
      </c>
      <c r="H56" s="5">
        <f t="shared" si="19"/>
        <v>0.12703583061889259</v>
      </c>
      <c r="I56" s="48">
        <f>IF(ISNUMBER(G56), $B61 * H56, "")</f>
        <v>12703.58306188926</v>
      </c>
      <c r="J56" s="36">
        <v>37.1</v>
      </c>
      <c r="K56" s="5">
        <f t="shared" si="20"/>
        <v>0.2084690553745929</v>
      </c>
      <c r="L56" s="48">
        <f>IF(ISNUMBER(J56), $B61 * K56, "")</f>
        <v>20846.90553745929</v>
      </c>
      <c r="M56" s="36">
        <v>36.700000000000003</v>
      </c>
      <c r="N56" s="5">
        <f t="shared" si="21"/>
        <v>0.1954397394136809</v>
      </c>
      <c r="O56" s="48">
        <f>IF(ISNUMBER(M56), $B61 * N56, "")</f>
        <v>19543.973941368091</v>
      </c>
      <c r="Q56" s="229"/>
      <c r="R56" s="230"/>
    </row>
    <row r="57" spans="1:18" ht="17.25" customHeight="1">
      <c r="A57" s="11" t="s">
        <v>107</v>
      </c>
      <c r="B57" s="32">
        <v>45.5</v>
      </c>
      <c r="C57" s="5">
        <v>0.16071428569999999</v>
      </c>
      <c r="D57" s="36">
        <v>54.1</v>
      </c>
      <c r="E57" s="5">
        <f t="shared" si="18"/>
        <v>0.18901098901098903</v>
      </c>
      <c r="F57" s="44">
        <f>IF(ISNUMBER(D57), $B61 * E57, "")</f>
        <v>18901.098901098903</v>
      </c>
      <c r="G57" s="36">
        <v>52.2</v>
      </c>
      <c r="H57" s="5">
        <f t="shared" si="19"/>
        <v>0.14725274725274731</v>
      </c>
      <c r="I57" s="44">
        <f>IF(ISNUMBER(G57), $B61 * H57, "")</f>
        <v>14725.27472527473</v>
      </c>
      <c r="J57" s="36">
        <v>52.5</v>
      </c>
      <c r="K57" s="5">
        <f t="shared" si="20"/>
        <v>0.15384615384615385</v>
      </c>
      <c r="L57" s="44">
        <f>IF(ISNUMBER(J57), $B61 * K57, "")</f>
        <v>15384.615384615385</v>
      </c>
      <c r="M57" s="36">
        <v>52.1</v>
      </c>
      <c r="N57" s="5">
        <f t="shared" si="21"/>
        <v>0.14505494505494509</v>
      </c>
      <c r="O57" s="44">
        <f>IF(ISNUMBER(M57), $B61 * N57, "")</f>
        <v>14505.494505494509</v>
      </c>
      <c r="Q57" s="229"/>
      <c r="R57" s="230"/>
    </row>
    <row r="58" spans="1:18" ht="17.25" customHeight="1">
      <c r="A58" s="11" t="s">
        <v>119</v>
      </c>
      <c r="B58" s="32">
        <v>26.2</v>
      </c>
      <c r="C58" s="5">
        <v>0.149122807</v>
      </c>
      <c r="D58" s="36">
        <v>30</v>
      </c>
      <c r="E58" s="5">
        <f t="shared" si="18"/>
        <v>0.14503816793893132</v>
      </c>
      <c r="F58" s="44">
        <f>IF(ISNUMBER(D58), $B61 * E58, "")</f>
        <v>14503.816793893131</v>
      </c>
      <c r="G58" s="36">
        <v>29.2</v>
      </c>
      <c r="H58" s="5">
        <f t="shared" si="19"/>
        <v>0.11450381679389313</v>
      </c>
      <c r="I58" s="44">
        <f>IF(ISNUMBER(G58), $B61 * H58, "")</f>
        <v>11450.381679389313</v>
      </c>
      <c r="J58" s="36">
        <v>29.5</v>
      </c>
      <c r="K58" s="5">
        <f t="shared" si="20"/>
        <v>0.12595419847328249</v>
      </c>
      <c r="L58" s="44">
        <f>IF(ISNUMBER(J58), $B61 * K58, "")</f>
        <v>12595.419847328249</v>
      </c>
      <c r="M58" s="36">
        <v>29.3</v>
      </c>
      <c r="N58" s="5">
        <f t="shared" si="21"/>
        <v>0.11832061068702296</v>
      </c>
      <c r="O58" s="44">
        <f>IF(ISNUMBER(M58), $B61 * N58, "")</f>
        <v>11832.061068702296</v>
      </c>
      <c r="Q58" s="229"/>
      <c r="R58" s="230"/>
    </row>
    <row r="59" spans="1:18" ht="17.25" customHeight="1">
      <c r="A59" s="11" t="s">
        <v>136</v>
      </c>
      <c r="B59" s="32">
        <v>28.3</v>
      </c>
      <c r="C59" s="5">
        <v>0.14112903230000001</v>
      </c>
      <c r="D59" s="36">
        <v>32.6</v>
      </c>
      <c r="E59" s="5">
        <f t="shared" si="18"/>
        <v>0.15194346289752653</v>
      </c>
      <c r="F59" s="44">
        <f>IF(ISNUMBER(D59), $B61 * E59, "")</f>
        <v>15194.346289752653</v>
      </c>
      <c r="G59" s="36">
        <v>32.1</v>
      </c>
      <c r="H59" s="5">
        <f t="shared" si="19"/>
        <v>0.13427561837455831</v>
      </c>
      <c r="I59" s="44">
        <f>IF(ISNUMBER(G59), $B61 * H59, "")</f>
        <v>13427.561837455831</v>
      </c>
      <c r="J59" s="36">
        <v>32.200000000000003</v>
      </c>
      <c r="K59" s="5">
        <f t="shared" si="20"/>
        <v>0.13780918727915201</v>
      </c>
      <c r="L59" s="44">
        <f>IF(ISNUMBER(J59), $B61 * K59, "")</f>
        <v>13780.918727915201</v>
      </c>
      <c r="M59" s="36">
        <v>31.9</v>
      </c>
      <c r="N59" s="5">
        <f t="shared" si="21"/>
        <v>0.12720848056537096</v>
      </c>
      <c r="O59" s="44">
        <f>IF(ISNUMBER(M59), $B61 * N59, "")</f>
        <v>12720.848056537096</v>
      </c>
      <c r="Q59" s="231"/>
      <c r="R59" s="232"/>
    </row>
    <row r="60" spans="1:18" ht="17.25" customHeight="1" thickBot="1">
      <c r="A60" s="13" t="s">
        <v>145</v>
      </c>
      <c r="B60" s="34">
        <v>46.9</v>
      </c>
      <c r="C60" s="16">
        <v>0.1383495146</v>
      </c>
      <c r="D60" s="38">
        <v>51.1</v>
      </c>
      <c r="E60" s="16">
        <f t="shared" si="18"/>
        <v>8.9552238805970213E-2</v>
      </c>
      <c r="F60" s="45">
        <f>IF(ISNUMBER(D60), $B61 * E60, "")</f>
        <v>8955.223880597021</v>
      </c>
      <c r="G60" s="38">
        <v>50.7</v>
      </c>
      <c r="H60" s="16">
        <f t="shared" si="19"/>
        <v>8.1023454157782615E-2</v>
      </c>
      <c r="I60" s="45">
        <f>IF(ISNUMBER(G60), $B61 * H60, "")</f>
        <v>8102.3454157782617</v>
      </c>
      <c r="J60" s="38">
        <v>51.8</v>
      </c>
      <c r="K60" s="16">
        <f t="shared" si="20"/>
        <v>0.10447761194029848</v>
      </c>
      <c r="L60" s="45">
        <f>IF(ISNUMBER(J60), $B61 * K60, "")</f>
        <v>10447.761194029848</v>
      </c>
      <c r="M60" s="38">
        <v>52.2</v>
      </c>
      <c r="N60" s="16">
        <f t="shared" si="21"/>
        <v>0.11300639658848624</v>
      </c>
      <c r="O60" s="45">
        <f>IF(ISNUMBER(M60), $B61 * N60, "")</f>
        <v>11300.639658848624</v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0.14661402245880312</v>
      </c>
      <c r="F61" s="47">
        <f>SUM(F51:F60)</f>
        <v>146614.02245880308</v>
      </c>
      <c r="G61" s="57" t="s">
        <v>82</v>
      </c>
      <c r="H61" s="46">
        <f>IF(COUNT(H51:H60), SUM(H51:H60) / COUNT(H51:H60), 0)</f>
        <v>0.11033438674392107</v>
      </c>
      <c r="I61" s="47">
        <f>SUM(I51:I60)</f>
        <v>110334.38674392106</v>
      </c>
      <c r="J61" s="57" t="s">
        <v>82</v>
      </c>
      <c r="K61" s="46">
        <f>IF(COUNT(K51:K60), SUM(K51:K60) / COUNT(K51:K60), 0)</f>
        <v>0.12848440220462903</v>
      </c>
      <c r="L61" s="47">
        <f>SUM(L51:L60)</f>
        <v>128484.40220462903</v>
      </c>
      <c r="M61" s="57" t="s">
        <v>82</v>
      </c>
      <c r="N61" s="46">
        <f>IF(COUNT(N51:N60), SUM(N51:N60) / COUNT(N51:N60), 0)</f>
        <v>0.12939339072340472</v>
      </c>
      <c r="O61" s="47">
        <f>SUM(O51:O60)</f>
        <v>129393.39072340472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98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00" t="s">
        <v>70</v>
      </c>
      <c r="M67" s="18" t="s">
        <v>67</v>
      </c>
      <c r="N67" s="4" t="s">
        <v>68</v>
      </c>
      <c r="O67" s="101" t="s">
        <v>70</v>
      </c>
      <c r="Q67" s="231"/>
      <c r="R67" s="232"/>
    </row>
    <row r="68" spans="1:18" ht="17.25" customHeight="1">
      <c r="A68" s="9" t="s">
        <v>111</v>
      </c>
      <c r="B68" s="31">
        <v>657</v>
      </c>
      <c r="C68" s="22">
        <v>9.5000000000000001E-2</v>
      </c>
      <c r="D68" s="89">
        <v>729</v>
      </c>
      <c r="E68" s="22">
        <f>IF(ISNUMBER(D68), (D68 - $B68) / $B68, "")</f>
        <v>0.1095890410958904</v>
      </c>
      <c r="F68" s="43">
        <f>IF(ISNUMBER(D68), $B78 * E68, "")</f>
        <v>10958.904109589041</v>
      </c>
      <c r="G68" s="89">
        <v>715</v>
      </c>
      <c r="H68" s="22">
        <f>IF(ISNUMBER(G68), (G68 - $B68) / $B68, "")</f>
        <v>8.8280060882800604E-2</v>
      </c>
      <c r="I68" s="43">
        <f>IF(ISNUMBER(G68), $B78 * H68, "")</f>
        <v>8828.0060882800608</v>
      </c>
      <c r="J68" s="89">
        <v>709</v>
      </c>
      <c r="K68" s="22">
        <f>IF(ISNUMBER(J68), (J68 - $B68) / $B68, "")</f>
        <v>7.9147640791476404E-2</v>
      </c>
      <c r="L68" s="43">
        <f>IF(ISNUMBER(J68), $B78 * K68, "")</f>
        <v>7914.7640791476406</v>
      </c>
      <c r="M68" s="89">
        <v>723</v>
      </c>
      <c r="N68" s="22">
        <f>IF(ISNUMBER(M68), (M68 - $B68) / $B68, "")</f>
        <v>0.1004566210045662</v>
      </c>
      <c r="O68" s="43">
        <f>IF(ISNUMBER(M68), $B78 * N68, "")</f>
        <v>10045.66210045662</v>
      </c>
      <c r="Q68" s="229"/>
      <c r="R68" s="230"/>
    </row>
    <row r="69" spans="1:18" ht="17.25" customHeight="1">
      <c r="A69" s="11" t="s">
        <v>144</v>
      </c>
      <c r="B69" s="32">
        <v>521</v>
      </c>
      <c r="C69" s="5">
        <v>9.2243186599999999E-2</v>
      </c>
      <c r="D69" s="36">
        <v>544</v>
      </c>
      <c r="E69" s="5">
        <f t="shared" ref="E69:E77" si="22">IF(ISNUMBER(D69), (D69 - $B69) / $B69, "")</f>
        <v>4.4145873320537425E-2</v>
      </c>
      <c r="F69" s="44">
        <f>IF(ISNUMBER(D69), $B78 * E69, "")</f>
        <v>4414.5873320537421</v>
      </c>
      <c r="G69" s="36">
        <v>567</v>
      </c>
      <c r="H69" s="5">
        <f t="shared" ref="H69:H77" si="23">IF(ISNUMBER(G69), (G69 - $B69) / $B69, "")</f>
        <v>8.829174664107485E-2</v>
      </c>
      <c r="I69" s="44">
        <f>IF(ISNUMBER(G69), $B78 * H69, "")</f>
        <v>8829.1746641074842</v>
      </c>
      <c r="J69" s="36">
        <v>569</v>
      </c>
      <c r="K69" s="5">
        <f t="shared" ref="K69:K77" si="24">IF(ISNUMBER(J69), (J69 - $B69) / $B69, "")</f>
        <v>9.2130518234165071E-2</v>
      </c>
      <c r="L69" s="44">
        <f>IF(ISNUMBER(J69), $B78 * K69, "")</f>
        <v>9213.0518234165065</v>
      </c>
      <c r="M69" s="36">
        <v>592</v>
      </c>
      <c r="N69" s="5">
        <f t="shared" ref="N69:N77" si="25">IF(ISNUMBER(M69), (M69 - $B69) / $B69, "")</f>
        <v>0.1362763915547025</v>
      </c>
      <c r="O69" s="44">
        <f>IF(ISNUMBER(M69), $B78 * N69, "")</f>
        <v>13627.63915547025</v>
      </c>
      <c r="Q69" s="229"/>
      <c r="R69" s="230"/>
    </row>
    <row r="70" spans="1:18" ht="17.25" customHeight="1">
      <c r="A70" s="11" t="s">
        <v>125</v>
      </c>
      <c r="B70" s="32">
        <v>643</v>
      </c>
      <c r="C70" s="5">
        <v>9.1680814900000004E-2</v>
      </c>
      <c r="D70" s="36">
        <v>616</v>
      </c>
      <c r="E70" s="5">
        <f t="shared" si="22"/>
        <v>-4.1990668740279936E-2</v>
      </c>
      <c r="F70" s="44">
        <f>IF(ISNUMBER(D70), $B78 * E70, "")</f>
        <v>-4199.0668740279934</v>
      </c>
      <c r="G70" s="36">
        <v>610</v>
      </c>
      <c r="H70" s="5">
        <f t="shared" si="23"/>
        <v>-5.1321928460342149E-2</v>
      </c>
      <c r="I70" s="44">
        <f>IF(ISNUMBER(G70), $B78 * H70, "")</f>
        <v>-5132.1928460342151</v>
      </c>
      <c r="J70" s="36">
        <v>649</v>
      </c>
      <c r="K70" s="5">
        <f t="shared" si="24"/>
        <v>9.3312597200622092E-3</v>
      </c>
      <c r="L70" s="44">
        <f>IF(ISNUMBER(J70), $B78 * K70, "")</f>
        <v>933.12597200622088</v>
      </c>
      <c r="M70" s="36">
        <v>637</v>
      </c>
      <c r="N70" s="5">
        <f t="shared" si="25"/>
        <v>-9.3312597200622092E-3</v>
      </c>
      <c r="O70" s="44">
        <f>IF(ISNUMBER(M70), $B78 * N70, "")</f>
        <v>-933.12597200622088</v>
      </c>
      <c r="Q70" s="229"/>
      <c r="R70" s="230"/>
    </row>
    <row r="71" spans="1:18" ht="17.25" customHeight="1">
      <c r="A71" s="11" t="s">
        <v>138</v>
      </c>
      <c r="B71" s="32">
        <v>193</v>
      </c>
      <c r="C71" s="5">
        <v>9.0395480200000003E-2</v>
      </c>
      <c r="D71" s="36">
        <v>197</v>
      </c>
      <c r="E71" s="5">
        <f t="shared" si="22"/>
        <v>2.072538860103627E-2</v>
      </c>
      <c r="F71" s="44">
        <f>IF(ISNUMBER(D71), $B78 * E71, "")</f>
        <v>2072.538860103627</v>
      </c>
      <c r="G71" s="36">
        <v>197</v>
      </c>
      <c r="H71" s="5">
        <f t="shared" si="23"/>
        <v>2.072538860103627E-2</v>
      </c>
      <c r="I71" s="44">
        <f>IF(ISNUMBER(G71), $B78 * H71, "")</f>
        <v>2072.538860103627</v>
      </c>
      <c r="J71" s="36">
        <v>209</v>
      </c>
      <c r="K71" s="5">
        <f t="shared" si="24"/>
        <v>8.2901554404145081E-2</v>
      </c>
      <c r="L71" s="44">
        <f>IF(ISNUMBER(J71), $B78 * K71, "")</f>
        <v>8290.1554404145081</v>
      </c>
      <c r="M71" s="36">
        <v>214</v>
      </c>
      <c r="N71" s="5">
        <f t="shared" si="25"/>
        <v>0.10880829015544041</v>
      </c>
      <c r="O71" s="44">
        <f>IF(ISNUMBER(M71), $B78 * N71, "")</f>
        <v>10880.829015544041</v>
      </c>
      <c r="Q71" s="229"/>
      <c r="R71" s="230"/>
    </row>
    <row r="72" spans="1:18" ht="17.25" customHeight="1">
      <c r="A72" s="8" t="s">
        <v>96</v>
      </c>
      <c r="B72" s="33">
        <v>899</v>
      </c>
      <c r="C72" s="24">
        <v>8.8377724000000005E-2</v>
      </c>
      <c r="D72" s="37">
        <v>873</v>
      </c>
      <c r="E72" s="24">
        <f t="shared" si="22"/>
        <v>-2.8921023359288096E-2</v>
      </c>
      <c r="F72" s="44">
        <f>IF(ISNUMBER(D72), $B78 * E72, "")</f>
        <v>-2892.1023359288097</v>
      </c>
      <c r="G72" s="37">
        <v>863</v>
      </c>
      <c r="H72" s="24">
        <f t="shared" si="23"/>
        <v>-4.0044493882091213E-2</v>
      </c>
      <c r="I72" s="44">
        <f>IF(ISNUMBER(G72), $B78 * H72, "")</f>
        <v>-4004.4493882091215</v>
      </c>
      <c r="J72" s="37">
        <v>914</v>
      </c>
      <c r="K72" s="24">
        <f t="shared" si="24"/>
        <v>1.6685205784204672E-2</v>
      </c>
      <c r="L72" s="44">
        <f>IF(ISNUMBER(J72), $B78 * K72, "")</f>
        <v>1668.5205784204672</v>
      </c>
      <c r="M72" s="37">
        <v>966</v>
      </c>
      <c r="N72" s="24">
        <f t="shared" si="25"/>
        <v>7.4527252502780861E-2</v>
      </c>
      <c r="O72" s="44">
        <f>IF(ISNUMBER(M72), $B78 * N72, "")</f>
        <v>7452.7252502780857</v>
      </c>
      <c r="Q72" s="229"/>
      <c r="R72" s="230"/>
    </row>
    <row r="73" spans="1:18" ht="17.25" customHeight="1">
      <c r="A73" s="11" t="s">
        <v>162</v>
      </c>
      <c r="B73" s="32">
        <v>214</v>
      </c>
      <c r="C73" s="5">
        <v>8.6294416200000001E-2</v>
      </c>
      <c r="D73" s="36">
        <v>235</v>
      </c>
      <c r="E73" s="5">
        <f t="shared" si="22"/>
        <v>9.8130841121495324E-2</v>
      </c>
      <c r="F73" s="48">
        <f>IF(ISNUMBER(D73), $B78 * E73, "")</f>
        <v>9813.0841121495323</v>
      </c>
      <c r="G73" s="36">
        <v>258</v>
      </c>
      <c r="H73" s="5">
        <f t="shared" si="23"/>
        <v>0.20560747663551401</v>
      </c>
      <c r="I73" s="48">
        <f>IF(ISNUMBER(G73), $B78 * H73, "")</f>
        <v>20560.747663551403</v>
      </c>
      <c r="J73" s="36">
        <v>256</v>
      </c>
      <c r="K73" s="5">
        <f t="shared" si="24"/>
        <v>0.19626168224299065</v>
      </c>
      <c r="L73" s="48">
        <f>IF(ISNUMBER(J73), $B78 * K73, "")</f>
        <v>19626.168224299065</v>
      </c>
      <c r="M73" s="36">
        <v>266</v>
      </c>
      <c r="N73" s="5">
        <f t="shared" si="25"/>
        <v>0.24299065420560748</v>
      </c>
      <c r="O73" s="48">
        <f>IF(ISNUMBER(M73), $B78 * N73, "")</f>
        <v>24299.065420560746</v>
      </c>
      <c r="Q73" s="229"/>
      <c r="R73" s="230"/>
    </row>
    <row r="74" spans="1:18" ht="17.25" customHeight="1">
      <c r="A74" s="11" t="s">
        <v>164</v>
      </c>
      <c r="B74" s="32">
        <v>156</v>
      </c>
      <c r="C74" s="5">
        <v>8.3333333300000006E-2</v>
      </c>
      <c r="D74" s="36">
        <v>155</v>
      </c>
      <c r="E74" s="5">
        <f t="shared" si="22"/>
        <v>-6.41025641025641E-3</v>
      </c>
      <c r="F74" s="44">
        <f>IF(ISNUMBER(D74), $B78 * E74, "")</f>
        <v>-641.02564102564099</v>
      </c>
      <c r="G74" s="36">
        <v>154</v>
      </c>
      <c r="H74" s="5">
        <f t="shared" si="23"/>
        <v>-1.282051282051282E-2</v>
      </c>
      <c r="I74" s="44">
        <f>IF(ISNUMBER(G74), $B78 * H74, "")</f>
        <v>-1282.051282051282</v>
      </c>
      <c r="J74" s="36">
        <v>154</v>
      </c>
      <c r="K74" s="5">
        <f t="shared" si="24"/>
        <v>-1.282051282051282E-2</v>
      </c>
      <c r="L74" s="44">
        <f>IF(ISNUMBER(J74), $B78 * K74, "")</f>
        <v>-1282.051282051282</v>
      </c>
      <c r="M74" s="36">
        <v>154</v>
      </c>
      <c r="N74" s="5">
        <f t="shared" si="25"/>
        <v>-1.282051282051282E-2</v>
      </c>
      <c r="O74" s="44">
        <f>IF(ISNUMBER(M74), $B78 * N74, "")</f>
        <v>-1282.051282051282</v>
      </c>
      <c r="Q74" s="229"/>
      <c r="R74" s="230"/>
    </row>
    <row r="75" spans="1:18" ht="17.25" customHeight="1">
      <c r="A75" s="11" t="s">
        <v>168</v>
      </c>
      <c r="B75" s="32">
        <v>454</v>
      </c>
      <c r="C75" s="5">
        <v>8.0952381000000004E-2</v>
      </c>
      <c r="D75" s="36">
        <v>487</v>
      </c>
      <c r="E75" s="5">
        <f t="shared" si="22"/>
        <v>7.268722466960352E-2</v>
      </c>
      <c r="F75" s="44">
        <f>IF(ISNUMBER(D75), $B78 * E75, "")</f>
        <v>7268.722466960352</v>
      </c>
      <c r="G75" s="36">
        <v>709</v>
      </c>
      <c r="H75" s="5">
        <f t="shared" si="23"/>
        <v>0.56167400881057272</v>
      </c>
      <c r="I75" s="44">
        <f>IF(ISNUMBER(G75), $B78 * H75, "")</f>
        <v>56167.40088105727</v>
      </c>
      <c r="J75" s="36">
        <v>656</v>
      </c>
      <c r="K75" s="5">
        <f t="shared" si="24"/>
        <v>0.44493392070484583</v>
      </c>
      <c r="L75" s="44">
        <f>IF(ISNUMBER(J75), $B78 * K75, "")</f>
        <v>44493.39207048458</v>
      </c>
      <c r="M75" s="36">
        <v>859</v>
      </c>
      <c r="N75" s="5">
        <f t="shared" si="25"/>
        <v>0.89207048458149785</v>
      </c>
      <c r="O75" s="44">
        <f>IF(ISNUMBER(M75), $B78 * N75, "")</f>
        <v>89207.048458149788</v>
      </c>
      <c r="Q75" s="229"/>
      <c r="R75" s="230"/>
    </row>
    <row r="76" spans="1:18" ht="17.25" customHeight="1">
      <c r="A76" s="11" t="s">
        <v>117</v>
      </c>
      <c r="B76" s="32">
        <v>178</v>
      </c>
      <c r="C76" s="5">
        <v>7.8787878800000002E-2</v>
      </c>
      <c r="D76" s="36">
        <v>180</v>
      </c>
      <c r="E76" s="5">
        <f t="shared" si="22"/>
        <v>1.1235955056179775E-2</v>
      </c>
      <c r="F76" s="44">
        <f>IF(ISNUMBER(D76), $B78 * E76, "")</f>
        <v>1123.5955056179776</v>
      </c>
      <c r="G76" s="36">
        <v>178</v>
      </c>
      <c r="H76" s="5">
        <f t="shared" si="23"/>
        <v>0</v>
      </c>
      <c r="I76" s="44">
        <f>IF(ISNUMBER(G76), $B78 * H76, "")</f>
        <v>0</v>
      </c>
      <c r="J76" s="36">
        <v>182</v>
      </c>
      <c r="K76" s="5">
        <f t="shared" si="24"/>
        <v>2.247191011235955E-2</v>
      </c>
      <c r="L76" s="44">
        <f>IF(ISNUMBER(J76), $B78 * K76, "")</f>
        <v>2247.1910112359551</v>
      </c>
      <c r="M76" s="36">
        <v>183</v>
      </c>
      <c r="N76" s="5">
        <f t="shared" si="25"/>
        <v>2.8089887640449437E-2</v>
      </c>
      <c r="O76" s="44">
        <f>IF(ISNUMBER(M76), $B78 * N76, "")</f>
        <v>2808.9887640449438</v>
      </c>
      <c r="Q76" s="231"/>
      <c r="R76" s="232"/>
    </row>
    <row r="77" spans="1:18" ht="17.25" customHeight="1" thickBot="1">
      <c r="A77" s="13" t="s">
        <v>171</v>
      </c>
      <c r="B77" s="34">
        <v>425</v>
      </c>
      <c r="C77" s="16">
        <v>7.5949367099999998E-2</v>
      </c>
      <c r="D77" s="38">
        <v>437</v>
      </c>
      <c r="E77" s="16">
        <f t="shared" si="22"/>
        <v>2.823529411764706E-2</v>
      </c>
      <c r="F77" s="45">
        <f>IF(ISNUMBER(D77), $B78 * E77, "")</f>
        <v>2823.5294117647059</v>
      </c>
      <c r="G77" s="38">
        <v>521</v>
      </c>
      <c r="H77" s="16">
        <f t="shared" si="23"/>
        <v>0.22588235294117648</v>
      </c>
      <c r="I77" s="45">
        <f>IF(ISNUMBER(G77), $B78 * H77, "")</f>
        <v>22588.235294117647</v>
      </c>
      <c r="J77" s="38">
        <v>496</v>
      </c>
      <c r="K77" s="16">
        <f t="shared" si="24"/>
        <v>0.16705882352941176</v>
      </c>
      <c r="L77" s="45">
        <f>IF(ISNUMBER(J77), $B78 * K77, "")</f>
        <v>16705.882352941175</v>
      </c>
      <c r="M77" s="38">
        <v>547</v>
      </c>
      <c r="N77" s="16">
        <f t="shared" si="25"/>
        <v>0.28705882352941176</v>
      </c>
      <c r="O77" s="45">
        <f>IF(ISNUMBER(M77), $B78 * N77, "")</f>
        <v>28705.882352941175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3.0742766947256535E-2</v>
      </c>
      <c r="F78" s="47">
        <f>SUM(F68:F77)</f>
        <v>30742.766947256532</v>
      </c>
      <c r="G78" s="57" t="s">
        <v>82</v>
      </c>
      <c r="H78" s="46">
        <f>IF(COUNT(H68:H77), SUM(H68:H77) / COUNT(H68:H77), 0)</f>
        <v>0.10862740993492288</v>
      </c>
      <c r="I78" s="47">
        <f>SUM(I68:I77)</f>
        <v>108627.40993492288</v>
      </c>
      <c r="J78" s="57" t="s">
        <v>82</v>
      </c>
      <c r="K78" s="46">
        <f>IF(COUNT(K68:K77), SUM(K68:K77) / COUNT(K68:K77), 0)</f>
        <v>0.10981020027031485</v>
      </c>
      <c r="L78" s="47">
        <f>SUM(L68:L77)</f>
        <v>109810.20027031485</v>
      </c>
      <c r="M78" s="57" t="s">
        <v>82</v>
      </c>
      <c r="N78" s="46">
        <f>IF(COUNT(N68:N77), SUM(N68:N77) / COUNT(N68:N77), 0)</f>
        <v>0.18481266326338816</v>
      </c>
      <c r="O78" s="47">
        <f>SUM(O68:O77)</f>
        <v>184812.66326338812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98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00" t="s">
        <v>70</v>
      </c>
      <c r="M84" s="18" t="s">
        <v>67</v>
      </c>
      <c r="N84" s="4" t="s">
        <v>68</v>
      </c>
      <c r="O84" s="101" t="s">
        <v>70</v>
      </c>
      <c r="Q84" s="231"/>
      <c r="R84" s="232"/>
    </row>
    <row r="85" spans="1:18" ht="17.25" customHeight="1">
      <c r="A85" s="9" t="s">
        <v>127</v>
      </c>
      <c r="B85" s="31">
        <v>234</v>
      </c>
      <c r="C85" s="22">
        <v>0.18181818180000001</v>
      </c>
      <c r="D85" s="89">
        <v>249</v>
      </c>
      <c r="E85" s="22">
        <f>IF(ISNUMBER(D85), (D85 - $B85) / $B85, "")</f>
        <v>6.4102564102564097E-2</v>
      </c>
      <c r="F85" s="43">
        <f>IF(ISNUMBER(D85), $B95 * E85, "")</f>
        <v>6410.2564102564093</v>
      </c>
      <c r="G85" s="89">
        <v>246</v>
      </c>
      <c r="H85" s="22">
        <f>IF(ISNUMBER(G85), (G85 - $B85) / $B85, "")</f>
        <v>5.128205128205128E-2</v>
      </c>
      <c r="I85" s="43">
        <f>IF(ISNUMBER(G85), $B95 * H85, "")</f>
        <v>5128.2051282051279</v>
      </c>
      <c r="J85" s="89">
        <v>248</v>
      </c>
      <c r="K85" s="22">
        <f>IF(ISNUMBER(J85), (J85 - $B85) / $B85, "")</f>
        <v>5.9829059829059832E-2</v>
      </c>
      <c r="L85" s="43">
        <f>IF(ISNUMBER(J85), $B95 * K85, "")</f>
        <v>5982.9059829059834</v>
      </c>
      <c r="M85" s="89">
        <v>248</v>
      </c>
      <c r="N85" s="22">
        <f>IF(ISNUMBER(M85), (M85 - $B85) / $B85, "")</f>
        <v>5.9829059829059832E-2</v>
      </c>
      <c r="O85" s="43">
        <f>IF(ISNUMBER(M85), $B95 * N85, "")</f>
        <v>5982.9059829059834</v>
      </c>
      <c r="Q85" s="229"/>
      <c r="R85" s="230"/>
    </row>
    <row r="86" spans="1:18" ht="17.25" customHeight="1">
      <c r="A86" s="11" t="s">
        <v>113</v>
      </c>
      <c r="B86" s="32">
        <v>124</v>
      </c>
      <c r="C86" s="5">
        <v>0.14814814809999999</v>
      </c>
      <c r="D86" s="36">
        <v>143</v>
      </c>
      <c r="E86" s="5">
        <f t="shared" ref="E86:E94" si="26">IF(ISNUMBER(D86), (D86 - $B86) / $B86, "")</f>
        <v>0.15322580645161291</v>
      </c>
      <c r="F86" s="44">
        <f>IF(ISNUMBER(D86), $B95 * E86, "")</f>
        <v>15322.58064516129</v>
      </c>
      <c r="G86" s="36">
        <v>145</v>
      </c>
      <c r="H86" s="5">
        <f t="shared" ref="H86:H94" si="27">IF(ISNUMBER(G86), (G86 - $B86) / $B86, "")</f>
        <v>0.16935483870967741</v>
      </c>
      <c r="I86" s="44">
        <f>IF(ISNUMBER(G86), $B95 * H86, "")</f>
        <v>16935.483870967742</v>
      </c>
      <c r="J86" s="36">
        <v>151</v>
      </c>
      <c r="K86" s="5">
        <f t="shared" ref="K86:K94" si="28">IF(ISNUMBER(J86), (J86 - $B86) / $B86, "")</f>
        <v>0.21774193548387097</v>
      </c>
      <c r="L86" s="44">
        <f>IF(ISNUMBER(J86), $B95 * K86, "")</f>
        <v>21774.193548387098</v>
      </c>
      <c r="M86" s="36">
        <v>147</v>
      </c>
      <c r="N86" s="5">
        <f t="shared" ref="N86:N94" si="29">IF(ISNUMBER(M86), (M86 - $B86) / $B86, "")</f>
        <v>0.18548387096774194</v>
      </c>
      <c r="O86" s="44">
        <f>IF(ISNUMBER(M86), $B95 * N86, "")</f>
        <v>18548.387096774193</v>
      </c>
      <c r="Q86" s="229"/>
      <c r="R86" s="230"/>
    </row>
    <row r="87" spans="1:18" ht="17.25" customHeight="1">
      <c r="A87" s="11" t="s">
        <v>98</v>
      </c>
      <c r="B87" s="32">
        <v>288</v>
      </c>
      <c r="C87" s="5">
        <v>0.14741035860000001</v>
      </c>
      <c r="D87" s="36">
        <v>315</v>
      </c>
      <c r="E87" s="5">
        <f t="shared" si="26"/>
        <v>9.375E-2</v>
      </c>
      <c r="F87" s="44">
        <f>IF(ISNUMBER(D87), $B95 * E87, "")</f>
        <v>9375</v>
      </c>
      <c r="G87" s="36">
        <v>333</v>
      </c>
      <c r="H87" s="5">
        <f t="shared" si="27"/>
        <v>0.15625</v>
      </c>
      <c r="I87" s="44">
        <f>IF(ISNUMBER(G87), $B95 * H87, "")</f>
        <v>15625</v>
      </c>
      <c r="J87" s="36">
        <v>329</v>
      </c>
      <c r="K87" s="5">
        <f t="shared" si="28"/>
        <v>0.1423611111111111</v>
      </c>
      <c r="L87" s="44">
        <f>IF(ISNUMBER(J87), $B95 * K87, "")</f>
        <v>14236.111111111111</v>
      </c>
      <c r="M87" s="36">
        <v>326</v>
      </c>
      <c r="N87" s="5">
        <f t="shared" si="29"/>
        <v>0.13194444444444445</v>
      </c>
      <c r="O87" s="44">
        <f>IF(ISNUMBER(M87), $B95 * N87, "")</f>
        <v>13194.444444444445</v>
      </c>
      <c r="Q87" s="229"/>
      <c r="R87" s="230"/>
    </row>
    <row r="88" spans="1:18" ht="17.25" customHeight="1">
      <c r="A88" s="11" t="s">
        <v>102</v>
      </c>
      <c r="B88" s="32">
        <v>182</v>
      </c>
      <c r="C88" s="5">
        <v>0.14465408809999999</v>
      </c>
      <c r="D88" s="36">
        <v>226</v>
      </c>
      <c r="E88" s="5">
        <f t="shared" si="26"/>
        <v>0.24175824175824176</v>
      </c>
      <c r="F88" s="44">
        <f>IF(ISNUMBER(D88), $B95 * E88, "")</f>
        <v>24175.824175824175</v>
      </c>
      <c r="G88" s="36">
        <v>218</v>
      </c>
      <c r="H88" s="5">
        <f t="shared" si="27"/>
        <v>0.19780219780219779</v>
      </c>
      <c r="I88" s="44">
        <f>IF(ISNUMBER(G88), $B95 * H88, "")</f>
        <v>19780.219780219781</v>
      </c>
      <c r="J88" s="36">
        <v>220</v>
      </c>
      <c r="K88" s="5">
        <f t="shared" si="28"/>
        <v>0.2087912087912088</v>
      </c>
      <c r="L88" s="44">
        <f>IF(ISNUMBER(J88), $B95 * K88, "")</f>
        <v>20879.120879120881</v>
      </c>
      <c r="M88" s="36">
        <v>220</v>
      </c>
      <c r="N88" s="5">
        <f t="shared" si="29"/>
        <v>0.2087912087912088</v>
      </c>
      <c r="O88" s="44">
        <f>IF(ISNUMBER(M88), $B95 * N88, "")</f>
        <v>20879.120879120881</v>
      </c>
      <c r="Q88" s="229"/>
      <c r="R88" s="230"/>
    </row>
    <row r="89" spans="1:18" ht="17.25" customHeight="1">
      <c r="A89" s="8" t="s">
        <v>112</v>
      </c>
      <c r="B89" s="33">
        <v>512</v>
      </c>
      <c r="C89" s="24">
        <v>0.14285714290000001</v>
      </c>
      <c r="D89" s="37">
        <v>685</v>
      </c>
      <c r="E89" s="24">
        <f t="shared" si="26"/>
        <v>0.337890625</v>
      </c>
      <c r="F89" s="44">
        <f>IF(ISNUMBER(D89), $B95 * E89, "")</f>
        <v>33789.0625</v>
      </c>
      <c r="G89" s="37">
        <v>658</v>
      </c>
      <c r="H89" s="24">
        <f t="shared" si="27"/>
        <v>0.28515625</v>
      </c>
      <c r="I89" s="44">
        <f>IF(ISNUMBER(G89), $B95 * H89, "")</f>
        <v>28515.625</v>
      </c>
      <c r="J89" s="37">
        <v>644</v>
      </c>
      <c r="K89" s="24">
        <f t="shared" si="28"/>
        <v>0.2578125</v>
      </c>
      <c r="L89" s="44">
        <f>IF(ISNUMBER(J89), $B95 * K89, "")</f>
        <v>25781.25</v>
      </c>
      <c r="M89" s="37">
        <v>646</v>
      </c>
      <c r="N89" s="24">
        <f t="shared" si="29"/>
        <v>0.26171875</v>
      </c>
      <c r="O89" s="44">
        <f>IF(ISNUMBER(M89), $B95 * N89, "")</f>
        <v>26171.875</v>
      </c>
      <c r="Q89" s="229"/>
      <c r="R89" s="230"/>
    </row>
    <row r="90" spans="1:18" ht="17.25" customHeight="1">
      <c r="A90" s="11" t="s">
        <v>161</v>
      </c>
      <c r="B90" s="32">
        <v>583</v>
      </c>
      <c r="C90" s="5">
        <v>0.14090019570000001</v>
      </c>
      <c r="D90" s="36">
        <v>630</v>
      </c>
      <c r="E90" s="5">
        <f t="shared" si="26"/>
        <v>8.0617495711835338E-2</v>
      </c>
      <c r="F90" s="48">
        <f>IF(ISNUMBER(D90), $B95 * E90, "")</f>
        <v>8061.7495711835336</v>
      </c>
      <c r="G90" s="36">
        <v>674</v>
      </c>
      <c r="H90" s="5">
        <f t="shared" si="27"/>
        <v>0.15608919382504288</v>
      </c>
      <c r="I90" s="48">
        <f>IF(ISNUMBER(G90), $B95 * H90, "")</f>
        <v>15608.919382504288</v>
      </c>
      <c r="J90" s="36">
        <v>682</v>
      </c>
      <c r="K90" s="5">
        <f t="shared" si="28"/>
        <v>0.16981132075471697</v>
      </c>
      <c r="L90" s="48">
        <f>IF(ISNUMBER(J90), $B95 * K90, "")</f>
        <v>16981.132075471698</v>
      </c>
      <c r="M90" s="36">
        <v>694</v>
      </c>
      <c r="N90" s="5">
        <f t="shared" si="29"/>
        <v>0.19039451114922812</v>
      </c>
      <c r="O90" s="48">
        <f>IF(ISNUMBER(M90), $B95 * N90, "")</f>
        <v>19039.451114922813</v>
      </c>
      <c r="Q90" s="229"/>
      <c r="R90" s="230"/>
    </row>
    <row r="91" spans="1:18" ht="17.25" customHeight="1">
      <c r="A91" s="11" t="s">
        <v>124</v>
      </c>
      <c r="B91" s="32">
        <v>151</v>
      </c>
      <c r="C91" s="5">
        <v>0.13533834589999999</v>
      </c>
      <c r="D91" s="36">
        <v>171</v>
      </c>
      <c r="E91" s="5">
        <f t="shared" si="26"/>
        <v>0.13245033112582782</v>
      </c>
      <c r="F91" s="44">
        <f>IF(ISNUMBER(D91), $B95 * E91, "")</f>
        <v>13245.033112582783</v>
      </c>
      <c r="G91" s="36">
        <v>170</v>
      </c>
      <c r="H91" s="5">
        <f t="shared" si="27"/>
        <v>0.12582781456953643</v>
      </c>
      <c r="I91" s="44">
        <f>IF(ISNUMBER(G91), $B95 * H91, "")</f>
        <v>12582.781456953642</v>
      </c>
      <c r="J91" s="36">
        <v>170</v>
      </c>
      <c r="K91" s="5">
        <f t="shared" si="28"/>
        <v>0.12582781456953643</v>
      </c>
      <c r="L91" s="44">
        <f>IF(ISNUMBER(J91), $B95 * K91, "")</f>
        <v>12582.781456953642</v>
      </c>
      <c r="M91" s="36">
        <v>174</v>
      </c>
      <c r="N91" s="5">
        <f t="shared" si="29"/>
        <v>0.15231788079470199</v>
      </c>
      <c r="O91" s="44">
        <f>IF(ISNUMBER(M91), $B95 * N91, "")</f>
        <v>15231.7880794702</v>
      </c>
      <c r="Q91" s="229"/>
      <c r="R91" s="230"/>
    </row>
    <row r="92" spans="1:18" ht="17.25" customHeight="1">
      <c r="A92" s="11" t="s">
        <v>122</v>
      </c>
      <c r="B92" s="32">
        <v>320</v>
      </c>
      <c r="C92" s="5">
        <v>0.13074204950000001</v>
      </c>
      <c r="D92" s="36">
        <v>349</v>
      </c>
      <c r="E92" s="5">
        <f t="shared" si="26"/>
        <v>9.0624999999999997E-2</v>
      </c>
      <c r="F92" s="44">
        <f>IF(ISNUMBER(D92), $B95 * E92, "")</f>
        <v>9062.5</v>
      </c>
      <c r="G92" s="36">
        <v>349</v>
      </c>
      <c r="H92" s="5">
        <f t="shared" si="27"/>
        <v>9.0624999999999997E-2</v>
      </c>
      <c r="I92" s="44">
        <f>IF(ISNUMBER(G92), $B95 * H92, "")</f>
        <v>9062.5</v>
      </c>
      <c r="J92" s="36">
        <v>350</v>
      </c>
      <c r="K92" s="5">
        <f t="shared" si="28"/>
        <v>9.375E-2</v>
      </c>
      <c r="L92" s="44">
        <f>IF(ISNUMBER(J92), $B95 * K92, "")</f>
        <v>9375</v>
      </c>
      <c r="M92" s="36">
        <v>354</v>
      </c>
      <c r="N92" s="5">
        <f t="shared" si="29"/>
        <v>0.10625</v>
      </c>
      <c r="O92" s="44">
        <f>IF(ISNUMBER(M92), $B95 * N92, "")</f>
        <v>10625</v>
      </c>
      <c r="Q92" s="229"/>
      <c r="R92" s="230"/>
    </row>
    <row r="93" spans="1:18" ht="17.25" customHeight="1">
      <c r="A93" s="11" t="s">
        <v>99</v>
      </c>
      <c r="B93" s="32">
        <v>274</v>
      </c>
      <c r="C93" s="5">
        <v>0.1275720165</v>
      </c>
      <c r="D93" s="36">
        <v>323</v>
      </c>
      <c r="E93" s="5">
        <f t="shared" si="26"/>
        <v>0.17883211678832117</v>
      </c>
      <c r="F93" s="44">
        <f>IF(ISNUMBER(D93), $B95 * E93, "")</f>
        <v>17883.211678832118</v>
      </c>
      <c r="G93" s="36">
        <v>327</v>
      </c>
      <c r="H93" s="5">
        <f t="shared" si="27"/>
        <v>0.19343065693430658</v>
      </c>
      <c r="I93" s="44">
        <f>IF(ISNUMBER(G93), $B95 * H93, "")</f>
        <v>19343.065693430657</v>
      </c>
      <c r="J93" s="36">
        <v>329</v>
      </c>
      <c r="K93" s="5">
        <f t="shared" si="28"/>
        <v>0.20072992700729927</v>
      </c>
      <c r="L93" s="44">
        <f>IF(ISNUMBER(J93), $B95 * K93, "")</f>
        <v>20072.992700729927</v>
      </c>
      <c r="M93" s="36">
        <v>338</v>
      </c>
      <c r="N93" s="5">
        <f t="shared" si="29"/>
        <v>0.23357664233576642</v>
      </c>
      <c r="O93" s="44">
        <f>IF(ISNUMBER(M93), $B95 * N93, "")</f>
        <v>23357.664233576641</v>
      </c>
      <c r="Q93" s="231"/>
      <c r="R93" s="232"/>
    </row>
    <row r="94" spans="1:18" ht="17.25" customHeight="1" thickBot="1">
      <c r="A94" s="13" t="s">
        <v>110</v>
      </c>
      <c r="B94" s="34">
        <v>716</v>
      </c>
      <c r="C94" s="16">
        <v>0.12755905510000001</v>
      </c>
      <c r="D94" s="38">
        <v>772</v>
      </c>
      <c r="E94" s="16">
        <f t="shared" si="26"/>
        <v>7.8212290502793297E-2</v>
      </c>
      <c r="F94" s="45">
        <f>IF(ISNUMBER(D94), $B95 * E94, "")</f>
        <v>7821.2290502793294</v>
      </c>
      <c r="G94" s="38">
        <v>790</v>
      </c>
      <c r="H94" s="16">
        <f t="shared" si="27"/>
        <v>0.10335195530726257</v>
      </c>
      <c r="I94" s="45">
        <f>IF(ISNUMBER(G94), $B95 * H94, "")</f>
        <v>10335.195530726258</v>
      </c>
      <c r="J94" s="38">
        <v>800</v>
      </c>
      <c r="K94" s="16">
        <f t="shared" si="28"/>
        <v>0.11731843575418995</v>
      </c>
      <c r="L94" s="45">
        <f>IF(ISNUMBER(J94), $B95 * K94, "")</f>
        <v>11731.843575418994</v>
      </c>
      <c r="M94" s="38">
        <v>806</v>
      </c>
      <c r="N94" s="16">
        <f t="shared" si="29"/>
        <v>0.12569832402234637</v>
      </c>
      <c r="O94" s="45">
        <f>IF(ISNUMBER(M94), $B95 * N94, "")</f>
        <v>12569.832402234637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0.14514644714411964</v>
      </c>
      <c r="F95" s="47">
        <f>SUM(F85:F94)</f>
        <v>145146.44714411965</v>
      </c>
      <c r="G95" s="57" t="s">
        <v>82</v>
      </c>
      <c r="H95" s="46">
        <f>IF(COUNT(H85:H94), SUM(H85:H94) / COUNT(H85:H94), 0)</f>
        <v>0.1529169958430075</v>
      </c>
      <c r="I95" s="47">
        <f>SUM(I85:I94)</f>
        <v>152916.99584300749</v>
      </c>
      <c r="J95" s="57" t="s">
        <v>82</v>
      </c>
      <c r="K95" s="46">
        <f>IF(COUNT(K85:K94), SUM(K85:K94) / COUNT(K85:K94), 0)</f>
        <v>0.15939733133009931</v>
      </c>
      <c r="L95" s="47">
        <f>SUM(L85:L94)</f>
        <v>159397.33133009932</v>
      </c>
      <c r="M95" s="57" t="s">
        <v>82</v>
      </c>
      <c r="N95" s="46">
        <f>IF(COUNT(N85:N94), SUM(N85:N94) / COUNT(N85:N94), 0)</f>
        <v>0.16560046923344979</v>
      </c>
      <c r="O95" s="47">
        <f>SUM(O85:O94)</f>
        <v>165600.46923344978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98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00" t="s">
        <v>70</v>
      </c>
      <c r="M101" s="18" t="s">
        <v>67</v>
      </c>
      <c r="N101" s="4" t="s">
        <v>68</v>
      </c>
      <c r="O101" s="101" t="s">
        <v>70</v>
      </c>
      <c r="Q101" s="231"/>
      <c r="R101" s="232"/>
    </row>
    <row r="102" spans="1:18" ht="17.25" customHeight="1">
      <c r="A102" s="9" t="s">
        <v>92</v>
      </c>
      <c r="B102" s="31">
        <v>6140</v>
      </c>
      <c r="C102" s="22">
        <v>0.28856243440000001</v>
      </c>
      <c r="D102" s="89">
        <v>7385</v>
      </c>
      <c r="E102" s="22">
        <f>IF(ISNUMBER(D102), (D102 - $B102) / $B102, "")</f>
        <v>0.20276872964169382</v>
      </c>
      <c r="F102" s="43">
        <f>IF(ISNUMBER(D102), $B112 * E102, "")</f>
        <v>20276.872964169383</v>
      </c>
      <c r="G102" s="89">
        <v>7055</v>
      </c>
      <c r="H102" s="22">
        <f>IF(ISNUMBER(G102), (G102 - $B102) / $B102, "")</f>
        <v>0.14902280130293161</v>
      </c>
      <c r="I102" s="43">
        <f>IF(ISNUMBER(G102), $B112 * H102, "")</f>
        <v>14902.28013029316</v>
      </c>
      <c r="J102" s="89">
        <v>7300</v>
      </c>
      <c r="K102" s="22">
        <f>IF(ISNUMBER(J102), (J102 - $B102) / $B102, "")</f>
        <v>0.18892508143322476</v>
      </c>
      <c r="L102" s="43">
        <f>IF(ISNUMBER(J102), $B112 * K102, "")</f>
        <v>18892.508143322477</v>
      </c>
      <c r="M102" s="89">
        <v>7190</v>
      </c>
      <c r="N102" s="22">
        <f>IF(ISNUMBER(M102), (M102 - $B102) / $B102, "")</f>
        <v>0.17100977198697068</v>
      </c>
      <c r="O102" s="43">
        <f>IF(ISNUMBER(M102), $B112 * N102, "")</f>
        <v>17100.977198697066</v>
      </c>
      <c r="Q102" s="229"/>
      <c r="R102" s="230"/>
    </row>
    <row r="103" spans="1:18" ht="17.25" customHeight="1">
      <c r="A103" s="11" t="s">
        <v>146</v>
      </c>
      <c r="B103" s="32">
        <v>106</v>
      </c>
      <c r="C103" s="5">
        <v>0.28174123340000001</v>
      </c>
      <c r="D103" s="36">
        <v>117</v>
      </c>
      <c r="E103" s="5">
        <f t="shared" ref="E103:E111" si="30">IF(ISNUMBER(D103), (D103 - $B103) / $B103, "")</f>
        <v>0.10377358490566038</v>
      </c>
      <c r="F103" s="44">
        <f>IF(ISNUMBER(D103), $B112 * E103, "")</f>
        <v>10377.358490566039</v>
      </c>
      <c r="G103" s="36">
        <v>116</v>
      </c>
      <c r="H103" s="5">
        <f t="shared" ref="H103:H111" si="31">IF(ISNUMBER(G103), (G103 - $B103) / $B103, "")</f>
        <v>9.4339622641509441E-2</v>
      </c>
      <c r="I103" s="44">
        <f>IF(ISNUMBER(G103), $B112 * H103, "")</f>
        <v>9433.962264150945</v>
      </c>
      <c r="J103" s="36">
        <v>119</v>
      </c>
      <c r="K103" s="5">
        <f t="shared" ref="K103:K111" si="32">IF(ISNUMBER(J103), (J103 - $B103) / $B103, "")</f>
        <v>0.12264150943396226</v>
      </c>
      <c r="L103" s="44">
        <f>IF(ISNUMBER(J103), $B112 * K103, "")</f>
        <v>12264.150943396227</v>
      </c>
      <c r="M103" s="36">
        <v>117</v>
      </c>
      <c r="N103" s="5">
        <f t="shared" ref="N103:N111" si="33">IF(ISNUMBER(M103), (M103 - $B103) / $B103, "")</f>
        <v>0.10377358490566038</v>
      </c>
      <c r="O103" s="44">
        <f>IF(ISNUMBER(M103), $B112 * N103, "")</f>
        <v>10377.358490566039</v>
      </c>
      <c r="Q103" s="229"/>
      <c r="R103" s="230"/>
    </row>
    <row r="104" spans="1:18" ht="17.25" customHeight="1">
      <c r="A104" s="11" t="s">
        <v>118</v>
      </c>
      <c r="B104" s="32">
        <v>365</v>
      </c>
      <c r="C104" s="5">
        <v>0.21262458470000001</v>
      </c>
      <c r="D104" s="36">
        <v>387</v>
      </c>
      <c r="E104" s="5">
        <f t="shared" si="30"/>
        <v>6.0273972602739728E-2</v>
      </c>
      <c r="F104" s="44">
        <f>IF(ISNUMBER(D104), $B112 * E104, "")</f>
        <v>6027.3972602739732</v>
      </c>
      <c r="G104" s="36">
        <v>385</v>
      </c>
      <c r="H104" s="5">
        <f t="shared" si="31"/>
        <v>5.4794520547945202E-2</v>
      </c>
      <c r="I104" s="44">
        <f>IF(ISNUMBER(G104), $B112 * H104, "")</f>
        <v>5479.4520547945203</v>
      </c>
      <c r="J104" s="36">
        <v>390</v>
      </c>
      <c r="K104" s="5">
        <f t="shared" si="32"/>
        <v>6.8493150684931503E-2</v>
      </c>
      <c r="L104" s="44">
        <f>IF(ISNUMBER(J104), $B112 * K104, "")</f>
        <v>6849.3150684931506</v>
      </c>
      <c r="M104" s="36">
        <v>391</v>
      </c>
      <c r="N104" s="5">
        <f t="shared" si="33"/>
        <v>7.1232876712328766E-2</v>
      </c>
      <c r="O104" s="44">
        <f>IF(ISNUMBER(M104), $B112 * N104, "")</f>
        <v>7123.2876712328762</v>
      </c>
      <c r="Q104" s="229"/>
      <c r="R104" s="230"/>
    </row>
    <row r="105" spans="1:18" ht="17.25" customHeight="1">
      <c r="A105" s="11" t="s">
        <v>101</v>
      </c>
      <c r="B105" s="32">
        <v>312</v>
      </c>
      <c r="C105" s="5">
        <v>0.2</v>
      </c>
      <c r="D105" s="36">
        <v>330</v>
      </c>
      <c r="E105" s="5">
        <f t="shared" si="30"/>
        <v>5.7692307692307696E-2</v>
      </c>
      <c r="F105" s="44">
        <f>IF(ISNUMBER(D105), $B112 * E105, "")</f>
        <v>5769.2307692307695</v>
      </c>
      <c r="G105" s="36">
        <v>331</v>
      </c>
      <c r="H105" s="5">
        <f t="shared" si="31"/>
        <v>6.0897435897435896E-2</v>
      </c>
      <c r="I105" s="44">
        <f>IF(ISNUMBER(G105), $B112 * H105, "")</f>
        <v>6089.7435897435898</v>
      </c>
      <c r="J105" s="36">
        <v>335</v>
      </c>
      <c r="K105" s="5">
        <f t="shared" si="32"/>
        <v>7.371794871794872E-2</v>
      </c>
      <c r="L105" s="44">
        <f>IF(ISNUMBER(J105), $B112 * K105, "")</f>
        <v>7371.7948717948721</v>
      </c>
      <c r="M105" s="36">
        <v>330</v>
      </c>
      <c r="N105" s="5">
        <f t="shared" si="33"/>
        <v>5.7692307692307696E-2</v>
      </c>
      <c r="O105" s="44">
        <f>IF(ISNUMBER(M105), $B112 * N105, "")</f>
        <v>5769.2307692307695</v>
      </c>
      <c r="Q105" s="229"/>
      <c r="R105" s="230"/>
    </row>
    <row r="106" spans="1:18" ht="17.25" customHeight="1">
      <c r="A106" s="8" t="s">
        <v>115</v>
      </c>
      <c r="B106" s="33">
        <v>20230</v>
      </c>
      <c r="C106" s="24">
        <v>0.1928066038</v>
      </c>
      <c r="D106" s="37">
        <v>23570</v>
      </c>
      <c r="E106" s="24">
        <f t="shared" si="30"/>
        <v>0.16510133465150767</v>
      </c>
      <c r="F106" s="44">
        <f>IF(ISNUMBER(D106), $B112 * E106, "")</f>
        <v>16510.133465150768</v>
      </c>
      <c r="G106" s="37">
        <v>22890</v>
      </c>
      <c r="H106" s="24">
        <f t="shared" si="31"/>
        <v>0.13148788927335639</v>
      </c>
      <c r="I106" s="44">
        <f>IF(ISNUMBER(G106), $B112 * H106, "")</f>
        <v>13148.78892733564</v>
      </c>
      <c r="J106" s="37">
        <v>23300</v>
      </c>
      <c r="K106" s="24">
        <f t="shared" si="32"/>
        <v>0.15175481957488879</v>
      </c>
      <c r="L106" s="44">
        <f>IF(ISNUMBER(J106), $B112 * K106, "")</f>
        <v>15175.481957488879</v>
      </c>
      <c r="M106" s="37">
        <v>22900</v>
      </c>
      <c r="N106" s="24">
        <f t="shared" si="33"/>
        <v>0.13198220464656452</v>
      </c>
      <c r="O106" s="44">
        <f>IF(ISNUMBER(M106), $B112 * N106, "")</f>
        <v>13198.220464656451</v>
      </c>
      <c r="Q106" s="229"/>
      <c r="R106" s="230"/>
    </row>
    <row r="107" spans="1:18" ht="17.25" customHeight="1">
      <c r="A107" s="11" t="s">
        <v>95</v>
      </c>
      <c r="B107" s="32">
        <v>31.2</v>
      </c>
      <c r="C107" s="5">
        <v>0.19083969470000001</v>
      </c>
      <c r="D107" s="36">
        <v>34.299999999999997</v>
      </c>
      <c r="E107" s="5">
        <f t="shared" si="30"/>
        <v>9.9358974358974297E-2</v>
      </c>
      <c r="F107" s="48">
        <f>IF(ISNUMBER(D107), $B112 * E107, "")</f>
        <v>9935.8974358974301</v>
      </c>
      <c r="G107" s="36">
        <v>34.200000000000003</v>
      </c>
      <c r="H107" s="5">
        <f t="shared" si="31"/>
        <v>9.615384615384627E-2</v>
      </c>
      <c r="I107" s="48">
        <f>IF(ISNUMBER(G107), $B112 * H107, "")</f>
        <v>9615.3846153846262</v>
      </c>
      <c r="J107" s="36">
        <v>34.700000000000003</v>
      </c>
      <c r="K107" s="5">
        <f t="shared" si="32"/>
        <v>0.11217948717948729</v>
      </c>
      <c r="L107" s="48">
        <f>IF(ISNUMBER(J107), $B112 * K107, "")</f>
        <v>11217.94871794873</v>
      </c>
      <c r="M107" s="36">
        <v>35.299999999999997</v>
      </c>
      <c r="N107" s="5">
        <f t="shared" si="33"/>
        <v>0.13141025641025633</v>
      </c>
      <c r="O107" s="48">
        <f>IF(ISNUMBER(M107), $B112 * N107, "")</f>
        <v>13141.025641025633</v>
      </c>
      <c r="Q107" s="229"/>
      <c r="R107" s="230"/>
    </row>
    <row r="108" spans="1:18" ht="17.25" customHeight="1">
      <c r="A108" s="11" t="s">
        <v>141</v>
      </c>
      <c r="B108" s="32">
        <v>4480</v>
      </c>
      <c r="C108" s="5">
        <v>0.18990703850000001</v>
      </c>
      <c r="D108" s="36">
        <v>4170</v>
      </c>
      <c r="E108" s="5">
        <f t="shared" si="30"/>
        <v>-6.9196428571428575E-2</v>
      </c>
      <c r="F108" s="44">
        <f>IF(ISNUMBER(D108), $B112 * E108, "")</f>
        <v>-6919.6428571428578</v>
      </c>
      <c r="G108" s="36">
        <v>4495</v>
      </c>
      <c r="H108" s="5">
        <f t="shared" si="31"/>
        <v>3.3482142857142855E-3</v>
      </c>
      <c r="I108" s="44">
        <f>IF(ISNUMBER(G108), $B112 * H108, "")</f>
        <v>334.82142857142856</v>
      </c>
      <c r="J108" s="36">
        <v>4950</v>
      </c>
      <c r="K108" s="5">
        <f t="shared" si="32"/>
        <v>0.10491071428571429</v>
      </c>
      <c r="L108" s="44">
        <f>IF(ISNUMBER(J108), $B112 * K108, "")</f>
        <v>10491.071428571429</v>
      </c>
      <c r="M108" s="36">
        <v>4870</v>
      </c>
      <c r="N108" s="5">
        <f t="shared" si="33"/>
        <v>8.7053571428571425E-2</v>
      </c>
      <c r="O108" s="44">
        <f>IF(ISNUMBER(M108), $B112 * N108, "")</f>
        <v>8705.3571428571431</v>
      </c>
      <c r="Q108" s="229"/>
      <c r="R108" s="230"/>
    </row>
    <row r="109" spans="1:18" ht="17.25" customHeight="1">
      <c r="A109" s="11" t="s">
        <v>123</v>
      </c>
      <c r="B109" s="32">
        <v>96</v>
      </c>
      <c r="C109" s="5">
        <v>0.1895910781</v>
      </c>
      <c r="D109" s="36">
        <v>98.5</v>
      </c>
      <c r="E109" s="5">
        <f t="shared" si="30"/>
        <v>2.6041666666666668E-2</v>
      </c>
      <c r="F109" s="44">
        <f>IF(ISNUMBER(D109), $B112 * E109, "")</f>
        <v>2604.166666666667</v>
      </c>
      <c r="G109" s="36">
        <v>98</v>
      </c>
      <c r="H109" s="5">
        <f t="shared" si="31"/>
        <v>2.0833333333333332E-2</v>
      </c>
      <c r="I109" s="44">
        <f>IF(ISNUMBER(G109), $B112 * H109, "")</f>
        <v>2083.333333333333</v>
      </c>
      <c r="J109" s="36">
        <v>98.4</v>
      </c>
      <c r="K109" s="5">
        <f t="shared" si="32"/>
        <v>2.500000000000006E-2</v>
      </c>
      <c r="L109" s="44">
        <f>IF(ISNUMBER(J109), $B112 * K109, "")</f>
        <v>2500.0000000000059</v>
      </c>
      <c r="M109" s="36">
        <v>97.1</v>
      </c>
      <c r="N109" s="5">
        <f t="shared" si="33"/>
        <v>1.1458333333333274E-2</v>
      </c>
      <c r="O109" s="44">
        <f>IF(ISNUMBER(M109), $B112 * N109, "")</f>
        <v>1145.8333333333273</v>
      </c>
      <c r="Q109" s="229"/>
      <c r="R109" s="230"/>
    </row>
    <row r="110" spans="1:18" ht="17.25" customHeight="1">
      <c r="A110" s="11" t="s">
        <v>93</v>
      </c>
      <c r="B110" s="32">
        <v>59490</v>
      </c>
      <c r="C110" s="5">
        <v>0.18932427030000001</v>
      </c>
      <c r="D110" s="36">
        <v>64590</v>
      </c>
      <c r="E110" s="5">
        <f t="shared" si="30"/>
        <v>8.5728693898134145E-2</v>
      </c>
      <c r="F110" s="44">
        <f>IF(ISNUMBER(D110), $B112 * E110, "")</f>
        <v>8572.8693898134152</v>
      </c>
      <c r="G110" s="36">
        <v>64930</v>
      </c>
      <c r="H110" s="5">
        <f t="shared" si="31"/>
        <v>9.1443940158009746E-2</v>
      </c>
      <c r="I110" s="44">
        <f>IF(ISNUMBER(G110), $B112 * H110, "")</f>
        <v>9144.3940158009736</v>
      </c>
      <c r="J110" s="36">
        <v>65230</v>
      </c>
      <c r="K110" s="5">
        <f t="shared" si="32"/>
        <v>9.648680450495882E-2</v>
      </c>
      <c r="L110" s="44">
        <f>IF(ISNUMBER(J110), $B112 * K110, "")</f>
        <v>9648.6804504958818</v>
      </c>
      <c r="M110" s="36">
        <v>65680</v>
      </c>
      <c r="N110" s="5">
        <f t="shared" si="33"/>
        <v>0.10405110102538241</v>
      </c>
      <c r="O110" s="44">
        <f>IF(ISNUMBER(M110), $B112 * N110, "")</f>
        <v>10405.110102538241</v>
      </c>
      <c r="Q110" s="231"/>
      <c r="R110" s="232"/>
    </row>
    <row r="111" spans="1:18" ht="17.25" customHeight="1" thickBot="1">
      <c r="A111" s="13" t="s">
        <v>133</v>
      </c>
      <c r="B111" s="34">
        <v>29.7</v>
      </c>
      <c r="C111" s="16">
        <v>0.188</v>
      </c>
      <c r="D111" s="38">
        <v>34.299999999999997</v>
      </c>
      <c r="E111" s="16">
        <f t="shared" si="30"/>
        <v>0.15488215488215482</v>
      </c>
      <c r="F111" s="45">
        <f>IF(ISNUMBER(D111), $B112 * E111, "")</f>
        <v>15488.215488215481</v>
      </c>
      <c r="G111" s="38">
        <v>32.200000000000003</v>
      </c>
      <c r="H111" s="16">
        <f t="shared" si="31"/>
        <v>8.4175084175084292E-2</v>
      </c>
      <c r="I111" s="45">
        <f>IF(ISNUMBER(G111), $B112 * H111, "")</f>
        <v>8417.5084175084285</v>
      </c>
      <c r="J111" s="38">
        <v>32.9</v>
      </c>
      <c r="K111" s="16">
        <f t="shared" si="32"/>
        <v>0.10774410774410773</v>
      </c>
      <c r="L111" s="45">
        <f>IF(ISNUMBER(J111), $B112 * K111, "")</f>
        <v>10774.410774410773</v>
      </c>
      <c r="M111" s="38">
        <v>32.700000000000003</v>
      </c>
      <c r="N111" s="16">
        <f t="shared" si="33"/>
        <v>0.10101010101010113</v>
      </c>
      <c r="O111" s="45">
        <f>IF(ISNUMBER(M111), $B112 * N111, "")</f>
        <v>10101.010101010113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8.864249907284108E-2</v>
      </c>
      <c r="F112" s="47">
        <f>SUM(F102:F111)</f>
        <v>88642.499072841078</v>
      </c>
      <c r="G112" s="57" t="s">
        <v>82</v>
      </c>
      <c r="H112" s="46">
        <f>IF(COUNT(H102:H111), SUM(H102:H111) / COUNT(H102:H111), 0)</f>
        <v>7.8649668776916662E-2</v>
      </c>
      <c r="I112" s="47">
        <f>SUM(I102:I111)</f>
        <v>78649.66877691666</v>
      </c>
      <c r="J112" s="57" t="s">
        <v>82</v>
      </c>
      <c r="K112" s="46">
        <f>IF(COUNT(K102:K111), SUM(K102:K111) / COUNT(K102:K111), 0)</f>
        <v>0.10518536235592242</v>
      </c>
      <c r="L112" s="47">
        <f>SUM(L102:L111)</f>
        <v>105185.36235592244</v>
      </c>
      <c r="M112" s="57" t="s">
        <v>82</v>
      </c>
      <c r="N112" s="46">
        <f>IF(COUNT(N102:N111), SUM(N102:N111) / COUNT(N102:N111), 0)</f>
        <v>9.7067410915147659E-2</v>
      </c>
      <c r="O112" s="47">
        <f>SUM(O102:O111)</f>
        <v>97067.410915147659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183" priority="89">
      <formula>$E$27&gt;0</formula>
    </cfRule>
    <cfRule type="expression" dxfId="1182" priority="90">
      <formula>$E$27&lt;0</formula>
    </cfRule>
  </conditionalFormatting>
  <conditionalFormatting sqref="G15:I16 H27:I27">
    <cfRule type="expression" dxfId="1181" priority="87">
      <formula>$H$27&gt;0</formula>
    </cfRule>
    <cfRule type="expression" dxfId="1180" priority="88">
      <formula>$H$27&lt;0</formula>
    </cfRule>
  </conditionalFormatting>
  <conditionalFormatting sqref="J15:L16 K27:L27">
    <cfRule type="expression" dxfId="1179" priority="85">
      <formula>$K$27&gt;0</formula>
    </cfRule>
    <cfRule type="expression" dxfId="1178" priority="86">
      <formula>$K$27&lt;0</formula>
    </cfRule>
  </conditionalFormatting>
  <conditionalFormatting sqref="M15:O16 N27:O27">
    <cfRule type="expression" dxfId="1177" priority="83">
      <formula>$N$27&gt;0</formula>
    </cfRule>
    <cfRule type="expression" dxfId="1176" priority="84">
      <formula>$N$27&lt;0</formula>
    </cfRule>
  </conditionalFormatting>
  <conditionalFormatting sqref="A17:O26 A34:O43">
    <cfRule type="expression" dxfId="1175" priority="91">
      <formula>AND($N17 &gt; 0, ISNUMBER($N17))</formula>
    </cfRule>
    <cfRule type="expression" dxfId="1174" priority="92">
      <formula>AND($N17 &lt; 0, ISNUMBER($N17))</formula>
    </cfRule>
    <cfRule type="expression" dxfId="1173" priority="93">
      <formula>AND($K17 &gt; 0, ISNUMBER($K17))</formula>
    </cfRule>
    <cfRule type="expression" dxfId="1172" priority="94">
      <formula>AND($K17 &lt; 0, ISNUMBER($K17))</formula>
    </cfRule>
    <cfRule type="expression" dxfId="1171" priority="95">
      <formula>AND($H17 &gt; 0, ISNUMBER($H17))</formula>
    </cfRule>
    <cfRule type="expression" dxfId="1170" priority="96">
      <formula>AND($H17 &lt; 0, ISNUMBER($H17))</formula>
    </cfRule>
    <cfRule type="expression" dxfId="1169" priority="97">
      <formula>AND($E17 &gt; 0, ISNUMBER($E17))</formula>
    </cfRule>
    <cfRule type="expression" dxfId="1168" priority="98">
      <formula>AND($E17 &lt; 0, ISNUMBER($E17))</formula>
    </cfRule>
  </conditionalFormatting>
  <conditionalFormatting sqref="D32:F33 E44:F44">
    <cfRule type="expression" dxfId="1167" priority="81">
      <formula>$E$44&gt;0</formula>
    </cfRule>
    <cfRule type="expression" dxfId="1166" priority="82">
      <formula>$E$44&lt;0</formula>
    </cfRule>
  </conditionalFormatting>
  <conditionalFormatting sqref="G32:I33 H44:I44">
    <cfRule type="expression" dxfId="1165" priority="79">
      <formula>$H$44&gt;0</formula>
    </cfRule>
    <cfRule type="expression" dxfId="1164" priority="80">
      <formula>$H$44&lt;0</formula>
    </cfRule>
  </conditionalFormatting>
  <conditionalFormatting sqref="J32:L33 K44:L44">
    <cfRule type="expression" dxfId="1163" priority="77">
      <formula>$K$44&gt;0</formula>
    </cfRule>
    <cfRule type="expression" dxfId="1162" priority="78">
      <formula>$K$44&lt;0</formula>
    </cfRule>
  </conditionalFormatting>
  <conditionalFormatting sqref="M32:O33 N44:O44">
    <cfRule type="expression" dxfId="1161" priority="75">
      <formula>$N$44&gt;0</formula>
    </cfRule>
    <cfRule type="expression" dxfId="1160" priority="76">
      <formula>$N$44&lt;0</formula>
    </cfRule>
  </conditionalFormatting>
  <conditionalFormatting sqref="A51:O60">
    <cfRule type="expression" dxfId="1159" priority="67">
      <formula>AND($N51 &gt; 0, ISNUMBER($N51))</formula>
    </cfRule>
    <cfRule type="expression" dxfId="1158" priority="68">
      <formula>AND($N51 &lt; 0, ISNUMBER($N51))</formula>
    </cfRule>
    <cfRule type="expression" dxfId="1157" priority="69">
      <formula>AND($K51 &gt; 0, ISNUMBER($K51))</formula>
    </cfRule>
    <cfRule type="expression" dxfId="1156" priority="70">
      <formula>AND($K51 &lt; 0, ISNUMBER($K51))</formula>
    </cfRule>
    <cfRule type="expression" dxfId="1155" priority="71">
      <formula>AND($H51 &gt; 0, ISNUMBER($H51))</formula>
    </cfRule>
    <cfRule type="expression" dxfId="1154" priority="72">
      <formula>AND($H51 &lt; 0, ISNUMBER($H51))</formula>
    </cfRule>
    <cfRule type="expression" dxfId="1153" priority="73">
      <formula>AND($E51 &gt; 0, ISNUMBER($E51))</formula>
    </cfRule>
    <cfRule type="expression" dxfId="1152" priority="74">
      <formula>AND($E51 &lt; 0, ISNUMBER($E51))</formula>
    </cfRule>
  </conditionalFormatting>
  <conditionalFormatting sqref="D49:F50 E61:F61">
    <cfRule type="expression" dxfId="1151" priority="65">
      <formula>$E$61&gt;0</formula>
    </cfRule>
    <cfRule type="expression" dxfId="1150" priority="66">
      <formula>$E$61&lt;0</formula>
    </cfRule>
  </conditionalFormatting>
  <conditionalFormatting sqref="G49:I50 H61:I61">
    <cfRule type="expression" dxfId="1149" priority="63">
      <formula>$H$61&gt;0</formula>
    </cfRule>
    <cfRule type="expression" dxfId="1148" priority="64">
      <formula>$H$61&lt;0</formula>
    </cfRule>
  </conditionalFormatting>
  <conditionalFormatting sqref="J49:L50 K61:L61">
    <cfRule type="expression" dxfId="1147" priority="61">
      <formula>$K$61&gt;0</formula>
    </cfRule>
    <cfRule type="expression" dxfId="1146" priority="62">
      <formula>$K$61&lt;0</formula>
    </cfRule>
  </conditionalFormatting>
  <conditionalFormatting sqref="M49:O50 N61:O61">
    <cfRule type="expression" dxfId="1145" priority="59">
      <formula>$N$61&gt;0</formula>
    </cfRule>
    <cfRule type="expression" dxfId="1144" priority="60">
      <formula>$N$61&lt;0</formula>
    </cfRule>
  </conditionalFormatting>
  <conditionalFormatting sqref="A68:O77">
    <cfRule type="expression" dxfId="1143" priority="51">
      <formula>AND($N68 &gt; 0, ISNUMBER($N68))</formula>
    </cfRule>
    <cfRule type="expression" dxfId="1142" priority="52">
      <formula>AND($N68 &lt; 0, ISNUMBER($N68))</formula>
    </cfRule>
    <cfRule type="expression" dxfId="1141" priority="53">
      <formula>AND($K68 &gt; 0, ISNUMBER($K68))</formula>
    </cfRule>
    <cfRule type="expression" dxfId="1140" priority="54">
      <formula>AND($K68 &lt; 0, ISNUMBER($K68))</formula>
    </cfRule>
    <cfRule type="expression" dxfId="1139" priority="55">
      <formula>AND($H68 &gt; 0, ISNUMBER($H68))</formula>
    </cfRule>
    <cfRule type="expression" dxfId="1138" priority="56">
      <formula>AND($H68 &lt; 0, ISNUMBER($H68))</formula>
    </cfRule>
    <cfRule type="expression" dxfId="1137" priority="57">
      <formula>AND($E68 &gt; 0, ISNUMBER($E68))</formula>
    </cfRule>
    <cfRule type="expression" dxfId="1136" priority="58">
      <formula>AND($E68 &lt; 0, ISNUMBER($E68))</formula>
    </cfRule>
  </conditionalFormatting>
  <conditionalFormatting sqref="D66:F67 E78:F78">
    <cfRule type="expression" dxfId="1135" priority="49">
      <formula>$E$78&gt;0</formula>
    </cfRule>
    <cfRule type="expression" dxfId="1134" priority="50">
      <formula>$E$78&lt;0</formula>
    </cfRule>
  </conditionalFormatting>
  <conditionalFormatting sqref="G66:I67 H78:I78">
    <cfRule type="expression" dxfId="1133" priority="47">
      <formula>$H$78&gt;0</formula>
    </cfRule>
    <cfRule type="expression" dxfId="1132" priority="48">
      <formula>$H$78&lt;0</formula>
    </cfRule>
  </conditionalFormatting>
  <conditionalFormatting sqref="J66:L67 K78:L78">
    <cfRule type="expression" dxfId="1131" priority="45">
      <formula>$K$78&gt;0</formula>
    </cfRule>
    <cfRule type="expression" dxfId="1130" priority="46">
      <formula>$K$78&lt;0</formula>
    </cfRule>
  </conditionalFormatting>
  <conditionalFormatting sqref="M66:O67 N78:O78">
    <cfRule type="expression" dxfId="1129" priority="43">
      <formula>$N$78&gt;0</formula>
    </cfRule>
    <cfRule type="expression" dxfId="1128" priority="44">
      <formula>$N$78&lt;0</formula>
    </cfRule>
  </conditionalFormatting>
  <conditionalFormatting sqref="A85:O94">
    <cfRule type="expression" dxfId="1127" priority="35">
      <formula>AND($N85 &gt; 0, ISNUMBER($N85))</formula>
    </cfRule>
    <cfRule type="expression" dxfId="1126" priority="36">
      <formula>AND($N85 &lt; 0, ISNUMBER($N85))</formula>
    </cfRule>
    <cfRule type="expression" dxfId="1125" priority="37">
      <formula>AND($K85 &gt; 0, ISNUMBER($K85))</formula>
    </cfRule>
    <cfRule type="expression" dxfId="1124" priority="38">
      <formula>AND($K85 &lt; 0, ISNUMBER($K85))</formula>
    </cfRule>
    <cfRule type="expression" dxfId="1123" priority="39">
      <formula>AND($H85 &gt; 0, ISNUMBER($H85))</formula>
    </cfRule>
    <cfRule type="expression" dxfId="1122" priority="40">
      <formula>AND($H85 &lt; 0, ISNUMBER($H85))</formula>
    </cfRule>
    <cfRule type="expression" dxfId="1121" priority="41">
      <formula>AND($E85 &gt; 0, ISNUMBER($E85))</formula>
    </cfRule>
    <cfRule type="expression" dxfId="1120" priority="42">
      <formula>AND($E85 &lt; 0, ISNUMBER($E85))</formula>
    </cfRule>
  </conditionalFormatting>
  <conditionalFormatting sqref="D83:F84 E95:F95">
    <cfRule type="expression" dxfId="1119" priority="33">
      <formula>$E$95&gt;0</formula>
    </cfRule>
    <cfRule type="expression" dxfId="1118" priority="34">
      <formula>$E$95&lt;0</formula>
    </cfRule>
  </conditionalFormatting>
  <conditionalFormatting sqref="G83:I84 H95:I95">
    <cfRule type="expression" dxfId="1117" priority="31">
      <formula>$H$95&gt;0</formula>
    </cfRule>
    <cfRule type="expression" dxfId="1116" priority="32">
      <formula>$H$95&lt;0</formula>
    </cfRule>
  </conditionalFormatting>
  <conditionalFormatting sqref="J83:L84 K95:L95">
    <cfRule type="expression" dxfId="1115" priority="29">
      <formula>$K$95&gt;0</formula>
    </cfRule>
    <cfRule type="expression" dxfId="1114" priority="30">
      <formula>$K$95&lt;0</formula>
    </cfRule>
  </conditionalFormatting>
  <conditionalFormatting sqref="M83:O84 N95:O95">
    <cfRule type="expression" dxfId="1113" priority="27">
      <formula>$N$95&gt;0</formula>
    </cfRule>
    <cfRule type="expression" dxfId="1112" priority="28">
      <formula>$N$95&lt;0</formula>
    </cfRule>
  </conditionalFormatting>
  <conditionalFormatting sqref="A102:O111">
    <cfRule type="expression" dxfId="1111" priority="19">
      <formula>AND($N102 &gt; 0, ISNUMBER($N102))</formula>
    </cfRule>
    <cfRule type="expression" dxfId="1110" priority="20">
      <formula>AND($N102 &lt; 0, ISNUMBER($N102))</formula>
    </cfRule>
    <cfRule type="expression" dxfId="1109" priority="21">
      <formula>AND($K102 &gt; 0, ISNUMBER($K102))</formula>
    </cfRule>
    <cfRule type="expression" dxfId="1108" priority="22">
      <formula>AND($K102 &lt; 0, ISNUMBER($K102))</formula>
    </cfRule>
    <cfRule type="expression" dxfId="1107" priority="23">
      <formula>AND($H102 &gt; 0, ISNUMBER($H102))</formula>
    </cfRule>
    <cfRule type="expression" dxfId="1106" priority="24">
      <formula>AND($H102 &lt; 0, ISNUMBER($H102))</formula>
    </cfRule>
    <cfRule type="expression" dxfId="1105" priority="25">
      <formula>AND($E102 &gt; 0, ISNUMBER($E102))</formula>
    </cfRule>
    <cfRule type="expression" dxfId="1104" priority="26">
      <formula>AND($E102 &lt; 0, ISNUMBER($E102))</formula>
    </cfRule>
  </conditionalFormatting>
  <conditionalFormatting sqref="D100:F101 E112:F112">
    <cfRule type="expression" dxfId="1103" priority="17">
      <formula>$E$112&gt;0</formula>
    </cfRule>
    <cfRule type="expression" dxfId="1102" priority="18">
      <formula>$E$112&lt;0</formula>
    </cfRule>
  </conditionalFormatting>
  <conditionalFormatting sqref="G100:I101 H112:I112">
    <cfRule type="expression" dxfId="1101" priority="15">
      <formula>$H$112&gt;0</formula>
    </cfRule>
    <cfRule type="expression" dxfId="1100" priority="16">
      <formula>$H$112&lt;0</formula>
    </cfRule>
  </conditionalFormatting>
  <conditionalFormatting sqref="J100:L101 K112:L112">
    <cfRule type="expression" dxfId="1099" priority="13">
      <formula>$K$112&gt;0</formula>
    </cfRule>
    <cfRule type="expression" dxfId="1098" priority="14">
      <formula>$K$112&lt;0</formula>
    </cfRule>
  </conditionalFormatting>
  <conditionalFormatting sqref="M100:O101 N112:O112">
    <cfRule type="expression" dxfId="1097" priority="11">
      <formula>$N$112&gt;0</formula>
    </cfRule>
    <cfRule type="expression" dxfId="1096" priority="12">
      <formula>$N$112&lt;0</formula>
    </cfRule>
  </conditionalFormatting>
  <conditionalFormatting sqref="G2:I3">
    <cfRule type="expression" dxfId="109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9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9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9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9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9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8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8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08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108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ADB4-AA38-4AC0-B5F7-30B92B6A68C8}">
  <sheetPr codeName="Sheet12"/>
  <dimension ref="A1:R112"/>
  <sheetViews>
    <sheetView topLeftCell="A82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44296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-18,127 KRW (-3.02%)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14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-2,607 KRW (-2.61%)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24,985 KRW (2.50%)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-6,223 KRW (-0.69%)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-26,029 KRW (-2.60%)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14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09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0" t="s">
        <v>67</v>
      </c>
      <c r="H16" s="111" t="s">
        <v>68</v>
      </c>
      <c r="I16" s="112" t="s">
        <v>70</v>
      </c>
      <c r="J16" s="4" t="s">
        <v>67</v>
      </c>
      <c r="K16" s="4" t="s">
        <v>68</v>
      </c>
      <c r="L16" s="113" t="s">
        <v>70</v>
      </c>
      <c r="M16" s="18" t="s">
        <v>67</v>
      </c>
      <c r="N16" s="4" t="s">
        <v>68</v>
      </c>
      <c r="O16" s="115" t="s">
        <v>70</v>
      </c>
      <c r="Q16" s="206"/>
      <c r="R16" s="207"/>
    </row>
    <row r="17" spans="1:18" ht="17.25" customHeight="1">
      <c r="A17" s="39" t="s">
        <v>137</v>
      </c>
      <c r="B17" s="89">
        <f>IF(NOT(_xlfn.IFNA(VLOOKUP($A17, $A$30:$O$112, 2, FALSE), "")=0), _xlfn.IFNA(VLOOKUP($A17, $A$30:$O$112, 2, FALSE), ""), "")</f>
        <v>549</v>
      </c>
      <c r="C17" s="22">
        <f>IF(NOT(_xlfn.IFNA(VLOOKUP($A17, $A$30:$O$112, 3, FALSE), "")=0), _xlfn.IFNA(VLOOKUP($A17, $A$30:$O$112, 3, FALSE), ""), "")</f>
        <v>0.25342465749999998</v>
      </c>
      <c r="D17" s="89">
        <f>IF(NOT(_xlfn.IFNA(VLOOKUP($A17, $A$30:$O$112, 4, FALSE), "")=0), _xlfn.IFNA(VLOOKUP($A17, $A$30:$O$112, 4, FALSE), ""), "")</f>
        <v>627</v>
      </c>
      <c r="E17" s="22">
        <f>IF(NOT(_xlfn.IFNA(VLOOKUP($A17, $A$30:$O$112, 5, FALSE), "")=0), _xlfn.IFNA(VLOOKUP($A17, $A$30:$O$112, 5, FALSE), ""), "")</f>
        <v>0.14207650273224043</v>
      </c>
      <c r="F17" s="58">
        <f>IF(NOT(_xlfn.IFNA(VLOOKUP($A17, $A$30:$O$112, 6, FALSE), "")=0), _xlfn.IFNA(VLOOKUP($A17, $A$30:$O$112, 6, FALSE), ""), "")</f>
        <v>14207.650273224042</v>
      </c>
      <c r="G17" s="36">
        <f t="shared" ref="G17:G26" si="0">IF(NOT(_xlfn.IFNA(VLOOKUP($A17, $A$30:$O$112, 7, FALSE), "")=0), _xlfn.IFNA(VLOOKUP($A17, $A$30:$O$112, 7, FALSE), ""), "")</f>
        <v>627</v>
      </c>
      <c r="H17" s="5">
        <f>IF(NOT(_xlfn.IFNA(VLOOKUP($A17, $A$30:$O$112, 8, FALSE), "")=0), _xlfn.IFNA(VLOOKUP($A17, $A$30:$O$112, 8, FALSE), ""), "")</f>
        <v>0.14207650273224043</v>
      </c>
      <c r="I17" s="59">
        <f>IF(NOT(_xlfn.IFNA(VLOOKUP($A17, $A$30:$O$112, 9, FALSE), "")=0), _xlfn.IFNA(VLOOKUP($A17, $A$30:$O$112, 9, FALSE), ""), "")</f>
        <v>14207.650273224042</v>
      </c>
      <c r="J17" s="89">
        <f>IF(NOT(_xlfn.IFNA(VLOOKUP($A17, $A$30:$O$112, 10, FALSE), "")=0), _xlfn.IFNA(VLOOKUP($A17, $A$30:$O$112, 10, FALSE), ""), "")</f>
        <v>629</v>
      </c>
      <c r="K17" s="22">
        <f>IF(NOT(_xlfn.IFNA(VLOOKUP($A17, $A$30:$O$112, 11, FALSE), "")=0), _xlfn.IFNA(VLOOKUP($A17, $A$30:$O$112, 11, FALSE), ""), "")</f>
        <v>0.14571948998178508</v>
      </c>
      <c r="L17" s="58">
        <f>IF(NOT(_xlfn.IFNA(VLOOKUP($A17, $A$30:$O$112, 12, FALSE), "")=0), _xlfn.IFNA(VLOOKUP($A17, $A$30:$O$112, 12, FALSE), ""), "")</f>
        <v>14571.948998178508</v>
      </c>
      <c r="M17" s="89">
        <f>IF(NOT(_xlfn.IFNA(VLOOKUP($A17, $A$30:$O$112, 13, FALSE), "")=0), _xlfn.IFNA(VLOOKUP($A17, $A$30:$O$112, 13, FALSE), ""), "")</f>
        <v>585</v>
      </c>
      <c r="N17" s="22">
        <f>IF(NOT(_xlfn.IFNA(VLOOKUP($A17, $A$30:$O$112, 14, FALSE), "")=0), _xlfn.IFNA(VLOOKUP($A17, $A$30:$O$112, 14, FALSE), ""), "")</f>
        <v>6.5573770491803282E-2</v>
      </c>
      <c r="O17" s="43">
        <f>IF(NOT(_xlfn.IFNA(VLOOKUP($A17, $A$30:$O$112, 15, FALSE), "")=0), _xlfn.IFNA(VLOOKUP($A17, $A$30:$O$112, 15, FALSE), ""), "")</f>
        <v>6557.377049180328</v>
      </c>
      <c r="Q17" s="204"/>
      <c r="R17" s="205"/>
    </row>
    <row r="18" spans="1:18" ht="17.25" customHeight="1">
      <c r="A18" s="40" t="s">
        <v>152</v>
      </c>
      <c r="B18" s="36">
        <f t="shared" ref="B18:B26" si="1">IF(NOT(_xlfn.IFNA(VLOOKUP($A18, $A$30:$O$112, 2, FALSE), "")=0), _xlfn.IFNA(VLOOKUP($A18, $A$30:$O$112, 2, FALSE), ""), "")</f>
        <v>3015</v>
      </c>
      <c r="C18" s="5">
        <f t="shared" ref="C18:C26" si="2">IF(NOT(_xlfn.IFNA(VLOOKUP($A18, $A$30:$O$112, 3, FALSE), "")=0), _xlfn.IFNA(VLOOKUP($A18, $A$30:$O$112, 3, FALSE), ""), "")</f>
        <v>0.248447205</v>
      </c>
      <c r="D18" s="36">
        <f t="shared" ref="D18:D26" si="3">IF(NOT(_xlfn.IFNA(VLOOKUP($A18, $A$30:$O$112, 4, FALSE), "")=0), _xlfn.IFNA(VLOOKUP($A18, $A$30:$O$112, 4, FALSE), ""), "")</f>
        <v>2860</v>
      </c>
      <c r="E18" s="5">
        <f t="shared" ref="E18:E26" si="4">IF(NOT(_xlfn.IFNA(VLOOKUP($A18, $A$30:$O$112, 5, FALSE), "")=0), _xlfn.IFNA(VLOOKUP($A18, $A$30:$O$112, 5, FALSE), ""), "")</f>
        <v>-5.140961857379768E-2</v>
      </c>
      <c r="F18" s="59">
        <f t="shared" ref="F18:F26" si="5">IF(NOT(_xlfn.IFNA(VLOOKUP($A18, $A$30:$O$112, 6, FALSE), "")=0), _xlfn.IFNA(VLOOKUP($A18, $A$30:$O$112, 6, FALSE), ""), "")</f>
        <v>-5140.9618573797679</v>
      </c>
      <c r="G18" s="36">
        <f t="shared" si="0"/>
        <v>2900</v>
      </c>
      <c r="H18" s="5">
        <f t="shared" ref="H18:H26" si="6">IF(NOT(_xlfn.IFNA(VLOOKUP($A18, $A$30:$O$112, 8, FALSE), "")=0), _xlfn.IFNA(VLOOKUP($A18, $A$30:$O$112, 8, FALSE), ""), "")</f>
        <v>-3.8142620232172471E-2</v>
      </c>
      <c r="I18" s="59">
        <f t="shared" ref="I18:I26" si="7">IF(NOT(_xlfn.IFNA(VLOOKUP($A18, $A$30:$O$112, 9, FALSE), "")=0), _xlfn.IFNA(VLOOKUP($A18, $A$30:$O$112, 9, FALSE), ""), "")</f>
        <v>-3814.2620232172471</v>
      </c>
      <c r="J18" s="36">
        <f t="shared" ref="J18:J26" si="8">IF(NOT(_xlfn.IFNA(VLOOKUP($A18, $A$30:$O$112, 10, FALSE), "")=0), _xlfn.IFNA(VLOOKUP($A18, $A$30:$O$112, 10, FALSE), ""), "")</f>
        <v>2980</v>
      </c>
      <c r="K18" s="5">
        <f t="shared" ref="K18:K26" si="9">IF(NOT(_xlfn.IFNA(VLOOKUP($A18, $A$30:$O$112, 11, FALSE), "")=0), _xlfn.IFNA(VLOOKUP($A18, $A$30:$O$112, 11, FALSE), ""), "")</f>
        <v>-1.1608623548922056E-2</v>
      </c>
      <c r="L18" s="59">
        <f t="shared" ref="L18:L26" si="10">IF(NOT(_xlfn.IFNA(VLOOKUP($A18, $A$30:$O$112, 12, FALSE), "")=0), _xlfn.IFNA(VLOOKUP($A18, $A$30:$O$112, 12, FALSE), ""), "")</f>
        <v>-1160.8623548922055</v>
      </c>
      <c r="M18" s="36">
        <f t="shared" ref="M18:M26" si="11">IF(NOT(_xlfn.IFNA(VLOOKUP($A18, $A$30:$O$112, 13, FALSE), "")=0), _xlfn.IFNA(VLOOKUP($A18, $A$30:$O$112, 13, FALSE), ""), "")</f>
        <v>2910</v>
      </c>
      <c r="N18" s="5">
        <f t="shared" ref="N18:N26" si="12">IF(NOT(_xlfn.IFNA(VLOOKUP($A18, $A$30:$O$112, 14, FALSE), "")=0), _xlfn.IFNA(VLOOKUP($A18, $A$30:$O$112, 14, FALSE), ""), "")</f>
        <v>-3.482587064676617E-2</v>
      </c>
      <c r="O18" s="44">
        <f t="shared" ref="O18:O26" si="13">IF(NOT(_xlfn.IFNA(VLOOKUP($A18, $A$30:$O$112, 15, FALSE), "")=0), _xlfn.IFNA(VLOOKUP($A18, $A$30:$O$112, 15, FALSE), ""), "")</f>
        <v>-3482.587064676617</v>
      </c>
      <c r="Q18" s="204"/>
      <c r="R18" s="205"/>
    </row>
    <row r="19" spans="1:18" ht="17.25" customHeight="1">
      <c r="A19" s="40" t="s">
        <v>171</v>
      </c>
      <c r="B19" s="36">
        <f t="shared" si="1"/>
        <v>547</v>
      </c>
      <c r="C19" s="5">
        <f t="shared" si="2"/>
        <v>0.231981982</v>
      </c>
      <c r="D19" s="36">
        <f t="shared" si="3"/>
        <v>887</v>
      </c>
      <c r="E19" s="5">
        <f t="shared" si="4"/>
        <v>0.62157221206581348</v>
      </c>
      <c r="F19" s="59">
        <f t="shared" si="5"/>
        <v>62157.221206581351</v>
      </c>
      <c r="G19" s="36">
        <f t="shared" si="0"/>
        <v>878</v>
      </c>
      <c r="H19" s="5">
        <f t="shared" si="6"/>
        <v>0.60511882998171851</v>
      </c>
      <c r="I19" s="59">
        <f t="shared" si="7"/>
        <v>60511.882998171852</v>
      </c>
      <c r="J19" s="36">
        <f t="shared" si="8"/>
        <v>853</v>
      </c>
      <c r="K19" s="5">
        <f t="shared" si="9"/>
        <v>0.55941499085923219</v>
      </c>
      <c r="L19" s="59">
        <f t="shared" si="10"/>
        <v>55941.49908592322</v>
      </c>
      <c r="M19" s="36">
        <f t="shared" si="11"/>
        <v>772</v>
      </c>
      <c r="N19" s="5">
        <f t="shared" si="12"/>
        <v>0.41133455210237663</v>
      </c>
      <c r="O19" s="44">
        <f t="shared" si="13"/>
        <v>41133.455210237662</v>
      </c>
      <c r="Q19" s="204"/>
      <c r="R19" s="205"/>
    </row>
    <row r="20" spans="1:18" ht="17.25" customHeight="1">
      <c r="A20" s="40" t="s">
        <v>142</v>
      </c>
      <c r="B20" s="36">
        <f t="shared" si="1"/>
        <v>301</v>
      </c>
      <c r="C20" s="5">
        <f t="shared" si="2"/>
        <v>0.18972332019999999</v>
      </c>
      <c r="D20" s="36">
        <f t="shared" si="3"/>
        <v>280</v>
      </c>
      <c r="E20" s="5">
        <f t="shared" si="4"/>
        <v>-6.9767441860465115E-2</v>
      </c>
      <c r="F20" s="59">
        <f t="shared" si="5"/>
        <v>-6976.7441860465115</v>
      </c>
      <c r="G20" s="36">
        <f t="shared" si="0"/>
        <v>276</v>
      </c>
      <c r="H20" s="5">
        <f t="shared" si="6"/>
        <v>-8.3056478405315617E-2</v>
      </c>
      <c r="I20" s="59">
        <f t="shared" si="7"/>
        <v>-8305.6478405315611</v>
      </c>
      <c r="J20" s="36">
        <f t="shared" si="8"/>
        <v>283</v>
      </c>
      <c r="K20" s="5">
        <f t="shared" si="9"/>
        <v>-5.9800664451827246E-2</v>
      </c>
      <c r="L20" s="59">
        <f t="shared" si="10"/>
        <v>-5980.0664451827242</v>
      </c>
      <c r="M20" s="36">
        <f t="shared" si="11"/>
        <v>274</v>
      </c>
      <c r="N20" s="5">
        <f t="shared" si="12"/>
        <v>-8.9700996677740868E-2</v>
      </c>
      <c r="O20" s="44">
        <f t="shared" si="13"/>
        <v>-8970.0996677740877</v>
      </c>
      <c r="Q20" s="204"/>
      <c r="R20" s="205"/>
    </row>
    <row r="21" spans="1:18" ht="17.25" customHeight="1">
      <c r="A21" s="41" t="s">
        <v>173</v>
      </c>
      <c r="B21" s="37">
        <f t="shared" si="1"/>
        <v>1565</v>
      </c>
      <c r="C21" s="24">
        <f t="shared" si="2"/>
        <v>0.1722846442</v>
      </c>
      <c r="D21" s="37">
        <f t="shared" si="3"/>
        <v>1640</v>
      </c>
      <c r="E21" s="24">
        <f t="shared" si="4"/>
        <v>4.7923322683706068E-2</v>
      </c>
      <c r="F21" s="60">
        <f t="shared" si="5"/>
        <v>4792.3322683706065</v>
      </c>
      <c r="G21" s="37">
        <f t="shared" si="0"/>
        <v>1660</v>
      </c>
      <c r="H21" s="24">
        <f t="shared" si="6"/>
        <v>6.070287539936102E-2</v>
      </c>
      <c r="I21" s="60">
        <f t="shared" si="7"/>
        <v>6070.2875399361019</v>
      </c>
      <c r="J21" s="37">
        <f t="shared" si="8"/>
        <v>1770</v>
      </c>
      <c r="K21" s="24">
        <f t="shared" si="9"/>
        <v>0.13099041533546327</v>
      </c>
      <c r="L21" s="60">
        <f t="shared" si="10"/>
        <v>13099.041533546328</v>
      </c>
      <c r="M21" s="37">
        <f t="shared" si="11"/>
        <v>1675</v>
      </c>
      <c r="N21" s="24">
        <f t="shared" si="12"/>
        <v>7.0287539936102233E-2</v>
      </c>
      <c r="O21" s="62">
        <f t="shared" si="13"/>
        <v>7028.753993610223</v>
      </c>
      <c r="Q21" s="204"/>
      <c r="R21" s="205"/>
    </row>
    <row r="22" spans="1:18" ht="17.25" customHeight="1">
      <c r="A22" s="40" t="s">
        <v>194</v>
      </c>
      <c r="B22" s="36">
        <f t="shared" si="1"/>
        <v>166</v>
      </c>
      <c r="C22" s="5">
        <f t="shared" si="2"/>
        <v>9.2105263199999995E-2</v>
      </c>
      <c r="D22" s="36">
        <f t="shared" si="3"/>
        <v>172</v>
      </c>
      <c r="E22" s="5">
        <f t="shared" si="4"/>
        <v>3.614457831325301E-2</v>
      </c>
      <c r="F22" s="59">
        <f t="shared" si="5"/>
        <v>3614.457831325301</v>
      </c>
      <c r="G22" s="36">
        <f t="shared" si="0"/>
        <v>181</v>
      </c>
      <c r="H22" s="5">
        <f t="shared" si="6"/>
        <v>9.036144578313253E-2</v>
      </c>
      <c r="I22" s="59">
        <f t="shared" si="7"/>
        <v>9036.1445783132531</v>
      </c>
      <c r="J22" s="36">
        <f t="shared" si="8"/>
        <v>183</v>
      </c>
      <c r="K22" s="5">
        <f t="shared" si="9"/>
        <v>0.10240963855421686</v>
      </c>
      <c r="L22" s="59">
        <f t="shared" si="10"/>
        <v>10240.963855421687</v>
      </c>
      <c r="M22" s="36">
        <f t="shared" si="11"/>
        <v>193</v>
      </c>
      <c r="N22" s="5">
        <f t="shared" si="12"/>
        <v>0.16265060240963855</v>
      </c>
      <c r="O22" s="44">
        <f t="shared" si="13"/>
        <v>16265.060240963856</v>
      </c>
      <c r="Q22" s="204"/>
      <c r="R22" s="205"/>
    </row>
    <row r="23" spans="1:18" ht="17.25" customHeight="1">
      <c r="A23" s="40" t="s">
        <v>166</v>
      </c>
      <c r="B23" s="36">
        <f t="shared" si="1"/>
        <v>781</v>
      </c>
      <c r="C23" s="5">
        <f t="shared" si="2"/>
        <v>0.17091454270000001</v>
      </c>
      <c r="D23" s="36">
        <f t="shared" si="3"/>
        <v>773</v>
      </c>
      <c r="E23" s="5">
        <f t="shared" si="4"/>
        <v>-1.0243277848911651E-2</v>
      </c>
      <c r="F23" s="59">
        <f t="shared" si="5"/>
        <v>-1024.327784891165</v>
      </c>
      <c r="G23" s="36">
        <f t="shared" si="0"/>
        <v>772</v>
      </c>
      <c r="H23" s="5">
        <f t="shared" si="6"/>
        <v>-1.1523687580025609E-2</v>
      </c>
      <c r="I23" s="59">
        <f t="shared" si="7"/>
        <v>-1152.3687580025608</v>
      </c>
      <c r="J23" s="36">
        <f t="shared" si="8"/>
        <v>795</v>
      </c>
      <c r="K23" s="5">
        <f t="shared" si="9"/>
        <v>1.7925736235595392E-2</v>
      </c>
      <c r="L23" s="59">
        <f t="shared" si="10"/>
        <v>1792.5736235595391</v>
      </c>
      <c r="M23" s="36">
        <f t="shared" si="11"/>
        <v>778</v>
      </c>
      <c r="N23" s="5">
        <f t="shared" si="12"/>
        <v>-3.8412291933418692E-3</v>
      </c>
      <c r="O23" s="44">
        <f t="shared" si="13"/>
        <v>-384.12291933418692</v>
      </c>
      <c r="Q23" s="204"/>
      <c r="R23" s="205"/>
    </row>
    <row r="24" spans="1:18" ht="17.25" customHeight="1">
      <c r="A24" s="40" t="s">
        <v>162</v>
      </c>
      <c r="B24" s="36">
        <f t="shared" si="1"/>
        <v>266</v>
      </c>
      <c r="C24" s="5">
        <f t="shared" si="2"/>
        <v>0.1565217391</v>
      </c>
      <c r="D24" s="36">
        <f t="shared" si="3"/>
        <v>291</v>
      </c>
      <c r="E24" s="5">
        <f t="shared" si="4"/>
        <v>9.3984962406015032E-2</v>
      </c>
      <c r="F24" s="59">
        <f t="shared" si="5"/>
        <v>9398.4962406015038</v>
      </c>
      <c r="G24" s="36">
        <f t="shared" si="0"/>
        <v>306</v>
      </c>
      <c r="H24" s="5">
        <f t="shared" si="6"/>
        <v>0.15037593984962405</v>
      </c>
      <c r="I24" s="59">
        <f t="shared" si="7"/>
        <v>15037.593984962405</v>
      </c>
      <c r="J24" s="36">
        <f t="shared" si="8"/>
        <v>312</v>
      </c>
      <c r="K24" s="5">
        <f t="shared" si="9"/>
        <v>0.17293233082706766</v>
      </c>
      <c r="L24" s="59">
        <f t="shared" si="10"/>
        <v>17293.233082706767</v>
      </c>
      <c r="M24" s="36">
        <f t="shared" si="11"/>
        <v>303</v>
      </c>
      <c r="N24" s="5">
        <f t="shared" si="12"/>
        <v>0.13909774436090225</v>
      </c>
      <c r="O24" s="44">
        <f t="shared" si="13"/>
        <v>13909.774436090225</v>
      </c>
      <c r="Q24" s="204"/>
      <c r="R24" s="205"/>
    </row>
    <row r="25" spans="1:18" ht="17.25" customHeight="1">
      <c r="A25" s="40" t="s">
        <v>99</v>
      </c>
      <c r="B25" s="36">
        <f t="shared" si="1"/>
        <v>338</v>
      </c>
      <c r="C25" s="5">
        <f t="shared" si="2"/>
        <v>0.14189189190000001</v>
      </c>
      <c r="D25" s="36">
        <f t="shared" si="3"/>
        <v>327</v>
      </c>
      <c r="E25" s="5">
        <f t="shared" si="4"/>
        <v>-3.2544378698224852E-2</v>
      </c>
      <c r="F25" s="59">
        <f t="shared" si="5"/>
        <v>-3254.437869822485</v>
      </c>
      <c r="G25" s="36">
        <f t="shared" si="0"/>
        <v>321</v>
      </c>
      <c r="H25" s="5">
        <f t="shared" si="6"/>
        <v>-5.0295857988165681E-2</v>
      </c>
      <c r="I25" s="59">
        <f t="shared" si="7"/>
        <v>-5029.5857988165681</v>
      </c>
      <c r="J25" s="36">
        <f t="shared" si="8"/>
        <v>325</v>
      </c>
      <c r="K25" s="5">
        <f t="shared" si="9"/>
        <v>-3.8461538461538464E-2</v>
      </c>
      <c r="L25" s="59">
        <f t="shared" si="10"/>
        <v>-3846.1538461538462</v>
      </c>
      <c r="M25" s="36">
        <f t="shared" si="11"/>
        <v>320</v>
      </c>
      <c r="N25" s="5">
        <f t="shared" si="12"/>
        <v>-5.3254437869822487E-2</v>
      </c>
      <c r="O25" s="44">
        <f t="shared" si="13"/>
        <v>-5325.4437869822486</v>
      </c>
      <c r="Q25" s="206"/>
      <c r="R25" s="207"/>
    </row>
    <row r="26" spans="1:18" ht="17.25" customHeight="1" thickBot="1">
      <c r="A26" s="42" t="s">
        <v>134</v>
      </c>
      <c r="B26" s="38">
        <f t="shared" si="1"/>
        <v>470</v>
      </c>
      <c r="C26" s="16">
        <f t="shared" si="2"/>
        <v>0.1352657005</v>
      </c>
      <c r="D26" s="38">
        <f t="shared" si="3"/>
        <v>455</v>
      </c>
      <c r="E26" s="16">
        <f t="shared" si="4"/>
        <v>-3.1914893617021274E-2</v>
      </c>
      <c r="F26" s="61">
        <f t="shared" si="5"/>
        <v>-3191.4893617021276</v>
      </c>
      <c r="G26" s="38">
        <f t="shared" si="0"/>
        <v>459</v>
      </c>
      <c r="H26" s="16">
        <f t="shared" si="6"/>
        <v>-2.3404255319148935E-2</v>
      </c>
      <c r="I26" s="61">
        <f t="shared" si="7"/>
        <v>-2340.4255319148933</v>
      </c>
      <c r="J26" s="38">
        <f t="shared" si="8"/>
        <v>484</v>
      </c>
      <c r="K26" s="16">
        <f t="shared" si="9"/>
        <v>2.9787234042553193E-2</v>
      </c>
      <c r="L26" s="61">
        <f t="shared" si="10"/>
        <v>2978.7234042553191</v>
      </c>
      <c r="M26" s="38">
        <f t="shared" si="11"/>
        <v>476</v>
      </c>
      <c r="N26" s="16">
        <f t="shared" si="12"/>
        <v>1.276595744680851E-2</v>
      </c>
      <c r="O26" s="45">
        <f t="shared" si="13"/>
        <v>1276.5957446808509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7.4582196760260747E-2</v>
      </c>
      <c r="F27" s="47">
        <f>SUM(F17:F26)</f>
        <v>74582.196760260747</v>
      </c>
      <c r="G27" s="57" t="s">
        <v>82</v>
      </c>
      <c r="H27" s="46">
        <f>IF(COUNT(H17:H26), SUM(H17:H26) / COUNT(H17:H26), 0)</f>
        <v>8.4221269422124823E-2</v>
      </c>
      <c r="I27" s="47">
        <f>SUM(I17:I26)</f>
        <v>84221.269422124824</v>
      </c>
      <c r="J27" s="57" t="s">
        <v>82</v>
      </c>
      <c r="K27" s="46">
        <f>IF(COUNT(K17:K26), SUM(K17:K26) / COUNT(K17:K26), 0)</f>
        <v>0.10493090093736257</v>
      </c>
      <c r="L27" s="47">
        <f>SUM(L17:L26)</f>
        <v>104930.90093736257</v>
      </c>
      <c r="M27" s="57" t="s">
        <v>82</v>
      </c>
      <c r="N27" s="46">
        <f>IF(COUNT(N17:N26), SUM(N17:N26) / COUNT(N17:N26), 0)</f>
        <v>6.8008763235996014E-2</v>
      </c>
      <c r="O27" s="47">
        <f>SUM(O17:O26)</f>
        <v>68008.763235996012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09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13" t="s">
        <v>70</v>
      </c>
      <c r="M33" s="18" t="s">
        <v>67</v>
      </c>
      <c r="N33" s="4" t="s">
        <v>68</v>
      </c>
      <c r="O33" s="115" t="s">
        <v>70</v>
      </c>
      <c r="Q33" s="231"/>
      <c r="R33" s="232"/>
    </row>
    <row r="34" spans="1:18" ht="17.25" customHeight="1">
      <c r="A34" s="9" t="s">
        <v>158</v>
      </c>
      <c r="B34" s="31">
        <v>38.299999999999997</v>
      </c>
      <c r="C34" s="22">
        <v>9.4285714300000004E-2</v>
      </c>
      <c r="D34" s="89">
        <v>36.5</v>
      </c>
      <c r="E34" s="22">
        <f>IF(ISNUMBER(D34), (D34 - $B34) / $B34, "")</f>
        <v>-4.6997389033942488E-2</v>
      </c>
      <c r="F34" s="43">
        <f>IF(ISNUMBER(D34), $B44 * E34, "")</f>
        <v>-4699.7389033942491</v>
      </c>
      <c r="G34" s="89">
        <v>36</v>
      </c>
      <c r="H34" s="22">
        <f>IF(ISNUMBER(G34), (G34 - $B34) / $B34, "")</f>
        <v>-6.0052219321148757E-2</v>
      </c>
      <c r="I34" s="43">
        <f>IF(ISNUMBER(G34), $B44 * H34, "")</f>
        <v>-6005.2219321148759</v>
      </c>
      <c r="J34" s="89">
        <v>36.700000000000003</v>
      </c>
      <c r="K34" s="22">
        <f>IF(ISNUMBER(J34), (J34 - $B34) / $B34, "")</f>
        <v>-4.1775456919059907E-2</v>
      </c>
      <c r="L34" s="43">
        <f>IF(ISNUMBER(J34), $B44 * K34, "")</f>
        <v>-4177.5456919059907</v>
      </c>
      <c r="M34" s="89">
        <v>36</v>
      </c>
      <c r="N34" s="22">
        <f>IF(ISNUMBER(M34), (M34 - $B34) / $B34, "")</f>
        <v>-6.0052219321148757E-2</v>
      </c>
      <c r="O34" s="43">
        <f>IF(ISNUMBER(M34), $B44 * N34, "")</f>
        <v>-6005.2219321148759</v>
      </c>
      <c r="Q34" s="229"/>
      <c r="R34" s="230"/>
    </row>
    <row r="35" spans="1:18" ht="17.25" customHeight="1">
      <c r="A35" s="11" t="s">
        <v>135</v>
      </c>
      <c r="B35" s="32">
        <v>36.700000000000003</v>
      </c>
      <c r="C35" s="5">
        <v>8.2595870200000004E-2</v>
      </c>
      <c r="D35" s="36">
        <v>35.299999999999997</v>
      </c>
      <c r="E35" s="5">
        <f t="shared" ref="E35:E43" si="14">IF(ISNUMBER(D35), (D35 - $B35) / $B35, "")</f>
        <v>-3.8147138964577811E-2</v>
      </c>
      <c r="F35" s="44">
        <f>IF(ISNUMBER(D35), $B44 * E35, "")</f>
        <v>-3814.7138964577812</v>
      </c>
      <c r="G35" s="36">
        <v>34.6</v>
      </c>
      <c r="H35" s="5">
        <f t="shared" ref="H35:H43" si="15">IF(ISNUMBER(G35), (G35 - $B35) / $B35, "")</f>
        <v>-5.7220708446866518E-2</v>
      </c>
      <c r="I35" s="44">
        <f>IF(ISNUMBER(G35), $B44 * H35, "")</f>
        <v>-5722.070844686652</v>
      </c>
      <c r="J35" s="36">
        <v>35.6</v>
      </c>
      <c r="K35" s="5">
        <f t="shared" ref="K35:K43" si="16">IF(ISNUMBER(J35), (J35 - $B35) / $B35, "")</f>
        <v>-2.9972752043596767E-2</v>
      </c>
      <c r="L35" s="44">
        <f>IF(ISNUMBER(J35), $B44 * K35, "")</f>
        <v>-2997.2752043596765</v>
      </c>
      <c r="M35" s="36">
        <v>34.700000000000003</v>
      </c>
      <c r="N35" s="5">
        <f t="shared" ref="N35:N43" si="17">IF(ISNUMBER(M35), (M35 - $B35) / $B35, "")</f>
        <v>-5.4495912806539502E-2</v>
      </c>
      <c r="O35" s="44">
        <f>IF(ISNUMBER(M35), $B44 * N35, "")</f>
        <v>-5449.59128065395</v>
      </c>
      <c r="Q35" s="229"/>
      <c r="R35" s="230"/>
    </row>
    <row r="36" spans="1:18" ht="17.25" customHeight="1">
      <c r="A36" s="11" t="s">
        <v>95</v>
      </c>
      <c r="B36" s="32">
        <v>35.299999999999997</v>
      </c>
      <c r="C36" s="5">
        <v>7.2948328300000004E-2</v>
      </c>
      <c r="D36" s="36">
        <v>34.9</v>
      </c>
      <c r="E36" s="5">
        <f t="shared" si="14"/>
        <v>-1.133144475920676E-2</v>
      </c>
      <c r="F36" s="44">
        <f>IF(ISNUMBER(D36), $B44 * E36, "")</f>
        <v>-1133.1444759206759</v>
      </c>
      <c r="G36" s="36">
        <v>34.1</v>
      </c>
      <c r="H36" s="5">
        <f t="shared" si="15"/>
        <v>-3.3994334277620282E-2</v>
      </c>
      <c r="I36" s="44">
        <f>IF(ISNUMBER(G36), $B44 * H36, "")</f>
        <v>-3399.4334277620283</v>
      </c>
      <c r="J36" s="36">
        <v>34.700000000000003</v>
      </c>
      <c r="K36" s="5">
        <f t="shared" si="16"/>
        <v>-1.6997167138810037E-2</v>
      </c>
      <c r="L36" s="44">
        <f>IF(ISNUMBER(J36), $B44 * K36, "")</f>
        <v>-1699.7167138810037</v>
      </c>
      <c r="M36" s="36">
        <v>34</v>
      </c>
      <c r="N36" s="5">
        <f t="shared" si="17"/>
        <v>-3.6827195467422018E-2</v>
      </c>
      <c r="O36" s="44">
        <f>IF(ISNUMBER(M36), $B44 * N36, "")</f>
        <v>-3682.7195467422016</v>
      </c>
      <c r="Q36" s="229"/>
      <c r="R36" s="230"/>
    </row>
    <row r="37" spans="1:18" ht="17.25" customHeight="1">
      <c r="A37" s="11" t="s">
        <v>100</v>
      </c>
      <c r="B37" s="32">
        <v>46.7</v>
      </c>
      <c r="C37" s="5">
        <v>6.3781321200000005E-2</v>
      </c>
      <c r="D37" s="36">
        <v>45</v>
      </c>
      <c r="E37" s="5">
        <f t="shared" si="14"/>
        <v>-3.6402569593147811E-2</v>
      </c>
      <c r="F37" s="44">
        <f>IF(ISNUMBER(D37), $B44 * E37, "")</f>
        <v>-3640.2569593147809</v>
      </c>
      <c r="G37" s="36">
        <v>44.7</v>
      </c>
      <c r="H37" s="5">
        <f t="shared" si="15"/>
        <v>-4.2826552462526764E-2</v>
      </c>
      <c r="I37" s="44">
        <f>IF(ISNUMBER(G37), $B44 * H37, "")</f>
        <v>-4282.6552462526761</v>
      </c>
      <c r="J37" s="36">
        <v>45.1</v>
      </c>
      <c r="K37" s="5">
        <f t="shared" si="16"/>
        <v>-3.4261241970021443E-2</v>
      </c>
      <c r="L37" s="44">
        <f>IF(ISNUMBER(J37), $B44 * K37, "")</f>
        <v>-3426.1241970021442</v>
      </c>
      <c r="M37" s="36">
        <v>44.1</v>
      </c>
      <c r="N37" s="5">
        <f t="shared" si="17"/>
        <v>-5.5674518201284821E-2</v>
      </c>
      <c r="O37" s="44">
        <f>IF(ISNUMBER(M37), $B44 * N37, "")</f>
        <v>-5567.4518201284818</v>
      </c>
      <c r="Q37" s="229"/>
      <c r="R37" s="230"/>
    </row>
    <row r="38" spans="1:18" ht="17.25" customHeight="1">
      <c r="A38" s="8" t="s">
        <v>136</v>
      </c>
      <c r="B38" s="33">
        <v>31.9</v>
      </c>
      <c r="C38" s="24">
        <v>6.3333333300000003E-2</v>
      </c>
      <c r="D38" s="37">
        <v>31.9</v>
      </c>
      <c r="E38" s="24">
        <f t="shared" si="14"/>
        <v>0</v>
      </c>
      <c r="F38" s="44">
        <f>IF(ISNUMBER(D38), $B44 * E38, "")</f>
        <v>0</v>
      </c>
      <c r="G38" s="37">
        <v>31.3</v>
      </c>
      <c r="H38" s="24">
        <f t="shared" si="15"/>
        <v>-1.880877742946702E-2</v>
      </c>
      <c r="I38" s="44">
        <f>IF(ISNUMBER(G38), $B44 * H38, "")</f>
        <v>-1880.877742946702</v>
      </c>
      <c r="J38" s="37">
        <v>31.7</v>
      </c>
      <c r="K38" s="24">
        <f t="shared" si="16"/>
        <v>-6.2695924764890063E-3</v>
      </c>
      <c r="L38" s="44">
        <f>IF(ISNUMBER(J38), $B44 * K38, "")</f>
        <v>-626.9592476489006</v>
      </c>
      <c r="M38" s="37">
        <v>31.5</v>
      </c>
      <c r="N38" s="24">
        <f t="shared" si="17"/>
        <v>-1.2539184952978013E-2</v>
      </c>
      <c r="O38" s="44">
        <f>IF(ISNUMBER(M38), $B44 * N38, "")</f>
        <v>-1253.9184952978012</v>
      </c>
      <c r="Q38" s="229"/>
      <c r="R38" s="230"/>
    </row>
    <row r="39" spans="1:18" ht="17.25" customHeight="1">
      <c r="A39" s="11" t="s">
        <v>145</v>
      </c>
      <c r="B39" s="32">
        <v>52.2</v>
      </c>
      <c r="C39" s="5">
        <v>5.8823529399999998E-2</v>
      </c>
      <c r="D39" s="36">
        <v>52.8</v>
      </c>
      <c r="E39" s="5">
        <f t="shared" si="14"/>
        <v>1.1494252873563109E-2</v>
      </c>
      <c r="F39" s="48">
        <f>IF(ISNUMBER(D39), $B44 * E39, "")</f>
        <v>1149.4252873563109</v>
      </c>
      <c r="G39" s="36">
        <v>52</v>
      </c>
      <c r="H39" s="5">
        <f t="shared" si="15"/>
        <v>-3.8314176245211272E-3</v>
      </c>
      <c r="I39" s="48">
        <f>IF(ISNUMBER(G39), $B44 * H39, "")</f>
        <v>-383.14176245211274</v>
      </c>
      <c r="J39" s="36">
        <v>53.5</v>
      </c>
      <c r="K39" s="5">
        <f t="shared" si="16"/>
        <v>2.4904214559386916E-2</v>
      </c>
      <c r="L39" s="48">
        <f>IF(ISNUMBER(J39), $B44 * K39, "")</f>
        <v>2490.4214559386915</v>
      </c>
      <c r="M39" s="36">
        <v>54.2</v>
      </c>
      <c r="N39" s="5">
        <f t="shared" si="17"/>
        <v>3.8314176245210725E-2</v>
      </c>
      <c r="O39" s="48">
        <f>IF(ISNUMBER(M39), $B44 * N39, "")</f>
        <v>3831.4176245210724</v>
      </c>
      <c r="Q39" s="229"/>
      <c r="R39" s="230"/>
    </row>
    <row r="40" spans="1:18" ht="17.25" customHeight="1">
      <c r="A40" s="11"/>
      <c r="B40" s="32"/>
      <c r="C40" s="5"/>
      <c r="D40" s="36"/>
      <c r="E40" s="5" t="str">
        <f t="shared" si="14"/>
        <v/>
      </c>
      <c r="F40" s="44" t="str">
        <f>IF(ISNUMBER(D40), $B44 * E40, "")</f>
        <v/>
      </c>
      <c r="G40" s="36"/>
      <c r="H40" s="5" t="str">
        <f t="shared" si="15"/>
        <v/>
      </c>
      <c r="I40" s="44" t="str">
        <f>IF(ISNUMBER(G40), $B44 * H40, "")</f>
        <v/>
      </c>
      <c r="J40" s="36"/>
      <c r="K40" s="5" t="str">
        <f t="shared" si="16"/>
        <v/>
      </c>
      <c r="L40" s="44" t="str">
        <f>IF(ISNUMBER(J40), $B44 * K40, "")</f>
        <v/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/>
      <c r="B41" s="32"/>
      <c r="C41" s="5"/>
      <c r="D41" s="36"/>
      <c r="E41" s="5" t="str">
        <f t="shared" si="14"/>
        <v/>
      </c>
      <c r="F41" s="44" t="str">
        <f>IF(ISNUMBER(D41), $B44 * E41, "")</f>
        <v/>
      </c>
      <c r="G41" s="36"/>
      <c r="H41" s="5" t="str">
        <f t="shared" si="15"/>
        <v/>
      </c>
      <c r="I41" s="44" t="str">
        <f>IF(ISNUMBER(G41), $B44 * H41, "")</f>
        <v/>
      </c>
      <c r="J41" s="36"/>
      <c r="K41" s="5" t="str">
        <f t="shared" si="16"/>
        <v/>
      </c>
      <c r="L41" s="44" t="str">
        <f>IF(ISNUMBER(J41), $B44 * K41, "")</f>
        <v/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/>
      <c r="B42" s="32"/>
      <c r="C42" s="5"/>
      <c r="D42" s="36"/>
      <c r="E42" s="5" t="str">
        <f t="shared" si="14"/>
        <v/>
      </c>
      <c r="F42" s="44" t="str">
        <f>IF(ISNUMBER(D42), $B44 * E42, "")</f>
        <v/>
      </c>
      <c r="G42" s="36"/>
      <c r="H42" s="5" t="str">
        <f t="shared" si="15"/>
        <v/>
      </c>
      <c r="I42" s="44" t="str">
        <f>IF(ISNUMBER(G42), $B44 * H42, "")</f>
        <v/>
      </c>
      <c r="J42" s="36"/>
      <c r="K42" s="5" t="str">
        <f t="shared" si="16"/>
        <v/>
      </c>
      <c r="L42" s="44" t="str">
        <f>IF(ISNUMBER(J42), $B44 * K42, "")</f>
        <v/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/>
      <c r="B43" s="34"/>
      <c r="C43" s="16"/>
      <c r="D43" s="38"/>
      <c r="E43" s="16" t="str">
        <f t="shared" si="14"/>
        <v/>
      </c>
      <c r="F43" s="45" t="str">
        <f>IF(ISNUMBER(D43), $B44 * E43, "")</f>
        <v/>
      </c>
      <c r="G43" s="38"/>
      <c r="H43" s="16" t="str">
        <f t="shared" si="15"/>
        <v/>
      </c>
      <c r="I43" s="45" t="str">
        <f>IF(ISNUMBER(G43), $B44 * H43, "")</f>
        <v/>
      </c>
      <c r="J43" s="38"/>
      <c r="K43" s="16" t="str">
        <f t="shared" si="16"/>
        <v/>
      </c>
      <c r="L43" s="45" t="str">
        <f>IF(ISNUMBER(J43), $B44 * K43, "")</f>
        <v/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-2.0230714912885295E-2</v>
      </c>
      <c r="F44" s="47">
        <f>SUM(F34:F43)</f>
        <v>-12138.428947731174</v>
      </c>
      <c r="G44" s="57" t="s">
        <v>82</v>
      </c>
      <c r="H44" s="46">
        <f>IF(COUNT(H34:H43), SUM(H34:H43) / COUNT(H34:H43), 0)</f>
        <v>-3.6122334927025081E-2</v>
      </c>
      <c r="I44" s="47">
        <f>SUM(I34:I43)</f>
        <v>-21673.400956215046</v>
      </c>
      <c r="J44" s="57" t="s">
        <v>82</v>
      </c>
      <c r="K44" s="46">
        <f>IF(COUNT(K34:K43), SUM(K34:K43) / COUNT(K34:K43), 0)</f>
        <v>-1.7395332664765041E-2</v>
      </c>
      <c r="L44" s="47">
        <f>SUM(L34:L43)</f>
        <v>-10437.199598859026</v>
      </c>
      <c r="M44" s="57" t="s">
        <v>82</v>
      </c>
      <c r="N44" s="46">
        <f>IF(COUNT(N34:N43), SUM(N34:N43) / COUNT(N34:N43), 0)</f>
        <v>-3.0212475750693732E-2</v>
      </c>
      <c r="O44" s="47">
        <f>SUM(O34:O43)</f>
        <v>-18127.485450416239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09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13" t="s">
        <v>70</v>
      </c>
      <c r="M50" s="18" t="s">
        <v>67</v>
      </c>
      <c r="N50" s="4" t="s">
        <v>68</v>
      </c>
      <c r="O50" s="115" t="s">
        <v>70</v>
      </c>
      <c r="Q50" s="231"/>
      <c r="R50" s="232"/>
    </row>
    <row r="51" spans="1:18" ht="17.25" customHeight="1">
      <c r="A51" s="9" t="s">
        <v>132</v>
      </c>
      <c r="B51" s="31">
        <v>42.2</v>
      </c>
      <c r="C51" s="22">
        <v>0.1625344353</v>
      </c>
      <c r="D51" s="89">
        <v>42.4</v>
      </c>
      <c r="E51" s="22">
        <f>IF(ISNUMBER(D51), (D51 - $B51) / $B51, "")</f>
        <v>4.7393364928908941E-3</v>
      </c>
      <c r="F51" s="43">
        <f>IF(ISNUMBER(D51), $B61 * E51, "")</f>
        <v>473.93364928908943</v>
      </c>
      <c r="G51" s="89">
        <v>42.1</v>
      </c>
      <c r="H51" s="22">
        <f>IF(ISNUMBER(G51), (G51 - $B51) / $B51, "")</f>
        <v>-2.3696682464455312E-3</v>
      </c>
      <c r="I51" s="43">
        <f>IF(ISNUMBER(G51), $B61 * H51, "")</f>
        <v>-236.96682464455313</v>
      </c>
      <c r="J51" s="89">
        <v>42.8</v>
      </c>
      <c r="K51" s="22">
        <f>IF(ISNUMBER(J51), (J51 - $B51) / $B51, "")</f>
        <v>1.421800947867285E-2</v>
      </c>
      <c r="L51" s="43">
        <f>IF(ISNUMBER(J51), $B61 * K51, "")</f>
        <v>1421.800947867285</v>
      </c>
      <c r="M51" s="89">
        <v>41.1</v>
      </c>
      <c r="N51" s="22">
        <f>IF(ISNUMBER(M51), (M51 - $B51) / $B51, "")</f>
        <v>-2.6066350710900507E-2</v>
      </c>
      <c r="O51" s="43">
        <f>IF(ISNUMBER(M51), $B61 * N51, "")</f>
        <v>-2606.6350710900506</v>
      </c>
      <c r="Q51" s="229"/>
      <c r="R51" s="230"/>
    </row>
    <row r="52" spans="1:18" ht="17.25" customHeight="1">
      <c r="A52" s="11"/>
      <c r="B52" s="32"/>
      <c r="C52" s="5"/>
      <c r="D52" s="36"/>
      <c r="E52" s="5" t="str">
        <f t="shared" ref="E52:E60" si="18">IF(ISNUMBER(D52), (D52 - $B52) / $B52, "")</f>
        <v/>
      </c>
      <c r="F52" s="44" t="str">
        <f>IF(ISNUMBER(D52), $B61 * E52, "")</f>
        <v/>
      </c>
      <c r="G52" s="36"/>
      <c r="H52" s="5" t="str">
        <f t="shared" ref="H52:H60" si="19">IF(ISNUMBER(G52), (G52 - $B52) / $B52, "")</f>
        <v/>
      </c>
      <c r="I52" s="44" t="str">
        <f>IF(ISNUMBER(G52), $B61 * H52, "")</f>
        <v/>
      </c>
      <c r="J52" s="36"/>
      <c r="K52" s="5" t="str">
        <f t="shared" ref="K52:K60" si="20">IF(ISNUMBER(J52), (J52 - $B52) / $B52, "")</f>
        <v/>
      </c>
      <c r="L52" s="44" t="str">
        <f>IF(ISNUMBER(J52), $B61 * K52, "")</f>
        <v/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/>
      <c r="B53" s="32"/>
      <c r="C53" s="5"/>
      <c r="D53" s="36"/>
      <c r="E53" s="5" t="str">
        <f t="shared" si="18"/>
        <v/>
      </c>
      <c r="F53" s="44" t="str">
        <f>IF(ISNUMBER(D53), $B61 * E53, "")</f>
        <v/>
      </c>
      <c r="G53" s="36"/>
      <c r="H53" s="5" t="str">
        <f t="shared" si="19"/>
        <v/>
      </c>
      <c r="I53" s="44" t="str">
        <f>IF(ISNUMBER(G53), $B61 * H53, "")</f>
        <v/>
      </c>
      <c r="J53" s="36"/>
      <c r="K53" s="5" t="str">
        <f t="shared" si="20"/>
        <v/>
      </c>
      <c r="L53" s="44" t="str">
        <f>IF(ISNUMBER(J53), $B61 * K53, "")</f>
        <v/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/>
      <c r="B54" s="32"/>
      <c r="C54" s="5"/>
      <c r="D54" s="36"/>
      <c r="E54" s="5" t="str">
        <f t="shared" si="18"/>
        <v/>
      </c>
      <c r="F54" s="44" t="str">
        <f>IF(ISNUMBER(D54), $B61 * E54, "")</f>
        <v/>
      </c>
      <c r="G54" s="36"/>
      <c r="H54" s="5" t="str">
        <f t="shared" si="19"/>
        <v/>
      </c>
      <c r="I54" s="44" t="str">
        <f>IF(ISNUMBER(G54), $B61 * H54, "")</f>
        <v/>
      </c>
      <c r="J54" s="36"/>
      <c r="K54" s="5" t="str">
        <f t="shared" si="20"/>
        <v/>
      </c>
      <c r="L54" s="44" t="str">
        <f>IF(ISNUMBER(J54), $B61 * K54, "")</f>
        <v/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/>
      <c r="B55" s="33"/>
      <c r="C55" s="24"/>
      <c r="D55" s="37"/>
      <c r="E55" s="24" t="str">
        <f t="shared" si="18"/>
        <v/>
      </c>
      <c r="F55" s="44" t="str">
        <f>IF(ISNUMBER(D55), $B61 * E55, "")</f>
        <v/>
      </c>
      <c r="G55" s="37"/>
      <c r="H55" s="24" t="str">
        <f t="shared" si="19"/>
        <v/>
      </c>
      <c r="I55" s="44" t="str">
        <f>IF(ISNUMBER(G55), $B61 * H55, "")</f>
        <v/>
      </c>
      <c r="J55" s="37"/>
      <c r="K55" s="24" t="str">
        <f t="shared" si="20"/>
        <v/>
      </c>
      <c r="L55" s="44" t="str">
        <f>IF(ISNUMBER(J55), $B61 * K55, "")</f>
        <v/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4.7393364928908941E-3</v>
      </c>
      <c r="F61" s="47">
        <f>SUM(F51:F60)</f>
        <v>473.93364928908943</v>
      </c>
      <c r="G61" s="57" t="s">
        <v>82</v>
      </c>
      <c r="H61" s="46">
        <f>IF(COUNT(H51:H60), SUM(H51:H60) / COUNT(H51:H60), 0)</f>
        <v>-2.3696682464455312E-3</v>
      </c>
      <c r="I61" s="47">
        <f>SUM(I51:I60)</f>
        <v>-236.96682464455313</v>
      </c>
      <c r="J61" s="57" t="s">
        <v>82</v>
      </c>
      <c r="K61" s="46">
        <f>IF(COUNT(K51:K60), SUM(K51:K60) / COUNT(K51:K60), 0)</f>
        <v>1.421800947867285E-2</v>
      </c>
      <c r="L61" s="47">
        <f>SUM(L51:L60)</f>
        <v>1421.800947867285</v>
      </c>
      <c r="M61" s="57" t="s">
        <v>82</v>
      </c>
      <c r="N61" s="46">
        <f>IF(COUNT(N51:N60), SUM(N51:N60) / COUNT(N51:N60), 0)</f>
        <v>-2.6066350710900507E-2</v>
      </c>
      <c r="O61" s="47">
        <f>SUM(O51:O60)</f>
        <v>-2606.6350710900506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09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13" t="s">
        <v>70</v>
      </c>
      <c r="M67" s="18" t="s">
        <v>67</v>
      </c>
      <c r="N67" s="4" t="s">
        <v>68</v>
      </c>
      <c r="O67" s="115" t="s">
        <v>70</v>
      </c>
      <c r="Q67" s="231"/>
      <c r="R67" s="232"/>
    </row>
    <row r="68" spans="1:18" ht="17.25" customHeight="1">
      <c r="A68" s="9" t="s">
        <v>104</v>
      </c>
      <c r="B68" s="31">
        <v>765</v>
      </c>
      <c r="C68" s="22">
        <v>9.9137930999999999E-2</v>
      </c>
      <c r="D68" s="89">
        <v>773</v>
      </c>
      <c r="E68" s="22">
        <f>IF(ISNUMBER(D68), (D68 - $B68) / $B68, "")</f>
        <v>1.045751633986928E-2</v>
      </c>
      <c r="F68" s="43">
        <f>IF(ISNUMBER(D68), $B78 * E68, "")</f>
        <v>1045.751633986928</v>
      </c>
      <c r="G68" s="89">
        <v>754</v>
      </c>
      <c r="H68" s="22">
        <f>IF(ISNUMBER(G68), (G68 - $B68) / $B68, "")</f>
        <v>-1.4379084967320261E-2</v>
      </c>
      <c r="I68" s="43">
        <f>IF(ISNUMBER(G68), $B78 * H68, "")</f>
        <v>-1437.9084967320262</v>
      </c>
      <c r="J68" s="89">
        <v>794</v>
      </c>
      <c r="K68" s="22">
        <f>IF(ISNUMBER(J68), (J68 - $B68) / $B68, "")</f>
        <v>3.7908496732026141E-2</v>
      </c>
      <c r="L68" s="43">
        <f>IF(ISNUMBER(J68), $B78 * K68, "")</f>
        <v>3790.8496732026142</v>
      </c>
      <c r="M68" s="89">
        <v>796</v>
      </c>
      <c r="N68" s="22">
        <f>IF(ISNUMBER(M68), (M68 - $B68) / $B68, "")</f>
        <v>4.0522875816993466E-2</v>
      </c>
      <c r="O68" s="43">
        <f>IF(ISNUMBER(M68), $B78 * N68, "")</f>
        <v>4052.2875816993464</v>
      </c>
      <c r="Q68" s="229"/>
      <c r="R68" s="230"/>
    </row>
    <row r="69" spans="1:18" ht="17.25" customHeight="1">
      <c r="A69" s="11" t="s">
        <v>113</v>
      </c>
      <c r="B69" s="32">
        <v>147</v>
      </c>
      <c r="C69" s="5">
        <v>9.7014925399999993E-2</v>
      </c>
      <c r="D69" s="36">
        <v>151</v>
      </c>
      <c r="E69" s="5">
        <f t="shared" ref="E69:E77" si="22">IF(ISNUMBER(D69), (D69 - $B69) / $B69, "")</f>
        <v>2.7210884353741496E-2</v>
      </c>
      <c r="F69" s="44">
        <f>IF(ISNUMBER(D69), $B78 * E69, "")</f>
        <v>2721.0884353741494</v>
      </c>
      <c r="G69" s="36">
        <v>148</v>
      </c>
      <c r="H69" s="5">
        <f t="shared" ref="H69:H77" si="23">IF(ISNUMBER(G69), (G69 - $B69) / $B69, "")</f>
        <v>6.8027210884353739E-3</v>
      </c>
      <c r="I69" s="44">
        <f>IF(ISNUMBER(G69), $B78 * H69, "")</f>
        <v>680.27210884353735</v>
      </c>
      <c r="J69" s="36">
        <v>155</v>
      </c>
      <c r="K69" s="5">
        <f t="shared" ref="K69:K77" si="24">IF(ISNUMBER(J69), (J69 - $B69) / $B69, "")</f>
        <v>5.4421768707482991E-2</v>
      </c>
      <c r="L69" s="44">
        <f>IF(ISNUMBER(J69), $B78 * K69, "")</f>
        <v>5442.1768707482988</v>
      </c>
      <c r="M69" s="36">
        <v>151</v>
      </c>
      <c r="N69" s="5">
        <f t="shared" ref="N69:N77" si="25">IF(ISNUMBER(M69), (M69 - $B69) / $B69, "")</f>
        <v>2.7210884353741496E-2</v>
      </c>
      <c r="O69" s="44">
        <f>IF(ISNUMBER(M69), $B78 * N69, "")</f>
        <v>2721.0884353741494</v>
      </c>
      <c r="Q69" s="229"/>
      <c r="R69" s="230"/>
    </row>
    <row r="70" spans="1:18" ht="17.25" customHeight="1">
      <c r="A70" s="11" t="s">
        <v>126</v>
      </c>
      <c r="B70" s="32">
        <v>166</v>
      </c>
      <c r="C70" s="5">
        <v>9.2105263199999995E-2</v>
      </c>
      <c r="D70" s="36">
        <v>172</v>
      </c>
      <c r="E70" s="5">
        <f t="shared" si="22"/>
        <v>3.614457831325301E-2</v>
      </c>
      <c r="F70" s="44">
        <f>IF(ISNUMBER(D70), $B78 * E70, "")</f>
        <v>3614.457831325301</v>
      </c>
      <c r="G70" s="36">
        <v>181</v>
      </c>
      <c r="H70" s="5">
        <f t="shared" si="23"/>
        <v>9.036144578313253E-2</v>
      </c>
      <c r="I70" s="44">
        <f>IF(ISNUMBER(G70), $B78 * H70, "")</f>
        <v>9036.1445783132531</v>
      </c>
      <c r="J70" s="36">
        <v>183</v>
      </c>
      <c r="K70" s="5">
        <f t="shared" si="24"/>
        <v>0.10240963855421686</v>
      </c>
      <c r="L70" s="44">
        <f>IF(ISNUMBER(J70), $B78 * K70, "")</f>
        <v>10240.963855421687</v>
      </c>
      <c r="M70" s="36">
        <v>193</v>
      </c>
      <c r="N70" s="5">
        <f t="shared" si="25"/>
        <v>0.16265060240963855</v>
      </c>
      <c r="O70" s="44">
        <f>IF(ISNUMBER(M70), $B78 * N70, "")</f>
        <v>16265.060240963856</v>
      </c>
      <c r="Q70" s="229"/>
      <c r="R70" s="230"/>
    </row>
    <row r="71" spans="1:18" ht="17.25" customHeight="1">
      <c r="A71" s="11" t="s">
        <v>121</v>
      </c>
      <c r="B71" s="32">
        <v>882</v>
      </c>
      <c r="C71" s="5">
        <v>9.0234857799999998E-2</v>
      </c>
      <c r="D71" s="36">
        <v>895</v>
      </c>
      <c r="E71" s="5">
        <f t="shared" si="22"/>
        <v>1.4739229024943311E-2</v>
      </c>
      <c r="F71" s="44">
        <f>IF(ISNUMBER(D71), $B78 * E71, "")</f>
        <v>1473.9229024943311</v>
      </c>
      <c r="G71" s="36">
        <v>902</v>
      </c>
      <c r="H71" s="5">
        <f t="shared" si="23"/>
        <v>2.2675736961451247E-2</v>
      </c>
      <c r="I71" s="44">
        <f>IF(ISNUMBER(G71), $B78 * H71, "")</f>
        <v>2267.5736961451248</v>
      </c>
      <c r="J71" s="36">
        <v>917</v>
      </c>
      <c r="K71" s="5">
        <f t="shared" si="24"/>
        <v>3.968253968253968E-2</v>
      </c>
      <c r="L71" s="44">
        <f>IF(ISNUMBER(J71), $B78 * K71, "")</f>
        <v>3968.2539682539682</v>
      </c>
      <c r="M71" s="36">
        <v>909</v>
      </c>
      <c r="N71" s="5">
        <f t="shared" si="25"/>
        <v>3.0612244897959183E-2</v>
      </c>
      <c r="O71" s="44">
        <f>IF(ISNUMBER(M71), $B78 * N71, "")</f>
        <v>3061.2244897959181</v>
      </c>
      <c r="Q71" s="229"/>
      <c r="R71" s="230"/>
    </row>
    <row r="72" spans="1:18" ht="17.25" customHeight="1">
      <c r="A72" s="8" t="s">
        <v>102</v>
      </c>
      <c r="B72" s="33">
        <v>220</v>
      </c>
      <c r="C72" s="24">
        <v>8.9108910900000005E-2</v>
      </c>
      <c r="D72" s="37">
        <v>219</v>
      </c>
      <c r="E72" s="24">
        <f t="shared" si="22"/>
        <v>-4.5454545454545452E-3</v>
      </c>
      <c r="F72" s="44">
        <f>IF(ISNUMBER(D72), $B78 * E72, "")</f>
        <v>-454.5454545454545</v>
      </c>
      <c r="G72" s="37">
        <v>216</v>
      </c>
      <c r="H72" s="24">
        <f t="shared" si="23"/>
        <v>-1.8181818181818181E-2</v>
      </c>
      <c r="I72" s="44">
        <f>IF(ISNUMBER(G72), $B78 * H72, "")</f>
        <v>-1818.181818181818</v>
      </c>
      <c r="J72" s="37">
        <v>222</v>
      </c>
      <c r="K72" s="24">
        <f t="shared" si="24"/>
        <v>9.0909090909090905E-3</v>
      </c>
      <c r="L72" s="44">
        <f>IF(ISNUMBER(J72), $B78 * K72, "")</f>
        <v>909.09090909090901</v>
      </c>
      <c r="M72" s="37">
        <v>215</v>
      </c>
      <c r="N72" s="24">
        <f t="shared" si="25"/>
        <v>-2.2727272727272728E-2</v>
      </c>
      <c r="O72" s="44">
        <f>IF(ISNUMBER(M72), $B78 * N72, "")</f>
        <v>-2272.727272727273</v>
      </c>
      <c r="Q72" s="229"/>
      <c r="R72" s="230"/>
    </row>
    <row r="73" spans="1:18" ht="17.25" customHeight="1">
      <c r="A73" s="11" t="s">
        <v>96</v>
      </c>
      <c r="B73" s="32">
        <v>966</v>
      </c>
      <c r="C73" s="5">
        <v>8.6614173200000005E-2</v>
      </c>
      <c r="D73" s="36">
        <v>877</v>
      </c>
      <c r="E73" s="5">
        <f t="shared" si="22"/>
        <v>-9.213250517598344E-2</v>
      </c>
      <c r="F73" s="48">
        <f>IF(ISNUMBER(D73), $B78 * E73, "")</f>
        <v>-9213.2505175983442</v>
      </c>
      <c r="G73" s="36">
        <v>886</v>
      </c>
      <c r="H73" s="5">
        <f t="shared" si="23"/>
        <v>-8.2815734989648032E-2</v>
      </c>
      <c r="I73" s="48">
        <f>IF(ISNUMBER(G73), $B78 * H73, "")</f>
        <v>-8281.5734989648026</v>
      </c>
      <c r="J73" s="36">
        <v>899</v>
      </c>
      <c r="K73" s="5">
        <f t="shared" si="24"/>
        <v>-6.9358178053830224E-2</v>
      </c>
      <c r="L73" s="48">
        <f>IF(ISNUMBER(J73), $B78 * K73, "")</f>
        <v>-6935.8178053830225</v>
      </c>
      <c r="M73" s="36">
        <v>883</v>
      </c>
      <c r="N73" s="5">
        <f t="shared" si="25"/>
        <v>-8.5921325051759839E-2</v>
      </c>
      <c r="O73" s="48">
        <f>IF(ISNUMBER(M73), $B78 * N73, "")</f>
        <v>-8592.1325051759832</v>
      </c>
      <c r="Q73" s="229"/>
      <c r="R73" s="230"/>
    </row>
    <row r="74" spans="1:18" ht="17.25" customHeight="1">
      <c r="A74" s="11" t="s">
        <v>110</v>
      </c>
      <c r="B74" s="32">
        <v>806</v>
      </c>
      <c r="C74" s="5">
        <v>8.1879194599999996E-2</v>
      </c>
      <c r="D74" s="36">
        <v>787</v>
      </c>
      <c r="E74" s="5">
        <f t="shared" si="22"/>
        <v>-2.3573200992555832E-2</v>
      </c>
      <c r="F74" s="44">
        <f>IF(ISNUMBER(D74), $B78 * E74, "")</f>
        <v>-2357.320099255583</v>
      </c>
      <c r="G74" s="36">
        <v>786</v>
      </c>
      <c r="H74" s="5">
        <f t="shared" si="23"/>
        <v>-2.4813895781637719E-2</v>
      </c>
      <c r="I74" s="44">
        <f>IF(ISNUMBER(G74), $B78 * H74, "")</f>
        <v>-2481.3895781637721</v>
      </c>
      <c r="J74" s="36">
        <v>793</v>
      </c>
      <c r="K74" s="5">
        <f t="shared" si="24"/>
        <v>-1.6129032258064516E-2</v>
      </c>
      <c r="L74" s="44">
        <f>IF(ISNUMBER(J74), $B78 * K74, "")</f>
        <v>-1612.9032258064515</v>
      </c>
      <c r="M74" s="36">
        <v>782</v>
      </c>
      <c r="N74" s="5">
        <f t="shared" si="25"/>
        <v>-2.9776674937965261E-2</v>
      </c>
      <c r="O74" s="44">
        <f>IF(ISNUMBER(M74), $B78 * N74, "")</f>
        <v>-2977.6674937965258</v>
      </c>
      <c r="Q74" s="229"/>
      <c r="R74" s="230"/>
    </row>
    <row r="75" spans="1:18" ht="17.25" customHeight="1">
      <c r="A75" s="11" t="s">
        <v>124</v>
      </c>
      <c r="B75" s="32">
        <v>174</v>
      </c>
      <c r="C75" s="5">
        <v>7.4074074099999998E-2</v>
      </c>
      <c r="D75" s="36">
        <v>170</v>
      </c>
      <c r="E75" s="5">
        <f t="shared" si="22"/>
        <v>-2.2988505747126436E-2</v>
      </c>
      <c r="F75" s="44">
        <f>IF(ISNUMBER(D75), $B78 * E75, "")</f>
        <v>-2298.8505747126437</v>
      </c>
      <c r="G75" s="36">
        <v>168</v>
      </c>
      <c r="H75" s="5">
        <f t="shared" si="23"/>
        <v>-3.4482758620689655E-2</v>
      </c>
      <c r="I75" s="44">
        <f>IF(ISNUMBER(G75), $B78 * H75, "")</f>
        <v>-3448.2758620689656</v>
      </c>
      <c r="J75" s="36">
        <v>170</v>
      </c>
      <c r="K75" s="5">
        <f t="shared" si="24"/>
        <v>-2.2988505747126436E-2</v>
      </c>
      <c r="L75" s="44">
        <f>IF(ISNUMBER(J75), $B78 * K75, "")</f>
        <v>-2298.8505747126437</v>
      </c>
      <c r="M75" s="36">
        <v>168</v>
      </c>
      <c r="N75" s="5">
        <f t="shared" si="25"/>
        <v>-3.4482758620689655E-2</v>
      </c>
      <c r="O75" s="44">
        <f>IF(ISNUMBER(M75), $B78 * N75, "")</f>
        <v>-3448.2758620689656</v>
      </c>
      <c r="Q75" s="229"/>
      <c r="R75" s="230"/>
    </row>
    <row r="76" spans="1:18" ht="17.25" customHeight="1">
      <c r="A76" s="11" t="s">
        <v>98</v>
      </c>
      <c r="B76" s="32">
        <v>326</v>
      </c>
      <c r="C76" s="5">
        <v>7.2368421099999997E-2</v>
      </c>
      <c r="D76" s="36">
        <v>348</v>
      </c>
      <c r="E76" s="5">
        <f t="shared" si="22"/>
        <v>6.7484662576687116E-2</v>
      </c>
      <c r="F76" s="44">
        <f>IF(ISNUMBER(D76), $B78 * E76, "")</f>
        <v>6748.4662576687115</v>
      </c>
      <c r="G76" s="36">
        <v>342</v>
      </c>
      <c r="H76" s="5">
        <f t="shared" si="23"/>
        <v>4.9079754601226995E-2</v>
      </c>
      <c r="I76" s="44">
        <f>IF(ISNUMBER(G76), $B78 * H76, "")</f>
        <v>4907.9754601226996</v>
      </c>
      <c r="J76" s="36">
        <v>351</v>
      </c>
      <c r="K76" s="5">
        <f t="shared" si="24"/>
        <v>7.6687116564417179E-2</v>
      </c>
      <c r="L76" s="44">
        <f>IF(ISNUMBER(J76), $B78 * K76, "")</f>
        <v>7668.7116564417183</v>
      </c>
      <c r="M76" s="36">
        <v>357</v>
      </c>
      <c r="N76" s="5">
        <f t="shared" si="25"/>
        <v>9.5092024539877307E-2</v>
      </c>
      <c r="O76" s="44">
        <f>IF(ISNUMBER(M76), $B78 * N76, "")</f>
        <v>9509.2024539877311</v>
      </c>
      <c r="Q76" s="231"/>
      <c r="R76" s="232"/>
    </row>
    <row r="77" spans="1:18" ht="17.25" customHeight="1" thickBot="1">
      <c r="A77" s="13" t="s">
        <v>128</v>
      </c>
      <c r="B77" s="34">
        <v>120</v>
      </c>
      <c r="C77" s="16">
        <v>7.1428571400000002E-2</v>
      </c>
      <c r="D77" s="38">
        <v>125</v>
      </c>
      <c r="E77" s="16">
        <f t="shared" si="22"/>
        <v>4.1666666666666664E-2</v>
      </c>
      <c r="F77" s="45">
        <f>IF(ISNUMBER(D77), $B78 * E77, "")</f>
        <v>4166.6666666666661</v>
      </c>
      <c r="G77" s="38">
        <v>122</v>
      </c>
      <c r="H77" s="16">
        <f t="shared" si="23"/>
        <v>1.6666666666666666E-2</v>
      </c>
      <c r="I77" s="45">
        <f>IF(ISNUMBER(G77), $B78 * H77, "")</f>
        <v>1666.6666666666667</v>
      </c>
      <c r="J77" s="38">
        <v>125</v>
      </c>
      <c r="K77" s="16">
        <f t="shared" si="24"/>
        <v>4.1666666666666664E-2</v>
      </c>
      <c r="L77" s="45">
        <f>IF(ISNUMBER(J77), $B78 * K77, "")</f>
        <v>4166.6666666666661</v>
      </c>
      <c r="M77" s="38">
        <v>128</v>
      </c>
      <c r="N77" s="16">
        <f t="shared" si="25"/>
        <v>6.6666666666666666E-2</v>
      </c>
      <c r="O77" s="45">
        <f>IF(ISNUMBER(M77), $B78 * N77, "")</f>
        <v>6666.666666666667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5.4463870814040628E-3</v>
      </c>
      <c r="F78" s="47">
        <f>SUM(F68:F77)</f>
        <v>5446.387081404062</v>
      </c>
      <c r="G78" s="57" t="s">
        <v>82</v>
      </c>
      <c r="H78" s="46">
        <f>IF(COUNT(H68:H77), SUM(H68:H77) / COUNT(H68:H77), 0)</f>
        <v>1.0913032559798958E-3</v>
      </c>
      <c r="I78" s="47">
        <f>SUM(I68:I77)</f>
        <v>1091.3032559798974</v>
      </c>
      <c r="J78" s="57" t="s">
        <v>82</v>
      </c>
      <c r="K78" s="46">
        <f>IF(COUNT(K68:K77), SUM(K68:K77) / COUNT(K68:K77), 0)</f>
        <v>2.5339141993923741E-2</v>
      </c>
      <c r="L78" s="47">
        <f>SUM(L68:L77)</f>
        <v>25339.141993923746</v>
      </c>
      <c r="M78" s="57" t="s">
        <v>82</v>
      </c>
      <c r="N78" s="46">
        <f>IF(COUNT(N68:N77), SUM(N68:N77) / COUNT(N68:N77), 0)</f>
        <v>2.4984726734718916E-2</v>
      </c>
      <c r="O78" s="47">
        <f>SUM(O68:O77)</f>
        <v>24984.726734718923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09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13" t="s">
        <v>70</v>
      </c>
      <c r="M84" s="18" t="s">
        <v>67</v>
      </c>
      <c r="N84" s="4" t="s">
        <v>68</v>
      </c>
      <c r="O84" s="115" t="s">
        <v>70</v>
      </c>
      <c r="Q84" s="231"/>
      <c r="R84" s="232"/>
    </row>
    <row r="85" spans="1:18" ht="17.25" customHeight="1">
      <c r="A85" s="9" t="s">
        <v>142</v>
      </c>
      <c r="B85" s="31">
        <v>301</v>
      </c>
      <c r="C85" s="22">
        <v>0.18972332019999999</v>
      </c>
      <c r="D85" s="89">
        <v>280</v>
      </c>
      <c r="E85" s="22">
        <f>IF(ISNUMBER(D85), (D85 - $B85) / $B85, "")</f>
        <v>-6.9767441860465115E-2</v>
      </c>
      <c r="F85" s="43">
        <f>IF(ISNUMBER(D85), $B95 * E85, "")</f>
        <v>-6976.7441860465115</v>
      </c>
      <c r="G85" s="89">
        <v>276</v>
      </c>
      <c r="H85" s="22">
        <f>IF(ISNUMBER(G85), (G85 - $B85) / $B85, "")</f>
        <v>-8.3056478405315617E-2</v>
      </c>
      <c r="I85" s="43">
        <f>IF(ISNUMBER(G85), $B95 * H85, "")</f>
        <v>-8305.6478405315611</v>
      </c>
      <c r="J85" s="89">
        <v>283</v>
      </c>
      <c r="K85" s="22">
        <f>IF(ISNUMBER(J85), (J85 - $B85) / $B85, "")</f>
        <v>-5.9800664451827246E-2</v>
      </c>
      <c r="L85" s="43">
        <f>IF(ISNUMBER(J85), $B95 * K85, "")</f>
        <v>-5980.0664451827242</v>
      </c>
      <c r="M85" s="89">
        <v>274</v>
      </c>
      <c r="N85" s="22">
        <f>IF(ISNUMBER(M85), (M85 - $B85) / $B85, "")</f>
        <v>-8.9700996677740868E-2</v>
      </c>
      <c r="O85" s="43">
        <f>IF(ISNUMBER(M85), $B95 * N85, "")</f>
        <v>-8970.0996677740877</v>
      </c>
      <c r="Q85" s="229"/>
      <c r="R85" s="230"/>
    </row>
    <row r="86" spans="1:18" ht="17.25" customHeight="1">
      <c r="A86" s="11" t="s">
        <v>166</v>
      </c>
      <c r="B86" s="32">
        <v>781</v>
      </c>
      <c r="C86" s="5">
        <v>0.17091454270000001</v>
      </c>
      <c r="D86" s="36">
        <v>773</v>
      </c>
      <c r="E86" s="5">
        <f t="shared" ref="E86:E94" si="26">IF(ISNUMBER(D86), (D86 - $B86) / $B86, "")</f>
        <v>-1.0243277848911651E-2</v>
      </c>
      <c r="F86" s="44">
        <f>IF(ISNUMBER(D86), $B95 * E86, "")</f>
        <v>-1024.327784891165</v>
      </c>
      <c r="G86" s="36">
        <v>772</v>
      </c>
      <c r="H86" s="5">
        <f t="shared" ref="H86:H94" si="27">IF(ISNUMBER(G86), (G86 - $B86) / $B86, "")</f>
        <v>-1.1523687580025609E-2</v>
      </c>
      <c r="I86" s="44">
        <f>IF(ISNUMBER(G86), $B95 * H86, "")</f>
        <v>-1152.3687580025608</v>
      </c>
      <c r="J86" s="36">
        <v>795</v>
      </c>
      <c r="K86" s="5">
        <f t="shared" ref="K86:K94" si="28">IF(ISNUMBER(J86), (J86 - $B86) / $B86, "")</f>
        <v>1.7925736235595392E-2</v>
      </c>
      <c r="L86" s="44">
        <f>IF(ISNUMBER(J86), $B95 * K86, "")</f>
        <v>1792.5736235595391</v>
      </c>
      <c r="M86" s="36">
        <v>778</v>
      </c>
      <c r="N86" s="5">
        <f t="shared" ref="N86:N94" si="29">IF(ISNUMBER(M86), (M86 - $B86) / $B86, "")</f>
        <v>-3.8412291933418692E-3</v>
      </c>
      <c r="O86" s="44">
        <f>IF(ISNUMBER(M86), $B95 * N86, "")</f>
        <v>-384.12291933418692</v>
      </c>
      <c r="Q86" s="229"/>
      <c r="R86" s="230"/>
    </row>
    <row r="87" spans="1:18" ht="17.25" customHeight="1">
      <c r="A87" s="11" t="s">
        <v>162</v>
      </c>
      <c r="B87" s="32">
        <v>266</v>
      </c>
      <c r="C87" s="5">
        <v>0.1565217391</v>
      </c>
      <c r="D87" s="36">
        <v>291</v>
      </c>
      <c r="E87" s="5">
        <f t="shared" si="26"/>
        <v>9.3984962406015032E-2</v>
      </c>
      <c r="F87" s="44">
        <f>IF(ISNUMBER(D87), $B95 * E87, "")</f>
        <v>9398.4962406015038</v>
      </c>
      <c r="G87" s="36">
        <v>306</v>
      </c>
      <c r="H87" s="5">
        <f t="shared" si="27"/>
        <v>0.15037593984962405</v>
      </c>
      <c r="I87" s="44">
        <f>IF(ISNUMBER(G87), $B95 * H87, "")</f>
        <v>15037.593984962405</v>
      </c>
      <c r="J87" s="36">
        <v>312</v>
      </c>
      <c r="K87" s="5">
        <f t="shared" si="28"/>
        <v>0.17293233082706766</v>
      </c>
      <c r="L87" s="44">
        <f>IF(ISNUMBER(J87), $B95 * K87, "")</f>
        <v>17293.233082706767</v>
      </c>
      <c r="M87" s="36">
        <v>303</v>
      </c>
      <c r="N87" s="5">
        <f t="shared" si="29"/>
        <v>0.13909774436090225</v>
      </c>
      <c r="O87" s="44">
        <f>IF(ISNUMBER(M87), $B95 * N87, "")</f>
        <v>13909.774436090225</v>
      </c>
      <c r="Q87" s="229"/>
      <c r="R87" s="230"/>
    </row>
    <row r="88" spans="1:18" ht="17.25" customHeight="1">
      <c r="A88" s="11" t="s">
        <v>99</v>
      </c>
      <c r="B88" s="32">
        <v>338</v>
      </c>
      <c r="C88" s="5">
        <v>0.14189189190000001</v>
      </c>
      <c r="D88" s="36">
        <v>327</v>
      </c>
      <c r="E88" s="5">
        <f t="shared" si="26"/>
        <v>-3.2544378698224852E-2</v>
      </c>
      <c r="F88" s="44">
        <f>IF(ISNUMBER(D88), $B95 * E88, "")</f>
        <v>-3254.437869822485</v>
      </c>
      <c r="G88" s="36">
        <v>321</v>
      </c>
      <c r="H88" s="5">
        <f t="shared" si="27"/>
        <v>-5.0295857988165681E-2</v>
      </c>
      <c r="I88" s="44">
        <f>IF(ISNUMBER(G88), $B95 * H88, "")</f>
        <v>-5029.5857988165681</v>
      </c>
      <c r="J88" s="36">
        <v>325</v>
      </c>
      <c r="K88" s="5">
        <f t="shared" si="28"/>
        <v>-3.8461538461538464E-2</v>
      </c>
      <c r="L88" s="44">
        <f>IF(ISNUMBER(J88), $B95 * K88, "")</f>
        <v>-3846.1538461538462</v>
      </c>
      <c r="M88" s="36">
        <v>320</v>
      </c>
      <c r="N88" s="5">
        <f t="shared" si="29"/>
        <v>-5.3254437869822487E-2</v>
      </c>
      <c r="O88" s="44">
        <f>IF(ISNUMBER(M88), $B95 * N88, "")</f>
        <v>-5325.4437869822486</v>
      </c>
      <c r="Q88" s="229"/>
      <c r="R88" s="230"/>
    </row>
    <row r="89" spans="1:18" ht="17.25" customHeight="1">
      <c r="A89" s="8" t="s">
        <v>134</v>
      </c>
      <c r="B89" s="33">
        <v>470</v>
      </c>
      <c r="C89" s="24">
        <v>0.1352657005</v>
      </c>
      <c r="D89" s="37">
        <v>455</v>
      </c>
      <c r="E89" s="24">
        <f t="shared" si="26"/>
        <v>-3.1914893617021274E-2</v>
      </c>
      <c r="F89" s="44">
        <f>IF(ISNUMBER(D89), $B95 * E89, "")</f>
        <v>-3191.4893617021276</v>
      </c>
      <c r="G89" s="37">
        <v>459</v>
      </c>
      <c r="H89" s="24">
        <f t="shared" si="27"/>
        <v>-2.3404255319148935E-2</v>
      </c>
      <c r="I89" s="44">
        <f>IF(ISNUMBER(G89), $B95 * H89, "")</f>
        <v>-2340.4255319148933</v>
      </c>
      <c r="J89" s="37">
        <v>484</v>
      </c>
      <c r="K89" s="24">
        <f t="shared" si="28"/>
        <v>2.9787234042553193E-2</v>
      </c>
      <c r="L89" s="44">
        <f>IF(ISNUMBER(J89), $B95 * K89, "")</f>
        <v>2978.7234042553191</v>
      </c>
      <c r="M89" s="37">
        <v>476</v>
      </c>
      <c r="N89" s="24">
        <f t="shared" si="29"/>
        <v>1.276595744680851E-2</v>
      </c>
      <c r="O89" s="44">
        <f>IF(ISNUMBER(M89), $B95 * N89, "")</f>
        <v>1276.5957446808509</v>
      </c>
      <c r="Q89" s="229"/>
      <c r="R89" s="230"/>
    </row>
    <row r="90" spans="1:18" ht="17.25" customHeight="1">
      <c r="A90" s="11" t="s">
        <v>153</v>
      </c>
      <c r="B90" s="32">
        <v>303</v>
      </c>
      <c r="C90" s="5">
        <v>0.12222222219999999</v>
      </c>
      <c r="D90" s="36">
        <v>291</v>
      </c>
      <c r="E90" s="5">
        <f t="shared" si="26"/>
        <v>-3.9603960396039604E-2</v>
      </c>
      <c r="F90" s="48">
        <f>IF(ISNUMBER(D90), $B95 * E90, "")</f>
        <v>-3960.3960396039606</v>
      </c>
      <c r="G90" s="36">
        <v>289</v>
      </c>
      <c r="H90" s="5">
        <f t="shared" si="27"/>
        <v>-4.6204620462046202E-2</v>
      </c>
      <c r="I90" s="48">
        <f>IF(ISNUMBER(G90), $B95 * H90, "")</f>
        <v>-4620.4620462046205</v>
      </c>
      <c r="J90" s="36">
        <v>292</v>
      </c>
      <c r="K90" s="5">
        <f t="shared" si="28"/>
        <v>-3.6303630363036306E-2</v>
      </c>
      <c r="L90" s="48">
        <f>IF(ISNUMBER(J90), $B95 * K90, "")</f>
        <v>-3630.3630363036305</v>
      </c>
      <c r="M90" s="36">
        <v>290</v>
      </c>
      <c r="N90" s="5">
        <f t="shared" si="29"/>
        <v>-4.2904290429042903E-2</v>
      </c>
      <c r="O90" s="48">
        <f>IF(ISNUMBER(M90), $B95 * N90, "")</f>
        <v>-4290.4290429042903</v>
      </c>
      <c r="Q90" s="229"/>
      <c r="R90" s="230"/>
    </row>
    <row r="91" spans="1:18" ht="17.25" customHeight="1">
      <c r="A91" s="11" t="s">
        <v>161</v>
      </c>
      <c r="B91" s="32">
        <v>694</v>
      </c>
      <c r="C91" s="5">
        <v>0.11935483869999999</v>
      </c>
      <c r="D91" s="36">
        <v>698</v>
      </c>
      <c r="E91" s="5">
        <f t="shared" si="26"/>
        <v>5.763688760806916E-3</v>
      </c>
      <c r="F91" s="44">
        <f>IF(ISNUMBER(D91), $B95 * E91, "")</f>
        <v>576.36887608069162</v>
      </c>
      <c r="G91" s="36">
        <v>693</v>
      </c>
      <c r="H91" s="5">
        <f t="shared" si="27"/>
        <v>-1.440922190201729E-3</v>
      </c>
      <c r="I91" s="44">
        <f>IF(ISNUMBER(G91), $B95 * H91, "")</f>
        <v>-144.09221902017291</v>
      </c>
      <c r="J91" s="36">
        <v>730</v>
      </c>
      <c r="K91" s="5">
        <f t="shared" si="28"/>
        <v>5.1873198847262249E-2</v>
      </c>
      <c r="L91" s="44">
        <f>IF(ISNUMBER(J91), $B95 * K91, "")</f>
        <v>5187.3198847262247</v>
      </c>
      <c r="M91" s="36">
        <v>705</v>
      </c>
      <c r="N91" s="5">
        <f t="shared" si="29"/>
        <v>1.5850144092219021E-2</v>
      </c>
      <c r="O91" s="44">
        <f>IF(ISNUMBER(M91), $B95 * N91, "")</f>
        <v>1585.014409221902</v>
      </c>
      <c r="Q91" s="229"/>
      <c r="R91" s="230"/>
    </row>
    <row r="92" spans="1:18" ht="17.25" customHeight="1">
      <c r="A92" s="11" t="s">
        <v>103</v>
      </c>
      <c r="B92" s="32">
        <v>131</v>
      </c>
      <c r="C92" s="5">
        <v>0.11016949149999999</v>
      </c>
      <c r="D92" s="36">
        <v>131</v>
      </c>
      <c r="E92" s="5">
        <f t="shared" si="26"/>
        <v>0</v>
      </c>
      <c r="F92" s="44">
        <f>IF(ISNUMBER(D92), $B95 * E92, "")</f>
        <v>0</v>
      </c>
      <c r="G92" s="36">
        <v>130</v>
      </c>
      <c r="H92" s="5">
        <f t="shared" si="27"/>
        <v>-7.6335877862595417E-3</v>
      </c>
      <c r="I92" s="44">
        <f>IF(ISNUMBER(G92), $B95 * H92, "")</f>
        <v>-763.35877862595419</v>
      </c>
      <c r="J92" s="36">
        <v>135</v>
      </c>
      <c r="K92" s="5">
        <f t="shared" si="28"/>
        <v>3.0534351145038167E-2</v>
      </c>
      <c r="L92" s="44">
        <f>IF(ISNUMBER(J92), $B95 * K92, "")</f>
        <v>3053.4351145038167</v>
      </c>
      <c r="M92" s="36">
        <v>131</v>
      </c>
      <c r="N92" s="5">
        <f t="shared" si="29"/>
        <v>0</v>
      </c>
      <c r="O92" s="44">
        <f>IF(ISNUMBER(M92), $B95 * N92, "")</f>
        <v>0</v>
      </c>
      <c r="Q92" s="229"/>
      <c r="R92" s="230"/>
    </row>
    <row r="93" spans="1:18" ht="17.25" customHeight="1">
      <c r="A93" s="11" t="s">
        <v>112</v>
      </c>
      <c r="B93" s="32">
        <v>646</v>
      </c>
      <c r="C93" s="5">
        <v>0.1042735043</v>
      </c>
      <c r="D93" s="36">
        <v>628</v>
      </c>
      <c r="E93" s="5">
        <f t="shared" si="26"/>
        <v>-2.7863777089783281E-2</v>
      </c>
      <c r="F93" s="44">
        <f>IF(ISNUMBER(D93), $B95 * E93, "")</f>
        <v>-2786.377708978328</v>
      </c>
      <c r="G93" s="36">
        <v>618</v>
      </c>
      <c r="H93" s="5">
        <f t="shared" si="27"/>
        <v>-4.3343653250773995E-2</v>
      </c>
      <c r="I93" s="44">
        <f>IF(ISNUMBER(G93), $B95 * H93, "")</f>
        <v>-4334.3653250773996</v>
      </c>
      <c r="J93" s="36">
        <v>630</v>
      </c>
      <c r="K93" s="5">
        <f t="shared" si="28"/>
        <v>-2.4767801857585141E-2</v>
      </c>
      <c r="L93" s="44">
        <f>IF(ISNUMBER(J93), $B95 * K93, "")</f>
        <v>-2476.7801857585141</v>
      </c>
      <c r="M93" s="36">
        <v>620</v>
      </c>
      <c r="N93" s="5">
        <f t="shared" si="29"/>
        <v>-4.0247678018575851E-2</v>
      </c>
      <c r="O93" s="44">
        <f>IF(ISNUMBER(M93), $B95 * N93, "")</f>
        <v>-4024.7678018575853</v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-1.2465453149291535E-2</v>
      </c>
      <c r="F95" s="47">
        <f>SUM(F85:F94)</f>
        <v>-11218.907834362384</v>
      </c>
      <c r="G95" s="57" t="s">
        <v>82</v>
      </c>
      <c r="H95" s="46">
        <f>IF(COUNT(H85:H94), SUM(H85:H94) / COUNT(H85:H94), 0)</f>
        <v>-1.2947458125812583E-2</v>
      </c>
      <c r="I95" s="47">
        <f>SUM(I85:I94)</f>
        <v>-11652.712313231326</v>
      </c>
      <c r="J95" s="57" t="s">
        <v>82</v>
      </c>
      <c r="K95" s="46">
        <f>IF(COUNT(K85:K94), SUM(K85:K94) / COUNT(K85:K94), 0)</f>
        <v>1.5968801773725498E-2</v>
      </c>
      <c r="L95" s="47">
        <f>SUM(L85:L94)</f>
        <v>14371.921596352953</v>
      </c>
      <c r="M95" s="57" t="s">
        <v>82</v>
      </c>
      <c r="N95" s="46">
        <f>IF(COUNT(N85:N94), SUM(N85:N94) / COUNT(N85:N94), 0)</f>
        <v>-6.9149762542882447E-3</v>
      </c>
      <c r="O95" s="47">
        <f>SUM(O85:O94)</f>
        <v>-6223.4786288594205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09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13" t="s">
        <v>70</v>
      </c>
      <c r="M101" s="18" t="s">
        <v>67</v>
      </c>
      <c r="N101" s="4" t="s">
        <v>68</v>
      </c>
      <c r="O101" s="115" t="s">
        <v>70</v>
      </c>
      <c r="Q101" s="231"/>
      <c r="R101" s="232"/>
    </row>
    <row r="102" spans="1:18" ht="17.25" customHeight="1">
      <c r="A102" s="9" t="s">
        <v>169</v>
      </c>
      <c r="B102" s="31">
        <v>3080</v>
      </c>
      <c r="C102" s="22">
        <v>1.2985074626999999</v>
      </c>
      <c r="D102" s="89">
        <v>2655</v>
      </c>
      <c r="E102" s="22">
        <f>IF(ISNUMBER(D102), (D102 - $B102) / $B102, "")</f>
        <v>-0.13798701298701299</v>
      </c>
      <c r="F102" s="43">
        <f>IF(ISNUMBER(D102), $B112 * E102, "")</f>
        <v>-13798.701298701299</v>
      </c>
      <c r="G102" s="89">
        <v>2690</v>
      </c>
      <c r="H102" s="22">
        <f>IF(ISNUMBER(G102), (G102 - $B102) / $B102, "")</f>
        <v>-0.12662337662337661</v>
      </c>
      <c r="I102" s="43">
        <f>IF(ISNUMBER(G102), $B112 * H102, "")</f>
        <v>-12662.337662337661</v>
      </c>
      <c r="J102" s="89">
        <v>2590</v>
      </c>
      <c r="K102" s="22">
        <f>IF(ISNUMBER(J102), (J102 - $B102) / $B102, "")</f>
        <v>-0.15909090909090909</v>
      </c>
      <c r="L102" s="43">
        <f>IF(ISNUMBER(J102), $B112 * K102, "")</f>
        <v>-15909.090909090908</v>
      </c>
      <c r="M102" s="89">
        <v>2495</v>
      </c>
      <c r="N102" s="22">
        <f>IF(ISNUMBER(M102), (M102 - $B102) / $B102, "")</f>
        <v>-0.18993506493506493</v>
      </c>
      <c r="O102" s="43">
        <f>IF(ISNUMBER(M102), $B112 * N102, "")</f>
        <v>-18993.506493506491</v>
      </c>
      <c r="Q102" s="229"/>
      <c r="R102" s="230"/>
    </row>
    <row r="103" spans="1:18" ht="17.25" customHeight="1">
      <c r="A103" s="11" t="s">
        <v>168</v>
      </c>
      <c r="B103" s="32">
        <v>859</v>
      </c>
      <c r="C103" s="5">
        <v>0.81606765329999997</v>
      </c>
      <c r="D103" s="36">
        <v>731</v>
      </c>
      <c r="E103" s="5">
        <f t="shared" ref="E103:E111" si="30">IF(ISNUMBER(D103), (D103 - $B103) / $B103, "")</f>
        <v>-0.1490104772991851</v>
      </c>
      <c r="F103" s="44">
        <f>IF(ISNUMBER(D103), $B112 * E103, "")</f>
        <v>-14901.04772991851</v>
      </c>
      <c r="G103" s="36">
        <v>758</v>
      </c>
      <c r="H103" s="5">
        <f t="shared" ref="H103:H111" si="31">IF(ISNUMBER(G103), (G103 - $B103) / $B103, "")</f>
        <v>-0.11757857974388825</v>
      </c>
      <c r="I103" s="44">
        <f>IF(ISNUMBER(G103), $B112 * H103, "")</f>
        <v>-11757.857974388824</v>
      </c>
      <c r="J103" s="36">
        <v>748</v>
      </c>
      <c r="K103" s="5">
        <f t="shared" ref="K103:K111" si="32">IF(ISNUMBER(J103), (J103 - $B103) / $B103, "")</f>
        <v>-0.12922002328288706</v>
      </c>
      <c r="L103" s="44">
        <f>IF(ISNUMBER(J103), $B112 * K103, "")</f>
        <v>-12922.002328288707</v>
      </c>
      <c r="M103" s="36">
        <v>718</v>
      </c>
      <c r="N103" s="5">
        <f t="shared" ref="N103:N111" si="33">IF(ISNUMBER(M103), (M103 - $B103) / $B103, "")</f>
        <v>-0.16414435389988358</v>
      </c>
      <c r="O103" s="44">
        <f>IF(ISNUMBER(M103), $B112 * N103, "")</f>
        <v>-16414.435389988357</v>
      </c>
      <c r="Q103" s="229"/>
      <c r="R103" s="230"/>
    </row>
    <row r="104" spans="1:18" ht="17.25" customHeight="1">
      <c r="A104" s="11" t="s">
        <v>167</v>
      </c>
      <c r="B104" s="32">
        <v>14640</v>
      </c>
      <c r="C104" s="5">
        <v>0.38374291119999998</v>
      </c>
      <c r="D104" s="36">
        <v>12840</v>
      </c>
      <c r="E104" s="5">
        <f t="shared" si="30"/>
        <v>-0.12295081967213115</v>
      </c>
      <c r="F104" s="44">
        <f>IF(ISNUMBER(D104), $B112 * E104, "")</f>
        <v>-12295.081967213115</v>
      </c>
      <c r="G104" s="36">
        <v>12930</v>
      </c>
      <c r="H104" s="5">
        <f t="shared" si="31"/>
        <v>-0.11680327868852459</v>
      </c>
      <c r="I104" s="44">
        <f>IF(ISNUMBER(G104), $B112 * H104, "")</f>
        <v>-11680.327868852459</v>
      </c>
      <c r="J104" s="36">
        <v>13240</v>
      </c>
      <c r="K104" s="5">
        <f t="shared" si="32"/>
        <v>-9.5628415300546443E-2</v>
      </c>
      <c r="L104" s="44">
        <f>IF(ISNUMBER(J104), $B112 * K104, "")</f>
        <v>-9562.841530054644</v>
      </c>
      <c r="M104" s="36">
        <v>12740</v>
      </c>
      <c r="N104" s="5">
        <f t="shared" si="33"/>
        <v>-0.12978142076502733</v>
      </c>
      <c r="O104" s="44">
        <f>IF(ISNUMBER(M104), $B112 * N104, "")</f>
        <v>-12978.142076502732</v>
      </c>
      <c r="Q104" s="229"/>
      <c r="R104" s="230"/>
    </row>
    <row r="105" spans="1:18" ht="17.25" customHeight="1">
      <c r="A105" s="11" t="s">
        <v>176</v>
      </c>
      <c r="B105" s="32">
        <v>24570</v>
      </c>
      <c r="C105" s="5">
        <v>0.3780145822</v>
      </c>
      <c r="D105" s="36">
        <v>22230</v>
      </c>
      <c r="E105" s="5">
        <f t="shared" si="30"/>
        <v>-9.5238095238095233E-2</v>
      </c>
      <c r="F105" s="44">
        <f>IF(ISNUMBER(D105), $B112 * E105, "")</f>
        <v>-9523.8095238095229</v>
      </c>
      <c r="G105" s="36">
        <v>22110</v>
      </c>
      <c r="H105" s="5">
        <f t="shared" si="31"/>
        <v>-0.10012210012210013</v>
      </c>
      <c r="I105" s="44">
        <f>IF(ISNUMBER(G105), $B112 * H105, "")</f>
        <v>-10012.210012210013</v>
      </c>
      <c r="J105" s="36">
        <v>22260</v>
      </c>
      <c r="K105" s="5">
        <f t="shared" si="32"/>
        <v>-9.4017094017094016E-2</v>
      </c>
      <c r="L105" s="44">
        <f>IF(ISNUMBER(J105), $B112 * K105, "")</f>
        <v>-9401.7094017094023</v>
      </c>
      <c r="M105" s="36">
        <v>22230</v>
      </c>
      <c r="N105" s="5">
        <f t="shared" si="33"/>
        <v>-9.5238095238095233E-2</v>
      </c>
      <c r="O105" s="44">
        <f>IF(ISNUMBER(M105), $B112 * N105, "")</f>
        <v>-9523.8095238095229</v>
      </c>
      <c r="Q105" s="229"/>
      <c r="R105" s="230"/>
    </row>
    <row r="106" spans="1:18" ht="17.25" customHeight="1">
      <c r="A106" s="8" t="s">
        <v>159</v>
      </c>
      <c r="B106" s="33">
        <v>2070</v>
      </c>
      <c r="C106" s="24">
        <v>0.32268370610000002</v>
      </c>
      <c r="D106" s="37">
        <v>1890</v>
      </c>
      <c r="E106" s="24">
        <f t="shared" si="30"/>
        <v>-8.6956521739130432E-2</v>
      </c>
      <c r="F106" s="44">
        <f>IF(ISNUMBER(D106), $B112 * E106, "")</f>
        <v>-8695.652173913044</v>
      </c>
      <c r="G106" s="37">
        <v>1870</v>
      </c>
      <c r="H106" s="24">
        <f t="shared" si="31"/>
        <v>-9.6618357487922704E-2</v>
      </c>
      <c r="I106" s="44">
        <f>IF(ISNUMBER(G106), $B112 * H106, "")</f>
        <v>-9661.8357487922713</v>
      </c>
      <c r="J106" s="37">
        <v>1915</v>
      </c>
      <c r="K106" s="24">
        <f t="shared" si="32"/>
        <v>-7.4879227053140096E-2</v>
      </c>
      <c r="L106" s="44">
        <f>IF(ISNUMBER(J106), $B112 * K106, "")</f>
        <v>-7487.9227053140094</v>
      </c>
      <c r="M106" s="37">
        <v>1855</v>
      </c>
      <c r="N106" s="24">
        <f t="shared" si="33"/>
        <v>-0.10386473429951691</v>
      </c>
      <c r="O106" s="44">
        <f>IF(ISNUMBER(M106), $B112 * N106, "")</f>
        <v>-10386.473429951691</v>
      </c>
      <c r="Q106" s="229"/>
      <c r="R106" s="230"/>
    </row>
    <row r="107" spans="1:18" ht="17.25" customHeight="1">
      <c r="A107" s="11" t="s">
        <v>137</v>
      </c>
      <c r="B107" s="32">
        <v>549</v>
      </c>
      <c r="C107" s="5">
        <v>0.25342465749999998</v>
      </c>
      <c r="D107" s="36">
        <v>627</v>
      </c>
      <c r="E107" s="5">
        <f t="shared" si="30"/>
        <v>0.14207650273224043</v>
      </c>
      <c r="F107" s="48">
        <f>IF(ISNUMBER(D107), $B112 * E107, "")</f>
        <v>14207.650273224042</v>
      </c>
      <c r="G107" s="36">
        <v>627</v>
      </c>
      <c r="H107" s="5">
        <f t="shared" si="31"/>
        <v>0.14207650273224043</v>
      </c>
      <c r="I107" s="48">
        <f>IF(ISNUMBER(G107), $B112 * H107, "")</f>
        <v>14207.650273224042</v>
      </c>
      <c r="J107" s="36">
        <v>629</v>
      </c>
      <c r="K107" s="5">
        <f t="shared" si="32"/>
        <v>0.14571948998178508</v>
      </c>
      <c r="L107" s="48">
        <f>IF(ISNUMBER(J107), $B112 * K107, "")</f>
        <v>14571.948998178508</v>
      </c>
      <c r="M107" s="36">
        <v>585</v>
      </c>
      <c r="N107" s="5">
        <f t="shared" si="33"/>
        <v>6.5573770491803282E-2</v>
      </c>
      <c r="O107" s="48">
        <f>IF(ISNUMBER(M107), $B112 * N107, "")</f>
        <v>6557.377049180328</v>
      </c>
      <c r="Q107" s="229"/>
      <c r="R107" s="230"/>
    </row>
    <row r="108" spans="1:18" ht="17.25" customHeight="1">
      <c r="A108" s="11" t="s">
        <v>152</v>
      </c>
      <c r="B108" s="32">
        <v>3015</v>
      </c>
      <c r="C108" s="5">
        <v>0.248447205</v>
      </c>
      <c r="D108" s="36">
        <v>2860</v>
      </c>
      <c r="E108" s="5">
        <f t="shared" si="30"/>
        <v>-5.140961857379768E-2</v>
      </c>
      <c r="F108" s="44">
        <f>IF(ISNUMBER(D108), $B112 * E108, "")</f>
        <v>-5140.9618573797679</v>
      </c>
      <c r="G108" s="36">
        <v>2900</v>
      </c>
      <c r="H108" s="5">
        <f t="shared" si="31"/>
        <v>-3.8142620232172471E-2</v>
      </c>
      <c r="I108" s="44">
        <f>IF(ISNUMBER(G108), $B112 * H108, "")</f>
        <v>-3814.2620232172471</v>
      </c>
      <c r="J108" s="36">
        <v>2980</v>
      </c>
      <c r="K108" s="5">
        <f t="shared" si="32"/>
        <v>-1.1608623548922056E-2</v>
      </c>
      <c r="L108" s="44">
        <f>IF(ISNUMBER(J108), $B112 * K108, "")</f>
        <v>-1160.8623548922055</v>
      </c>
      <c r="M108" s="36">
        <v>2910</v>
      </c>
      <c r="N108" s="5">
        <f t="shared" si="33"/>
        <v>-3.482587064676617E-2</v>
      </c>
      <c r="O108" s="44">
        <f>IF(ISNUMBER(M108), $B112 * N108, "")</f>
        <v>-3482.587064676617</v>
      </c>
      <c r="Q108" s="229"/>
      <c r="R108" s="230"/>
    </row>
    <row r="109" spans="1:18" ht="17.25" customHeight="1">
      <c r="A109" s="11" t="s">
        <v>171</v>
      </c>
      <c r="B109" s="32">
        <v>547</v>
      </c>
      <c r="C109" s="5">
        <v>0.231981982</v>
      </c>
      <c r="D109" s="36">
        <v>887</v>
      </c>
      <c r="E109" s="5">
        <f t="shared" si="30"/>
        <v>0.62157221206581348</v>
      </c>
      <c r="F109" s="44">
        <f>IF(ISNUMBER(D109), $B112 * E109, "")</f>
        <v>62157.221206581351</v>
      </c>
      <c r="G109" s="36">
        <v>878</v>
      </c>
      <c r="H109" s="5">
        <f t="shared" si="31"/>
        <v>0.60511882998171851</v>
      </c>
      <c r="I109" s="44">
        <f>IF(ISNUMBER(G109), $B112 * H109, "")</f>
        <v>60511.882998171852</v>
      </c>
      <c r="J109" s="36">
        <v>853</v>
      </c>
      <c r="K109" s="5">
        <f t="shared" si="32"/>
        <v>0.55941499085923219</v>
      </c>
      <c r="L109" s="44">
        <f>IF(ISNUMBER(J109), $B112 * K109, "")</f>
        <v>55941.49908592322</v>
      </c>
      <c r="M109" s="36">
        <v>772</v>
      </c>
      <c r="N109" s="5">
        <f t="shared" si="33"/>
        <v>0.41133455210237663</v>
      </c>
      <c r="O109" s="44">
        <f>IF(ISNUMBER(M109), $B112 * N109, "")</f>
        <v>41133.455210237662</v>
      </c>
      <c r="Q109" s="229"/>
      <c r="R109" s="230"/>
    </row>
    <row r="110" spans="1:18" ht="17.25" customHeight="1">
      <c r="A110" s="11" t="s">
        <v>142</v>
      </c>
      <c r="B110" s="32">
        <v>301</v>
      </c>
      <c r="C110" s="5">
        <v>0.18972332019999999</v>
      </c>
      <c r="D110" s="36">
        <v>280</v>
      </c>
      <c r="E110" s="5">
        <f t="shared" si="30"/>
        <v>-6.9767441860465115E-2</v>
      </c>
      <c r="F110" s="44">
        <f>IF(ISNUMBER(D110), $B112 * E110, "")</f>
        <v>-6976.7441860465115</v>
      </c>
      <c r="G110" s="36">
        <v>276</v>
      </c>
      <c r="H110" s="5">
        <f t="shared" si="31"/>
        <v>-8.3056478405315617E-2</v>
      </c>
      <c r="I110" s="44">
        <f>IF(ISNUMBER(G110), $B112 * H110, "")</f>
        <v>-8305.6478405315611</v>
      </c>
      <c r="J110" s="36">
        <v>283</v>
      </c>
      <c r="K110" s="5">
        <f t="shared" si="32"/>
        <v>-5.9800664451827246E-2</v>
      </c>
      <c r="L110" s="44">
        <f>IF(ISNUMBER(J110), $B112 * K110, "")</f>
        <v>-5980.0664451827242</v>
      </c>
      <c r="M110" s="36">
        <v>274</v>
      </c>
      <c r="N110" s="5">
        <f t="shared" si="33"/>
        <v>-8.9700996677740868E-2</v>
      </c>
      <c r="O110" s="44">
        <f>IF(ISNUMBER(M110), $B112 * N110, "")</f>
        <v>-8970.0996677740877</v>
      </c>
      <c r="Q110" s="231"/>
      <c r="R110" s="232"/>
    </row>
    <row r="111" spans="1:18" ht="17.25" customHeight="1" thickBot="1">
      <c r="A111" s="13" t="s">
        <v>173</v>
      </c>
      <c r="B111" s="34">
        <v>1565</v>
      </c>
      <c r="C111" s="16">
        <v>0.1722846442</v>
      </c>
      <c r="D111" s="38">
        <v>1640</v>
      </c>
      <c r="E111" s="16">
        <f t="shared" si="30"/>
        <v>4.7923322683706068E-2</v>
      </c>
      <c r="F111" s="45">
        <f>IF(ISNUMBER(D111), $B112 * E111, "")</f>
        <v>4792.3322683706065</v>
      </c>
      <c r="G111" s="38">
        <v>1660</v>
      </c>
      <c r="H111" s="16">
        <f t="shared" si="31"/>
        <v>6.070287539936102E-2</v>
      </c>
      <c r="I111" s="45">
        <f>IF(ISNUMBER(G111), $B112 * H111, "")</f>
        <v>6070.2875399361019</v>
      </c>
      <c r="J111" s="38">
        <v>1770</v>
      </c>
      <c r="K111" s="16">
        <f t="shared" si="32"/>
        <v>0.13099041533546327</v>
      </c>
      <c r="L111" s="45">
        <f>IF(ISNUMBER(J111), $B112 * K111, "")</f>
        <v>13099.041533546328</v>
      </c>
      <c r="M111" s="38">
        <v>1675</v>
      </c>
      <c r="N111" s="16">
        <f t="shared" si="33"/>
        <v>7.0287539936102233E-2</v>
      </c>
      <c r="O111" s="45">
        <f>IF(ISNUMBER(M111), $B112 * N111, "")</f>
        <v>7028.753993610223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9.8252050111942209E-3</v>
      </c>
      <c r="F112" s="47">
        <f>SUM(F102:F111)</f>
        <v>9825.2050111942299</v>
      </c>
      <c r="G112" s="57" t="s">
        <v>82</v>
      </c>
      <c r="H112" s="46">
        <f>IF(COUNT(H102:H111), SUM(H102:H111) / COUNT(H102:H111), 0)</f>
        <v>1.2895341681001957E-2</v>
      </c>
      <c r="I112" s="47">
        <f>SUM(I102:I111)</f>
        <v>12895.341681001953</v>
      </c>
      <c r="J112" s="57" t="s">
        <v>82</v>
      </c>
      <c r="K112" s="46">
        <f>IF(COUNT(K102:K111), SUM(K102:K111) / COUNT(K102:K111), 0)</f>
        <v>2.1187993943115456E-2</v>
      </c>
      <c r="L112" s="47">
        <f>SUM(L102:L111)</f>
        <v>21187.99394311546</v>
      </c>
      <c r="M112" s="57" t="s">
        <v>82</v>
      </c>
      <c r="N112" s="46">
        <f>IF(COUNT(N102:N111), SUM(N102:N111) / COUNT(N102:N111), 0)</f>
        <v>-2.6029467393181283E-2</v>
      </c>
      <c r="O112" s="47">
        <f>SUM(O102:O111)</f>
        <v>-26029.467393181276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1085" priority="89">
      <formula>$E$27&gt;0</formula>
    </cfRule>
    <cfRule type="expression" dxfId="1084" priority="90">
      <formula>$E$27&lt;0</formula>
    </cfRule>
  </conditionalFormatting>
  <conditionalFormatting sqref="G15:I16 H27:I27">
    <cfRule type="expression" dxfId="1083" priority="87">
      <formula>$H$27&gt;0</formula>
    </cfRule>
    <cfRule type="expression" dxfId="1082" priority="88">
      <formula>$H$27&lt;0</formula>
    </cfRule>
  </conditionalFormatting>
  <conditionalFormatting sqref="J15:L16 K27:L27">
    <cfRule type="expression" dxfId="1081" priority="85">
      <formula>$K$27&gt;0</formula>
    </cfRule>
    <cfRule type="expression" dxfId="1080" priority="86">
      <formula>$K$27&lt;0</formula>
    </cfRule>
  </conditionalFormatting>
  <conditionalFormatting sqref="M15:O16 N27:O27">
    <cfRule type="expression" dxfId="1079" priority="83">
      <formula>$N$27&gt;0</formula>
    </cfRule>
    <cfRule type="expression" dxfId="1078" priority="84">
      <formula>$N$27&lt;0</formula>
    </cfRule>
  </conditionalFormatting>
  <conditionalFormatting sqref="A17:O26 A34:O43">
    <cfRule type="expression" dxfId="1077" priority="91">
      <formula>AND($N17 &gt; 0, ISNUMBER($N17))</formula>
    </cfRule>
    <cfRule type="expression" dxfId="1076" priority="92">
      <formula>AND($N17 &lt; 0, ISNUMBER($N17))</formula>
    </cfRule>
    <cfRule type="expression" dxfId="1075" priority="93">
      <formula>AND($K17 &gt; 0, ISNUMBER($K17))</formula>
    </cfRule>
    <cfRule type="expression" dxfId="1074" priority="94">
      <formula>AND($K17 &lt; 0, ISNUMBER($K17))</formula>
    </cfRule>
    <cfRule type="expression" dxfId="1073" priority="95">
      <formula>AND($H17 &gt; 0, ISNUMBER($H17))</formula>
    </cfRule>
    <cfRule type="expression" dxfId="1072" priority="96">
      <formula>AND($H17 &lt; 0, ISNUMBER($H17))</formula>
    </cfRule>
    <cfRule type="expression" dxfId="1071" priority="97">
      <formula>AND($E17 &gt; 0, ISNUMBER($E17))</formula>
    </cfRule>
    <cfRule type="expression" dxfId="1070" priority="98">
      <formula>AND($E17 &lt; 0, ISNUMBER($E17))</formula>
    </cfRule>
  </conditionalFormatting>
  <conditionalFormatting sqref="D32:F33 E44:F44">
    <cfRule type="expression" dxfId="1069" priority="81">
      <formula>$E$44&gt;0</formula>
    </cfRule>
    <cfRule type="expression" dxfId="1068" priority="82">
      <formula>$E$44&lt;0</formula>
    </cfRule>
  </conditionalFormatting>
  <conditionalFormatting sqref="G32:I33 H44:I44">
    <cfRule type="expression" dxfId="1067" priority="79">
      <formula>$H$44&gt;0</formula>
    </cfRule>
    <cfRule type="expression" dxfId="1066" priority="80">
      <formula>$H$44&lt;0</formula>
    </cfRule>
  </conditionalFormatting>
  <conditionalFormatting sqref="J32:L33 K44:L44">
    <cfRule type="expression" dxfId="1065" priority="77">
      <formula>$K$44&gt;0</formula>
    </cfRule>
    <cfRule type="expression" dxfId="1064" priority="78">
      <formula>$K$44&lt;0</formula>
    </cfRule>
  </conditionalFormatting>
  <conditionalFormatting sqref="M32:O33 N44:O44">
    <cfRule type="expression" dxfId="1063" priority="75">
      <formula>$N$44&gt;0</formula>
    </cfRule>
    <cfRule type="expression" dxfId="1062" priority="76">
      <formula>$N$44&lt;0</formula>
    </cfRule>
  </conditionalFormatting>
  <conditionalFormatting sqref="A51:O60">
    <cfRule type="expression" dxfId="1061" priority="67">
      <formula>AND($N51 &gt; 0, ISNUMBER($N51))</formula>
    </cfRule>
    <cfRule type="expression" dxfId="1060" priority="68">
      <formula>AND($N51 &lt; 0, ISNUMBER($N51))</formula>
    </cfRule>
    <cfRule type="expression" dxfId="1059" priority="69">
      <formula>AND($K51 &gt; 0, ISNUMBER($K51))</formula>
    </cfRule>
    <cfRule type="expression" dxfId="1058" priority="70">
      <formula>AND($K51 &lt; 0, ISNUMBER($K51))</formula>
    </cfRule>
    <cfRule type="expression" dxfId="1057" priority="71">
      <formula>AND($H51 &gt; 0, ISNUMBER($H51))</formula>
    </cfRule>
    <cfRule type="expression" dxfId="1056" priority="72">
      <formula>AND($H51 &lt; 0, ISNUMBER($H51))</formula>
    </cfRule>
    <cfRule type="expression" dxfId="1055" priority="73">
      <formula>AND($E51 &gt; 0, ISNUMBER($E51))</formula>
    </cfRule>
    <cfRule type="expression" dxfId="1054" priority="74">
      <formula>AND($E51 &lt; 0, ISNUMBER($E51))</formula>
    </cfRule>
  </conditionalFormatting>
  <conditionalFormatting sqref="D49:F50 E61:F61">
    <cfRule type="expression" dxfId="1053" priority="65">
      <formula>$E$61&gt;0</formula>
    </cfRule>
    <cfRule type="expression" dxfId="1052" priority="66">
      <formula>$E$61&lt;0</formula>
    </cfRule>
  </conditionalFormatting>
  <conditionalFormatting sqref="G49:I50 H61:I61">
    <cfRule type="expression" dxfId="1051" priority="63">
      <formula>$H$61&gt;0</formula>
    </cfRule>
    <cfRule type="expression" dxfId="1050" priority="64">
      <formula>$H$61&lt;0</formula>
    </cfRule>
  </conditionalFormatting>
  <conditionalFormatting sqref="J49:L50 K61:L61">
    <cfRule type="expression" dxfId="1049" priority="61">
      <formula>$K$61&gt;0</formula>
    </cfRule>
    <cfRule type="expression" dxfId="1048" priority="62">
      <formula>$K$61&lt;0</formula>
    </cfRule>
  </conditionalFormatting>
  <conditionalFormatting sqref="M49:O50 N61:O61">
    <cfRule type="expression" dxfId="1047" priority="59">
      <formula>$N$61&gt;0</formula>
    </cfRule>
    <cfRule type="expression" dxfId="1046" priority="60">
      <formula>$N$61&lt;0</formula>
    </cfRule>
  </conditionalFormatting>
  <conditionalFormatting sqref="A68:O77">
    <cfRule type="expression" dxfId="1045" priority="51">
      <formula>AND($N68 &gt; 0, ISNUMBER($N68))</formula>
    </cfRule>
    <cfRule type="expression" dxfId="1044" priority="52">
      <formula>AND($N68 &lt; 0, ISNUMBER($N68))</formula>
    </cfRule>
    <cfRule type="expression" dxfId="1043" priority="53">
      <formula>AND($K68 &gt; 0, ISNUMBER($K68))</formula>
    </cfRule>
    <cfRule type="expression" dxfId="1042" priority="54">
      <formula>AND($K68 &lt; 0, ISNUMBER($K68))</formula>
    </cfRule>
    <cfRule type="expression" dxfId="1041" priority="55">
      <formula>AND($H68 &gt; 0, ISNUMBER($H68))</formula>
    </cfRule>
    <cfRule type="expression" dxfId="1040" priority="56">
      <formula>AND($H68 &lt; 0, ISNUMBER($H68))</formula>
    </cfRule>
    <cfRule type="expression" dxfId="1039" priority="57">
      <formula>AND($E68 &gt; 0, ISNUMBER($E68))</formula>
    </cfRule>
    <cfRule type="expression" dxfId="1038" priority="58">
      <formula>AND($E68 &lt; 0, ISNUMBER($E68))</formula>
    </cfRule>
  </conditionalFormatting>
  <conditionalFormatting sqref="D66:F67 E78:F78">
    <cfRule type="expression" dxfId="1037" priority="49">
      <formula>$E$78&gt;0</formula>
    </cfRule>
    <cfRule type="expression" dxfId="1036" priority="50">
      <formula>$E$78&lt;0</formula>
    </cfRule>
  </conditionalFormatting>
  <conditionalFormatting sqref="G66:I67 H78:I78">
    <cfRule type="expression" dxfId="1035" priority="47">
      <formula>$H$78&gt;0</formula>
    </cfRule>
    <cfRule type="expression" dxfId="1034" priority="48">
      <formula>$H$78&lt;0</formula>
    </cfRule>
  </conditionalFormatting>
  <conditionalFormatting sqref="J66:L67 K78:L78">
    <cfRule type="expression" dxfId="1033" priority="45">
      <formula>$K$78&gt;0</formula>
    </cfRule>
    <cfRule type="expression" dxfId="1032" priority="46">
      <formula>$K$78&lt;0</formula>
    </cfRule>
  </conditionalFormatting>
  <conditionalFormatting sqref="M66:O67 N78:O78">
    <cfRule type="expression" dxfId="1031" priority="43">
      <formula>$N$78&gt;0</formula>
    </cfRule>
    <cfRule type="expression" dxfId="1030" priority="44">
      <formula>$N$78&lt;0</formula>
    </cfRule>
  </conditionalFormatting>
  <conditionalFormatting sqref="A85:O94">
    <cfRule type="expression" dxfId="1029" priority="35">
      <formula>AND($N85 &gt; 0, ISNUMBER($N85))</formula>
    </cfRule>
    <cfRule type="expression" dxfId="1028" priority="36">
      <formula>AND($N85 &lt; 0, ISNUMBER($N85))</formula>
    </cfRule>
    <cfRule type="expression" dxfId="1027" priority="37">
      <formula>AND($K85 &gt; 0, ISNUMBER($K85))</formula>
    </cfRule>
    <cfRule type="expression" dxfId="1026" priority="38">
      <formula>AND($K85 &lt; 0, ISNUMBER($K85))</formula>
    </cfRule>
    <cfRule type="expression" dxfId="1025" priority="39">
      <formula>AND($H85 &gt; 0, ISNUMBER($H85))</formula>
    </cfRule>
    <cfRule type="expression" dxfId="1024" priority="40">
      <formula>AND($H85 &lt; 0, ISNUMBER($H85))</formula>
    </cfRule>
    <cfRule type="expression" dxfId="1023" priority="41">
      <formula>AND($E85 &gt; 0, ISNUMBER($E85))</formula>
    </cfRule>
    <cfRule type="expression" dxfId="1022" priority="42">
      <formula>AND($E85 &lt; 0, ISNUMBER($E85))</formula>
    </cfRule>
  </conditionalFormatting>
  <conditionalFormatting sqref="D83:F84 E95:F95">
    <cfRule type="expression" dxfId="1021" priority="33">
      <formula>$E$95&gt;0</formula>
    </cfRule>
    <cfRule type="expression" dxfId="1020" priority="34">
      <formula>$E$95&lt;0</formula>
    </cfRule>
  </conditionalFormatting>
  <conditionalFormatting sqref="G83:I84 H95:I95">
    <cfRule type="expression" dxfId="1019" priority="31">
      <formula>$H$95&gt;0</formula>
    </cfRule>
    <cfRule type="expression" dxfId="1018" priority="32">
      <formula>$H$95&lt;0</formula>
    </cfRule>
  </conditionalFormatting>
  <conditionalFormatting sqref="J83:L84 K95:L95">
    <cfRule type="expression" dxfId="1017" priority="29">
      <formula>$K$95&gt;0</formula>
    </cfRule>
    <cfRule type="expression" dxfId="1016" priority="30">
      <formula>$K$95&lt;0</formula>
    </cfRule>
  </conditionalFormatting>
  <conditionalFormatting sqref="M83:O84 N95:O95">
    <cfRule type="expression" dxfId="1015" priority="27">
      <formula>$N$95&gt;0</formula>
    </cfRule>
    <cfRule type="expression" dxfId="1014" priority="28">
      <formula>$N$95&lt;0</formula>
    </cfRule>
  </conditionalFormatting>
  <conditionalFormatting sqref="A102:O111">
    <cfRule type="expression" dxfId="1013" priority="19">
      <formula>AND($N102 &gt; 0, ISNUMBER($N102))</formula>
    </cfRule>
    <cfRule type="expression" dxfId="1012" priority="20">
      <formula>AND($N102 &lt; 0, ISNUMBER($N102))</formula>
    </cfRule>
    <cfRule type="expression" dxfId="1011" priority="21">
      <formula>AND($K102 &gt; 0, ISNUMBER($K102))</formula>
    </cfRule>
    <cfRule type="expression" dxfId="1010" priority="22">
      <formula>AND($K102 &lt; 0, ISNUMBER($K102))</formula>
    </cfRule>
    <cfRule type="expression" dxfId="1009" priority="23">
      <formula>AND($H102 &gt; 0, ISNUMBER($H102))</formula>
    </cfRule>
    <cfRule type="expression" dxfId="1008" priority="24">
      <formula>AND($H102 &lt; 0, ISNUMBER($H102))</formula>
    </cfRule>
    <cfRule type="expression" dxfId="1007" priority="25">
      <formula>AND($E102 &gt; 0, ISNUMBER($E102))</formula>
    </cfRule>
    <cfRule type="expression" dxfId="1006" priority="26">
      <formula>AND($E102 &lt; 0, ISNUMBER($E102))</formula>
    </cfRule>
  </conditionalFormatting>
  <conditionalFormatting sqref="D100:F101 E112:F112">
    <cfRule type="expression" dxfId="1005" priority="17">
      <formula>$E$112&gt;0</formula>
    </cfRule>
    <cfRule type="expression" dxfId="1004" priority="18">
      <formula>$E$112&lt;0</formula>
    </cfRule>
  </conditionalFormatting>
  <conditionalFormatting sqref="G100:I101 H112:I112">
    <cfRule type="expression" dxfId="1003" priority="15">
      <formula>$H$112&gt;0</formula>
    </cfRule>
    <cfRule type="expression" dxfId="1002" priority="16">
      <formula>$H$112&lt;0</formula>
    </cfRule>
  </conditionalFormatting>
  <conditionalFormatting sqref="J100:L101 K112:L112">
    <cfRule type="expression" dxfId="1001" priority="13">
      <formula>$K$112&gt;0</formula>
    </cfRule>
    <cfRule type="expression" dxfId="1000" priority="14">
      <formula>$K$112&lt;0</formula>
    </cfRule>
  </conditionalFormatting>
  <conditionalFormatting sqref="M100:O101 N112:O112">
    <cfRule type="expression" dxfId="999" priority="11">
      <formula>$N$112&gt;0</formula>
    </cfRule>
    <cfRule type="expression" dxfId="998" priority="12">
      <formula>$N$112&lt;0</formula>
    </cfRule>
  </conditionalFormatting>
  <conditionalFormatting sqref="G2:I3">
    <cfRule type="expression" dxfId="99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99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99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99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99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99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99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99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8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A5F9D-2469-401A-BE76-1F804384DACC}">
  <sheetPr codeName="Sheet13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-21,211 KRW (-2.12%)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21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-29,589 KRW (-4.93%)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-51,483 KRW (-5.15%)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-44,982 KRW (-11.25%)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-65,045 KRW (-6.50%)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21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16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17" t="s">
        <v>67</v>
      </c>
      <c r="H16" s="118" t="s">
        <v>68</v>
      </c>
      <c r="I16" s="119" t="s">
        <v>70</v>
      </c>
      <c r="J16" s="4" t="s">
        <v>67</v>
      </c>
      <c r="K16" s="4" t="s">
        <v>68</v>
      </c>
      <c r="L16" s="120" t="s">
        <v>70</v>
      </c>
      <c r="M16" s="18" t="s">
        <v>67</v>
      </c>
      <c r="N16" s="4" t="s">
        <v>68</v>
      </c>
      <c r="O16" s="122" t="s">
        <v>70</v>
      </c>
      <c r="Q16" s="206"/>
      <c r="R16" s="207"/>
    </row>
    <row r="17" spans="1:18" ht="17.25" customHeight="1">
      <c r="A17" s="39" t="s">
        <v>206</v>
      </c>
      <c r="B17" s="89">
        <f>IF(NOT(_xlfn.IFNA(VLOOKUP($A17, $A$30:$O$112, 2, FALSE), "")=0), _xlfn.IFNA(VLOOKUP($A17, $A$30:$O$112, 2, FALSE), ""), "")</f>
        <v>1615</v>
      </c>
      <c r="C17" s="22">
        <f>IF(NOT(_xlfn.IFNA(VLOOKUP($A17, $A$30:$O$112, 3, FALSE), "")=0), _xlfn.IFNA(VLOOKUP($A17, $A$30:$O$112, 3, FALSE), ""), "")</f>
        <v>0.20973782769999999</v>
      </c>
      <c r="D17" s="89">
        <f>IF(NOT(_xlfn.IFNA(VLOOKUP($A17, $A$30:$O$112, 4, FALSE), "")=0), _xlfn.IFNA(VLOOKUP($A17, $A$30:$O$112, 4, FALSE), ""), "")</f>
        <v>1905</v>
      </c>
      <c r="E17" s="22">
        <f>IF(NOT(_xlfn.IFNA(VLOOKUP($A17, $A$30:$O$112, 5, FALSE), "")=0), _xlfn.IFNA(VLOOKUP($A17, $A$30:$O$112, 5, FALSE), ""), "")</f>
        <v>0.17956656346749225</v>
      </c>
      <c r="F17" s="58">
        <f>IF(NOT(_xlfn.IFNA(VLOOKUP($A17, $A$30:$O$112, 6, FALSE), "")=0), _xlfn.IFNA(VLOOKUP($A17, $A$30:$O$112, 6, FALSE), ""), "")</f>
        <v>17956.656346749227</v>
      </c>
      <c r="G17" s="36">
        <f t="shared" ref="G17:G26" si="0">IF(NOT(_xlfn.IFNA(VLOOKUP($A17, $A$30:$O$112, 7, FALSE), "")=0), _xlfn.IFNA(VLOOKUP($A17, $A$30:$O$112, 7, FALSE), ""), "")</f>
        <v>1845</v>
      </c>
      <c r="H17" s="5">
        <f>IF(NOT(_xlfn.IFNA(VLOOKUP($A17, $A$30:$O$112, 8, FALSE), "")=0), _xlfn.IFNA(VLOOKUP($A17, $A$30:$O$112, 8, FALSE), ""), "")</f>
        <v>0.14241486068111456</v>
      </c>
      <c r="I17" s="59">
        <f>IF(NOT(_xlfn.IFNA(VLOOKUP($A17, $A$30:$O$112, 9, FALSE), "")=0), _xlfn.IFNA(VLOOKUP($A17, $A$30:$O$112, 9, FALSE), ""), "")</f>
        <v>14241.486068111455</v>
      </c>
      <c r="J17" s="89">
        <f>IF(NOT(_xlfn.IFNA(VLOOKUP($A17, $A$30:$O$112, 10, FALSE), "")=0), _xlfn.IFNA(VLOOKUP($A17, $A$30:$O$112, 10, FALSE), ""), "")</f>
        <v>1765</v>
      </c>
      <c r="K17" s="22">
        <f>IF(NOT(_xlfn.IFNA(VLOOKUP($A17, $A$30:$O$112, 11, FALSE), "")=0), _xlfn.IFNA(VLOOKUP($A17, $A$30:$O$112, 11, FALSE), ""), "")</f>
        <v>9.2879256965944276E-2</v>
      </c>
      <c r="L17" s="58">
        <f>IF(NOT(_xlfn.IFNA(VLOOKUP($A17, $A$30:$O$112, 12, FALSE), "")=0), _xlfn.IFNA(VLOOKUP($A17, $A$30:$O$112, 12, FALSE), ""), "")</f>
        <v>9287.9256965944278</v>
      </c>
      <c r="M17" s="89">
        <f>IF(NOT(_xlfn.IFNA(VLOOKUP($A17, $A$30:$O$112, 13, FALSE), "")=0), _xlfn.IFNA(VLOOKUP($A17, $A$30:$O$112, 13, FALSE), ""), "")</f>
        <v>1795</v>
      </c>
      <c r="N17" s="22">
        <f>IF(NOT(_xlfn.IFNA(VLOOKUP($A17, $A$30:$O$112, 14, FALSE), "")=0), _xlfn.IFNA(VLOOKUP($A17, $A$30:$O$112, 14, FALSE), ""), "")</f>
        <v>0.11145510835913312</v>
      </c>
      <c r="O17" s="43">
        <f>IF(NOT(_xlfn.IFNA(VLOOKUP($A17, $A$30:$O$112, 15, FALSE), "")=0), _xlfn.IFNA(VLOOKUP($A17, $A$30:$O$112, 15, FALSE), ""), "")</f>
        <v>11145.510835913312</v>
      </c>
      <c r="Q17" s="204"/>
      <c r="R17" s="205"/>
    </row>
    <row r="18" spans="1:18" ht="17.25" customHeight="1">
      <c r="A18" s="40" t="s">
        <v>171</v>
      </c>
      <c r="B18" s="36">
        <f t="shared" ref="B18:B26" si="1">IF(NOT(_xlfn.IFNA(VLOOKUP($A18, $A$30:$O$112, 2, FALSE), "")=0), _xlfn.IFNA(VLOOKUP($A18, $A$30:$O$112, 2, FALSE), ""), "")</f>
        <v>772</v>
      </c>
      <c r="C18" s="5">
        <f t="shared" ref="C18:C26" si="2">IF(NOT(_xlfn.IFNA(VLOOKUP($A18, $A$30:$O$112, 3, FALSE), "")=0), _xlfn.IFNA(VLOOKUP($A18, $A$30:$O$112, 3, FALSE), ""), "")</f>
        <v>0.20249221179999999</v>
      </c>
      <c r="D18" s="36">
        <f t="shared" ref="D18:D26" si="3">IF(NOT(_xlfn.IFNA(VLOOKUP($A18, $A$30:$O$112, 4, FALSE), "")=0), _xlfn.IFNA(VLOOKUP($A18, $A$30:$O$112, 4, FALSE), ""), "")</f>
        <v>659</v>
      </c>
      <c r="E18" s="5">
        <f t="shared" ref="E18:E26" si="4">IF(NOT(_xlfn.IFNA(VLOOKUP($A18, $A$30:$O$112, 5, FALSE), "")=0), _xlfn.IFNA(VLOOKUP($A18, $A$30:$O$112, 5, FALSE), ""), "")</f>
        <v>-0.14637305699481865</v>
      </c>
      <c r="F18" s="59">
        <f t="shared" ref="F18:F26" si="5">IF(NOT(_xlfn.IFNA(VLOOKUP($A18, $A$30:$O$112, 6, FALSE), "")=0), _xlfn.IFNA(VLOOKUP($A18, $A$30:$O$112, 6, FALSE), ""), "")</f>
        <v>-14637.305699481865</v>
      </c>
      <c r="G18" s="36">
        <f t="shared" si="0"/>
        <v>670</v>
      </c>
      <c r="H18" s="5">
        <f t="shared" ref="H18:H26" si="6">IF(NOT(_xlfn.IFNA(VLOOKUP($A18, $A$30:$O$112, 8, FALSE), "")=0), _xlfn.IFNA(VLOOKUP($A18, $A$30:$O$112, 8, FALSE), ""), "")</f>
        <v>-0.13212435233160622</v>
      </c>
      <c r="I18" s="59">
        <f t="shared" ref="I18:I26" si="7">IF(NOT(_xlfn.IFNA(VLOOKUP($A18, $A$30:$O$112, 9, FALSE), "")=0), _xlfn.IFNA(VLOOKUP($A18, $A$30:$O$112, 9, FALSE), ""), "")</f>
        <v>-13212.435233160622</v>
      </c>
      <c r="J18" s="36">
        <f t="shared" ref="J18:J26" si="8">IF(NOT(_xlfn.IFNA(VLOOKUP($A18, $A$30:$O$112, 10, FALSE), "")=0), _xlfn.IFNA(VLOOKUP($A18, $A$30:$O$112, 10, FALSE), ""), "")</f>
        <v>670</v>
      </c>
      <c r="K18" s="5">
        <f t="shared" ref="K18:K26" si="9">IF(NOT(_xlfn.IFNA(VLOOKUP($A18, $A$30:$O$112, 11, FALSE), "")=0), _xlfn.IFNA(VLOOKUP($A18, $A$30:$O$112, 11, FALSE), ""), "")</f>
        <v>-0.13212435233160622</v>
      </c>
      <c r="L18" s="59">
        <f t="shared" ref="L18:L26" si="10">IF(NOT(_xlfn.IFNA(VLOOKUP($A18, $A$30:$O$112, 12, FALSE), "")=0), _xlfn.IFNA(VLOOKUP($A18, $A$30:$O$112, 12, FALSE), ""), "")</f>
        <v>-13212.435233160622</v>
      </c>
      <c r="M18" s="36">
        <f t="shared" ref="M18:M26" si="11">IF(NOT(_xlfn.IFNA(VLOOKUP($A18, $A$30:$O$112, 13, FALSE), "")=0), _xlfn.IFNA(VLOOKUP($A18, $A$30:$O$112, 13, FALSE), ""), "")</f>
        <v>657</v>
      </c>
      <c r="N18" s="5">
        <f t="shared" ref="N18:N26" si="12">IF(NOT(_xlfn.IFNA(VLOOKUP($A18, $A$30:$O$112, 14, FALSE), "")=0), _xlfn.IFNA(VLOOKUP($A18, $A$30:$O$112, 14, FALSE), ""), "")</f>
        <v>-0.14896373056994819</v>
      </c>
      <c r="O18" s="44">
        <f t="shared" ref="O18:O26" si="13">IF(NOT(_xlfn.IFNA(VLOOKUP($A18, $A$30:$O$112, 15, FALSE), "")=0), _xlfn.IFNA(VLOOKUP($A18, $A$30:$O$112, 15, FALSE), ""), "")</f>
        <v>-14896.373056994818</v>
      </c>
      <c r="Q18" s="204"/>
      <c r="R18" s="205"/>
    </row>
    <row r="19" spans="1:18" ht="17.25" customHeight="1">
      <c r="A19" s="40" t="s">
        <v>144</v>
      </c>
      <c r="B19" s="36">
        <f t="shared" si="1"/>
        <v>732</v>
      </c>
      <c r="C19" s="5">
        <f t="shared" si="2"/>
        <v>0.1883116883</v>
      </c>
      <c r="D19" s="36">
        <f t="shared" si="3"/>
        <v>653</v>
      </c>
      <c r="E19" s="5">
        <f t="shared" si="4"/>
        <v>-0.10792349726775956</v>
      </c>
      <c r="F19" s="59">
        <f t="shared" si="5"/>
        <v>-10792.349726775956</v>
      </c>
      <c r="G19" s="36">
        <f t="shared" si="0"/>
        <v>666</v>
      </c>
      <c r="H19" s="5">
        <f t="shared" si="6"/>
        <v>-9.0163934426229511E-2</v>
      </c>
      <c r="I19" s="59">
        <f t="shared" si="7"/>
        <v>-9016.3934426229516</v>
      </c>
      <c r="J19" s="36">
        <f t="shared" si="8"/>
        <v>688</v>
      </c>
      <c r="K19" s="5">
        <f t="shared" si="9"/>
        <v>-6.0109289617486336E-2</v>
      </c>
      <c r="L19" s="59">
        <f t="shared" si="10"/>
        <v>-6010.9289617486338</v>
      </c>
      <c r="M19" s="36">
        <f t="shared" si="11"/>
        <v>666</v>
      </c>
      <c r="N19" s="5">
        <f t="shared" si="12"/>
        <v>-9.0163934426229511E-2</v>
      </c>
      <c r="O19" s="44">
        <f t="shared" si="13"/>
        <v>-9016.3934426229516</v>
      </c>
      <c r="Q19" s="204"/>
      <c r="R19" s="205"/>
    </row>
    <row r="20" spans="1:18" ht="17.25" customHeight="1">
      <c r="A20" s="40" t="s">
        <v>126</v>
      </c>
      <c r="B20" s="36">
        <f t="shared" si="1"/>
        <v>193</v>
      </c>
      <c r="C20" s="5">
        <f t="shared" si="2"/>
        <v>0.16969696970000001</v>
      </c>
      <c r="D20" s="36">
        <f t="shared" si="3"/>
        <v>180</v>
      </c>
      <c r="E20" s="5">
        <f t="shared" si="4"/>
        <v>-6.7357512953367879E-2</v>
      </c>
      <c r="F20" s="59">
        <f t="shared" si="5"/>
        <v>-6735.7512953367877</v>
      </c>
      <c r="G20" s="36">
        <f t="shared" si="0"/>
        <v>183</v>
      </c>
      <c r="H20" s="5">
        <f t="shared" si="6"/>
        <v>-5.181347150259067E-2</v>
      </c>
      <c r="I20" s="59">
        <f t="shared" si="7"/>
        <v>-5181.3471502590673</v>
      </c>
      <c r="J20" s="36">
        <f t="shared" si="8"/>
        <v>180</v>
      </c>
      <c r="K20" s="5">
        <f t="shared" si="9"/>
        <v>-6.7357512953367879E-2</v>
      </c>
      <c r="L20" s="59">
        <f t="shared" si="10"/>
        <v>-6735.7512953367877</v>
      </c>
      <c r="M20" s="36">
        <f t="shared" si="11"/>
        <v>181</v>
      </c>
      <c r="N20" s="5">
        <f t="shared" si="12"/>
        <v>-6.2176165803108807E-2</v>
      </c>
      <c r="O20" s="44">
        <f t="shared" si="13"/>
        <v>-6217.6165803108806</v>
      </c>
      <c r="Q20" s="204"/>
      <c r="R20" s="205"/>
    </row>
    <row r="21" spans="1:18" ht="17.25" customHeight="1">
      <c r="A21" s="41" t="s">
        <v>151</v>
      </c>
      <c r="B21" s="37">
        <f t="shared" si="1"/>
        <v>5120</v>
      </c>
      <c r="C21" s="24">
        <f t="shared" si="2"/>
        <v>0.14669652859999999</v>
      </c>
      <c r="D21" s="37">
        <f t="shared" si="3"/>
        <v>4670</v>
      </c>
      <c r="E21" s="24">
        <f t="shared" si="4"/>
        <v>-8.7890625E-2</v>
      </c>
      <c r="F21" s="60">
        <f t="shared" si="5"/>
        <v>-8789.0625</v>
      </c>
      <c r="G21" s="37">
        <f t="shared" si="0"/>
        <v>4635</v>
      </c>
      <c r="H21" s="24">
        <f t="shared" si="6"/>
        <v>-9.47265625E-2</v>
      </c>
      <c r="I21" s="60">
        <f t="shared" si="7"/>
        <v>-9472.65625</v>
      </c>
      <c r="J21" s="37">
        <f t="shared" si="8"/>
        <v>4825</v>
      </c>
      <c r="K21" s="24">
        <f t="shared" si="9"/>
        <v>-5.76171875E-2</v>
      </c>
      <c r="L21" s="60">
        <f t="shared" si="10"/>
        <v>-5761.71875</v>
      </c>
      <c r="M21" s="37">
        <f t="shared" si="11"/>
        <v>4815</v>
      </c>
      <c r="N21" s="24">
        <f t="shared" si="12"/>
        <v>-5.95703125E-2</v>
      </c>
      <c r="O21" s="62">
        <f t="shared" si="13"/>
        <v>-5957.03125</v>
      </c>
      <c r="Q21" s="204"/>
      <c r="R21" s="205"/>
    </row>
    <row r="22" spans="1:18" ht="17.25" customHeight="1">
      <c r="A22" s="40" t="s">
        <v>162</v>
      </c>
      <c r="B22" s="36">
        <f t="shared" si="1"/>
        <v>303</v>
      </c>
      <c r="C22" s="5">
        <f t="shared" si="2"/>
        <v>0.12222222219999999</v>
      </c>
      <c r="D22" s="36">
        <f t="shared" si="3"/>
        <v>260</v>
      </c>
      <c r="E22" s="5">
        <f t="shared" si="4"/>
        <v>-0.14191419141914191</v>
      </c>
      <c r="F22" s="59">
        <f t="shared" si="5"/>
        <v>-14191.419141914192</v>
      </c>
      <c r="G22" s="36">
        <f t="shared" si="0"/>
        <v>258</v>
      </c>
      <c r="H22" s="5">
        <f t="shared" si="6"/>
        <v>-0.14851485148514851</v>
      </c>
      <c r="I22" s="59">
        <f t="shared" si="7"/>
        <v>-14851.48514851485</v>
      </c>
      <c r="J22" s="36">
        <f t="shared" si="8"/>
        <v>262</v>
      </c>
      <c r="K22" s="5">
        <f t="shared" si="9"/>
        <v>-0.13531353135313531</v>
      </c>
      <c r="L22" s="59">
        <f t="shared" si="10"/>
        <v>-13531.353135313531</v>
      </c>
      <c r="M22" s="36">
        <f t="shared" si="11"/>
        <v>258</v>
      </c>
      <c r="N22" s="5">
        <f t="shared" si="12"/>
        <v>-0.14851485148514851</v>
      </c>
      <c r="O22" s="44">
        <f t="shared" si="13"/>
        <v>-14851.48514851485</v>
      </c>
      <c r="Q22" s="204"/>
      <c r="R22" s="205"/>
    </row>
    <row r="23" spans="1:18" ht="17.25" customHeight="1">
      <c r="A23" s="40" t="s">
        <v>114</v>
      </c>
      <c r="B23" s="36">
        <f t="shared" si="1"/>
        <v>6965</v>
      </c>
      <c r="C23" s="5">
        <f t="shared" si="2"/>
        <v>0.1144</v>
      </c>
      <c r="D23" s="36">
        <f t="shared" si="3"/>
        <v>6445</v>
      </c>
      <c r="E23" s="5">
        <f t="shared" si="4"/>
        <v>-7.4659009332376167E-2</v>
      </c>
      <c r="F23" s="59">
        <f t="shared" si="5"/>
        <v>-7465.9009332376163</v>
      </c>
      <c r="G23" s="36">
        <f t="shared" si="0"/>
        <v>6310</v>
      </c>
      <c r="H23" s="5">
        <f t="shared" si="6"/>
        <v>-9.4041636755204591E-2</v>
      </c>
      <c r="I23" s="59">
        <f t="shared" si="7"/>
        <v>-9404.1636755204599</v>
      </c>
      <c r="J23" s="36">
        <f t="shared" si="8"/>
        <v>6490</v>
      </c>
      <c r="K23" s="5">
        <f t="shared" si="9"/>
        <v>-6.8198133524766696E-2</v>
      </c>
      <c r="L23" s="59">
        <f t="shared" si="10"/>
        <v>-6819.8133524766699</v>
      </c>
      <c r="M23" s="36">
        <f t="shared" si="11"/>
        <v>6540</v>
      </c>
      <c r="N23" s="5">
        <f t="shared" si="12"/>
        <v>-6.1019382627422826E-2</v>
      </c>
      <c r="O23" s="44">
        <f t="shared" si="13"/>
        <v>-6101.9382627422829</v>
      </c>
      <c r="Q23" s="204"/>
      <c r="R23" s="205"/>
    </row>
    <row r="24" spans="1:18" ht="17.25" customHeight="1">
      <c r="A24" s="40" t="s">
        <v>156</v>
      </c>
      <c r="B24" s="36">
        <f t="shared" si="1"/>
        <v>3065</v>
      </c>
      <c r="C24" s="5">
        <f t="shared" si="2"/>
        <v>0.1005385996</v>
      </c>
      <c r="D24" s="36">
        <f t="shared" si="3"/>
        <v>2980</v>
      </c>
      <c r="E24" s="5">
        <f t="shared" si="4"/>
        <v>-2.7732463295269169E-2</v>
      </c>
      <c r="F24" s="59">
        <f t="shared" si="5"/>
        <v>-2773.2463295269167</v>
      </c>
      <c r="G24" s="36">
        <f t="shared" si="0"/>
        <v>2955</v>
      </c>
      <c r="H24" s="5">
        <f t="shared" si="6"/>
        <v>-3.588907014681892E-2</v>
      </c>
      <c r="I24" s="59">
        <f t="shared" si="7"/>
        <v>-3588.9070146818922</v>
      </c>
      <c r="J24" s="36">
        <f t="shared" si="8"/>
        <v>2975</v>
      </c>
      <c r="K24" s="5">
        <f t="shared" si="9"/>
        <v>-2.936378466557912E-2</v>
      </c>
      <c r="L24" s="59">
        <f t="shared" si="10"/>
        <v>-2936.3784665579119</v>
      </c>
      <c r="M24" s="36">
        <f t="shared" si="11"/>
        <v>2990</v>
      </c>
      <c r="N24" s="5">
        <f t="shared" si="12"/>
        <v>-2.4469820554649267E-2</v>
      </c>
      <c r="O24" s="44">
        <f t="shared" si="13"/>
        <v>-2446.9820554649268</v>
      </c>
      <c r="Q24" s="204"/>
      <c r="R24" s="205"/>
    </row>
    <row r="25" spans="1:18" ht="17.25" customHeight="1">
      <c r="A25" s="40" t="s">
        <v>137</v>
      </c>
      <c r="B25" s="36">
        <f t="shared" si="1"/>
        <v>585</v>
      </c>
      <c r="C25" s="5">
        <f t="shared" si="2"/>
        <v>9.9624060200000003E-2</v>
      </c>
      <c r="D25" s="36">
        <f t="shared" si="3"/>
        <v>506</v>
      </c>
      <c r="E25" s="5">
        <f t="shared" si="4"/>
        <v>-0.13504273504273503</v>
      </c>
      <c r="F25" s="59">
        <f t="shared" si="5"/>
        <v>-13504.273504273504</v>
      </c>
      <c r="G25" s="36">
        <f t="shared" si="0"/>
        <v>513</v>
      </c>
      <c r="H25" s="5">
        <f t="shared" si="6"/>
        <v>-0.12307692307692308</v>
      </c>
      <c r="I25" s="59">
        <f t="shared" si="7"/>
        <v>-12307.692307692309</v>
      </c>
      <c r="J25" s="36">
        <f t="shared" si="8"/>
        <v>532</v>
      </c>
      <c r="K25" s="5">
        <f t="shared" si="9"/>
        <v>-9.0598290598290596E-2</v>
      </c>
      <c r="L25" s="59">
        <f t="shared" si="10"/>
        <v>-9059.8290598290587</v>
      </c>
      <c r="M25" s="36">
        <f t="shared" si="11"/>
        <v>525</v>
      </c>
      <c r="N25" s="5">
        <f t="shared" si="12"/>
        <v>-0.10256410256410256</v>
      </c>
      <c r="O25" s="44">
        <f t="shared" si="13"/>
        <v>-10256.410256410256</v>
      </c>
      <c r="Q25" s="206"/>
      <c r="R25" s="207"/>
    </row>
    <row r="26" spans="1:18" ht="17.25" customHeight="1" thickBot="1">
      <c r="A26" s="42" t="s">
        <v>192</v>
      </c>
      <c r="B26" s="38">
        <f t="shared" si="1"/>
        <v>2870</v>
      </c>
      <c r="C26" s="16">
        <f t="shared" si="2"/>
        <v>9.3333333300000001E-2</v>
      </c>
      <c r="D26" s="38">
        <f t="shared" si="3"/>
        <v>2655</v>
      </c>
      <c r="E26" s="16">
        <f t="shared" si="4"/>
        <v>-7.4912891986062713E-2</v>
      </c>
      <c r="F26" s="61">
        <f t="shared" si="5"/>
        <v>-7491.2891986062714</v>
      </c>
      <c r="G26" s="38">
        <f t="shared" si="0"/>
        <v>2630</v>
      </c>
      <c r="H26" s="16">
        <f t="shared" si="6"/>
        <v>-8.3623693379790948E-2</v>
      </c>
      <c r="I26" s="61">
        <f t="shared" si="7"/>
        <v>-8362.3693379790948</v>
      </c>
      <c r="J26" s="38">
        <f t="shared" si="8"/>
        <v>2650</v>
      </c>
      <c r="K26" s="16">
        <f t="shared" si="9"/>
        <v>-7.6655052264808357E-2</v>
      </c>
      <c r="L26" s="61">
        <f t="shared" si="10"/>
        <v>-7665.5052264808355</v>
      </c>
      <c r="M26" s="38">
        <f t="shared" si="11"/>
        <v>2685</v>
      </c>
      <c r="N26" s="16">
        <f t="shared" si="12"/>
        <v>-6.4459930313588848E-2</v>
      </c>
      <c r="O26" s="45">
        <f t="shared" si="13"/>
        <v>-6445.9930313588848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-6.8423941982403896E-2</v>
      </c>
      <c r="F27" s="47">
        <f>SUM(F17:F26)</f>
        <v>-68423.941982403892</v>
      </c>
      <c r="G27" s="57" t="s">
        <v>82</v>
      </c>
      <c r="H27" s="46">
        <f>IF(COUNT(H17:H26), SUM(H17:H26) / COUNT(H17:H26), 0)</f>
        <v>-7.1155963492319799E-2</v>
      </c>
      <c r="I27" s="47">
        <f>SUM(I17:I26)</f>
        <v>-71155.963492319788</v>
      </c>
      <c r="J27" s="57" t="s">
        <v>82</v>
      </c>
      <c r="K27" s="46">
        <f>IF(COUNT(K17:K26), SUM(K17:K26) / COUNT(K17:K26), 0)</f>
        <v>-6.2445787784309627E-2</v>
      </c>
      <c r="L27" s="47">
        <f>SUM(L17:L26)</f>
        <v>-62445.787784309621</v>
      </c>
      <c r="M27" s="57" t="s">
        <v>82</v>
      </c>
      <c r="N27" s="46">
        <f>IF(COUNT(N17:N26), SUM(N17:N26) / COUNT(N17:N26), 0)</f>
        <v>-6.5044712248506539E-2</v>
      </c>
      <c r="O27" s="47">
        <f>SUM(O17:O26)</f>
        <v>-65044.712248506541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16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0" t="s">
        <v>70</v>
      </c>
      <c r="M33" s="18" t="s">
        <v>67</v>
      </c>
      <c r="N33" s="4" t="s">
        <v>68</v>
      </c>
      <c r="O33" s="122" t="s">
        <v>70</v>
      </c>
      <c r="Q33" s="231"/>
      <c r="R33" s="232"/>
    </row>
    <row r="34" spans="1:18" ht="17.25" customHeight="1">
      <c r="A34" s="9" t="s">
        <v>94</v>
      </c>
      <c r="B34" s="31">
        <v>82.5</v>
      </c>
      <c r="C34" s="22">
        <v>2.1039604E-2</v>
      </c>
      <c r="D34" s="89">
        <v>84.9</v>
      </c>
      <c r="E34" s="22">
        <f>IF(ISNUMBER(D34), (D34 - $B34) / $B34, "")</f>
        <v>2.909090909090916E-2</v>
      </c>
      <c r="F34" s="43">
        <f>IF(ISNUMBER(D34), $B44 * E34, "")</f>
        <v>2909.0909090909158</v>
      </c>
      <c r="G34" s="89">
        <v>94</v>
      </c>
      <c r="H34" s="22">
        <f>IF(ISNUMBER(G34), (G34 - $B34) / $B34, "")</f>
        <v>0.1393939393939394</v>
      </c>
      <c r="I34" s="43">
        <f>IF(ISNUMBER(G34), $B44 * H34, "")</f>
        <v>13939.39393939394</v>
      </c>
      <c r="J34" s="89">
        <v>98.9</v>
      </c>
      <c r="K34" s="22">
        <f>IF(ISNUMBER(J34), (J34 - $B34) / $B34, "")</f>
        <v>0.19878787878787885</v>
      </c>
      <c r="L34" s="43">
        <f>IF(ISNUMBER(J34), $B44 * K34, "")</f>
        <v>19878.787878787884</v>
      </c>
      <c r="M34" s="89">
        <v>94</v>
      </c>
      <c r="N34" s="22">
        <f>IF(ISNUMBER(M34), (M34 - $B34) / $B34, "")</f>
        <v>0.1393939393939394</v>
      </c>
      <c r="O34" s="43">
        <f>IF(ISNUMBER(M34), $B44 * N34, "")</f>
        <v>13939.39393939394</v>
      </c>
      <c r="Q34" s="229"/>
      <c r="R34" s="230"/>
    </row>
    <row r="35" spans="1:18" ht="17.25" customHeight="1">
      <c r="A35" s="11" t="s">
        <v>145</v>
      </c>
      <c r="B35" s="32">
        <v>54.2</v>
      </c>
      <c r="C35" s="5">
        <v>1.8796992500000002E-2</v>
      </c>
      <c r="D35" s="36">
        <v>51</v>
      </c>
      <c r="E35" s="5">
        <f t="shared" ref="E35:E43" si="14">IF(ISNUMBER(D35), (D35 - $B35) / $B35, "")</f>
        <v>-5.9040590405904106E-2</v>
      </c>
      <c r="F35" s="44">
        <f>IF(ISNUMBER(D35), $B44 * E35, "")</f>
        <v>-5904.0590405904104</v>
      </c>
      <c r="G35" s="36">
        <v>51.1</v>
      </c>
      <c r="H35" s="5">
        <f t="shared" ref="H35:H43" si="15">IF(ISNUMBER(G35), (G35 - $B35) / $B35, "")</f>
        <v>-5.719557195571958E-2</v>
      </c>
      <c r="I35" s="44">
        <f>IF(ISNUMBER(G35), $B44 * H35, "")</f>
        <v>-5719.5571955719579</v>
      </c>
      <c r="J35" s="36">
        <v>53.6</v>
      </c>
      <c r="K35" s="5">
        <f t="shared" ref="K35:K43" si="16">IF(ISNUMBER(J35), (J35 - $B35) / $B35, "")</f>
        <v>-1.1070110701107036E-2</v>
      </c>
      <c r="L35" s="44">
        <f>IF(ISNUMBER(J35), $B44 * K35, "")</f>
        <v>-1107.0110701107037</v>
      </c>
      <c r="M35" s="36">
        <v>53.7</v>
      </c>
      <c r="N35" s="5">
        <f t="shared" ref="N35:N43" si="17">IF(ISNUMBER(M35), (M35 - $B35) / $B35, "")</f>
        <v>-9.2250922509225092E-3</v>
      </c>
      <c r="O35" s="44">
        <f>IF(ISNUMBER(M35), $B44 * N35, "")</f>
        <v>-922.50922509225097</v>
      </c>
      <c r="Q35" s="229"/>
      <c r="R35" s="230"/>
    </row>
    <row r="36" spans="1:18" ht="17.25" customHeight="1">
      <c r="A36" s="11" t="s">
        <v>132</v>
      </c>
      <c r="B36" s="32">
        <v>41.1</v>
      </c>
      <c r="C36" s="5">
        <v>4.8899755999999997E-3</v>
      </c>
      <c r="D36" s="36">
        <v>37.299999999999997</v>
      </c>
      <c r="E36" s="5">
        <f t="shared" si="14"/>
        <v>-9.2457420924574304E-2</v>
      </c>
      <c r="F36" s="44">
        <f>IF(ISNUMBER(D36), $B44 * E36, "")</f>
        <v>-9245.7420924574308</v>
      </c>
      <c r="G36" s="36">
        <v>37.1</v>
      </c>
      <c r="H36" s="5">
        <f t="shared" si="15"/>
        <v>-9.7323600973236002E-2</v>
      </c>
      <c r="I36" s="44">
        <f>IF(ISNUMBER(G36), $B44 * H36, "")</f>
        <v>-9732.3600973236007</v>
      </c>
      <c r="J36" s="36">
        <v>38.9</v>
      </c>
      <c r="K36" s="5">
        <f t="shared" si="16"/>
        <v>-5.3527980535279872E-2</v>
      </c>
      <c r="L36" s="44">
        <f>IF(ISNUMBER(J36), $B44 * K36, "")</f>
        <v>-5352.7980535279876</v>
      </c>
      <c r="M36" s="36">
        <v>38.700000000000003</v>
      </c>
      <c r="N36" s="5">
        <f t="shared" si="17"/>
        <v>-5.8394160583941569E-2</v>
      </c>
      <c r="O36" s="44">
        <f>IF(ISNUMBER(M36), $B44 * N36, "")</f>
        <v>-5839.4160583941566</v>
      </c>
      <c r="Q36" s="229"/>
      <c r="R36" s="230"/>
    </row>
    <row r="37" spans="1:18" ht="17.25" customHeight="1">
      <c r="A37" s="11" t="s">
        <v>119</v>
      </c>
      <c r="B37" s="32">
        <v>29.4</v>
      </c>
      <c r="C37" s="5">
        <v>-3.2894736799999998E-2</v>
      </c>
      <c r="D37" s="36">
        <v>26.9</v>
      </c>
      <c r="E37" s="5">
        <f t="shared" si="14"/>
        <v>-8.5034013605442174E-2</v>
      </c>
      <c r="F37" s="44">
        <f>IF(ISNUMBER(D37), $B44 * E37, "")</f>
        <v>-8503.4013605442178</v>
      </c>
      <c r="G37" s="36">
        <v>26.9</v>
      </c>
      <c r="H37" s="5">
        <f t="shared" si="15"/>
        <v>-8.5034013605442174E-2</v>
      </c>
      <c r="I37" s="44">
        <f>IF(ISNUMBER(G37), $B44 * H37, "")</f>
        <v>-8503.4013605442178</v>
      </c>
      <c r="J37" s="36">
        <v>27.6</v>
      </c>
      <c r="K37" s="5">
        <f t="shared" si="16"/>
        <v>-6.1224489795918276E-2</v>
      </c>
      <c r="L37" s="44">
        <f>IF(ISNUMBER(J37), $B44 * K37, "")</f>
        <v>-6122.448979591828</v>
      </c>
      <c r="M37" s="36">
        <v>27.2</v>
      </c>
      <c r="N37" s="5">
        <f t="shared" si="17"/>
        <v>-7.4829931972789102E-2</v>
      </c>
      <c r="O37" s="44">
        <f>IF(ISNUMBER(M37), $B44 * N37, "")</f>
        <v>-7482.99319727891</v>
      </c>
      <c r="Q37" s="229"/>
      <c r="R37" s="230"/>
    </row>
    <row r="38" spans="1:18" ht="17.25" customHeight="1">
      <c r="A38" s="8" t="s">
        <v>148</v>
      </c>
      <c r="B38" s="33">
        <v>68.5</v>
      </c>
      <c r="C38" s="24">
        <v>-3.3850493699999998E-2</v>
      </c>
      <c r="D38" s="37">
        <v>67.8</v>
      </c>
      <c r="E38" s="24">
        <f t="shared" si="14"/>
        <v>-1.0218978102189823E-2</v>
      </c>
      <c r="F38" s="44">
        <f>IF(ISNUMBER(D38), $B44 * E38, "")</f>
        <v>-1021.8978102189823</v>
      </c>
      <c r="G38" s="37">
        <v>71.2</v>
      </c>
      <c r="H38" s="24">
        <f t="shared" si="15"/>
        <v>3.9416058394160625E-2</v>
      </c>
      <c r="I38" s="44">
        <f>IF(ISNUMBER(G38), $B44 * H38, "")</f>
        <v>3941.6058394160623</v>
      </c>
      <c r="J38" s="37">
        <v>73</v>
      </c>
      <c r="K38" s="24">
        <f t="shared" si="16"/>
        <v>6.569343065693431E-2</v>
      </c>
      <c r="L38" s="44">
        <f>IF(ISNUMBER(J38), $B44 * K38, "")</f>
        <v>6569.3430656934306</v>
      </c>
      <c r="M38" s="37">
        <v>72.099999999999994</v>
      </c>
      <c r="N38" s="24">
        <f t="shared" si="17"/>
        <v>5.2554744525547363E-2</v>
      </c>
      <c r="O38" s="44">
        <f>IF(ISNUMBER(M38), $B44 * N38, "")</f>
        <v>5255.4744525547367</v>
      </c>
      <c r="Q38" s="229"/>
      <c r="R38" s="230"/>
    </row>
    <row r="39" spans="1:18" ht="17.25" customHeight="1">
      <c r="A39" s="11" t="s">
        <v>136</v>
      </c>
      <c r="B39" s="32">
        <v>31.5</v>
      </c>
      <c r="C39" s="5">
        <v>-4.2553191499999997E-2</v>
      </c>
      <c r="D39" s="36">
        <v>29</v>
      </c>
      <c r="E39" s="5">
        <f t="shared" si="14"/>
        <v>-7.9365079365079361E-2</v>
      </c>
      <c r="F39" s="48">
        <f>IF(ISNUMBER(D39), $B44 * E39, "")</f>
        <v>-7936.5079365079364</v>
      </c>
      <c r="G39" s="36">
        <v>29.4</v>
      </c>
      <c r="H39" s="5">
        <f t="shared" si="15"/>
        <v>-6.6666666666666707E-2</v>
      </c>
      <c r="I39" s="48">
        <f>IF(ISNUMBER(G39), $B44 * H39, "")</f>
        <v>-6666.6666666666706</v>
      </c>
      <c r="J39" s="36">
        <v>30.2</v>
      </c>
      <c r="K39" s="5">
        <f t="shared" si="16"/>
        <v>-4.126984126984129E-2</v>
      </c>
      <c r="L39" s="48">
        <f>IF(ISNUMBER(J39), $B44 * K39, "")</f>
        <v>-4126.984126984129</v>
      </c>
      <c r="M39" s="36">
        <v>29.7</v>
      </c>
      <c r="N39" s="5">
        <f t="shared" si="17"/>
        <v>-5.7142857142857169E-2</v>
      </c>
      <c r="O39" s="48">
        <f>IF(ISNUMBER(M39), $B44 * N39, "")</f>
        <v>-5714.2857142857165</v>
      </c>
      <c r="Q39" s="229"/>
      <c r="R39" s="230"/>
    </row>
    <row r="40" spans="1:18" ht="17.25" customHeight="1">
      <c r="A40" s="11" t="s">
        <v>135</v>
      </c>
      <c r="B40" s="32">
        <v>34.700000000000003</v>
      </c>
      <c r="C40" s="5">
        <v>-4.9315068500000003E-2</v>
      </c>
      <c r="D40" s="36">
        <v>30.8</v>
      </c>
      <c r="E40" s="5">
        <f t="shared" si="14"/>
        <v>-0.11239193083573493</v>
      </c>
      <c r="F40" s="44">
        <f>IF(ISNUMBER(D40), $B44 * E40, "")</f>
        <v>-11239.193083573493</v>
      </c>
      <c r="G40" s="36">
        <v>31.8</v>
      </c>
      <c r="H40" s="5">
        <f t="shared" si="15"/>
        <v>-8.3573487031700339E-2</v>
      </c>
      <c r="I40" s="44">
        <f>IF(ISNUMBER(G40), $B44 * H40, "")</f>
        <v>-8357.3487031700333</v>
      </c>
      <c r="J40" s="36">
        <v>33</v>
      </c>
      <c r="K40" s="5">
        <f t="shared" si="16"/>
        <v>-4.8991354466858865E-2</v>
      </c>
      <c r="L40" s="44">
        <f>IF(ISNUMBER(J40), $B44 * K40, "")</f>
        <v>-4899.1354466858866</v>
      </c>
      <c r="M40" s="36">
        <v>32.799999999999997</v>
      </c>
      <c r="N40" s="5">
        <f t="shared" si="17"/>
        <v>-5.4755043227665869E-2</v>
      </c>
      <c r="O40" s="44">
        <f>IF(ISNUMBER(M40), $B44 * N40, "")</f>
        <v>-5475.5043227665865</v>
      </c>
      <c r="Q40" s="229"/>
      <c r="R40" s="230"/>
    </row>
    <row r="41" spans="1:18" ht="17.25" customHeight="1">
      <c r="A41" s="11" t="s">
        <v>107</v>
      </c>
      <c r="B41" s="32">
        <v>50</v>
      </c>
      <c r="C41" s="5">
        <v>-5.1233396600000002E-2</v>
      </c>
      <c r="D41" s="36">
        <v>45.2</v>
      </c>
      <c r="E41" s="5">
        <f t="shared" si="14"/>
        <v>-9.5999999999999946E-2</v>
      </c>
      <c r="F41" s="44">
        <f>IF(ISNUMBER(D41), $B44 * E41, "")</f>
        <v>-9599.9999999999945</v>
      </c>
      <c r="G41" s="36">
        <v>46.3</v>
      </c>
      <c r="H41" s="5">
        <f t="shared" si="15"/>
        <v>-7.4000000000000052E-2</v>
      </c>
      <c r="I41" s="44">
        <f>IF(ISNUMBER(G41), $B44 * H41, "")</f>
        <v>-7400.0000000000055</v>
      </c>
      <c r="J41" s="36">
        <v>47.2</v>
      </c>
      <c r="K41" s="5">
        <f t="shared" si="16"/>
        <v>-5.5999999999999946E-2</v>
      </c>
      <c r="L41" s="44">
        <f>IF(ISNUMBER(J41), $B44 * K41, "")</f>
        <v>-5599.9999999999945</v>
      </c>
      <c r="M41" s="36">
        <v>46.7</v>
      </c>
      <c r="N41" s="5">
        <f t="shared" si="17"/>
        <v>-6.5999999999999948E-2</v>
      </c>
      <c r="O41" s="44">
        <f>IF(ISNUMBER(M41), $B44 * N41, "")</f>
        <v>-6599.9999999999945</v>
      </c>
      <c r="Q41" s="229"/>
      <c r="R41" s="230"/>
    </row>
    <row r="42" spans="1:18" ht="17.25" customHeight="1">
      <c r="A42" s="11" t="s">
        <v>123</v>
      </c>
      <c r="B42" s="32">
        <v>94.7</v>
      </c>
      <c r="C42" s="5">
        <v>-5.2999999999999999E-2</v>
      </c>
      <c r="D42" s="36">
        <v>87</v>
      </c>
      <c r="E42" s="5">
        <f t="shared" si="14"/>
        <v>-8.1309398099260854E-2</v>
      </c>
      <c r="F42" s="44">
        <f>IF(ISNUMBER(D42), $B44 * E42, "")</f>
        <v>-8130.9398099260852</v>
      </c>
      <c r="G42" s="36">
        <v>91.6</v>
      </c>
      <c r="H42" s="5">
        <f t="shared" si="15"/>
        <v>-3.2734952481520682E-2</v>
      </c>
      <c r="I42" s="44">
        <f>IF(ISNUMBER(G42), $B44 * H42, "")</f>
        <v>-3273.4952481520681</v>
      </c>
      <c r="J42" s="36">
        <v>93.4</v>
      </c>
      <c r="K42" s="5">
        <f t="shared" si="16"/>
        <v>-1.3727560718056992E-2</v>
      </c>
      <c r="L42" s="44">
        <f>IF(ISNUMBER(J42), $B44 * K42, "")</f>
        <v>-1372.7560718056993</v>
      </c>
      <c r="M42" s="36">
        <v>91.1</v>
      </c>
      <c r="N42" s="5">
        <f t="shared" si="17"/>
        <v>-3.8014783526927227E-2</v>
      </c>
      <c r="O42" s="44">
        <f>IF(ISNUMBER(M42), $B44 * N42, "")</f>
        <v>-3801.4783526927226</v>
      </c>
      <c r="P42" s="17"/>
      <c r="Q42" s="231"/>
      <c r="R42" s="232"/>
    </row>
    <row r="43" spans="1:18" ht="17.25" customHeight="1" thickBot="1">
      <c r="A43" s="13" t="s">
        <v>163</v>
      </c>
      <c r="B43" s="34">
        <v>37.200000000000003</v>
      </c>
      <c r="C43" s="16">
        <v>-5.3435114499999999E-2</v>
      </c>
      <c r="D43" s="38">
        <v>34.9</v>
      </c>
      <c r="E43" s="16">
        <f t="shared" si="14"/>
        <v>-6.1827956989247423E-2</v>
      </c>
      <c r="F43" s="45">
        <f>IF(ISNUMBER(D43), $B44 * E43, "")</f>
        <v>-6182.7956989247423</v>
      </c>
      <c r="G43" s="38">
        <v>35.1</v>
      </c>
      <c r="H43" s="16">
        <f t="shared" si="15"/>
        <v>-5.645161290322584E-2</v>
      </c>
      <c r="I43" s="45">
        <f>IF(ISNUMBER(G43), $B44 * H43, "")</f>
        <v>-5645.1612903225841</v>
      </c>
      <c r="J43" s="38">
        <v>35.5</v>
      </c>
      <c r="K43" s="16">
        <f t="shared" si="16"/>
        <v>-4.5698924731182866E-2</v>
      </c>
      <c r="L43" s="45">
        <f>IF(ISNUMBER(J43), $B44 * K43, "")</f>
        <v>-4569.8924731182869</v>
      </c>
      <c r="M43" s="38">
        <v>35.5</v>
      </c>
      <c r="N43" s="16">
        <f t="shared" si="17"/>
        <v>-4.5698924731182866E-2</v>
      </c>
      <c r="O43" s="45">
        <f>IF(ISNUMBER(M43), $B44 * N43, "")</f>
        <v>-4569.8924731182869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-6.4855445923652374E-2</v>
      </c>
      <c r="F44" s="47">
        <f>SUM(F34:F43)</f>
        <v>-64855.445923652376</v>
      </c>
      <c r="G44" s="57" t="s">
        <v>82</v>
      </c>
      <c r="H44" s="46">
        <f>IF(COUNT(H34:H43), SUM(H34:H43) / COUNT(H34:H43), 0)</f>
        <v>-3.741699078294114E-2</v>
      </c>
      <c r="I44" s="47">
        <f>SUM(I34:I43)</f>
        <v>-37416.990782941131</v>
      </c>
      <c r="J44" s="57" t="s">
        <v>82</v>
      </c>
      <c r="K44" s="46">
        <f>IF(COUNT(K34:K43), SUM(K34:K43) / COUNT(K34:K43), 0)</f>
        <v>-6.7028952773431974E-3</v>
      </c>
      <c r="L44" s="47">
        <f>SUM(L34:L43)</f>
        <v>-6702.8952773432011</v>
      </c>
      <c r="M44" s="57" t="s">
        <v>82</v>
      </c>
      <c r="N44" s="46">
        <f>IF(COUNT(N34:N43), SUM(N34:N43) / COUNT(N34:N43), 0)</f>
        <v>-2.1211210951679944E-2</v>
      </c>
      <c r="O44" s="47">
        <f>SUM(O34:O43)</f>
        <v>-21211.210951679946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16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0" t="s">
        <v>70</v>
      </c>
      <c r="M50" s="18" t="s">
        <v>67</v>
      </c>
      <c r="N50" s="4" t="s">
        <v>68</v>
      </c>
      <c r="O50" s="122" t="s">
        <v>70</v>
      </c>
      <c r="Q50" s="231"/>
      <c r="R50" s="232"/>
    </row>
    <row r="51" spans="1:18" ht="17.25" customHeight="1">
      <c r="A51" s="9" t="s">
        <v>95</v>
      </c>
      <c r="B51" s="31">
        <v>34</v>
      </c>
      <c r="C51" s="22">
        <v>-5.5555555600000001E-2</v>
      </c>
      <c r="D51" s="89">
        <v>30.7</v>
      </c>
      <c r="E51" s="22">
        <f>IF(ISNUMBER(D51), (D51 - $B51) / $B51, "")</f>
        <v>-9.7058823529411781E-2</v>
      </c>
      <c r="F51" s="43">
        <f>IF(ISNUMBER(D51), $B61 * E51, "")</f>
        <v>-9705.8823529411784</v>
      </c>
      <c r="G51" s="89">
        <v>31.3</v>
      </c>
      <c r="H51" s="22">
        <f>IF(ISNUMBER(G51), (G51 - $B51) / $B51, "")</f>
        <v>-7.9411764705882334E-2</v>
      </c>
      <c r="I51" s="43">
        <f>IF(ISNUMBER(G51), $B61 * H51, "")</f>
        <v>-7941.1764705882333</v>
      </c>
      <c r="J51" s="89">
        <v>32.5</v>
      </c>
      <c r="K51" s="22">
        <f>IF(ISNUMBER(J51), (J51 - $B51) / $B51, "")</f>
        <v>-4.4117647058823532E-2</v>
      </c>
      <c r="L51" s="43">
        <f>IF(ISNUMBER(J51), $B61 * K51, "")</f>
        <v>-4411.7647058823532</v>
      </c>
      <c r="M51" s="89">
        <v>32</v>
      </c>
      <c r="N51" s="22">
        <f>IF(ISNUMBER(M51), (M51 - $B51) / $B51, "")</f>
        <v>-5.8823529411764705E-2</v>
      </c>
      <c r="O51" s="43">
        <f>IF(ISNUMBER(M51), $B61 * N51, "")</f>
        <v>-5882.3529411764703</v>
      </c>
      <c r="Q51" s="229"/>
      <c r="R51" s="230"/>
    </row>
    <row r="52" spans="1:18" ht="17.25" customHeight="1">
      <c r="A52" s="11" t="s">
        <v>155</v>
      </c>
      <c r="B52" s="32">
        <v>30.5</v>
      </c>
      <c r="C52" s="5">
        <v>-6.1538461500000002E-2</v>
      </c>
      <c r="D52" s="36">
        <v>28.6</v>
      </c>
      <c r="E52" s="5">
        <f t="shared" ref="E52:E60" si="18">IF(ISNUMBER(D52), (D52 - $B52) / $B52, "")</f>
        <v>-6.2295081967213069E-2</v>
      </c>
      <c r="F52" s="44">
        <f>IF(ISNUMBER(D52), $B61 * E52, "")</f>
        <v>-6229.5081967213073</v>
      </c>
      <c r="G52" s="36">
        <v>28.3</v>
      </c>
      <c r="H52" s="5">
        <f t="shared" ref="H52:H60" si="19">IF(ISNUMBER(G52), (G52 - $B52) / $B52, "")</f>
        <v>-7.2131147540983584E-2</v>
      </c>
      <c r="I52" s="44">
        <f>IF(ISNUMBER(G52), $B61 * H52, "")</f>
        <v>-7213.1147540983584</v>
      </c>
      <c r="J52" s="36">
        <v>28.8</v>
      </c>
      <c r="K52" s="5">
        <f t="shared" ref="K52:K60" si="20">IF(ISNUMBER(J52), (J52 - $B52) / $B52, "")</f>
        <v>-5.5737704918032767E-2</v>
      </c>
      <c r="L52" s="44">
        <f>IF(ISNUMBER(J52), $B61 * K52, "")</f>
        <v>-5573.7704918032769</v>
      </c>
      <c r="M52" s="36">
        <v>28.9</v>
      </c>
      <c r="N52" s="5">
        <f t="shared" ref="N52:N60" si="21">IF(ISNUMBER(M52), (M52 - $B52) / $B52, "")</f>
        <v>-5.2459016393442671E-2</v>
      </c>
      <c r="O52" s="44">
        <f>IF(ISNUMBER(M52), $B61 * N52, "")</f>
        <v>-5245.9016393442671</v>
      </c>
      <c r="Q52" s="229"/>
      <c r="R52" s="230"/>
    </row>
    <row r="53" spans="1:18" ht="17.25" customHeight="1">
      <c r="A53" s="11" t="s">
        <v>158</v>
      </c>
      <c r="B53" s="32">
        <v>36</v>
      </c>
      <c r="C53" s="5">
        <v>-6.9767441900000005E-2</v>
      </c>
      <c r="D53" s="36">
        <v>32.799999999999997</v>
      </c>
      <c r="E53" s="5">
        <f t="shared" si="18"/>
        <v>-8.8888888888888962E-2</v>
      </c>
      <c r="F53" s="44">
        <f>IF(ISNUMBER(D53), $B61 * E53, "")</f>
        <v>-8888.888888888896</v>
      </c>
      <c r="G53" s="36">
        <v>32.799999999999997</v>
      </c>
      <c r="H53" s="5">
        <f t="shared" si="19"/>
        <v>-8.8888888888888962E-2</v>
      </c>
      <c r="I53" s="44">
        <f>IF(ISNUMBER(G53), $B61 * H53, "")</f>
        <v>-8888.888888888896</v>
      </c>
      <c r="J53" s="36">
        <v>33.4</v>
      </c>
      <c r="K53" s="5">
        <f t="shared" si="20"/>
        <v>-7.2222222222222257E-2</v>
      </c>
      <c r="L53" s="44">
        <f>IF(ISNUMBER(J53), $B61 * K53, "")</f>
        <v>-7222.2222222222254</v>
      </c>
      <c r="M53" s="36">
        <v>33.6</v>
      </c>
      <c r="N53" s="5">
        <f t="shared" si="21"/>
        <v>-6.6666666666666624E-2</v>
      </c>
      <c r="O53" s="44">
        <f>IF(ISNUMBER(M53), $B61 * N53, "")</f>
        <v>-6666.6666666666624</v>
      </c>
      <c r="Q53" s="229"/>
      <c r="R53" s="230"/>
    </row>
    <row r="54" spans="1:18" ht="17.25" customHeight="1">
      <c r="A54" s="11" t="s">
        <v>100</v>
      </c>
      <c r="B54" s="32">
        <v>44.1</v>
      </c>
      <c r="C54" s="5">
        <v>-7.35294118E-2</v>
      </c>
      <c r="D54" s="36">
        <v>39.799999999999997</v>
      </c>
      <c r="E54" s="5">
        <f t="shared" si="18"/>
        <v>-9.7505668934240453E-2</v>
      </c>
      <c r="F54" s="44">
        <f>IF(ISNUMBER(D54), $B61 * E54, "")</f>
        <v>-9750.5668934240457</v>
      </c>
      <c r="G54" s="36">
        <v>40</v>
      </c>
      <c r="H54" s="5">
        <f t="shared" si="19"/>
        <v>-9.2970521541950138E-2</v>
      </c>
      <c r="I54" s="44">
        <f>IF(ISNUMBER(G54), $B61 * H54, "")</f>
        <v>-9297.0521541950129</v>
      </c>
      <c r="J54" s="36">
        <v>40.9</v>
      </c>
      <c r="K54" s="5">
        <f t="shared" si="20"/>
        <v>-7.2562358276644048E-2</v>
      </c>
      <c r="L54" s="44">
        <f>IF(ISNUMBER(J54), $B61 * K54, "")</f>
        <v>-7256.2358276644045</v>
      </c>
      <c r="M54" s="36">
        <v>40.799999999999997</v>
      </c>
      <c r="N54" s="5">
        <f t="shared" si="21"/>
        <v>-7.4829931972789213E-2</v>
      </c>
      <c r="O54" s="44">
        <f>IF(ISNUMBER(M54), $B61 * N54, "")</f>
        <v>-7482.9931972789209</v>
      </c>
      <c r="Q54" s="229"/>
      <c r="R54" s="230"/>
    </row>
    <row r="55" spans="1:18" ht="17.25" customHeight="1">
      <c r="A55" s="8" t="s">
        <v>133</v>
      </c>
      <c r="B55" s="33">
        <v>31</v>
      </c>
      <c r="C55" s="24">
        <v>-8.28402367E-2</v>
      </c>
      <c r="D55" s="37">
        <v>28.2</v>
      </c>
      <c r="E55" s="24">
        <f t="shared" si="18"/>
        <v>-9.0322580645161313E-2</v>
      </c>
      <c r="F55" s="44">
        <f>IF(ISNUMBER(D55), $B61 * E55, "")</f>
        <v>-9032.2580645161306</v>
      </c>
      <c r="G55" s="37">
        <v>28.5</v>
      </c>
      <c r="H55" s="24">
        <f t="shared" si="19"/>
        <v>-8.0645161290322578E-2</v>
      </c>
      <c r="I55" s="44">
        <f>IF(ISNUMBER(G55), $B61 * H55, "")</f>
        <v>-8064.5161290322576</v>
      </c>
      <c r="J55" s="37">
        <v>29.4</v>
      </c>
      <c r="K55" s="24">
        <f t="shared" si="20"/>
        <v>-5.16129032258065E-2</v>
      </c>
      <c r="L55" s="44">
        <f>IF(ISNUMBER(J55), $B61 * K55, "")</f>
        <v>-5161.2903225806504</v>
      </c>
      <c r="M55" s="37">
        <v>29.1</v>
      </c>
      <c r="N55" s="24">
        <f t="shared" si="21"/>
        <v>-6.1290322580645117E-2</v>
      </c>
      <c r="O55" s="44">
        <f>IF(ISNUMBER(M55), $B61 * N55, "")</f>
        <v>-6129.0322580645116</v>
      </c>
      <c r="Q55" s="229"/>
      <c r="R55" s="230"/>
    </row>
    <row r="56" spans="1:18" ht="17.25" customHeight="1">
      <c r="A56" s="11" t="s">
        <v>143</v>
      </c>
      <c r="B56" s="32">
        <v>11</v>
      </c>
      <c r="C56" s="5">
        <v>-8.3333333300000006E-2</v>
      </c>
      <c r="D56" s="36">
        <v>10.7</v>
      </c>
      <c r="E56" s="5">
        <f t="shared" si="18"/>
        <v>-2.7272727272727337E-2</v>
      </c>
      <c r="F56" s="48">
        <f>IF(ISNUMBER(D56), $B61 * E56, "")</f>
        <v>-2727.2727272727338</v>
      </c>
      <c r="G56" s="36">
        <v>10.5</v>
      </c>
      <c r="H56" s="5">
        <f t="shared" si="19"/>
        <v>-4.5454545454545456E-2</v>
      </c>
      <c r="I56" s="48">
        <f>IF(ISNUMBER(G56), $B61 * H56, "")</f>
        <v>-4545.454545454546</v>
      </c>
      <c r="J56" s="36">
        <v>10.6</v>
      </c>
      <c r="K56" s="5">
        <f t="shared" si="20"/>
        <v>-3.6363636363636397E-2</v>
      </c>
      <c r="L56" s="48">
        <f>IF(ISNUMBER(J56), $B61 * K56, "")</f>
        <v>-3636.3636363636397</v>
      </c>
      <c r="M56" s="36">
        <v>11.2</v>
      </c>
      <c r="N56" s="5">
        <f t="shared" si="21"/>
        <v>1.8181818181818118E-2</v>
      </c>
      <c r="O56" s="48">
        <f>IF(ISNUMBER(M56), $B61 * N56, "")</f>
        <v>1818.1818181818119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-7.7223961872940491E-2</v>
      </c>
      <c r="F61" s="47">
        <f>SUM(F51:F60)</f>
        <v>-46334.377123764294</v>
      </c>
      <c r="G61" s="57" t="s">
        <v>82</v>
      </c>
      <c r="H61" s="46">
        <f>IF(COUNT(H51:H60), SUM(H51:H60) / COUNT(H51:H60), 0)</f>
        <v>-7.6583671570428849E-2</v>
      </c>
      <c r="I61" s="47">
        <f>SUM(I51:I60)</f>
        <v>-45950.202942257303</v>
      </c>
      <c r="J61" s="57" t="s">
        <v>82</v>
      </c>
      <c r="K61" s="46">
        <f>IF(COUNT(K51:K60), SUM(K51:K60) / COUNT(K51:K60), 0)</f>
        <v>-5.5436078677527569E-2</v>
      </c>
      <c r="L61" s="47">
        <f>SUM(L51:L60)</f>
        <v>-33261.647206516551</v>
      </c>
      <c r="M61" s="57" t="s">
        <v>82</v>
      </c>
      <c r="N61" s="46">
        <f>IF(COUNT(N51:N60), SUM(N51:N60) / COUNT(N51:N60), 0)</f>
        <v>-4.9314608140581695E-2</v>
      </c>
      <c r="O61" s="47">
        <f>SUM(O51:O60)</f>
        <v>-29588.764884349017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16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0" t="s">
        <v>70</v>
      </c>
      <c r="M67" s="18" t="s">
        <v>67</v>
      </c>
      <c r="N67" s="4" t="s">
        <v>68</v>
      </c>
      <c r="O67" s="122" t="s">
        <v>70</v>
      </c>
      <c r="Q67" s="231"/>
      <c r="R67" s="232"/>
    </row>
    <row r="68" spans="1:18" ht="17.25" customHeight="1">
      <c r="A68" s="9" t="s">
        <v>137</v>
      </c>
      <c r="B68" s="31">
        <v>585</v>
      </c>
      <c r="C68" s="22">
        <v>9.9624060200000003E-2</v>
      </c>
      <c r="D68" s="89">
        <v>506</v>
      </c>
      <c r="E68" s="22">
        <f>IF(ISNUMBER(D68), (D68 - $B68) / $B68, "")</f>
        <v>-0.13504273504273503</v>
      </c>
      <c r="F68" s="43">
        <f>IF(ISNUMBER(D68), $B78 * E68, "")</f>
        <v>-13504.273504273504</v>
      </c>
      <c r="G68" s="89">
        <v>513</v>
      </c>
      <c r="H68" s="22">
        <f>IF(ISNUMBER(G68), (G68 - $B68) / $B68, "")</f>
        <v>-0.12307692307692308</v>
      </c>
      <c r="I68" s="43">
        <f>IF(ISNUMBER(G68), $B78 * H68, "")</f>
        <v>-12307.692307692309</v>
      </c>
      <c r="J68" s="89">
        <v>532</v>
      </c>
      <c r="K68" s="22">
        <f>IF(ISNUMBER(J68), (J68 - $B68) / $B68, "")</f>
        <v>-9.0598290598290596E-2</v>
      </c>
      <c r="L68" s="43">
        <f>IF(ISNUMBER(J68), $B78 * K68, "")</f>
        <v>-9059.8290598290587</v>
      </c>
      <c r="M68" s="89">
        <v>525</v>
      </c>
      <c r="N68" s="22">
        <f>IF(ISNUMBER(M68), (M68 - $B68) / $B68, "")</f>
        <v>-0.10256410256410256</v>
      </c>
      <c r="O68" s="43">
        <f>IF(ISNUMBER(M68), $B78 * N68, "")</f>
        <v>-10256.410256410256</v>
      </c>
      <c r="Q68" s="229"/>
      <c r="R68" s="230"/>
    </row>
    <row r="69" spans="1:18" ht="17.25" customHeight="1">
      <c r="A69" s="11" t="s">
        <v>214</v>
      </c>
      <c r="B69" s="32">
        <v>236</v>
      </c>
      <c r="C69" s="5">
        <v>9.2592592599999995E-2</v>
      </c>
      <c r="D69" s="36">
        <v>255</v>
      </c>
      <c r="E69" s="5">
        <f t="shared" ref="E69:E77" si="22">IF(ISNUMBER(D69), (D69 - $B69) / $B69, "")</f>
        <v>8.050847457627118E-2</v>
      </c>
      <c r="F69" s="44">
        <f>IF(ISNUMBER(D69), $B78 * E69, "")</f>
        <v>8050.8474576271183</v>
      </c>
      <c r="G69" s="36">
        <v>256</v>
      </c>
      <c r="H69" s="5">
        <f t="shared" ref="H69:H77" si="23">IF(ISNUMBER(G69), (G69 - $B69) / $B69, "")</f>
        <v>8.4745762711864403E-2</v>
      </c>
      <c r="I69" s="44">
        <f>IF(ISNUMBER(G69), $B78 * H69, "")</f>
        <v>8474.5762711864409</v>
      </c>
      <c r="J69" s="36">
        <v>255</v>
      </c>
      <c r="K69" s="5">
        <f t="shared" ref="K69:K77" si="24">IF(ISNUMBER(J69), (J69 - $B69) / $B69, "")</f>
        <v>8.050847457627118E-2</v>
      </c>
      <c r="L69" s="44">
        <f>IF(ISNUMBER(J69), $B78 * K69, "")</f>
        <v>8050.8474576271183</v>
      </c>
      <c r="M69" s="36">
        <v>250</v>
      </c>
      <c r="N69" s="5">
        <f t="shared" ref="N69:N77" si="25">IF(ISNUMBER(M69), (M69 - $B69) / $B69, "")</f>
        <v>5.9322033898305086E-2</v>
      </c>
      <c r="O69" s="44">
        <f>IF(ISNUMBER(M69), $B78 * N69, "")</f>
        <v>5932.203389830509</v>
      </c>
      <c r="Q69" s="229"/>
      <c r="R69" s="230"/>
    </row>
    <row r="70" spans="1:18" ht="17.25" customHeight="1">
      <c r="A70" s="11" t="s">
        <v>172</v>
      </c>
      <c r="B70" s="32">
        <v>691</v>
      </c>
      <c r="C70" s="5">
        <v>8.4772370499999999E-2</v>
      </c>
      <c r="D70" s="36">
        <v>834</v>
      </c>
      <c r="E70" s="5">
        <f t="shared" si="22"/>
        <v>0.20694645441389292</v>
      </c>
      <c r="F70" s="44">
        <f>IF(ISNUMBER(D70), $B78 * E70, "")</f>
        <v>20694.645441389293</v>
      </c>
      <c r="G70" s="36">
        <v>826</v>
      </c>
      <c r="H70" s="5">
        <f t="shared" si="23"/>
        <v>0.19536903039073805</v>
      </c>
      <c r="I70" s="44">
        <f>IF(ISNUMBER(G70), $B78 * H70, "")</f>
        <v>19536.903039073804</v>
      </c>
      <c r="J70" s="36">
        <v>784</v>
      </c>
      <c r="K70" s="5">
        <f t="shared" si="24"/>
        <v>0.1345875542691751</v>
      </c>
      <c r="L70" s="44">
        <f>IF(ISNUMBER(J70), $B78 * K70, "")</f>
        <v>13458.755426917509</v>
      </c>
      <c r="M70" s="36">
        <v>798</v>
      </c>
      <c r="N70" s="5">
        <f t="shared" si="25"/>
        <v>0.15484804630969609</v>
      </c>
      <c r="O70" s="44">
        <f>IF(ISNUMBER(M70), $B78 * N70, "")</f>
        <v>15484.804630969609</v>
      </c>
      <c r="Q70" s="229"/>
      <c r="R70" s="230"/>
    </row>
    <row r="71" spans="1:18" ht="17.25" customHeight="1">
      <c r="A71" s="11" t="s">
        <v>131</v>
      </c>
      <c r="B71" s="32">
        <v>340</v>
      </c>
      <c r="C71" s="5">
        <v>6.25E-2</v>
      </c>
      <c r="D71" s="36">
        <v>302</v>
      </c>
      <c r="E71" s="5">
        <f t="shared" si="22"/>
        <v>-0.11176470588235295</v>
      </c>
      <c r="F71" s="44">
        <f>IF(ISNUMBER(D71), $B78 * E71, "")</f>
        <v>-11176.470588235296</v>
      </c>
      <c r="G71" s="36">
        <v>299</v>
      </c>
      <c r="H71" s="5">
        <f t="shared" si="23"/>
        <v>-0.12058823529411765</v>
      </c>
      <c r="I71" s="44">
        <f>IF(ISNUMBER(G71), $B78 * H71, "")</f>
        <v>-12058.823529411766</v>
      </c>
      <c r="J71" s="36">
        <v>304</v>
      </c>
      <c r="K71" s="5">
        <f t="shared" si="24"/>
        <v>-0.10588235294117647</v>
      </c>
      <c r="L71" s="44">
        <f>IF(ISNUMBER(J71), $B78 * K71, "")</f>
        <v>-10588.235294117647</v>
      </c>
      <c r="M71" s="36">
        <v>303</v>
      </c>
      <c r="N71" s="5">
        <f t="shared" si="25"/>
        <v>-0.10882352941176471</v>
      </c>
      <c r="O71" s="44">
        <f>IF(ISNUMBER(M71), $B78 * N71, "")</f>
        <v>-10882.35294117647</v>
      </c>
      <c r="Q71" s="229"/>
      <c r="R71" s="230"/>
    </row>
    <row r="72" spans="1:18" ht="17.25" customHeight="1">
      <c r="A72" s="8" t="s">
        <v>128</v>
      </c>
      <c r="B72" s="33">
        <v>128</v>
      </c>
      <c r="C72" s="24">
        <v>5.7851239700000001E-2</v>
      </c>
      <c r="D72" s="37">
        <v>109</v>
      </c>
      <c r="E72" s="24">
        <f t="shared" si="22"/>
        <v>-0.1484375</v>
      </c>
      <c r="F72" s="44">
        <f>IF(ISNUMBER(D72), $B78 * E72, "")</f>
        <v>-14843.75</v>
      </c>
      <c r="G72" s="37">
        <v>111</v>
      </c>
      <c r="H72" s="24">
        <f t="shared" si="23"/>
        <v>-0.1328125</v>
      </c>
      <c r="I72" s="44">
        <f>IF(ISNUMBER(G72), $B78 * H72, "")</f>
        <v>-13281.25</v>
      </c>
      <c r="J72" s="37">
        <v>112</v>
      </c>
      <c r="K72" s="24">
        <f t="shared" si="24"/>
        <v>-0.125</v>
      </c>
      <c r="L72" s="44">
        <f>IF(ISNUMBER(J72), $B78 * K72, "")</f>
        <v>-12500</v>
      </c>
      <c r="M72" s="37">
        <v>112</v>
      </c>
      <c r="N72" s="24">
        <f t="shared" si="25"/>
        <v>-0.125</v>
      </c>
      <c r="O72" s="44">
        <f>IF(ISNUMBER(M72), $B78 * N72, "")</f>
        <v>-12500</v>
      </c>
      <c r="Q72" s="229"/>
      <c r="R72" s="230"/>
    </row>
    <row r="73" spans="1:18" ht="17.25" customHeight="1">
      <c r="A73" s="11" t="s">
        <v>113</v>
      </c>
      <c r="B73" s="32">
        <v>151</v>
      </c>
      <c r="C73" s="5">
        <v>4.86111111E-2</v>
      </c>
      <c r="D73" s="36">
        <v>133</v>
      </c>
      <c r="E73" s="5">
        <f t="shared" si="22"/>
        <v>-0.11920529801324503</v>
      </c>
      <c r="F73" s="48">
        <f>IF(ISNUMBER(D73), $B78 * E73, "")</f>
        <v>-11920.529801324503</v>
      </c>
      <c r="G73" s="36">
        <v>135</v>
      </c>
      <c r="H73" s="5">
        <f t="shared" si="23"/>
        <v>-0.10596026490066225</v>
      </c>
      <c r="I73" s="48">
        <f>IF(ISNUMBER(G73), $B78 * H73, "")</f>
        <v>-10596.026490066226</v>
      </c>
      <c r="J73" s="36">
        <v>137</v>
      </c>
      <c r="K73" s="5">
        <f t="shared" si="24"/>
        <v>-9.2715231788079472E-2</v>
      </c>
      <c r="L73" s="48">
        <f>IF(ISNUMBER(J73), $B78 * K73, "")</f>
        <v>-9271.5231788079473</v>
      </c>
      <c r="M73" s="36">
        <v>135</v>
      </c>
      <c r="N73" s="5">
        <f t="shared" si="25"/>
        <v>-0.10596026490066225</v>
      </c>
      <c r="O73" s="48">
        <f>IF(ISNUMBER(M73), $B78 * N73, "")</f>
        <v>-10596.026490066226</v>
      </c>
      <c r="Q73" s="229"/>
      <c r="R73" s="230"/>
    </row>
    <row r="74" spans="1:18" ht="17.25" customHeight="1">
      <c r="A74" s="11" t="s">
        <v>104</v>
      </c>
      <c r="B74" s="32">
        <v>796</v>
      </c>
      <c r="C74" s="5">
        <v>3.7809648000000001E-2</v>
      </c>
      <c r="D74" s="36">
        <v>740</v>
      </c>
      <c r="E74" s="5">
        <f t="shared" si="22"/>
        <v>-7.0351758793969849E-2</v>
      </c>
      <c r="F74" s="44">
        <f>IF(ISNUMBER(D74), $B78 * E74, "")</f>
        <v>-7035.1758793969848</v>
      </c>
      <c r="G74" s="36">
        <v>725</v>
      </c>
      <c r="H74" s="5">
        <f t="shared" si="23"/>
        <v>-8.9195979899497485E-2</v>
      </c>
      <c r="I74" s="44">
        <f>IF(ISNUMBER(G74), $B78 * H74, "")</f>
        <v>-8919.5979899497488</v>
      </c>
      <c r="J74" s="36">
        <v>737</v>
      </c>
      <c r="K74" s="5">
        <f t="shared" si="24"/>
        <v>-7.4120603015075379E-2</v>
      </c>
      <c r="L74" s="44">
        <f>IF(ISNUMBER(J74), $B78 * K74, "")</f>
        <v>-7412.0603015075376</v>
      </c>
      <c r="M74" s="36">
        <v>727</v>
      </c>
      <c r="N74" s="5">
        <f t="shared" si="25"/>
        <v>-8.6683417085427136E-2</v>
      </c>
      <c r="O74" s="44">
        <f>IF(ISNUMBER(M74), $B78 * N74, "")</f>
        <v>-8668.3417085427136</v>
      </c>
      <c r="Q74" s="229"/>
      <c r="R74" s="230"/>
    </row>
    <row r="75" spans="1:18" ht="17.25" customHeight="1">
      <c r="A75" s="11" t="s">
        <v>98</v>
      </c>
      <c r="B75" s="32">
        <v>357</v>
      </c>
      <c r="C75" s="5">
        <v>3.4782608700000002E-2</v>
      </c>
      <c r="D75" s="36">
        <v>323</v>
      </c>
      <c r="E75" s="5">
        <f t="shared" si="22"/>
        <v>-9.5238095238095233E-2</v>
      </c>
      <c r="F75" s="44">
        <f>IF(ISNUMBER(D75), $B78 * E75, "")</f>
        <v>-9523.8095238095229</v>
      </c>
      <c r="G75" s="36">
        <v>317</v>
      </c>
      <c r="H75" s="5">
        <f t="shared" si="23"/>
        <v>-0.11204481792717087</v>
      </c>
      <c r="I75" s="44">
        <f>IF(ISNUMBER(G75), $B78 * H75, "")</f>
        <v>-11204.481792717088</v>
      </c>
      <c r="J75" s="36">
        <v>331</v>
      </c>
      <c r="K75" s="5">
        <f t="shared" si="24"/>
        <v>-7.2829131652661069E-2</v>
      </c>
      <c r="L75" s="44">
        <f>IF(ISNUMBER(J75), $B78 * K75, "")</f>
        <v>-7282.9131652661072</v>
      </c>
      <c r="M75" s="36">
        <v>326</v>
      </c>
      <c r="N75" s="5">
        <f t="shared" si="25"/>
        <v>-8.683473389355742E-2</v>
      </c>
      <c r="O75" s="44">
        <f>IF(ISNUMBER(M75), $B78 * N75, "")</f>
        <v>-8683.4733893557423</v>
      </c>
      <c r="Q75" s="229"/>
      <c r="R75" s="230"/>
    </row>
    <row r="76" spans="1:18" ht="17.25" customHeight="1">
      <c r="A76" s="11" t="s">
        <v>116</v>
      </c>
      <c r="B76" s="32">
        <v>282</v>
      </c>
      <c r="C76" s="5">
        <v>2.9197080300000001E-2</v>
      </c>
      <c r="D76" s="36">
        <v>286</v>
      </c>
      <c r="E76" s="5">
        <f t="shared" si="22"/>
        <v>1.4184397163120567E-2</v>
      </c>
      <c r="F76" s="44">
        <f>IF(ISNUMBER(D76), $B78 * E76, "")</f>
        <v>1418.4397163120568</v>
      </c>
      <c r="G76" s="36">
        <v>279</v>
      </c>
      <c r="H76" s="5">
        <f t="shared" si="23"/>
        <v>-1.0638297872340425E-2</v>
      </c>
      <c r="I76" s="44">
        <f>IF(ISNUMBER(G76), $B78 * H76, "")</f>
        <v>-1063.8297872340424</v>
      </c>
      <c r="J76" s="36">
        <v>280</v>
      </c>
      <c r="K76" s="5">
        <f t="shared" si="24"/>
        <v>-7.0921985815602835E-3</v>
      </c>
      <c r="L76" s="44">
        <f>IF(ISNUMBER(J76), $B78 * K76, "")</f>
        <v>-709.21985815602841</v>
      </c>
      <c r="M76" s="36">
        <v>277</v>
      </c>
      <c r="N76" s="5">
        <f t="shared" si="25"/>
        <v>-1.7730496453900711E-2</v>
      </c>
      <c r="O76" s="44">
        <f>IF(ISNUMBER(M76), $B78 * N76, "")</f>
        <v>-1773.049645390071</v>
      </c>
      <c r="Q76" s="231"/>
      <c r="R76" s="232"/>
    </row>
    <row r="77" spans="1:18" ht="17.25" customHeight="1" thickBot="1">
      <c r="A77" s="13" t="s">
        <v>160</v>
      </c>
      <c r="B77" s="34">
        <v>283</v>
      </c>
      <c r="C77" s="16">
        <v>2.9090909099999999E-2</v>
      </c>
      <c r="D77" s="38">
        <v>256</v>
      </c>
      <c r="E77" s="16">
        <f t="shared" si="22"/>
        <v>-9.5406360424028266E-2</v>
      </c>
      <c r="F77" s="45">
        <f>IF(ISNUMBER(D77), $B78 * E77, "")</f>
        <v>-9540.6360424028262</v>
      </c>
      <c r="G77" s="38">
        <v>255</v>
      </c>
      <c r="H77" s="16">
        <f t="shared" si="23"/>
        <v>-9.8939929328621903E-2</v>
      </c>
      <c r="I77" s="45">
        <f>IF(ISNUMBER(G77), $B78 * H77, "")</f>
        <v>-9893.9929328621911</v>
      </c>
      <c r="J77" s="38">
        <v>260</v>
      </c>
      <c r="K77" s="16">
        <f t="shared" si="24"/>
        <v>-8.1272084805653705E-2</v>
      </c>
      <c r="L77" s="45">
        <f>IF(ISNUMBER(J77), $B78 * K77, "")</f>
        <v>-8127.2084805653703</v>
      </c>
      <c r="M77" s="38">
        <v>256</v>
      </c>
      <c r="N77" s="16">
        <f t="shared" si="25"/>
        <v>-9.5406360424028266E-2</v>
      </c>
      <c r="O77" s="45">
        <f>IF(ISNUMBER(M77), $B78 * N77, "")</f>
        <v>-9540.6360424028262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-4.738071272411417E-2</v>
      </c>
      <c r="F78" s="47">
        <f>SUM(F68:F77)</f>
        <v>-47380.712724114164</v>
      </c>
      <c r="G78" s="57" t="s">
        <v>82</v>
      </c>
      <c r="H78" s="46">
        <f>IF(COUNT(H68:H77), SUM(H68:H77) / COUNT(H68:H77), 0)</f>
        <v>-5.131421551967312E-2</v>
      </c>
      <c r="I78" s="47">
        <f>SUM(I68:I77)</f>
        <v>-51314.215519673118</v>
      </c>
      <c r="J78" s="57" t="s">
        <v>82</v>
      </c>
      <c r="K78" s="46">
        <f>IF(COUNT(K68:K77), SUM(K68:K77) / COUNT(K68:K77), 0)</f>
        <v>-4.3441386453705079E-2</v>
      </c>
      <c r="L78" s="47">
        <f>SUM(L68:L77)</f>
        <v>-43441.386453705076</v>
      </c>
      <c r="M78" s="57" t="s">
        <v>82</v>
      </c>
      <c r="N78" s="46">
        <f>IF(COUNT(N68:N77), SUM(N68:N77) / COUNT(N68:N77), 0)</f>
        <v>-5.1483282452544188E-2</v>
      </c>
      <c r="O78" s="47">
        <f>SUM(O68:O77)</f>
        <v>-51483.282452544183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16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0" t="s">
        <v>70</v>
      </c>
      <c r="M84" s="18" t="s">
        <v>67</v>
      </c>
      <c r="N84" s="4" t="s">
        <v>68</v>
      </c>
      <c r="O84" s="122" t="s">
        <v>70</v>
      </c>
      <c r="Q84" s="231"/>
      <c r="R84" s="232"/>
    </row>
    <row r="85" spans="1:18" ht="17.25" customHeight="1">
      <c r="A85" s="9" t="s">
        <v>171</v>
      </c>
      <c r="B85" s="31">
        <v>772</v>
      </c>
      <c r="C85" s="22">
        <v>0.20249221179999999</v>
      </c>
      <c r="D85" s="89">
        <v>659</v>
      </c>
      <c r="E85" s="22">
        <f>IF(ISNUMBER(D85), (D85 - $B85) / $B85, "")</f>
        <v>-0.14637305699481865</v>
      </c>
      <c r="F85" s="43">
        <f>IF(ISNUMBER(D85), $B95 * E85, "")</f>
        <v>-14637.305699481865</v>
      </c>
      <c r="G85" s="89">
        <v>670</v>
      </c>
      <c r="H85" s="22">
        <f>IF(ISNUMBER(G85), (G85 - $B85) / $B85, "")</f>
        <v>-0.13212435233160622</v>
      </c>
      <c r="I85" s="43">
        <f>IF(ISNUMBER(G85), $B95 * H85, "")</f>
        <v>-13212.435233160622</v>
      </c>
      <c r="J85" s="89">
        <v>670</v>
      </c>
      <c r="K85" s="22">
        <f>IF(ISNUMBER(J85), (J85 - $B85) / $B85, "")</f>
        <v>-0.13212435233160622</v>
      </c>
      <c r="L85" s="43">
        <f>IF(ISNUMBER(J85), $B95 * K85, "")</f>
        <v>-13212.435233160622</v>
      </c>
      <c r="M85" s="89">
        <v>657</v>
      </c>
      <c r="N85" s="22">
        <f>IF(ISNUMBER(M85), (M85 - $B85) / $B85, "")</f>
        <v>-0.14896373056994819</v>
      </c>
      <c r="O85" s="43">
        <f>IF(ISNUMBER(M85), $B95 * N85, "")</f>
        <v>-14896.373056994818</v>
      </c>
      <c r="Q85" s="229"/>
      <c r="R85" s="230"/>
    </row>
    <row r="86" spans="1:18" ht="17.25" customHeight="1">
      <c r="A86" s="11" t="s">
        <v>144</v>
      </c>
      <c r="B86" s="32">
        <v>732</v>
      </c>
      <c r="C86" s="5">
        <v>0.1883116883</v>
      </c>
      <c r="D86" s="36">
        <v>653</v>
      </c>
      <c r="E86" s="5">
        <f t="shared" ref="E86:E94" si="26">IF(ISNUMBER(D86), (D86 - $B86) / $B86, "")</f>
        <v>-0.10792349726775956</v>
      </c>
      <c r="F86" s="44">
        <f>IF(ISNUMBER(D86), $B95 * E86, "")</f>
        <v>-10792.349726775956</v>
      </c>
      <c r="G86" s="36">
        <v>666</v>
      </c>
      <c r="H86" s="5">
        <f t="shared" ref="H86:H94" si="27">IF(ISNUMBER(G86), (G86 - $B86) / $B86, "")</f>
        <v>-9.0163934426229511E-2</v>
      </c>
      <c r="I86" s="44">
        <f>IF(ISNUMBER(G86), $B95 * H86, "")</f>
        <v>-9016.3934426229516</v>
      </c>
      <c r="J86" s="36">
        <v>688</v>
      </c>
      <c r="K86" s="5">
        <f t="shared" ref="K86:K94" si="28">IF(ISNUMBER(J86), (J86 - $B86) / $B86, "")</f>
        <v>-6.0109289617486336E-2</v>
      </c>
      <c r="L86" s="44">
        <f>IF(ISNUMBER(J86), $B95 * K86, "")</f>
        <v>-6010.9289617486338</v>
      </c>
      <c r="M86" s="36">
        <v>666</v>
      </c>
      <c r="N86" s="5">
        <f t="shared" ref="N86:N94" si="29">IF(ISNUMBER(M86), (M86 - $B86) / $B86, "")</f>
        <v>-9.0163934426229511E-2</v>
      </c>
      <c r="O86" s="44">
        <f>IF(ISNUMBER(M86), $B95 * N86, "")</f>
        <v>-9016.3934426229516</v>
      </c>
      <c r="Q86" s="229"/>
      <c r="R86" s="230"/>
    </row>
    <row r="87" spans="1:18" ht="17.25" customHeight="1">
      <c r="A87" s="11" t="s">
        <v>126</v>
      </c>
      <c r="B87" s="32">
        <v>193</v>
      </c>
      <c r="C87" s="5">
        <v>0.16969696970000001</v>
      </c>
      <c r="D87" s="36">
        <v>180</v>
      </c>
      <c r="E87" s="5">
        <f t="shared" si="26"/>
        <v>-6.7357512953367879E-2</v>
      </c>
      <c r="F87" s="44">
        <f>IF(ISNUMBER(D87), $B95 * E87, "")</f>
        <v>-6735.7512953367877</v>
      </c>
      <c r="G87" s="36">
        <v>183</v>
      </c>
      <c r="H87" s="5">
        <f t="shared" si="27"/>
        <v>-5.181347150259067E-2</v>
      </c>
      <c r="I87" s="44">
        <f>IF(ISNUMBER(G87), $B95 * H87, "")</f>
        <v>-5181.3471502590673</v>
      </c>
      <c r="J87" s="36">
        <v>180</v>
      </c>
      <c r="K87" s="5">
        <f t="shared" si="28"/>
        <v>-6.7357512953367879E-2</v>
      </c>
      <c r="L87" s="44">
        <f>IF(ISNUMBER(J87), $B95 * K87, "")</f>
        <v>-6735.7512953367877</v>
      </c>
      <c r="M87" s="36">
        <v>181</v>
      </c>
      <c r="N87" s="5">
        <f t="shared" si="29"/>
        <v>-6.2176165803108807E-2</v>
      </c>
      <c r="O87" s="44">
        <f>IF(ISNUMBER(M87), $B95 * N87, "")</f>
        <v>-6217.6165803108806</v>
      </c>
      <c r="Q87" s="229"/>
      <c r="R87" s="230"/>
    </row>
    <row r="88" spans="1:18" ht="17.25" customHeight="1">
      <c r="A88" s="11" t="s">
        <v>162</v>
      </c>
      <c r="B88" s="32">
        <v>303</v>
      </c>
      <c r="C88" s="5">
        <v>0.12222222219999999</v>
      </c>
      <c r="D88" s="36">
        <v>260</v>
      </c>
      <c r="E88" s="5">
        <f t="shared" si="26"/>
        <v>-0.14191419141914191</v>
      </c>
      <c r="F88" s="44">
        <f>IF(ISNUMBER(D88), $B95 * E88, "")</f>
        <v>-14191.419141914192</v>
      </c>
      <c r="G88" s="36">
        <v>258</v>
      </c>
      <c r="H88" s="5">
        <f t="shared" si="27"/>
        <v>-0.14851485148514851</v>
      </c>
      <c r="I88" s="44">
        <f>IF(ISNUMBER(G88), $B95 * H88, "")</f>
        <v>-14851.48514851485</v>
      </c>
      <c r="J88" s="36">
        <v>262</v>
      </c>
      <c r="K88" s="5">
        <f t="shared" si="28"/>
        <v>-0.13531353135313531</v>
      </c>
      <c r="L88" s="44">
        <f>IF(ISNUMBER(J88), $B95 * K88, "")</f>
        <v>-13531.353135313531</v>
      </c>
      <c r="M88" s="36">
        <v>258</v>
      </c>
      <c r="N88" s="5">
        <f t="shared" si="29"/>
        <v>-0.14851485148514851</v>
      </c>
      <c r="O88" s="44">
        <f>IF(ISNUMBER(M88), $B95 * N88, "")</f>
        <v>-14851.48514851485</v>
      </c>
      <c r="Q88" s="229"/>
      <c r="R88" s="230"/>
    </row>
    <row r="89" spans="1:18" ht="17.25" customHeight="1">
      <c r="A89" s="8"/>
      <c r="B89" s="33"/>
      <c r="C89" s="24"/>
      <c r="D89" s="37"/>
      <c r="E89" s="24" t="str">
        <f t="shared" si="26"/>
        <v/>
      </c>
      <c r="F89" s="44" t="str">
        <f>IF(ISNUMBER(D89), $B95 * E89, "")</f>
        <v/>
      </c>
      <c r="G89" s="37"/>
      <c r="H89" s="24" t="str">
        <f t="shared" si="27"/>
        <v/>
      </c>
      <c r="I89" s="44" t="str">
        <f>IF(ISNUMBER(G89), $B95 * H89, "")</f>
        <v/>
      </c>
      <c r="J89" s="37"/>
      <c r="K89" s="24" t="str">
        <f t="shared" si="28"/>
        <v/>
      </c>
      <c r="L89" s="44" t="str">
        <f>IF(ISNUMBER(J89), $B95 * K89, "")</f>
        <v/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/>
      <c r="B90" s="32"/>
      <c r="C90" s="5"/>
      <c r="D90" s="36"/>
      <c r="E90" s="5" t="str">
        <f t="shared" si="26"/>
        <v/>
      </c>
      <c r="F90" s="48" t="str">
        <f>IF(ISNUMBER(D90), $B95 * E90, "")</f>
        <v/>
      </c>
      <c r="G90" s="36"/>
      <c r="H90" s="5" t="str">
        <f t="shared" si="27"/>
        <v/>
      </c>
      <c r="I90" s="48" t="str">
        <f>IF(ISNUMBER(G90), $B95 * H90, "")</f>
        <v/>
      </c>
      <c r="J90" s="36"/>
      <c r="K90" s="5" t="str">
        <f t="shared" si="28"/>
        <v/>
      </c>
      <c r="L90" s="48" t="str">
        <f>IF(ISNUMBER(J90), $B95 * K90, "")</f>
        <v/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/>
      <c r="B91" s="32"/>
      <c r="C91" s="5"/>
      <c r="D91" s="36"/>
      <c r="E91" s="5" t="str">
        <f t="shared" si="26"/>
        <v/>
      </c>
      <c r="F91" s="44" t="str">
        <f>IF(ISNUMBER(D91), $B95 * E91, "")</f>
        <v/>
      </c>
      <c r="G91" s="36"/>
      <c r="H91" s="5" t="str">
        <f t="shared" si="27"/>
        <v/>
      </c>
      <c r="I91" s="44" t="str">
        <f>IF(ISNUMBER(G91), $B95 * H91, "")</f>
        <v/>
      </c>
      <c r="J91" s="36"/>
      <c r="K91" s="5" t="str">
        <f t="shared" si="28"/>
        <v/>
      </c>
      <c r="L91" s="44" t="str">
        <f>IF(ISNUMBER(J91), $B95 * K91, "")</f>
        <v/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/>
      <c r="B92" s="32"/>
      <c r="C92" s="5"/>
      <c r="D92" s="36"/>
      <c r="E92" s="5" t="str">
        <f t="shared" si="26"/>
        <v/>
      </c>
      <c r="F92" s="44" t="str">
        <f>IF(ISNUMBER(D92), $B95 * E92, "")</f>
        <v/>
      </c>
      <c r="G92" s="36"/>
      <c r="H92" s="5" t="str">
        <f t="shared" si="27"/>
        <v/>
      </c>
      <c r="I92" s="44" t="str">
        <f>IF(ISNUMBER(G92), $B95 * H92, "")</f>
        <v/>
      </c>
      <c r="J92" s="36"/>
      <c r="K92" s="5" t="str">
        <f t="shared" si="28"/>
        <v/>
      </c>
      <c r="L92" s="44" t="str">
        <f>IF(ISNUMBER(J92), $B95 * K92, "")</f>
        <v/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/>
      <c r="B93" s="32"/>
      <c r="C93" s="5"/>
      <c r="D93" s="36"/>
      <c r="E93" s="5" t="str">
        <f t="shared" si="26"/>
        <v/>
      </c>
      <c r="F93" s="44" t="str">
        <f>IF(ISNUMBER(D93), $B95 * E93, "")</f>
        <v/>
      </c>
      <c r="G93" s="36"/>
      <c r="H93" s="5" t="str">
        <f t="shared" si="27"/>
        <v/>
      </c>
      <c r="I93" s="44" t="str">
        <f>IF(ISNUMBER(G93), $B95 * H93, "")</f>
        <v/>
      </c>
      <c r="J93" s="36"/>
      <c r="K93" s="5" t="str">
        <f t="shared" si="28"/>
        <v/>
      </c>
      <c r="L93" s="44" t="str">
        <f>IF(ISNUMBER(J93), $B95 * K93, "")</f>
        <v/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/>
      <c r="B94" s="34"/>
      <c r="C94" s="16"/>
      <c r="D94" s="38"/>
      <c r="E94" s="16" t="str">
        <f t="shared" si="26"/>
        <v/>
      </c>
      <c r="F94" s="45" t="str">
        <f>IF(ISNUMBER(D94), $B95 * E94, "")</f>
        <v/>
      </c>
      <c r="G94" s="38"/>
      <c r="H94" s="16" t="str">
        <f t="shared" si="27"/>
        <v/>
      </c>
      <c r="I94" s="45" t="str">
        <f>IF(ISNUMBER(G94), $B95 * H94, "")</f>
        <v/>
      </c>
      <c r="J94" s="38"/>
      <c r="K94" s="16" t="str">
        <f t="shared" si="28"/>
        <v/>
      </c>
      <c r="L94" s="45" t="str">
        <f>IF(ISNUMBER(J94), $B95 * K94, "")</f>
        <v/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-0.115892064658772</v>
      </c>
      <c r="F95" s="47">
        <f>SUM(F85:F94)</f>
        <v>-46356.825863508799</v>
      </c>
      <c r="G95" s="57" t="s">
        <v>82</v>
      </c>
      <c r="H95" s="46">
        <f>IF(COUNT(H85:H94), SUM(H85:H94) / COUNT(H85:H94), 0)</f>
        <v>-0.10565415243639373</v>
      </c>
      <c r="I95" s="47">
        <f>SUM(I85:I94)</f>
        <v>-42261.660974557497</v>
      </c>
      <c r="J95" s="57" t="s">
        <v>82</v>
      </c>
      <c r="K95" s="46">
        <f>IF(COUNT(K85:K94), SUM(K85:K94) / COUNT(K85:K94), 0)</f>
        <v>-9.8726171563898929E-2</v>
      </c>
      <c r="L95" s="47">
        <f>SUM(L85:L94)</f>
        <v>-39490.468625559573</v>
      </c>
      <c r="M95" s="57" t="s">
        <v>82</v>
      </c>
      <c r="N95" s="46">
        <f>IF(COUNT(N85:N94), SUM(N85:N94) / COUNT(N85:N94), 0)</f>
        <v>-0.11245467057110875</v>
      </c>
      <c r="O95" s="47">
        <f>SUM(O85:O94)</f>
        <v>-44981.868228443505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16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0" t="s">
        <v>70</v>
      </c>
      <c r="M101" s="18" t="s">
        <v>67</v>
      </c>
      <c r="N101" s="4" t="s">
        <v>68</v>
      </c>
      <c r="O101" s="122" t="s">
        <v>70</v>
      </c>
      <c r="Q101" s="231"/>
      <c r="R101" s="232"/>
    </row>
    <row r="102" spans="1:18" ht="17.25" customHeight="1">
      <c r="A102" s="9" t="s">
        <v>206</v>
      </c>
      <c r="B102" s="31">
        <v>1615</v>
      </c>
      <c r="C102" s="22">
        <v>0.20973782769999999</v>
      </c>
      <c r="D102" s="89">
        <v>1905</v>
      </c>
      <c r="E102" s="22">
        <f>IF(ISNUMBER(D102), (D102 - $B102) / $B102, "")</f>
        <v>0.17956656346749225</v>
      </c>
      <c r="F102" s="43">
        <f>IF(ISNUMBER(D102), $B112 * E102, "")</f>
        <v>17956.656346749227</v>
      </c>
      <c r="G102" s="89">
        <v>1845</v>
      </c>
      <c r="H102" s="22">
        <f>IF(ISNUMBER(G102), (G102 - $B102) / $B102, "")</f>
        <v>0.14241486068111456</v>
      </c>
      <c r="I102" s="43">
        <f>IF(ISNUMBER(G102), $B112 * H102, "")</f>
        <v>14241.486068111455</v>
      </c>
      <c r="J102" s="89">
        <v>1765</v>
      </c>
      <c r="K102" s="22">
        <f>IF(ISNUMBER(J102), (J102 - $B102) / $B102, "")</f>
        <v>9.2879256965944276E-2</v>
      </c>
      <c r="L102" s="43">
        <f>IF(ISNUMBER(J102), $B112 * K102, "")</f>
        <v>9287.9256965944278</v>
      </c>
      <c r="M102" s="89">
        <v>1795</v>
      </c>
      <c r="N102" s="22">
        <f>IF(ISNUMBER(M102), (M102 - $B102) / $B102, "")</f>
        <v>0.11145510835913312</v>
      </c>
      <c r="O102" s="43">
        <f>IF(ISNUMBER(M102), $B112 * N102, "")</f>
        <v>11145.510835913312</v>
      </c>
      <c r="Q102" s="229"/>
      <c r="R102" s="230"/>
    </row>
    <row r="103" spans="1:18" ht="17.25" customHeight="1">
      <c r="A103" s="11" t="s">
        <v>171</v>
      </c>
      <c r="B103" s="32">
        <v>772</v>
      </c>
      <c r="C103" s="5">
        <v>0.20249221179999999</v>
      </c>
      <c r="D103" s="36">
        <v>659</v>
      </c>
      <c r="E103" s="5">
        <f t="shared" ref="E103:E111" si="30">IF(ISNUMBER(D103), (D103 - $B103) / $B103, "")</f>
        <v>-0.14637305699481865</v>
      </c>
      <c r="F103" s="44">
        <f>IF(ISNUMBER(D103), $B112 * E103, "")</f>
        <v>-14637.305699481865</v>
      </c>
      <c r="G103" s="36">
        <v>670</v>
      </c>
      <c r="H103" s="5">
        <f t="shared" ref="H103:H111" si="31">IF(ISNUMBER(G103), (G103 - $B103) / $B103, "")</f>
        <v>-0.13212435233160622</v>
      </c>
      <c r="I103" s="44">
        <f>IF(ISNUMBER(G103), $B112 * H103, "")</f>
        <v>-13212.435233160622</v>
      </c>
      <c r="J103" s="36">
        <v>670</v>
      </c>
      <c r="K103" s="5">
        <f t="shared" ref="K103:K111" si="32">IF(ISNUMBER(J103), (J103 - $B103) / $B103, "")</f>
        <v>-0.13212435233160622</v>
      </c>
      <c r="L103" s="44">
        <f>IF(ISNUMBER(J103), $B112 * K103, "")</f>
        <v>-13212.435233160622</v>
      </c>
      <c r="M103" s="36">
        <v>657</v>
      </c>
      <c r="N103" s="5">
        <f t="shared" ref="N103:N111" si="33">IF(ISNUMBER(M103), (M103 - $B103) / $B103, "")</f>
        <v>-0.14896373056994819</v>
      </c>
      <c r="O103" s="44">
        <f>IF(ISNUMBER(M103), $B112 * N103, "")</f>
        <v>-14896.373056994818</v>
      </c>
      <c r="Q103" s="229"/>
      <c r="R103" s="230"/>
    </row>
    <row r="104" spans="1:18" ht="17.25" customHeight="1">
      <c r="A104" s="11" t="s">
        <v>144</v>
      </c>
      <c r="B104" s="32">
        <v>732</v>
      </c>
      <c r="C104" s="5">
        <v>0.1883116883</v>
      </c>
      <c r="D104" s="36">
        <v>653</v>
      </c>
      <c r="E104" s="5">
        <f t="shared" si="30"/>
        <v>-0.10792349726775956</v>
      </c>
      <c r="F104" s="44">
        <f>IF(ISNUMBER(D104), $B112 * E104, "")</f>
        <v>-10792.349726775956</v>
      </c>
      <c r="G104" s="36">
        <v>666</v>
      </c>
      <c r="H104" s="5">
        <f t="shared" si="31"/>
        <v>-9.0163934426229511E-2</v>
      </c>
      <c r="I104" s="44">
        <f>IF(ISNUMBER(G104), $B112 * H104, "")</f>
        <v>-9016.3934426229516</v>
      </c>
      <c r="J104" s="36">
        <v>688</v>
      </c>
      <c r="K104" s="5">
        <f t="shared" si="32"/>
        <v>-6.0109289617486336E-2</v>
      </c>
      <c r="L104" s="44">
        <f>IF(ISNUMBER(J104), $B112 * K104, "")</f>
        <v>-6010.9289617486338</v>
      </c>
      <c r="M104" s="36">
        <v>666</v>
      </c>
      <c r="N104" s="5">
        <f t="shared" si="33"/>
        <v>-9.0163934426229511E-2</v>
      </c>
      <c r="O104" s="44">
        <f>IF(ISNUMBER(M104), $B112 * N104, "")</f>
        <v>-9016.3934426229516</v>
      </c>
      <c r="Q104" s="229"/>
      <c r="R104" s="230"/>
    </row>
    <row r="105" spans="1:18" ht="17.25" customHeight="1">
      <c r="A105" s="11" t="s">
        <v>126</v>
      </c>
      <c r="B105" s="32">
        <v>193</v>
      </c>
      <c r="C105" s="5">
        <v>0.16969696970000001</v>
      </c>
      <c r="D105" s="36">
        <v>180</v>
      </c>
      <c r="E105" s="5">
        <f t="shared" si="30"/>
        <v>-6.7357512953367879E-2</v>
      </c>
      <c r="F105" s="44">
        <f>IF(ISNUMBER(D105), $B112 * E105, "")</f>
        <v>-6735.7512953367877</v>
      </c>
      <c r="G105" s="36">
        <v>183</v>
      </c>
      <c r="H105" s="5">
        <f t="shared" si="31"/>
        <v>-5.181347150259067E-2</v>
      </c>
      <c r="I105" s="44">
        <f>IF(ISNUMBER(G105), $B112 * H105, "")</f>
        <v>-5181.3471502590673</v>
      </c>
      <c r="J105" s="36">
        <v>180</v>
      </c>
      <c r="K105" s="5">
        <f t="shared" si="32"/>
        <v>-6.7357512953367879E-2</v>
      </c>
      <c r="L105" s="44">
        <f>IF(ISNUMBER(J105), $B112 * K105, "")</f>
        <v>-6735.7512953367877</v>
      </c>
      <c r="M105" s="36">
        <v>181</v>
      </c>
      <c r="N105" s="5">
        <f t="shared" si="33"/>
        <v>-6.2176165803108807E-2</v>
      </c>
      <c r="O105" s="44">
        <f>IF(ISNUMBER(M105), $B112 * N105, "")</f>
        <v>-6217.6165803108806</v>
      </c>
      <c r="Q105" s="229"/>
      <c r="R105" s="230"/>
    </row>
    <row r="106" spans="1:18" ht="17.25" customHeight="1">
      <c r="A106" s="8" t="s">
        <v>151</v>
      </c>
      <c r="B106" s="33">
        <v>5120</v>
      </c>
      <c r="C106" s="24">
        <v>0.14669652859999999</v>
      </c>
      <c r="D106" s="37">
        <v>4670</v>
      </c>
      <c r="E106" s="24">
        <f t="shared" si="30"/>
        <v>-8.7890625E-2</v>
      </c>
      <c r="F106" s="44">
        <f>IF(ISNUMBER(D106), $B112 * E106, "")</f>
        <v>-8789.0625</v>
      </c>
      <c r="G106" s="37">
        <v>4635</v>
      </c>
      <c r="H106" s="24">
        <f t="shared" si="31"/>
        <v>-9.47265625E-2</v>
      </c>
      <c r="I106" s="44">
        <f>IF(ISNUMBER(G106), $B112 * H106, "")</f>
        <v>-9472.65625</v>
      </c>
      <c r="J106" s="37">
        <v>4825</v>
      </c>
      <c r="K106" s="24">
        <f t="shared" si="32"/>
        <v>-5.76171875E-2</v>
      </c>
      <c r="L106" s="44">
        <f>IF(ISNUMBER(J106), $B112 * K106, "")</f>
        <v>-5761.71875</v>
      </c>
      <c r="M106" s="37">
        <v>4815</v>
      </c>
      <c r="N106" s="24">
        <f t="shared" si="33"/>
        <v>-5.95703125E-2</v>
      </c>
      <c r="O106" s="44">
        <f>IF(ISNUMBER(M106), $B112 * N106, "")</f>
        <v>-5957.03125</v>
      </c>
      <c r="Q106" s="229"/>
      <c r="R106" s="230"/>
    </row>
    <row r="107" spans="1:18" ht="17.25" customHeight="1">
      <c r="A107" s="11" t="s">
        <v>162</v>
      </c>
      <c r="B107" s="32">
        <v>303</v>
      </c>
      <c r="C107" s="5">
        <v>0.12222222219999999</v>
      </c>
      <c r="D107" s="36">
        <v>260</v>
      </c>
      <c r="E107" s="5">
        <f t="shared" si="30"/>
        <v>-0.14191419141914191</v>
      </c>
      <c r="F107" s="48">
        <f>IF(ISNUMBER(D107), $B112 * E107, "")</f>
        <v>-14191.419141914192</v>
      </c>
      <c r="G107" s="36">
        <v>258</v>
      </c>
      <c r="H107" s="5">
        <f t="shared" si="31"/>
        <v>-0.14851485148514851</v>
      </c>
      <c r="I107" s="48">
        <f>IF(ISNUMBER(G107), $B112 * H107, "")</f>
        <v>-14851.48514851485</v>
      </c>
      <c r="J107" s="36">
        <v>262</v>
      </c>
      <c r="K107" s="5">
        <f t="shared" si="32"/>
        <v>-0.13531353135313531</v>
      </c>
      <c r="L107" s="48">
        <f>IF(ISNUMBER(J107), $B112 * K107, "")</f>
        <v>-13531.353135313531</v>
      </c>
      <c r="M107" s="36">
        <v>258</v>
      </c>
      <c r="N107" s="5">
        <f t="shared" si="33"/>
        <v>-0.14851485148514851</v>
      </c>
      <c r="O107" s="48">
        <f>IF(ISNUMBER(M107), $B112 * N107, "")</f>
        <v>-14851.48514851485</v>
      </c>
      <c r="Q107" s="229"/>
      <c r="R107" s="230"/>
    </row>
    <row r="108" spans="1:18" ht="17.25" customHeight="1">
      <c r="A108" s="11" t="s">
        <v>114</v>
      </c>
      <c r="B108" s="32">
        <v>6965</v>
      </c>
      <c r="C108" s="5">
        <v>0.1144</v>
      </c>
      <c r="D108" s="36">
        <v>6445</v>
      </c>
      <c r="E108" s="5">
        <f t="shared" si="30"/>
        <v>-7.4659009332376167E-2</v>
      </c>
      <c r="F108" s="44">
        <f>IF(ISNUMBER(D108), $B112 * E108, "")</f>
        <v>-7465.9009332376163</v>
      </c>
      <c r="G108" s="36">
        <v>6310</v>
      </c>
      <c r="H108" s="5">
        <f t="shared" si="31"/>
        <v>-9.4041636755204591E-2</v>
      </c>
      <c r="I108" s="44">
        <f>IF(ISNUMBER(G108), $B112 * H108, "")</f>
        <v>-9404.1636755204599</v>
      </c>
      <c r="J108" s="36">
        <v>6490</v>
      </c>
      <c r="K108" s="5">
        <f t="shared" si="32"/>
        <v>-6.8198133524766696E-2</v>
      </c>
      <c r="L108" s="44">
        <f>IF(ISNUMBER(J108), $B112 * K108, "")</f>
        <v>-6819.8133524766699</v>
      </c>
      <c r="M108" s="36">
        <v>6540</v>
      </c>
      <c r="N108" s="5">
        <f t="shared" si="33"/>
        <v>-6.1019382627422826E-2</v>
      </c>
      <c r="O108" s="44">
        <f>IF(ISNUMBER(M108), $B112 * N108, "")</f>
        <v>-6101.9382627422829</v>
      </c>
      <c r="Q108" s="229"/>
      <c r="R108" s="230"/>
    </row>
    <row r="109" spans="1:18" ht="17.25" customHeight="1">
      <c r="A109" s="11" t="s">
        <v>156</v>
      </c>
      <c r="B109" s="32">
        <v>3065</v>
      </c>
      <c r="C109" s="5">
        <v>0.1005385996</v>
      </c>
      <c r="D109" s="36">
        <v>2980</v>
      </c>
      <c r="E109" s="5">
        <f t="shared" si="30"/>
        <v>-2.7732463295269169E-2</v>
      </c>
      <c r="F109" s="44">
        <f>IF(ISNUMBER(D109), $B112 * E109, "")</f>
        <v>-2773.2463295269167</v>
      </c>
      <c r="G109" s="36">
        <v>2955</v>
      </c>
      <c r="H109" s="5">
        <f t="shared" si="31"/>
        <v>-3.588907014681892E-2</v>
      </c>
      <c r="I109" s="44">
        <f>IF(ISNUMBER(G109), $B112 * H109, "")</f>
        <v>-3588.9070146818922</v>
      </c>
      <c r="J109" s="36">
        <v>2975</v>
      </c>
      <c r="K109" s="5">
        <f t="shared" si="32"/>
        <v>-2.936378466557912E-2</v>
      </c>
      <c r="L109" s="44">
        <f>IF(ISNUMBER(J109), $B112 * K109, "")</f>
        <v>-2936.3784665579119</v>
      </c>
      <c r="M109" s="36">
        <v>2990</v>
      </c>
      <c r="N109" s="5">
        <f t="shared" si="33"/>
        <v>-2.4469820554649267E-2</v>
      </c>
      <c r="O109" s="44">
        <f>IF(ISNUMBER(M109), $B112 * N109, "")</f>
        <v>-2446.9820554649268</v>
      </c>
      <c r="Q109" s="229"/>
      <c r="R109" s="230"/>
    </row>
    <row r="110" spans="1:18" ht="17.25" customHeight="1">
      <c r="A110" s="11" t="s">
        <v>137</v>
      </c>
      <c r="B110" s="32">
        <v>585</v>
      </c>
      <c r="C110" s="5">
        <v>9.9624060200000003E-2</v>
      </c>
      <c r="D110" s="36">
        <v>506</v>
      </c>
      <c r="E110" s="5">
        <f t="shared" si="30"/>
        <v>-0.13504273504273503</v>
      </c>
      <c r="F110" s="44">
        <f>IF(ISNUMBER(D110), $B112 * E110, "")</f>
        <v>-13504.273504273504</v>
      </c>
      <c r="G110" s="36">
        <v>513</v>
      </c>
      <c r="H110" s="5">
        <f t="shared" si="31"/>
        <v>-0.12307692307692308</v>
      </c>
      <c r="I110" s="44">
        <f>IF(ISNUMBER(G110), $B112 * H110, "")</f>
        <v>-12307.692307692309</v>
      </c>
      <c r="J110" s="36">
        <v>532</v>
      </c>
      <c r="K110" s="5">
        <f t="shared" si="32"/>
        <v>-9.0598290598290596E-2</v>
      </c>
      <c r="L110" s="44">
        <f>IF(ISNUMBER(J110), $B112 * K110, "")</f>
        <v>-9059.8290598290587</v>
      </c>
      <c r="M110" s="36">
        <v>525</v>
      </c>
      <c r="N110" s="5">
        <f t="shared" si="33"/>
        <v>-0.10256410256410256</v>
      </c>
      <c r="O110" s="44">
        <f>IF(ISNUMBER(M110), $B112 * N110, "")</f>
        <v>-10256.410256410256</v>
      </c>
      <c r="Q110" s="231"/>
      <c r="R110" s="232"/>
    </row>
    <row r="111" spans="1:18" ht="17.25" customHeight="1" thickBot="1">
      <c r="A111" s="13" t="s">
        <v>192</v>
      </c>
      <c r="B111" s="34">
        <v>2870</v>
      </c>
      <c r="C111" s="16">
        <v>9.3333333300000001E-2</v>
      </c>
      <c r="D111" s="38">
        <v>2655</v>
      </c>
      <c r="E111" s="16">
        <f t="shared" si="30"/>
        <v>-7.4912891986062713E-2</v>
      </c>
      <c r="F111" s="45">
        <f>IF(ISNUMBER(D111), $B112 * E111, "")</f>
        <v>-7491.2891986062714</v>
      </c>
      <c r="G111" s="38">
        <v>2630</v>
      </c>
      <c r="H111" s="16">
        <f t="shared" si="31"/>
        <v>-8.3623693379790948E-2</v>
      </c>
      <c r="I111" s="45">
        <f>IF(ISNUMBER(G111), $B112 * H111, "")</f>
        <v>-8362.3693379790948</v>
      </c>
      <c r="J111" s="38">
        <v>2650</v>
      </c>
      <c r="K111" s="16">
        <f t="shared" si="32"/>
        <v>-7.6655052264808357E-2</v>
      </c>
      <c r="L111" s="45">
        <f>IF(ISNUMBER(J111), $B112 * K111, "")</f>
        <v>-7665.5052264808355</v>
      </c>
      <c r="M111" s="38">
        <v>2685</v>
      </c>
      <c r="N111" s="16">
        <f t="shared" si="33"/>
        <v>-6.4459930313588848E-2</v>
      </c>
      <c r="O111" s="45">
        <f>IF(ISNUMBER(M111), $B112 * N111, "")</f>
        <v>-6445.9930313588848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-6.8423941982403896E-2</v>
      </c>
      <c r="F112" s="47">
        <f>SUM(F102:F111)</f>
        <v>-68423.941982403892</v>
      </c>
      <c r="G112" s="57" t="s">
        <v>82</v>
      </c>
      <c r="H112" s="46">
        <f>IF(COUNT(H102:H111), SUM(H102:H111) / COUNT(H102:H111), 0)</f>
        <v>-7.1155963492319799E-2</v>
      </c>
      <c r="I112" s="47">
        <f>SUM(I102:I111)</f>
        <v>-71155.963492319788</v>
      </c>
      <c r="J112" s="57" t="s">
        <v>82</v>
      </c>
      <c r="K112" s="46">
        <f>IF(COUNT(K102:K111), SUM(K102:K111) / COUNT(K102:K111), 0)</f>
        <v>-6.2445787784309627E-2</v>
      </c>
      <c r="L112" s="47">
        <f>SUM(L102:L111)</f>
        <v>-62445.787784309621</v>
      </c>
      <c r="M112" s="57" t="s">
        <v>82</v>
      </c>
      <c r="N112" s="46">
        <f>IF(COUNT(N102:N111), SUM(N102:N111) / COUNT(N102:N111), 0)</f>
        <v>-6.5044712248506539E-2</v>
      </c>
      <c r="O112" s="47">
        <f>SUM(O102:O111)</f>
        <v>-65044.712248506541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987" priority="89">
      <formula>$E$27&gt;0</formula>
    </cfRule>
    <cfRule type="expression" dxfId="986" priority="90">
      <formula>$E$27&lt;0</formula>
    </cfRule>
  </conditionalFormatting>
  <conditionalFormatting sqref="G15:I16 H27:I27">
    <cfRule type="expression" dxfId="985" priority="87">
      <formula>$H$27&gt;0</formula>
    </cfRule>
    <cfRule type="expression" dxfId="984" priority="88">
      <formula>$H$27&lt;0</formula>
    </cfRule>
  </conditionalFormatting>
  <conditionalFormatting sqref="J15:L16 K27:L27">
    <cfRule type="expression" dxfId="983" priority="85">
      <formula>$K$27&gt;0</formula>
    </cfRule>
    <cfRule type="expression" dxfId="982" priority="86">
      <formula>$K$27&lt;0</formula>
    </cfRule>
  </conditionalFormatting>
  <conditionalFormatting sqref="M15:O16 N27:O27">
    <cfRule type="expression" dxfId="981" priority="83">
      <formula>$N$27&gt;0</formula>
    </cfRule>
    <cfRule type="expression" dxfId="980" priority="84">
      <formula>$N$27&lt;0</formula>
    </cfRule>
  </conditionalFormatting>
  <conditionalFormatting sqref="A17:O26 A34:O43">
    <cfRule type="expression" dxfId="979" priority="91">
      <formula>AND($N17 &gt; 0, ISNUMBER($N17))</formula>
    </cfRule>
    <cfRule type="expression" dxfId="978" priority="92">
      <formula>AND($N17 &lt; 0, ISNUMBER($N17))</formula>
    </cfRule>
    <cfRule type="expression" dxfId="977" priority="93">
      <formula>AND($K17 &gt; 0, ISNUMBER($K17))</formula>
    </cfRule>
    <cfRule type="expression" dxfId="976" priority="94">
      <formula>AND($K17 &lt; 0, ISNUMBER($K17))</formula>
    </cfRule>
    <cfRule type="expression" dxfId="975" priority="95">
      <formula>AND($H17 &gt; 0, ISNUMBER($H17))</formula>
    </cfRule>
    <cfRule type="expression" dxfId="974" priority="96">
      <formula>AND($H17 &lt; 0, ISNUMBER($H17))</formula>
    </cfRule>
    <cfRule type="expression" dxfId="973" priority="97">
      <formula>AND($E17 &gt; 0, ISNUMBER($E17))</formula>
    </cfRule>
    <cfRule type="expression" dxfId="972" priority="98">
      <formula>AND($E17 &lt; 0, ISNUMBER($E17))</formula>
    </cfRule>
  </conditionalFormatting>
  <conditionalFormatting sqref="D32:F33 E44:F44">
    <cfRule type="expression" dxfId="971" priority="81">
      <formula>$E$44&gt;0</formula>
    </cfRule>
    <cfRule type="expression" dxfId="970" priority="82">
      <formula>$E$44&lt;0</formula>
    </cfRule>
  </conditionalFormatting>
  <conditionalFormatting sqref="G32:I33 H44:I44">
    <cfRule type="expression" dxfId="969" priority="79">
      <formula>$H$44&gt;0</formula>
    </cfRule>
    <cfRule type="expression" dxfId="968" priority="80">
      <formula>$H$44&lt;0</formula>
    </cfRule>
  </conditionalFormatting>
  <conditionalFormatting sqref="J32:L33 K44:L44">
    <cfRule type="expression" dxfId="967" priority="77">
      <formula>$K$44&gt;0</formula>
    </cfRule>
    <cfRule type="expression" dxfId="966" priority="78">
      <formula>$K$44&lt;0</formula>
    </cfRule>
  </conditionalFormatting>
  <conditionalFormatting sqref="M32:O33 N44:O44">
    <cfRule type="expression" dxfId="965" priority="75">
      <formula>$N$44&gt;0</formula>
    </cfRule>
    <cfRule type="expression" dxfId="964" priority="76">
      <formula>$N$44&lt;0</formula>
    </cfRule>
  </conditionalFormatting>
  <conditionalFormatting sqref="A51:O60">
    <cfRule type="expression" dxfId="963" priority="67">
      <formula>AND($N51 &gt; 0, ISNUMBER($N51))</formula>
    </cfRule>
    <cfRule type="expression" dxfId="962" priority="68">
      <formula>AND($N51 &lt; 0, ISNUMBER($N51))</formula>
    </cfRule>
    <cfRule type="expression" dxfId="961" priority="69">
      <formula>AND($K51 &gt; 0, ISNUMBER($K51))</formula>
    </cfRule>
    <cfRule type="expression" dxfId="960" priority="70">
      <formula>AND($K51 &lt; 0, ISNUMBER($K51))</formula>
    </cfRule>
    <cfRule type="expression" dxfId="959" priority="71">
      <formula>AND($H51 &gt; 0, ISNUMBER($H51))</formula>
    </cfRule>
    <cfRule type="expression" dxfId="958" priority="72">
      <formula>AND($H51 &lt; 0, ISNUMBER($H51))</formula>
    </cfRule>
    <cfRule type="expression" dxfId="957" priority="73">
      <formula>AND($E51 &gt; 0, ISNUMBER($E51))</formula>
    </cfRule>
    <cfRule type="expression" dxfId="956" priority="74">
      <formula>AND($E51 &lt; 0, ISNUMBER($E51))</formula>
    </cfRule>
  </conditionalFormatting>
  <conditionalFormatting sqref="D49:F50 E61:F61">
    <cfRule type="expression" dxfId="955" priority="65">
      <formula>$E$61&gt;0</formula>
    </cfRule>
    <cfRule type="expression" dxfId="954" priority="66">
      <formula>$E$61&lt;0</formula>
    </cfRule>
  </conditionalFormatting>
  <conditionalFormatting sqref="G49:I50 H61:I61">
    <cfRule type="expression" dxfId="953" priority="63">
      <formula>$H$61&gt;0</formula>
    </cfRule>
    <cfRule type="expression" dxfId="952" priority="64">
      <formula>$H$61&lt;0</formula>
    </cfRule>
  </conditionalFormatting>
  <conditionalFormatting sqref="J49:L50 K61:L61">
    <cfRule type="expression" dxfId="951" priority="61">
      <formula>$K$61&gt;0</formula>
    </cfRule>
    <cfRule type="expression" dxfId="950" priority="62">
      <formula>$K$61&lt;0</formula>
    </cfRule>
  </conditionalFormatting>
  <conditionalFormatting sqref="M49:O50 N61:O61">
    <cfRule type="expression" dxfId="949" priority="59">
      <formula>$N$61&gt;0</formula>
    </cfRule>
    <cfRule type="expression" dxfId="948" priority="60">
      <formula>$N$61&lt;0</formula>
    </cfRule>
  </conditionalFormatting>
  <conditionalFormatting sqref="A68:O77">
    <cfRule type="expression" dxfId="947" priority="51">
      <formula>AND($N68 &gt; 0, ISNUMBER($N68))</formula>
    </cfRule>
    <cfRule type="expression" dxfId="946" priority="52">
      <formula>AND($N68 &lt; 0, ISNUMBER($N68))</formula>
    </cfRule>
    <cfRule type="expression" dxfId="945" priority="53">
      <formula>AND($K68 &gt; 0, ISNUMBER($K68))</formula>
    </cfRule>
    <cfRule type="expression" dxfId="944" priority="54">
      <formula>AND($K68 &lt; 0, ISNUMBER($K68))</formula>
    </cfRule>
    <cfRule type="expression" dxfId="943" priority="55">
      <formula>AND($H68 &gt; 0, ISNUMBER($H68))</formula>
    </cfRule>
    <cfRule type="expression" dxfId="942" priority="56">
      <formula>AND($H68 &lt; 0, ISNUMBER($H68))</formula>
    </cfRule>
    <cfRule type="expression" dxfId="941" priority="57">
      <formula>AND($E68 &gt; 0, ISNUMBER($E68))</formula>
    </cfRule>
    <cfRule type="expression" dxfId="940" priority="58">
      <formula>AND($E68 &lt; 0, ISNUMBER($E68))</formula>
    </cfRule>
  </conditionalFormatting>
  <conditionalFormatting sqref="D66:F67 E78:F78">
    <cfRule type="expression" dxfId="939" priority="49">
      <formula>$E$78&gt;0</formula>
    </cfRule>
    <cfRule type="expression" dxfId="938" priority="50">
      <formula>$E$78&lt;0</formula>
    </cfRule>
  </conditionalFormatting>
  <conditionalFormatting sqref="G66:I67 H78:I78">
    <cfRule type="expression" dxfId="937" priority="47">
      <formula>$H$78&gt;0</formula>
    </cfRule>
    <cfRule type="expression" dxfId="936" priority="48">
      <formula>$H$78&lt;0</formula>
    </cfRule>
  </conditionalFormatting>
  <conditionalFormatting sqref="J66:L67 K78:L78">
    <cfRule type="expression" dxfId="935" priority="45">
      <formula>$K$78&gt;0</formula>
    </cfRule>
    <cfRule type="expression" dxfId="934" priority="46">
      <formula>$K$78&lt;0</formula>
    </cfRule>
  </conditionalFormatting>
  <conditionalFormatting sqref="M66:O67 N78:O78">
    <cfRule type="expression" dxfId="933" priority="43">
      <formula>$N$78&gt;0</formula>
    </cfRule>
    <cfRule type="expression" dxfId="932" priority="44">
      <formula>$N$78&lt;0</formula>
    </cfRule>
  </conditionalFormatting>
  <conditionalFormatting sqref="A85:O94">
    <cfRule type="expression" dxfId="931" priority="35">
      <formula>AND($N85 &gt; 0, ISNUMBER($N85))</formula>
    </cfRule>
    <cfRule type="expression" dxfId="930" priority="36">
      <formula>AND($N85 &lt; 0, ISNUMBER($N85))</formula>
    </cfRule>
    <cfRule type="expression" dxfId="929" priority="37">
      <formula>AND($K85 &gt; 0, ISNUMBER($K85))</formula>
    </cfRule>
    <cfRule type="expression" dxfId="928" priority="38">
      <formula>AND($K85 &lt; 0, ISNUMBER($K85))</formula>
    </cfRule>
    <cfRule type="expression" dxfId="927" priority="39">
      <formula>AND($H85 &gt; 0, ISNUMBER($H85))</formula>
    </cfRule>
    <cfRule type="expression" dxfId="926" priority="40">
      <formula>AND($H85 &lt; 0, ISNUMBER($H85))</formula>
    </cfRule>
    <cfRule type="expression" dxfId="925" priority="41">
      <formula>AND($E85 &gt; 0, ISNUMBER($E85))</formula>
    </cfRule>
    <cfRule type="expression" dxfId="924" priority="42">
      <formula>AND($E85 &lt; 0, ISNUMBER($E85))</formula>
    </cfRule>
  </conditionalFormatting>
  <conditionalFormatting sqref="D83:F84 E95:F95">
    <cfRule type="expression" dxfId="923" priority="33">
      <formula>$E$95&gt;0</formula>
    </cfRule>
    <cfRule type="expression" dxfId="922" priority="34">
      <formula>$E$95&lt;0</formula>
    </cfRule>
  </conditionalFormatting>
  <conditionalFormatting sqref="G83:I84 H95:I95">
    <cfRule type="expression" dxfId="921" priority="31">
      <formula>$H$95&gt;0</formula>
    </cfRule>
    <cfRule type="expression" dxfId="920" priority="32">
      <formula>$H$95&lt;0</formula>
    </cfRule>
  </conditionalFormatting>
  <conditionalFormatting sqref="J83:L84 K95:L95">
    <cfRule type="expression" dxfId="919" priority="29">
      <formula>$K$95&gt;0</formula>
    </cfRule>
    <cfRule type="expression" dxfId="918" priority="30">
      <formula>$K$95&lt;0</formula>
    </cfRule>
  </conditionalFormatting>
  <conditionalFormatting sqref="M83:O84 N95:O95">
    <cfRule type="expression" dxfId="917" priority="27">
      <formula>$N$95&gt;0</formula>
    </cfRule>
    <cfRule type="expression" dxfId="916" priority="28">
      <formula>$N$95&lt;0</formula>
    </cfRule>
  </conditionalFormatting>
  <conditionalFormatting sqref="A102:O111">
    <cfRule type="expression" dxfId="915" priority="19">
      <formula>AND($N102 &gt; 0, ISNUMBER($N102))</formula>
    </cfRule>
    <cfRule type="expression" dxfId="914" priority="20">
      <formula>AND($N102 &lt; 0, ISNUMBER($N102))</formula>
    </cfRule>
    <cfRule type="expression" dxfId="913" priority="21">
      <formula>AND($K102 &gt; 0, ISNUMBER($K102))</formula>
    </cfRule>
    <cfRule type="expression" dxfId="912" priority="22">
      <formula>AND($K102 &lt; 0, ISNUMBER($K102))</formula>
    </cfRule>
    <cfRule type="expression" dxfId="911" priority="23">
      <formula>AND($H102 &gt; 0, ISNUMBER($H102))</formula>
    </cfRule>
    <cfRule type="expression" dxfId="910" priority="24">
      <formula>AND($H102 &lt; 0, ISNUMBER($H102))</formula>
    </cfRule>
    <cfRule type="expression" dxfId="909" priority="25">
      <formula>AND($E102 &gt; 0, ISNUMBER($E102))</formula>
    </cfRule>
    <cfRule type="expression" dxfId="908" priority="26">
      <formula>AND($E102 &lt; 0, ISNUMBER($E102))</formula>
    </cfRule>
  </conditionalFormatting>
  <conditionalFormatting sqref="D100:F101 E112:F112">
    <cfRule type="expression" dxfId="907" priority="17">
      <formula>$E$112&gt;0</formula>
    </cfRule>
    <cfRule type="expression" dxfId="906" priority="18">
      <formula>$E$112&lt;0</formula>
    </cfRule>
  </conditionalFormatting>
  <conditionalFormatting sqref="G100:I101 H112:I112">
    <cfRule type="expression" dxfId="905" priority="15">
      <formula>$H$112&gt;0</formula>
    </cfRule>
    <cfRule type="expression" dxfId="904" priority="16">
      <formula>$H$112&lt;0</formula>
    </cfRule>
  </conditionalFormatting>
  <conditionalFormatting sqref="J100:L101 K112:L112">
    <cfRule type="expression" dxfId="903" priority="13">
      <formula>$K$112&gt;0</formula>
    </cfRule>
    <cfRule type="expression" dxfId="902" priority="14">
      <formula>$K$112&lt;0</formula>
    </cfRule>
  </conditionalFormatting>
  <conditionalFormatting sqref="M100:O101 N112:O112">
    <cfRule type="expression" dxfId="901" priority="11">
      <formula>$N$112&gt;0</formula>
    </cfRule>
    <cfRule type="expression" dxfId="900" priority="12">
      <formula>$N$112&lt;0</formula>
    </cfRule>
  </conditionalFormatting>
  <conditionalFormatting sqref="G2:I3">
    <cfRule type="expression" dxfId="89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9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89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89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89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89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89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89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89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89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8D4FF-7C1B-4026-AD04-72093E6BEDF9}">
  <sheetPr codeName="Sheet14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44298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-7,712 KRW (-0.77%)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28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-9,415 KRW (-1.57%)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-6,343 KRW (-0.63%)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-8,488 KRW (-0.85%)</v>
      </c>
      <c r="H9" s="202"/>
      <c r="I9" s="203"/>
      <c r="J9" s="1" t="s">
        <v>28</v>
      </c>
      <c r="K9" s="198"/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-23,052 KRW (-2.31%)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28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23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24" t="s">
        <v>67</v>
      </c>
      <c r="H16" s="125" t="s">
        <v>68</v>
      </c>
      <c r="I16" s="126" t="s">
        <v>70</v>
      </c>
      <c r="J16" s="4" t="s">
        <v>67</v>
      </c>
      <c r="K16" s="4" t="s">
        <v>68</v>
      </c>
      <c r="L16" s="127" t="s">
        <v>70</v>
      </c>
      <c r="M16" s="18" t="s">
        <v>67</v>
      </c>
      <c r="N16" s="4" t="s">
        <v>68</v>
      </c>
      <c r="O16" s="129" t="s">
        <v>70</v>
      </c>
      <c r="Q16" s="206"/>
      <c r="R16" s="207"/>
    </row>
    <row r="17" spans="1:18" ht="17.25" customHeight="1">
      <c r="A17" s="39" t="s">
        <v>19</v>
      </c>
      <c r="B17" s="89">
        <f>IF(NOT(_xlfn.IFNA(VLOOKUP($A17, $A$30:$O$112, 2, FALSE), "")=0), _xlfn.IFNA(VLOOKUP($A17, $A$30:$O$112, 2, FALSE), ""), "")</f>
        <v>94.4</v>
      </c>
      <c r="C17" s="22">
        <f>IF(NOT(_xlfn.IFNA(VLOOKUP($A17, $A$30:$O$112, 3, FALSE), "")=0), _xlfn.IFNA(VLOOKUP($A17, $A$30:$O$112, 3, FALSE), ""), "")</f>
        <v>0.1238095238</v>
      </c>
      <c r="D17" s="89">
        <f>IF(NOT(_xlfn.IFNA(VLOOKUP($A17, $A$30:$O$112, 4, FALSE), "")=0), _xlfn.IFNA(VLOOKUP($A17, $A$30:$O$112, 4, FALSE), ""), "")</f>
        <v>94.1</v>
      </c>
      <c r="E17" s="22">
        <f>IF(NOT(_xlfn.IFNA(VLOOKUP($A17, $A$30:$O$112, 5, FALSE), "")=0), _xlfn.IFNA(VLOOKUP($A17, $A$30:$O$112, 5, FALSE), ""), "")</f>
        <v>-3.1779661016950356E-3</v>
      </c>
      <c r="F17" s="58">
        <f>IF(NOT(_xlfn.IFNA(VLOOKUP($A17, $A$30:$O$112, 6, FALSE), "")=0), _xlfn.IFNA(VLOOKUP($A17, $A$30:$O$112, 6, FALSE), ""), "")</f>
        <v>-317.79661016950354</v>
      </c>
      <c r="G17" s="36">
        <f t="shared" ref="G17:G26" si="0">IF(NOT(_xlfn.IFNA(VLOOKUP($A17, $A$30:$O$112, 7, FALSE), "")=0), _xlfn.IFNA(VLOOKUP($A17, $A$30:$O$112, 7, FALSE), ""), "")</f>
        <v>92.6</v>
      </c>
      <c r="H17" s="5">
        <f>IF(NOT(_xlfn.IFNA(VLOOKUP($A17, $A$30:$O$112, 8, FALSE), "")=0), _xlfn.IFNA(VLOOKUP($A17, $A$30:$O$112, 8, FALSE), ""), "")</f>
        <v>-1.9067796610169611E-2</v>
      </c>
      <c r="I17" s="59">
        <f>IF(NOT(_xlfn.IFNA(VLOOKUP($A17, $A$30:$O$112, 9, FALSE), "")=0), _xlfn.IFNA(VLOOKUP($A17, $A$30:$O$112, 9, FALSE), ""), "")</f>
        <v>-1906.779661016961</v>
      </c>
      <c r="J17" s="89">
        <f>IF(NOT(_xlfn.IFNA(VLOOKUP($A17, $A$30:$O$112, 10, FALSE), "")=0), _xlfn.IFNA(VLOOKUP($A17, $A$30:$O$112, 10, FALSE), ""), "")</f>
        <v>93.7</v>
      </c>
      <c r="K17" s="22">
        <f>IF(NOT(_xlfn.IFNA(VLOOKUP($A17, $A$30:$O$112, 11, FALSE), "")=0), _xlfn.IFNA(VLOOKUP($A17, $A$30:$O$112, 11, FALSE), ""), "")</f>
        <v>-7.4152542372881653E-3</v>
      </c>
      <c r="L17" s="58">
        <f>IF(NOT(_xlfn.IFNA(VLOOKUP($A17, $A$30:$O$112, 12, FALSE), "")=0), _xlfn.IFNA(VLOOKUP($A17, $A$30:$O$112, 12, FALSE), ""), "")</f>
        <v>-741.52542372881658</v>
      </c>
      <c r="M17" s="89">
        <f>IF(NOT(_xlfn.IFNA(VLOOKUP($A17, $A$30:$O$112, 13, FALSE), "")=0), _xlfn.IFNA(VLOOKUP($A17, $A$30:$O$112, 13, FALSE), ""), "")</f>
        <v>91.7</v>
      </c>
      <c r="N17" s="22">
        <f>IF(NOT(_xlfn.IFNA(VLOOKUP($A17, $A$30:$O$112, 14, FALSE), "")=0), _xlfn.IFNA(VLOOKUP($A17, $A$30:$O$112, 14, FALSE), ""), "")</f>
        <v>-2.8601694915254265E-2</v>
      </c>
      <c r="O17" s="43">
        <f>IF(NOT(_xlfn.IFNA(VLOOKUP($A17, $A$30:$O$112, 15, FALSE), "")=0), _xlfn.IFNA(VLOOKUP($A17, $A$30:$O$112, 15, FALSE), ""), "")</f>
        <v>-2860.1694915254266</v>
      </c>
      <c r="Q17" s="204"/>
      <c r="R17" s="205"/>
    </row>
    <row r="18" spans="1:18" ht="17.25" customHeight="1">
      <c r="A18" s="40" t="s">
        <v>196</v>
      </c>
      <c r="B18" s="36">
        <f t="shared" ref="B18:B26" si="1">IF(NOT(_xlfn.IFNA(VLOOKUP($A18, $A$30:$O$112, 2, FALSE), "")=0), _xlfn.IFNA(VLOOKUP($A18, $A$30:$O$112, 2, FALSE), ""), "")</f>
        <v>798</v>
      </c>
      <c r="C18" s="5">
        <f t="shared" ref="C18:C26" si="2">IF(NOT(_xlfn.IFNA(VLOOKUP($A18, $A$30:$O$112, 3, FALSE), "")=0), _xlfn.IFNA(VLOOKUP($A18, $A$30:$O$112, 3, FALSE), ""), "")</f>
        <v>8.1300813E-2</v>
      </c>
      <c r="D18" s="36">
        <f t="shared" ref="D18:D26" si="3">IF(NOT(_xlfn.IFNA(VLOOKUP($A18, $A$30:$O$112, 4, FALSE), "")=0), _xlfn.IFNA(VLOOKUP($A18, $A$30:$O$112, 4, FALSE), ""), "")</f>
        <v>758</v>
      </c>
      <c r="E18" s="5">
        <f t="shared" ref="E18:E26" si="4">IF(NOT(_xlfn.IFNA(VLOOKUP($A18, $A$30:$O$112, 5, FALSE), "")=0), _xlfn.IFNA(VLOOKUP($A18, $A$30:$O$112, 5, FALSE), ""), "")</f>
        <v>-5.0125313283208017E-2</v>
      </c>
      <c r="F18" s="59">
        <f t="shared" ref="F18:F26" si="5">IF(NOT(_xlfn.IFNA(VLOOKUP($A18, $A$30:$O$112, 6, FALSE), "")=0), _xlfn.IFNA(VLOOKUP($A18, $A$30:$O$112, 6, FALSE), ""), "")</f>
        <v>-5012.5313283208015</v>
      </c>
      <c r="G18" s="36">
        <f t="shared" si="0"/>
        <v>762</v>
      </c>
      <c r="H18" s="5">
        <f t="shared" ref="H18:H26" si="6">IF(NOT(_xlfn.IFNA(VLOOKUP($A18, $A$30:$O$112, 8, FALSE), "")=0), _xlfn.IFNA(VLOOKUP($A18, $A$30:$O$112, 8, FALSE), ""), "")</f>
        <v>-4.5112781954887216E-2</v>
      </c>
      <c r="I18" s="59">
        <f t="shared" ref="I18:I26" si="7">IF(NOT(_xlfn.IFNA(VLOOKUP($A18, $A$30:$O$112, 9, FALSE), "")=0), _xlfn.IFNA(VLOOKUP($A18, $A$30:$O$112, 9, FALSE), ""), "")</f>
        <v>-4511.2781954887214</v>
      </c>
      <c r="J18" s="36">
        <f t="shared" ref="J18:J26" si="8">IF(NOT(_xlfn.IFNA(VLOOKUP($A18, $A$30:$O$112, 10, FALSE), "")=0), _xlfn.IFNA(VLOOKUP($A18, $A$30:$O$112, 10, FALSE), ""), "")</f>
        <v>773</v>
      </c>
      <c r="K18" s="5">
        <f t="shared" ref="K18:K26" si="9">IF(NOT(_xlfn.IFNA(VLOOKUP($A18, $A$30:$O$112, 11, FALSE), "")=0), _xlfn.IFNA(VLOOKUP($A18, $A$30:$O$112, 11, FALSE), ""), "")</f>
        <v>-3.1328320802005011E-2</v>
      </c>
      <c r="L18" s="59">
        <f t="shared" ref="L18:L26" si="10">IF(NOT(_xlfn.IFNA(VLOOKUP($A18, $A$30:$O$112, 12, FALSE), "")=0), _xlfn.IFNA(VLOOKUP($A18, $A$30:$O$112, 12, FALSE), ""), "")</f>
        <v>-3132.832080200501</v>
      </c>
      <c r="M18" s="36">
        <f t="shared" ref="M18:M26" si="11">IF(NOT(_xlfn.IFNA(VLOOKUP($A18, $A$30:$O$112, 13, FALSE), "")=0), _xlfn.IFNA(VLOOKUP($A18, $A$30:$O$112, 13, FALSE), ""), "")</f>
        <v>752</v>
      </c>
      <c r="N18" s="5">
        <f t="shared" ref="N18:N26" si="12">IF(NOT(_xlfn.IFNA(VLOOKUP($A18, $A$30:$O$112, 14, FALSE), "")=0), _xlfn.IFNA(VLOOKUP($A18, $A$30:$O$112, 14, FALSE), ""), "")</f>
        <v>-5.764411027568922E-2</v>
      </c>
      <c r="O18" s="44">
        <f t="shared" ref="O18:O26" si="13">IF(NOT(_xlfn.IFNA(VLOOKUP($A18, $A$30:$O$112, 15, FALSE), "")=0), _xlfn.IFNA(VLOOKUP($A18, $A$30:$O$112, 15, FALSE), ""), "")</f>
        <v>-5764.4110275689218</v>
      </c>
      <c r="Q18" s="204"/>
      <c r="R18" s="205"/>
    </row>
    <row r="19" spans="1:18" ht="17.25" customHeight="1">
      <c r="A19" s="40" t="s">
        <v>175</v>
      </c>
      <c r="B19" s="36">
        <f t="shared" si="1"/>
        <v>580</v>
      </c>
      <c r="C19" s="5">
        <f t="shared" si="2"/>
        <v>6.2271062299999999E-2</v>
      </c>
      <c r="D19" s="36">
        <f t="shared" si="3"/>
        <v>554</v>
      </c>
      <c r="E19" s="5">
        <f t="shared" si="4"/>
        <v>-4.4827586206896551E-2</v>
      </c>
      <c r="F19" s="59">
        <f t="shared" si="5"/>
        <v>-4482.7586206896549</v>
      </c>
      <c r="G19" s="36">
        <f t="shared" si="0"/>
        <v>552</v>
      </c>
      <c r="H19" s="5">
        <f t="shared" si="6"/>
        <v>-4.8275862068965517E-2</v>
      </c>
      <c r="I19" s="59">
        <f t="shared" si="7"/>
        <v>-4827.5862068965516</v>
      </c>
      <c r="J19" s="36">
        <f t="shared" si="8"/>
        <v>549</v>
      </c>
      <c r="K19" s="5">
        <f t="shared" si="9"/>
        <v>-5.3448275862068968E-2</v>
      </c>
      <c r="L19" s="59">
        <f t="shared" si="10"/>
        <v>-5344.8275862068967</v>
      </c>
      <c r="M19" s="36">
        <f t="shared" si="11"/>
        <v>544</v>
      </c>
      <c r="N19" s="5">
        <f t="shared" si="12"/>
        <v>-6.2068965517241378E-2</v>
      </c>
      <c r="O19" s="44">
        <f t="shared" si="13"/>
        <v>-6206.8965517241377</v>
      </c>
      <c r="Q19" s="204"/>
      <c r="R19" s="205"/>
    </row>
    <row r="20" spans="1:18" ht="17.25" customHeight="1">
      <c r="A20" s="40" t="s">
        <v>139</v>
      </c>
      <c r="B20" s="36">
        <f t="shared" si="1"/>
        <v>1415</v>
      </c>
      <c r="C20" s="5">
        <f t="shared" si="2"/>
        <v>5.99250936E-2</v>
      </c>
      <c r="D20" s="36">
        <f t="shared" si="3"/>
        <v>1475</v>
      </c>
      <c r="E20" s="5">
        <f t="shared" si="4"/>
        <v>4.2402826855123678E-2</v>
      </c>
      <c r="F20" s="59">
        <f t="shared" si="5"/>
        <v>4240.2826855123676</v>
      </c>
      <c r="G20" s="36">
        <f t="shared" si="0"/>
        <v>1450</v>
      </c>
      <c r="H20" s="5">
        <f t="shared" si="6"/>
        <v>2.4734982332155476E-2</v>
      </c>
      <c r="I20" s="59">
        <f t="shared" si="7"/>
        <v>2473.4982332155478</v>
      </c>
      <c r="J20" s="36">
        <f t="shared" si="8"/>
        <v>1435</v>
      </c>
      <c r="K20" s="5">
        <f t="shared" si="9"/>
        <v>1.4134275618374558E-2</v>
      </c>
      <c r="L20" s="59">
        <f t="shared" si="10"/>
        <v>1413.4275618374559</v>
      </c>
      <c r="M20" s="36">
        <f t="shared" si="11"/>
        <v>1460</v>
      </c>
      <c r="N20" s="5">
        <f t="shared" si="12"/>
        <v>3.1802120141342753E-2</v>
      </c>
      <c r="O20" s="44">
        <f t="shared" si="13"/>
        <v>3180.2120141342753</v>
      </c>
      <c r="Q20" s="204"/>
      <c r="R20" s="205"/>
    </row>
    <row r="21" spans="1:18" ht="17.25" customHeight="1">
      <c r="A21" s="41" t="s">
        <v>209</v>
      </c>
      <c r="B21" s="37">
        <f t="shared" si="1"/>
        <v>85700</v>
      </c>
      <c r="C21" s="24">
        <f t="shared" si="2"/>
        <v>5.5028930199999999E-2</v>
      </c>
      <c r="D21" s="37">
        <f t="shared" si="3"/>
        <v>82100</v>
      </c>
      <c r="E21" s="24">
        <f t="shared" si="4"/>
        <v>-4.2007001166861145E-2</v>
      </c>
      <c r="F21" s="60">
        <f t="shared" si="5"/>
        <v>-4200.7001166861146</v>
      </c>
      <c r="G21" s="37">
        <f t="shared" si="0"/>
        <v>82210</v>
      </c>
      <c r="H21" s="24">
        <f t="shared" si="6"/>
        <v>-4.0723453908984832E-2</v>
      </c>
      <c r="I21" s="60">
        <f t="shared" si="7"/>
        <v>-4072.3453908984829</v>
      </c>
      <c r="J21" s="37">
        <f t="shared" si="8"/>
        <v>81450</v>
      </c>
      <c r="K21" s="24">
        <f t="shared" si="9"/>
        <v>-4.9591598599766626E-2</v>
      </c>
      <c r="L21" s="60">
        <f t="shared" si="10"/>
        <v>-4959.159859976663</v>
      </c>
      <c r="M21" s="37">
        <f t="shared" si="11"/>
        <v>81000</v>
      </c>
      <c r="N21" s="24">
        <f t="shared" si="12"/>
        <v>-5.4842473745624273E-2</v>
      </c>
      <c r="O21" s="62">
        <f t="shared" si="13"/>
        <v>-5484.2473745624275</v>
      </c>
      <c r="Q21" s="204"/>
      <c r="R21" s="205"/>
    </row>
    <row r="22" spans="1:18" ht="17.25" customHeight="1">
      <c r="A22" s="40" t="s">
        <v>148</v>
      </c>
      <c r="B22" s="36">
        <f t="shared" si="1"/>
        <v>72.099999999999994</v>
      </c>
      <c r="C22" s="5">
        <f t="shared" si="2"/>
        <v>4.19075145E-2</v>
      </c>
      <c r="D22" s="36">
        <f t="shared" si="3"/>
        <v>72.099999999999994</v>
      </c>
      <c r="E22" s="5" t="str">
        <f t="shared" si="4"/>
        <v/>
      </c>
      <c r="F22" s="59" t="str">
        <f t="shared" si="5"/>
        <v/>
      </c>
      <c r="G22" s="36">
        <f t="shared" si="0"/>
        <v>73.599999999999994</v>
      </c>
      <c r="H22" s="5">
        <f t="shared" si="6"/>
        <v>2.0804438280166437E-2</v>
      </c>
      <c r="I22" s="59">
        <f t="shared" si="7"/>
        <v>2080.4438280166437</v>
      </c>
      <c r="J22" s="36">
        <f t="shared" si="8"/>
        <v>72.8</v>
      </c>
      <c r="K22" s="5">
        <f t="shared" si="9"/>
        <v>9.7087378640777107E-3</v>
      </c>
      <c r="L22" s="59">
        <f t="shared" si="10"/>
        <v>970.87378640777104</v>
      </c>
      <c r="M22" s="36">
        <f t="shared" si="11"/>
        <v>76</v>
      </c>
      <c r="N22" s="5">
        <f t="shared" si="12"/>
        <v>5.4091539528432812E-2</v>
      </c>
      <c r="O22" s="44">
        <f t="shared" si="13"/>
        <v>5409.1539528432813</v>
      </c>
      <c r="Q22" s="204"/>
      <c r="R22" s="205"/>
    </row>
    <row r="23" spans="1:18" ht="17.25" customHeight="1">
      <c r="A23" s="40" t="s">
        <v>138</v>
      </c>
      <c r="B23" s="36">
        <f t="shared" si="1"/>
        <v>190</v>
      </c>
      <c r="C23" s="5">
        <f t="shared" si="2"/>
        <v>-3.5532994900000003E-2</v>
      </c>
      <c r="D23" s="36">
        <f t="shared" si="3"/>
        <v>198</v>
      </c>
      <c r="E23" s="5">
        <f t="shared" si="4"/>
        <v>4.2105263157894736E-2</v>
      </c>
      <c r="F23" s="59">
        <f t="shared" si="5"/>
        <v>4210.5263157894733</v>
      </c>
      <c r="G23" s="36">
        <f t="shared" si="0"/>
        <v>198</v>
      </c>
      <c r="H23" s="5">
        <f t="shared" si="6"/>
        <v>4.2105263157894736E-2</v>
      </c>
      <c r="I23" s="59">
        <f t="shared" si="7"/>
        <v>4210.5263157894733</v>
      </c>
      <c r="J23" s="36">
        <f t="shared" si="8"/>
        <v>197</v>
      </c>
      <c r="K23" s="5">
        <f t="shared" si="9"/>
        <v>3.6842105263157891E-2</v>
      </c>
      <c r="L23" s="59">
        <f t="shared" si="10"/>
        <v>3684.2105263157891</v>
      </c>
      <c r="M23" s="36">
        <f t="shared" si="11"/>
        <v>204</v>
      </c>
      <c r="N23" s="5">
        <f t="shared" si="12"/>
        <v>7.3684210526315783E-2</v>
      </c>
      <c r="O23" s="44">
        <f t="shared" si="13"/>
        <v>7368.4210526315783</v>
      </c>
      <c r="Q23" s="204"/>
      <c r="R23" s="205"/>
    </row>
    <row r="24" spans="1:18" ht="17.25" customHeight="1">
      <c r="A24" s="40" t="s">
        <v>164</v>
      </c>
      <c r="B24" s="36">
        <f t="shared" si="1"/>
        <v>159</v>
      </c>
      <c r="C24" s="5">
        <f t="shared" si="2"/>
        <v>-4.2168674699999999E-2</v>
      </c>
      <c r="D24" s="36">
        <f t="shared" si="3"/>
        <v>174</v>
      </c>
      <c r="E24" s="5">
        <f t="shared" si="4"/>
        <v>9.4339622641509441E-2</v>
      </c>
      <c r="F24" s="59">
        <f t="shared" si="5"/>
        <v>9433.962264150945</v>
      </c>
      <c r="G24" s="36">
        <f t="shared" si="0"/>
        <v>168</v>
      </c>
      <c r="H24" s="5">
        <f t="shared" si="6"/>
        <v>5.6603773584905662E-2</v>
      </c>
      <c r="I24" s="59">
        <f t="shared" si="7"/>
        <v>5660.3773584905666</v>
      </c>
      <c r="J24" s="36">
        <f t="shared" si="8"/>
        <v>169</v>
      </c>
      <c r="K24" s="5">
        <f t="shared" si="9"/>
        <v>6.2893081761006289E-2</v>
      </c>
      <c r="L24" s="59">
        <f t="shared" si="10"/>
        <v>6289.3081761006288</v>
      </c>
      <c r="M24" s="36">
        <f t="shared" si="11"/>
        <v>172</v>
      </c>
      <c r="N24" s="5">
        <f t="shared" si="12"/>
        <v>8.1761006289308172E-2</v>
      </c>
      <c r="O24" s="44">
        <f t="shared" si="13"/>
        <v>8176.100628930817</v>
      </c>
      <c r="Q24" s="204"/>
      <c r="R24" s="205"/>
    </row>
    <row r="25" spans="1:18" ht="17.25" customHeight="1">
      <c r="A25" s="40" t="s">
        <v>214</v>
      </c>
      <c r="B25" s="36">
        <f t="shared" si="1"/>
        <v>251</v>
      </c>
      <c r="C25" s="5">
        <f t="shared" si="2"/>
        <v>-4.5627376400000003E-2</v>
      </c>
      <c r="D25" s="36">
        <f t="shared" si="3"/>
        <v>232</v>
      </c>
      <c r="E25" s="5">
        <f t="shared" si="4"/>
        <v>-7.5697211155378488E-2</v>
      </c>
      <c r="F25" s="59">
        <f t="shared" si="5"/>
        <v>-7569.7211155378491</v>
      </c>
      <c r="G25" s="36">
        <f t="shared" si="0"/>
        <v>233</v>
      </c>
      <c r="H25" s="5">
        <f t="shared" si="6"/>
        <v>-7.1713147410358571E-2</v>
      </c>
      <c r="I25" s="59">
        <f t="shared" si="7"/>
        <v>-7171.314741035857</v>
      </c>
      <c r="J25" s="36">
        <f t="shared" si="8"/>
        <v>232</v>
      </c>
      <c r="K25" s="5">
        <f t="shared" si="9"/>
        <v>-7.5697211155378488E-2</v>
      </c>
      <c r="L25" s="59">
        <f t="shared" si="10"/>
        <v>-7569.7211155378491</v>
      </c>
      <c r="M25" s="36">
        <f t="shared" si="11"/>
        <v>230</v>
      </c>
      <c r="N25" s="5">
        <f t="shared" si="12"/>
        <v>-8.3665338645418322E-2</v>
      </c>
      <c r="O25" s="44">
        <f t="shared" si="13"/>
        <v>-8366.5338645418324</v>
      </c>
      <c r="Q25" s="206"/>
      <c r="R25" s="207"/>
    </row>
    <row r="26" spans="1:18" ht="17.25" customHeight="1" thickBot="1">
      <c r="A26" s="42" t="s">
        <v>144</v>
      </c>
      <c r="B26" s="38">
        <f t="shared" si="1"/>
        <v>667</v>
      </c>
      <c r="C26" s="16">
        <f t="shared" si="2"/>
        <v>-4.5779685299999998E-2</v>
      </c>
      <c r="D26" s="38">
        <f t="shared" si="3"/>
        <v>627</v>
      </c>
      <c r="E26" s="16">
        <f t="shared" si="4"/>
        <v>-5.9970014992503748E-2</v>
      </c>
      <c r="F26" s="61">
        <f t="shared" si="5"/>
        <v>-5997.0014992503748</v>
      </c>
      <c r="G26" s="38">
        <f t="shared" si="0"/>
        <v>625</v>
      </c>
      <c r="H26" s="16">
        <f t="shared" si="6"/>
        <v>-6.296851574212893E-2</v>
      </c>
      <c r="I26" s="61">
        <f t="shared" si="7"/>
        <v>-6296.851574212893</v>
      </c>
      <c r="J26" s="38">
        <f t="shared" si="8"/>
        <v>630</v>
      </c>
      <c r="K26" s="16">
        <f t="shared" si="9"/>
        <v>-5.5472263868065967E-2</v>
      </c>
      <c r="L26" s="61">
        <f t="shared" si="10"/>
        <v>-5547.2263868065966</v>
      </c>
      <c r="M26" s="38">
        <f t="shared" si="11"/>
        <v>627</v>
      </c>
      <c r="N26" s="16">
        <f t="shared" si="12"/>
        <v>-5.9970014992503748E-2</v>
      </c>
      <c r="O26" s="45">
        <f t="shared" si="13"/>
        <v>-5997.0014992503748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-1.0773042250223904E-2</v>
      </c>
      <c r="F27" s="47">
        <f>SUM(F17:F26)</f>
        <v>-9695.7380252015137</v>
      </c>
      <c r="G27" s="57" t="s">
        <v>82</v>
      </c>
      <c r="H27" s="46">
        <f>IF(COUNT(H17:H26), SUM(H17:H26) / COUNT(H17:H26), 0)</f>
        <v>-1.4361310034037233E-2</v>
      </c>
      <c r="I27" s="47">
        <f>SUM(I17:I26)</f>
        <v>-14361.310034037233</v>
      </c>
      <c r="J27" s="57" t="s">
        <v>82</v>
      </c>
      <c r="K27" s="46">
        <f>IF(COUNT(K17:K26), SUM(K17:K26) / COUNT(K17:K26), 0)</f>
        <v>-1.4937472401795679E-2</v>
      </c>
      <c r="L27" s="47">
        <f>SUM(L17:L26)</f>
        <v>-14937.47240179568</v>
      </c>
      <c r="M27" s="57" t="s">
        <v>82</v>
      </c>
      <c r="N27" s="46">
        <f>IF(COUNT(N17:N26), SUM(N17:N26) / COUNT(N17:N26), 0)</f>
        <v>-1.0545372160633171E-2</v>
      </c>
      <c r="O27" s="47">
        <f>SUM(O17:O26)</f>
        <v>-10545.372160633171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23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27" t="s">
        <v>70</v>
      </c>
      <c r="M33" s="18" t="s">
        <v>67</v>
      </c>
      <c r="N33" s="4" t="s">
        <v>68</v>
      </c>
      <c r="O33" s="129" t="s">
        <v>70</v>
      </c>
      <c r="Q33" s="231"/>
      <c r="R33" s="232"/>
    </row>
    <row r="34" spans="1:18" ht="17.25" customHeight="1">
      <c r="A34" s="9" t="s">
        <v>94</v>
      </c>
      <c r="B34" s="31">
        <v>94.4</v>
      </c>
      <c r="C34" s="22">
        <v>0.1238095238</v>
      </c>
      <c r="D34" s="89">
        <v>94.1</v>
      </c>
      <c r="E34" s="22">
        <f>IF(ISNUMBER(D34), (D34 - $B34) / $B34, "")</f>
        <v>-3.1779661016950356E-3</v>
      </c>
      <c r="F34" s="43">
        <f>IF(ISNUMBER(D34), $B44 * E34, "")</f>
        <v>-317.79661016950354</v>
      </c>
      <c r="G34" s="89">
        <v>92.6</v>
      </c>
      <c r="H34" s="22">
        <f>IF(ISNUMBER(G34), (G34 - $B34) / $B34, "")</f>
        <v>-1.9067796610169611E-2</v>
      </c>
      <c r="I34" s="43">
        <f>IF(ISNUMBER(G34), $B44 * H34, "")</f>
        <v>-1906.779661016961</v>
      </c>
      <c r="J34" s="89">
        <v>93.7</v>
      </c>
      <c r="K34" s="22">
        <f>IF(ISNUMBER(J34), (J34 - $B34) / $B34, "")</f>
        <v>-7.4152542372881653E-3</v>
      </c>
      <c r="L34" s="43">
        <f>IF(ISNUMBER(J34), $B44 * K34, "")</f>
        <v>-741.52542372881658</v>
      </c>
      <c r="M34" s="89">
        <v>91.7</v>
      </c>
      <c r="N34" s="22">
        <f>IF(ISNUMBER(M34), (M34 - $B34) / $B34, "")</f>
        <v>-2.8601694915254265E-2</v>
      </c>
      <c r="O34" s="43">
        <f>IF(ISNUMBER(M34), $B44 * N34, "")</f>
        <v>-2860.1694915254266</v>
      </c>
      <c r="Q34" s="229"/>
      <c r="R34" s="230"/>
    </row>
    <row r="35" spans="1:18" ht="17.25" customHeight="1">
      <c r="A35" s="11" t="s">
        <v>148</v>
      </c>
      <c r="B35" s="32">
        <v>72.099999999999994</v>
      </c>
      <c r="C35" s="5">
        <v>4.19075145E-2</v>
      </c>
      <c r="D35" s="36">
        <v>72.099999999999994</v>
      </c>
      <c r="E35" s="5">
        <f t="shared" ref="E35:E43" si="14">IF(ISNUMBER(D35), (D35 - $B35) / $B35, "")</f>
        <v>0</v>
      </c>
      <c r="F35" s="44">
        <f>IF(ISNUMBER(D35), $B44 * E35, "")</f>
        <v>0</v>
      </c>
      <c r="G35" s="36">
        <v>73.599999999999994</v>
      </c>
      <c r="H35" s="5">
        <f t="shared" ref="H35:H43" si="15">IF(ISNUMBER(G35), (G35 - $B35) / $B35, "")</f>
        <v>2.0804438280166437E-2</v>
      </c>
      <c r="I35" s="44">
        <f>IF(ISNUMBER(G35), $B44 * H35, "")</f>
        <v>2080.4438280166437</v>
      </c>
      <c r="J35" s="36">
        <v>72.8</v>
      </c>
      <c r="K35" s="5">
        <f t="shared" ref="K35:K43" si="16">IF(ISNUMBER(J35), (J35 - $B35) / $B35, "")</f>
        <v>9.7087378640777107E-3</v>
      </c>
      <c r="L35" s="44">
        <f>IF(ISNUMBER(J35), $B44 * K35, "")</f>
        <v>970.87378640777104</v>
      </c>
      <c r="M35" s="36">
        <v>76</v>
      </c>
      <c r="N35" s="5">
        <f t="shared" ref="N35:N43" si="17">IF(ISNUMBER(M35), (M35 - $B35) / $B35, "")</f>
        <v>5.4091539528432812E-2</v>
      </c>
      <c r="O35" s="44">
        <f>IF(ISNUMBER(M35), $B44 * N35, "")</f>
        <v>5409.1539528432813</v>
      </c>
      <c r="Q35" s="229"/>
      <c r="R35" s="230"/>
    </row>
    <row r="36" spans="1:18" ht="17.25" customHeight="1">
      <c r="A36" s="11" t="s">
        <v>145</v>
      </c>
      <c r="B36" s="32">
        <v>53.6</v>
      </c>
      <c r="C36" s="5">
        <v>2.2900763399999999E-2</v>
      </c>
      <c r="D36" s="36">
        <v>52.1</v>
      </c>
      <c r="E36" s="5">
        <f t="shared" si="14"/>
        <v>-2.7985074626865673E-2</v>
      </c>
      <c r="F36" s="44">
        <f>IF(ISNUMBER(D36), $B44 * E36, "")</f>
        <v>-2798.5074626865671</v>
      </c>
      <c r="G36" s="36">
        <v>52.5</v>
      </c>
      <c r="H36" s="5">
        <f t="shared" si="15"/>
        <v>-2.0522388059701517E-2</v>
      </c>
      <c r="I36" s="44">
        <f>IF(ISNUMBER(G36), $B44 * H36, "")</f>
        <v>-2052.2388059701516</v>
      </c>
      <c r="J36" s="36">
        <v>52.6</v>
      </c>
      <c r="K36" s="5">
        <f t="shared" si="16"/>
        <v>-1.8656716417910446E-2</v>
      </c>
      <c r="L36" s="44">
        <f>IF(ISNUMBER(J36), $B44 * K36, "")</f>
        <v>-1865.6716417910445</v>
      </c>
      <c r="M36" s="36">
        <v>53</v>
      </c>
      <c r="N36" s="5">
        <f t="shared" si="17"/>
        <v>-1.1194029850746294E-2</v>
      </c>
      <c r="O36" s="44">
        <f>IF(ISNUMBER(M36), $B44 * N36, "")</f>
        <v>-1119.4029850746294</v>
      </c>
      <c r="Q36" s="229"/>
      <c r="R36" s="230"/>
    </row>
    <row r="37" spans="1:18" ht="17.25" customHeight="1">
      <c r="A37" s="11" t="s">
        <v>143</v>
      </c>
      <c r="B37" s="32">
        <v>11.1</v>
      </c>
      <c r="C37" s="5">
        <v>-8.9285713999999999E-3</v>
      </c>
      <c r="D37" s="36">
        <v>10.9</v>
      </c>
      <c r="E37" s="5">
        <f t="shared" si="14"/>
        <v>-1.8018018018017955E-2</v>
      </c>
      <c r="F37" s="44">
        <f>IF(ISNUMBER(D37), $B44 * E37, "")</f>
        <v>-1801.8018018017956</v>
      </c>
      <c r="G37" s="36">
        <v>10.8</v>
      </c>
      <c r="H37" s="5">
        <f t="shared" si="15"/>
        <v>-2.7027027027026931E-2</v>
      </c>
      <c r="I37" s="44">
        <f>IF(ISNUMBER(G37), $B44 * H37, "")</f>
        <v>-2702.7027027026929</v>
      </c>
      <c r="J37" s="36">
        <v>10.8</v>
      </c>
      <c r="K37" s="5">
        <f t="shared" si="16"/>
        <v>-2.7027027027026931E-2</v>
      </c>
      <c r="L37" s="44">
        <f>IF(ISNUMBER(J37), $B44 * K37, "")</f>
        <v>-2702.7027027026929</v>
      </c>
      <c r="M37" s="36">
        <v>10.7</v>
      </c>
      <c r="N37" s="5">
        <f t="shared" si="17"/>
        <v>-3.603603603603607E-2</v>
      </c>
      <c r="O37" s="44">
        <f>IF(ISNUMBER(M37), $B44 * N37, "")</f>
        <v>-3603.6036036036071</v>
      </c>
      <c r="Q37" s="229"/>
      <c r="R37" s="230"/>
    </row>
    <row r="38" spans="1:18" ht="17.25" customHeight="1">
      <c r="A38" s="8" t="s">
        <v>123</v>
      </c>
      <c r="B38" s="33">
        <v>91.1</v>
      </c>
      <c r="C38" s="24">
        <v>-2.4625267700000002E-2</v>
      </c>
      <c r="D38" s="37">
        <v>89</v>
      </c>
      <c r="E38" s="24">
        <f t="shared" si="14"/>
        <v>-2.305159165751915E-2</v>
      </c>
      <c r="F38" s="44">
        <f>IF(ISNUMBER(D38), $B44 * E38, "")</f>
        <v>-2305.1591657519152</v>
      </c>
      <c r="G38" s="37">
        <v>89.1</v>
      </c>
      <c r="H38" s="24">
        <f t="shared" si="15"/>
        <v>-2.1953896816684963E-2</v>
      </c>
      <c r="I38" s="44">
        <f>IF(ISNUMBER(G38), $B44 * H38, "")</f>
        <v>-2195.3896816684965</v>
      </c>
      <c r="J38" s="37">
        <v>88.9</v>
      </c>
      <c r="K38" s="24">
        <f t="shared" si="16"/>
        <v>-2.4149286498353333E-2</v>
      </c>
      <c r="L38" s="44">
        <f>IF(ISNUMBER(J38), $B44 * K38, "")</f>
        <v>-2414.9286498353335</v>
      </c>
      <c r="M38" s="37">
        <v>88.8</v>
      </c>
      <c r="N38" s="24">
        <f t="shared" si="17"/>
        <v>-2.5246981339187676E-2</v>
      </c>
      <c r="O38" s="44">
        <f>IF(ISNUMBER(M38), $B44 * N38, "")</f>
        <v>-2524.6981339187678</v>
      </c>
      <c r="Q38" s="229"/>
      <c r="R38" s="230"/>
    </row>
    <row r="39" spans="1:18" ht="17.25" customHeight="1">
      <c r="A39" s="11" t="s">
        <v>163</v>
      </c>
      <c r="B39" s="32">
        <v>35.6</v>
      </c>
      <c r="C39" s="5">
        <v>-3.7837837800000003E-2</v>
      </c>
      <c r="D39" s="36">
        <v>35.5</v>
      </c>
      <c r="E39" s="5">
        <f t="shared" si="14"/>
        <v>-2.8089887640449836E-3</v>
      </c>
      <c r="F39" s="48">
        <f>IF(ISNUMBER(D39), $B44 * E39, "")</f>
        <v>-280.89887640449837</v>
      </c>
      <c r="G39" s="36">
        <v>34.700000000000003</v>
      </c>
      <c r="H39" s="5">
        <f t="shared" si="15"/>
        <v>-2.5280898876404452E-2</v>
      </c>
      <c r="I39" s="48">
        <f>IF(ISNUMBER(G39), $B44 * H39, "")</f>
        <v>-2528.0898876404453</v>
      </c>
      <c r="J39" s="36">
        <v>34.700000000000003</v>
      </c>
      <c r="K39" s="5">
        <f t="shared" si="16"/>
        <v>-2.5280898876404452E-2</v>
      </c>
      <c r="L39" s="48">
        <f>IF(ISNUMBER(J39), $B44 * K39, "")</f>
        <v>-2528.0898876404453</v>
      </c>
      <c r="M39" s="36">
        <v>34.6</v>
      </c>
      <c r="N39" s="5">
        <f t="shared" si="17"/>
        <v>-2.8089887640449437E-2</v>
      </c>
      <c r="O39" s="48">
        <f>IF(ISNUMBER(M39), $B44 * N39, "")</f>
        <v>-2808.9887640449438</v>
      </c>
      <c r="Q39" s="229"/>
      <c r="R39" s="230"/>
    </row>
    <row r="40" spans="1:18" ht="17.25" customHeight="1">
      <c r="A40" s="11" t="s">
        <v>135</v>
      </c>
      <c r="B40" s="32">
        <v>32.799999999999997</v>
      </c>
      <c r="C40" s="5">
        <v>-4.0935672499999999E-2</v>
      </c>
      <c r="D40" s="36">
        <v>33.5</v>
      </c>
      <c r="E40" s="5">
        <f t="shared" si="14"/>
        <v>2.1341463414634235E-2</v>
      </c>
      <c r="F40" s="44">
        <f>IF(ISNUMBER(D40), $B44 * E40, "")</f>
        <v>2134.1463414634236</v>
      </c>
      <c r="G40" s="36">
        <v>34.200000000000003</v>
      </c>
      <c r="H40" s="5">
        <f t="shared" si="15"/>
        <v>4.2682926829268469E-2</v>
      </c>
      <c r="I40" s="44">
        <f>IF(ISNUMBER(G40), $B44 * H40, "")</f>
        <v>4268.2926829268472</v>
      </c>
      <c r="J40" s="36">
        <v>34</v>
      </c>
      <c r="K40" s="5">
        <f t="shared" si="16"/>
        <v>3.6585365853658625E-2</v>
      </c>
      <c r="L40" s="44">
        <f>IF(ISNUMBER(J40), $B44 * K40, "")</f>
        <v>3658.5365853658623</v>
      </c>
      <c r="M40" s="36">
        <v>33.9</v>
      </c>
      <c r="N40" s="5">
        <f t="shared" si="17"/>
        <v>3.3536585365853702E-2</v>
      </c>
      <c r="O40" s="44">
        <f>IF(ISNUMBER(M40), $B44 * N40, "")</f>
        <v>3353.6585365853703</v>
      </c>
      <c r="Q40" s="229"/>
      <c r="R40" s="230"/>
    </row>
    <row r="41" spans="1:18" ht="17.25" customHeight="1">
      <c r="A41" s="11" t="s">
        <v>132</v>
      </c>
      <c r="B41" s="32">
        <v>38.700000000000003</v>
      </c>
      <c r="C41" s="5">
        <v>-5.14705882E-2</v>
      </c>
      <c r="D41" s="36">
        <v>38.1</v>
      </c>
      <c r="E41" s="5">
        <f t="shared" si="14"/>
        <v>-1.5503875968992284E-2</v>
      </c>
      <c r="F41" s="44">
        <f>IF(ISNUMBER(D41), $B44 * E41, "")</f>
        <v>-1550.3875968992284</v>
      </c>
      <c r="G41" s="36">
        <v>38.6</v>
      </c>
      <c r="H41" s="5">
        <f t="shared" si="15"/>
        <v>-2.5839793281654112E-3</v>
      </c>
      <c r="I41" s="44">
        <f>IF(ISNUMBER(G41), $B44 * H41, "")</f>
        <v>-258.39793281654113</v>
      </c>
      <c r="J41" s="36">
        <v>38.9</v>
      </c>
      <c r="K41" s="5">
        <f t="shared" si="16"/>
        <v>5.1679586563306385E-3</v>
      </c>
      <c r="L41" s="44">
        <f>IF(ISNUMBER(J41), $B44 * K41, "")</f>
        <v>516.79586563306384</v>
      </c>
      <c r="M41" s="36">
        <v>38.700000000000003</v>
      </c>
      <c r="N41" s="5">
        <f t="shared" si="17"/>
        <v>0</v>
      </c>
      <c r="O41" s="44">
        <f>IF(ISNUMBER(M41), $B44 * N41, "")</f>
        <v>0</v>
      </c>
      <c r="Q41" s="229"/>
      <c r="R41" s="230"/>
    </row>
    <row r="42" spans="1:18" ht="17.25" customHeight="1">
      <c r="A42" s="11" t="s">
        <v>95</v>
      </c>
      <c r="B42" s="32">
        <v>32.1</v>
      </c>
      <c r="C42" s="5">
        <v>-5.5882352900000001E-2</v>
      </c>
      <c r="D42" s="36">
        <v>31.2</v>
      </c>
      <c r="E42" s="5">
        <f t="shared" si="14"/>
        <v>-2.8037383177570159E-2</v>
      </c>
      <c r="F42" s="44">
        <f>IF(ISNUMBER(D42), $B44 * E42, "")</f>
        <v>-2803.7383177570159</v>
      </c>
      <c r="G42" s="36">
        <v>31.3</v>
      </c>
      <c r="H42" s="5">
        <f t="shared" si="15"/>
        <v>-2.4922118380062325E-2</v>
      </c>
      <c r="I42" s="44">
        <f>IF(ISNUMBER(G42), $B44 * H42, "")</f>
        <v>-2492.2118380062325</v>
      </c>
      <c r="J42" s="36">
        <v>31.5</v>
      </c>
      <c r="K42" s="5">
        <f t="shared" si="16"/>
        <v>-1.8691588785046773E-2</v>
      </c>
      <c r="L42" s="44">
        <f>IF(ISNUMBER(J42), $B44 * K42, "")</f>
        <v>-1869.1588785046772</v>
      </c>
      <c r="M42" s="36">
        <v>31.5</v>
      </c>
      <c r="N42" s="5">
        <f t="shared" si="17"/>
        <v>-1.8691588785046773E-2</v>
      </c>
      <c r="O42" s="44">
        <f>IF(ISNUMBER(M42), $B44 * N42, "")</f>
        <v>-1869.1588785046772</v>
      </c>
      <c r="P42" s="17"/>
      <c r="Q42" s="231"/>
      <c r="R42" s="232"/>
    </row>
    <row r="43" spans="1:18" ht="17.25" customHeight="1" thickBot="1">
      <c r="A43" s="13" t="s">
        <v>136</v>
      </c>
      <c r="B43" s="34">
        <v>29.6</v>
      </c>
      <c r="C43" s="16">
        <v>-6.3291139199999999E-2</v>
      </c>
      <c r="D43" s="38">
        <v>29.1</v>
      </c>
      <c r="E43" s="16">
        <f t="shared" si="14"/>
        <v>-1.6891891891891889E-2</v>
      </c>
      <c r="F43" s="45">
        <f>IF(ISNUMBER(D43), $B44 * E43, "")</f>
        <v>-1689.1891891891889</v>
      </c>
      <c r="G43" s="38">
        <v>29.2</v>
      </c>
      <c r="H43" s="16">
        <f t="shared" si="15"/>
        <v>-1.3513513513513585E-2</v>
      </c>
      <c r="I43" s="45">
        <f>IF(ISNUMBER(G43), $B44 * H43, "")</f>
        <v>-1351.3513513513585</v>
      </c>
      <c r="J43" s="38">
        <v>29.3</v>
      </c>
      <c r="K43" s="16">
        <f t="shared" si="16"/>
        <v>-1.0135135135135158E-2</v>
      </c>
      <c r="L43" s="45">
        <f>IF(ISNUMBER(J43), $B44 * K43, "")</f>
        <v>-1013.5135135135158</v>
      </c>
      <c r="M43" s="38">
        <v>29.1</v>
      </c>
      <c r="N43" s="16">
        <f t="shared" si="17"/>
        <v>-1.6891891891891889E-2</v>
      </c>
      <c r="O43" s="45">
        <f>IF(ISNUMBER(M43), $B44 * N43, "")</f>
        <v>-1689.1891891891889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-1.1413332679196289E-2</v>
      </c>
      <c r="F44" s="47">
        <f>SUM(F34:F43)</f>
        <v>-11413.332679196288</v>
      </c>
      <c r="G44" s="57" t="s">
        <v>82</v>
      </c>
      <c r="H44" s="46">
        <f>IF(COUNT(H34:H43), SUM(H34:H43) / COUNT(H34:H43), 0)</f>
        <v>-9.1384253502293893E-3</v>
      </c>
      <c r="I44" s="47">
        <f>SUM(I34:I43)</f>
        <v>-9138.4253502293886</v>
      </c>
      <c r="J44" s="57" t="s">
        <v>82</v>
      </c>
      <c r="K44" s="46">
        <f>IF(COUNT(K34:K43), SUM(K34:K43) / COUNT(K34:K43), 0)</f>
        <v>-7.9893844603098271E-3</v>
      </c>
      <c r="L44" s="47">
        <f>SUM(L34:L43)</f>
        <v>-7989.3844603098278</v>
      </c>
      <c r="M44" s="57" t="s">
        <v>82</v>
      </c>
      <c r="N44" s="46">
        <f>IF(COUNT(N34:N43), SUM(N34:N43) / COUNT(N34:N43), 0)</f>
        <v>-7.712398556432588E-3</v>
      </c>
      <c r="O44" s="47">
        <f>SUM(O34:O43)</f>
        <v>-7712.3985564325894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23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27" t="s">
        <v>70</v>
      </c>
      <c r="M50" s="18" t="s">
        <v>67</v>
      </c>
      <c r="N50" s="4" t="s">
        <v>68</v>
      </c>
      <c r="O50" s="129" t="s">
        <v>70</v>
      </c>
      <c r="Q50" s="231"/>
      <c r="R50" s="232"/>
    </row>
    <row r="51" spans="1:18" ht="17.25" customHeight="1">
      <c r="A51" s="9" t="s">
        <v>107</v>
      </c>
      <c r="B51" s="31">
        <v>46.7</v>
      </c>
      <c r="C51" s="22">
        <v>-6.4128256499999994E-2</v>
      </c>
      <c r="D51" s="89">
        <v>45.3</v>
      </c>
      <c r="E51" s="22">
        <f>IF(ISNUMBER(D51), (D51 - $B51) / $B51, "")</f>
        <v>-2.9978586723768855E-2</v>
      </c>
      <c r="F51" s="43">
        <f>IF(ISNUMBER(D51), $B61 * E51, "")</f>
        <v>-2997.8586723768854</v>
      </c>
      <c r="G51" s="89">
        <v>46.1</v>
      </c>
      <c r="H51" s="22">
        <f>IF(ISNUMBER(G51), (G51 - $B51) / $B51, "")</f>
        <v>-1.2847965738758059E-2</v>
      </c>
      <c r="I51" s="43">
        <f>IF(ISNUMBER(G51), $B61 * H51, "")</f>
        <v>-1284.796573875806</v>
      </c>
      <c r="J51" s="89">
        <v>46.1</v>
      </c>
      <c r="K51" s="22">
        <f>IF(ISNUMBER(J51), (J51 - $B51) / $B51, "")</f>
        <v>-1.2847965738758059E-2</v>
      </c>
      <c r="L51" s="43">
        <f>IF(ISNUMBER(J51), $B61 * K51, "")</f>
        <v>-1284.796573875806</v>
      </c>
      <c r="M51" s="89">
        <v>45.8</v>
      </c>
      <c r="N51" s="22">
        <f>IF(ISNUMBER(M51), (M51 - $B51) / $B51, "")</f>
        <v>-1.9271948608137166E-2</v>
      </c>
      <c r="O51" s="43">
        <f>IF(ISNUMBER(M51), $B61 * N51, "")</f>
        <v>-1927.1948608137166</v>
      </c>
      <c r="Q51" s="229"/>
      <c r="R51" s="230"/>
    </row>
    <row r="52" spans="1:18" ht="17.25" customHeight="1">
      <c r="A52" s="11" t="s">
        <v>158</v>
      </c>
      <c r="B52" s="32">
        <v>33.4</v>
      </c>
      <c r="C52" s="5">
        <v>-6.9637882999999998E-2</v>
      </c>
      <c r="D52" s="36">
        <v>33.6</v>
      </c>
      <c r="E52" s="5">
        <f t="shared" ref="E52:E60" si="18">IF(ISNUMBER(D52), (D52 - $B52) / $B52, "")</f>
        <v>5.9880239520958937E-3</v>
      </c>
      <c r="F52" s="44">
        <f>IF(ISNUMBER(D52), $B61 * E52, "")</f>
        <v>598.80239520958935</v>
      </c>
      <c r="G52" s="36">
        <v>33.9</v>
      </c>
      <c r="H52" s="5">
        <f t="shared" ref="H52:H60" si="19">IF(ISNUMBER(G52), (G52 - $B52) / $B52, "")</f>
        <v>1.4970059880239521E-2</v>
      </c>
      <c r="I52" s="44">
        <f>IF(ISNUMBER(G52), $B61 * H52, "")</f>
        <v>1497.0059880239521</v>
      </c>
      <c r="J52" s="36">
        <v>33.700000000000003</v>
      </c>
      <c r="K52" s="5">
        <f t="shared" ref="K52:K60" si="20">IF(ISNUMBER(J52), (J52 - $B52) / $B52, "")</f>
        <v>8.9820359281438406E-3</v>
      </c>
      <c r="L52" s="44">
        <f>IF(ISNUMBER(J52), $B61 * K52, "")</f>
        <v>898.20359281438402</v>
      </c>
      <c r="M52" s="36">
        <v>33.9</v>
      </c>
      <c r="N52" s="5">
        <f t="shared" ref="N52:N60" si="21">IF(ISNUMBER(M52), (M52 - $B52) / $B52, "")</f>
        <v>1.4970059880239521E-2</v>
      </c>
      <c r="O52" s="44">
        <f>IF(ISNUMBER(M52), $B61 * N52, "")</f>
        <v>1497.0059880239521</v>
      </c>
      <c r="Q52" s="229"/>
      <c r="R52" s="230"/>
    </row>
    <row r="53" spans="1:18" ht="17.25" customHeight="1">
      <c r="A53" s="11" t="s">
        <v>100</v>
      </c>
      <c r="B53" s="32">
        <v>41</v>
      </c>
      <c r="C53" s="5">
        <v>-7.2398190000000001E-2</v>
      </c>
      <c r="D53" s="36">
        <v>39.799999999999997</v>
      </c>
      <c r="E53" s="5">
        <f t="shared" si="18"/>
        <v>-2.9268292682926897E-2</v>
      </c>
      <c r="F53" s="44">
        <f>IF(ISNUMBER(D53), $B61 * E53, "")</f>
        <v>-2926.8292682926899</v>
      </c>
      <c r="G53" s="36">
        <v>39.9</v>
      </c>
      <c r="H53" s="5">
        <f t="shared" si="19"/>
        <v>-2.6829268292682961E-2</v>
      </c>
      <c r="I53" s="44">
        <f>IF(ISNUMBER(G53), $B61 * H53, "")</f>
        <v>-2682.9268292682959</v>
      </c>
      <c r="J53" s="36">
        <v>40.200000000000003</v>
      </c>
      <c r="K53" s="5">
        <f t="shared" si="20"/>
        <v>-1.951219512195115E-2</v>
      </c>
      <c r="L53" s="44">
        <f>IF(ISNUMBER(J53), $B61 * K53, "")</f>
        <v>-1951.2195121951149</v>
      </c>
      <c r="M53" s="36">
        <v>40.200000000000003</v>
      </c>
      <c r="N53" s="5">
        <f t="shared" si="21"/>
        <v>-1.951219512195115E-2</v>
      </c>
      <c r="O53" s="44">
        <f>IF(ISNUMBER(M53), $B61 * N53, "")</f>
        <v>-1951.2195121951149</v>
      </c>
      <c r="Q53" s="229"/>
      <c r="R53" s="230"/>
    </row>
    <row r="54" spans="1:18" ht="17.25" customHeight="1">
      <c r="A54" s="11" t="s">
        <v>155</v>
      </c>
      <c r="B54" s="32">
        <v>28.8</v>
      </c>
      <c r="C54" s="5">
        <v>-7.3954983899999993E-2</v>
      </c>
      <c r="D54" s="36">
        <v>27.9</v>
      </c>
      <c r="E54" s="5">
        <f t="shared" si="18"/>
        <v>-3.1250000000000076E-2</v>
      </c>
      <c r="F54" s="44">
        <f>IF(ISNUMBER(D54), $B61 * E54, "")</f>
        <v>-3125.0000000000077</v>
      </c>
      <c r="G54" s="36">
        <v>27.9</v>
      </c>
      <c r="H54" s="5">
        <f t="shared" si="19"/>
        <v>-3.1250000000000076E-2</v>
      </c>
      <c r="I54" s="44">
        <f>IF(ISNUMBER(G54), $B61 * H54, "")</f>
        <v>-3125.0000000000077</v>
      </c>
      <c r="J54" s="36">
        <v>28.2</v>
      </c>
      <c r="K54" s="5">
        <f t="shared" si="20"/>
        <v>-2.0833333333333381E-2</v>
      </c>
      <c r="L54" s="44">
        <f>IF(ISNUMBER(J54), $B61 * K54, "")</f>
        <v>-2083.333333333338</v>
      </c>
      <c r="M54" s="36">
        <v>28.1</v>
      </c>
      <c r="N54" s="5">
        <f t="shared" si="21"/>
        <v>-2.4305555555555532E-2</v>
      </c>
      <c r="O54" s="44">
        <f>IF(ISNUMBER(M54), $B61 * N54, "")</f>
        <v>-2430.5555555555534</v>
      </c>
      <c r="Q54" s="229"/>
      <c r="R54" s="230"/>
    </row>
    <row r="55" spans="1:18" ht="17.25" customHeight="1">
      <c r="A55" s="8" t="s">
        <v>119</v>
      </c>
      <c r="B55" s="33">
        <v>27.3</v>
      </c>
      <c r="C55" s="24">
        <v>-7.4576271200000002E-2</v>
      </c>
      <c r="D55" s="37">
        <v>26.6</v>
      </c>
      <c r="E55" s="24">
        <f t="shared" si="18"/>
        <v>-2.5641025641025616E-2</v>
      </c>
      <c r="F55" s="44">
        <f>IF(ISNUMBER(D55), $B61 * E55, "")</f>
        <v>-2564.1025641025617</v>
      </c>
      <c r="G55" s="37">
        <v>26.6</v>
      </c>
      <c r="H55" s="24">
        <f t="shared" si="19"/>
        <v>-2.5641025641025616E-2</v>
      </c>
      <c r="I55" s="44">
        <f>IF(ISNUMBER(G55), $B61 * H55, "")</f>
        <v>-2564.1025641025617</v>
      </c>
      <c r="J55" s="37">
        <v>26.7</v>
      </c>
      <c r="K55" s="24">
        <f t="shared" si="20"/>
        <v>-2.1978021978022028E-2</v>
      </c>
      <c r="L55" s="44">
        <f>IF(ISNUMBER(J55), $B61 * K55, "")</f>
        <v>-2197.802197802203</v>
      </c>
      <c r="M55" s="37">
        <v>26.7</v>
      </c>
      <c r="N55" s="24">
        <f t="shared" si="21"/>
        <v>-2.1978021978022028E-2</v>
      </c>
      <c r="O55" s="44">
        <f>IF(ISNUMBER(M55), $B61 * N55, "")</f>
        <v>-2197.802197802203</v>
      </c>
      <c r="Q55" s="229"/>
      <c r="R55" s="230"/>
    </row>
    <row r="56" spans="1:18" ht="17.25" customHeight="1">
      <c r="A56" s="11" t="s">
        <v>133</v>
      </c>
      <c r="B56" s="32">
        <v>29.1</v>
      </c>
      <c r="C56" s="5">
        <v>-7.6190476199999996E-2</v>
      </c>
      <c r="D56" s="36">
        <v>28.2</v>
      </c>
      <c r="E56" s="5">
        <f t="shared" si="18"/>
        <v>-3.0927835051546462E-2</v>
      </c>
      <c r="F56" s="48">
        <f>IF(ISNUMBER(D56), $B61 * E56, "")</f>
        <v>-3092.7835051546463</v>
      </c>
      <c r="G56" s="36">
        <v>28.2</v>
      </c>
      <c r="H56" s="5">
        <f t="shared" si="19"/>
        <v>-3.0927835051546462E-2</v>
      </c>
      <c r="I56" s="48">
        <f>IF(ISNUMBER(G56), $B61 * H56, "")</f>
        <v>-3092.7835051546463</v>
      </c>
      <c r="J56" s="36">
        <v>28.5</v>
      </c>
      <c r="K56" s="5">
        <f t="shared" si="20"/>
        <v>-2.0618556701030976E-2</v>
      </c>
      <c r="L56" s="48">
        <f>IF(ISNUMBER(J56), $B61 * K56, "")</f>
        <v>-2061.8556701030975</v>
      </c>
      <c r="M56" s="36">
        <v>28.4</v>
      </c>
      <c r="N56" s="5">
        <f t="shared" si="21"/>
        <v>-2.4054982817869511E-2</v>
      </c>
      <c r="O56" s="48">
        <f>IF(ISNUMBER(M56), $B61 * N56, "")</f>
        <v>-2405.4982817869509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-2.3512952691195337E-2</v>
      </c>
      <c r="F61" s="47">
        <f>SUM(F51:F60)</f>
        <v>-14107.7716147172</v>
      </c>
      <c r="G61" s="57" t="s">
        <v>82</v>
      </c>
      <c r="H61" s="46">
        <f>IF(COUNT(H51:H60), SUM(H51:H60) / COUNT(H51:H60), 0)</f>
        <v>-1.8754339140628944E-2</v>
      </c>
      <c r="I61" s="47">
        <f>SUM(I51:I60)</f>
        <v>-11252.603484377367</v>
      </c>
      <c r="J61" s="57" t="s">
        <v>82</v>
      </c>
      <c r="K61" s="46">
        <f>IF(COUNT(K51:K60), SUM(K51:K60) / COUNT(K51:K60), 0)</f>
        <v>-1.4468006157491961E-2</v>
      </c>
      <c r="L61" s="47">
        <f>SUM(L51:L60)</f>
        <v>-8680.8036944951746</v>
      </c>
      <c r="M61" s="57" t="s">
        <v>82</v>
      </c>
      <c r="N61" s="46">
        <f>IF(COUNT(N51:N60), SUM(N51:N60) / COUNT(N51:N60), 0)</f>
        <v>-1.5692107366882643E-2</v>
      </c>
      <c r="O61" s="47">
        <f>SUM(O51:O60)</f>
        <v>-9415.2644201295861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23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27" t="s">
        <v>70</v>
      </c>
      <c r="M67" s="18" t="s">
        <v>67</v>
      </c>
      <c r="N67" s="4" t="s">
        <v>68</v>
      </c>
      <c r="O67" s="129" t="s">
        <v>70</v>
      </c>
      <c r="Q67" s="231"/>
      <c r="R67" s="232"/>
    </row>
    <row r="68" spans="1:18" ht="17.25" customHeight="1">
      <c r="A68" s="9" t="s">
        <v>172</v>
      </c>
      <c r="B68" s="31">
        <v>798</v>
      </c>
      <c r="C68" s="22">
        <v>8.1300813E-2</v>
      </c>
      <c r="D68" s="89">
        <v>758</v>
      </c>
      <c r="E68" s="22">
        <f>IF(ISNUMBER(D68), (D68 - $B68) / $B68, "")</f>
        <v>-5.0125313283208017E-2</v>
      </c>
      <c r="F68" s="43">
        <f>IF(ISNUMBER(D68), $B78 * E68, "")</f>
        <v>-5012.5313283208015</v>
      </c>
      <c r="G68" s="89">
        <v>762</v>
      </c>
      <c r="H68" s="22">
        <f>IF(ISNUMBER(G68), (G68 - $B68) / $B68, "")</f>
        <v>-4.5112781954887216E-2</v>
      </c>
      <c r="I68" s="43">
        <f>IF(ISNUMBER(G68), $B78 * H68, "")</f>
        <v>-4511.2781954887214</v>
      </c>
      <c r="J68" s="89">
        <v>773</v>
      </c>
      <c r="K68" s="22">
        <f>IF(ISNUMBER(J68), (J68 - $B68) / $B68, "")</f>
        <v>-3.1328320802005011E-2</v>
      </c>
      <c r="L68" s="43">
        <f>IF(ISNUMBER(J68), $B78 * K68, "")</f>
        <v>-3132.832080200501</v>
      </c>
      <c r="M68" s="89">
        <v>752</v>
      </c>
      <c r="N68" s="22">
        <f>IF(ISNUMBER(M68), (M68 - $B68) / $B68, "")</f>
        <v>-5.764411027568922E-2</v>
      </c>
      <c r="O68" s="43">
        <f>IF(ISNUMBER(M68), $B78 * N68, "")</f>
        <v>-5764.4110275689218</v>
      </c>
      <c r="Q68" s="229"/>
      <c r="R68" s="230"/>
    </row>
    <row r="69" spans="1:18" ht="17.25" customHeight="1">
      <c r="A69" s="11" t="s">
        <v>130</v>
      </c>
      <c r="B69" s="32">
        <v>468</v>
      </c>
      <c r="C69" s="5">
        <v>8.0831408800000004E-2</v>
      </c>
      <c r="D69" s="36">
        <v>441</v>
      </c>
      <c r="E69" s="5">
        <f t="shared" ref="E69:E77" si="22">IF(ISNUMBER(D69), (D69 - $B69) / $B69, "")</f>
        <v>-5.7692307692307696E-2</v>
      </c>
      <c r="F69" s="44">
        <f>IF(ISNUMBER(D69), $B78 * E69, "")</f>
        <v>-5769.2307692307695</v>
      </c>
      <c r="G69" s="36">
        <v>437</v>
      </c>
      <c r="H69" s="5">
        <f t="shared" ref="H69:H77" si="23">IF(ISNUMBER(G69), (G69 - $B69) / $B69, "")</f>
        <v>-6.623931623931624E-2</v>
      </c>
      <c r="I69" s="44">
        <f>IF(ISNUMBER(G69), $B78 * H69, "")</f>
        <v>-6623.931623931624</v>
      </c>
      <c r="J69" s="36">
        <v>444</v>
      </c>
      <c r="K69" s="5">
        <f t="shared" ref="K69:K77" si="24">IF(ISNUMBER(J69), (J69 - $B69) / $B69, "")</f>
        <v>-5.128205128205128E-2</v>
      </c>
      <c r="L69" s="44">
        <f>IF(ISNUMBER(J69), $B78 * K69, "")</f>
        <v>-5128.2051282051279</v>
      </c>
      <c r="M69" s="36">
        <v>446</v>
      </c>
      <c r="N69" s="5">
        <f t="shared" ref="N69:N77" si="25">IF(ISNUMBER(M69), (M69 - $B69) / $B69, "")</f>
        <v>-4.7008547008547008E-2</v>
      </c>
      <c r="O69" s="44">
        <f>IF(ISNUMBER(M69), $B78 * N69, "")</f>
        <v>-4700.8547008547012</v>
      </c>
      <c r="Q69" s="229"/>
      <c r="R69" s="230"/>
    </row>
    <row r="70" spans="1:18" ht="17.25" customHeight="1">
      <c r="A70" s="11" t="s">
        <v>175</v>
      </c>
      <c r="B70" s="32">
        <v>580</v>
      </c>
      <c r="C70" s="5">
        <v>6.2271062299999999E-2</v>
      </c>
      <c r="D70" s="36">
        <v>554</v>
      </c>
      <c r="E70" s="5">
        <f t="shared" si="22"/>
        <v>-4.4827586206896551E-2</v>
      </c>
      <c r="F70" s="44">
        <f>IF(ISNUMBER(D70), $B78 * E70, "")</f>
        <v>-4482.7586206896549</v>
      </c>
      <c r="G70" s="36">
        <v>552</v>
      </c>
      <c r="H70" s="5">
        <f t="shared" si="23"/>
        <v>-4.8275862068965517E-2</v>
      </c>
      <c r="I70" s="44">
        <f>IF(ISNUMBER(G70), $B78 * H70, "")</f>
        <v>-4827.5862068965516</v>
      </c>
      <c r="J70" s="36">
        <v>549</v>
      </c>
      <c r="K70" s="5">
        <f t="shared" si="24"/>
        <v>-5.3448275862068968E-2</v>
      </c>
      <c r="L70" s="44">
        <f>IF(ISNUMBER(J70), $B78 * K70, "")</f>
        <v>-5344.8275862068967</v>
      </c>
      <c r="M70" s="36">
        <v>544</v>
      </c>
      <c r="N70" s="5">
        <f t="shared" si="25"/>
        <v>-6.2068965517241378E-2</v>
      </c>
      <c r="O70" s="44">
        <f>IF(ISNUMBER(M70), $B78 * N70, "")</f>
        <v>-6206.8965517241377</v>
      </c>
      <c r="Q70" s="229"/>
      <c r="R70" s="230"/>
    </row>
    <row r="71" spans="1:18" ht="17.25" customHeight="1">
      <c r="A71" s="11" t="s">
        <v>125</v>
      </c>
      <c r="B71" s="32">
        <v>614</v>
      </c>
      <c r="C71" s="5">
        <v>9.8684211000000001E-3</v>
      </c>
      <c r="D71" s="36">
        <v>620</v>
      </c>
      <c r="E71" s="5">
        <f t="shared" si="22"/>
        <v>9.7719869706840382E-3</v>
      </c>
      <c r="F71" s="44">
        <f>IF(ISNUMBER(D71), $B78 * E71, "")</f>
        <v>977.19869706840382</v>
      </c>
      <c r="G71" s="36">
        <v>621</v>
      </c>
      <c r="H71" s="5">
        <f t="shared" si="23"/>
        <v>1.1400651465798045E-2</v>
      </c>
      <c r="I71" s="44">
        <f>IF(ISNUMBER(G71), $B78 * H71, "")</f>
        <v>1140.0651465798046</v>
      </c>
      <c r="J71" s="36">
        <v>622</v>
      </c>
      <c r="K71" s="5">
        <f t="shared" si="24"/>
        <v>1.3029315960912053E-2</v>
      </c>
      <c r="L71" s="44">
        <f>IF(ISNUMBER(J71), $B78 * K71, "")</f>
        <v>1302.9315960912052</v>
      </c>
      <c r="M71" s="36">
        <v>644</v>
      </c>
      <c r="N71" s="5">
        <f t="shared" si="25"/>
        <v>4.8859934853420196E-2</v>
      </c>
      <c r="O71" s="44">
        <f>IF(ISNUMBER(M71), $B78 * N71, "")</f>
        <v>4885.99348534202</v>
      </c>
      <c r="Q71" s="229"/>
      <c r="R71" s="230"/>
    </row>
    <row r="72" spans="1:18" ht="17.25" customHeight="1">
      <c r="A72" s="8" t="s">
        <v>122</v>
      </c>
      <c r="B72" s="33">
        <v>341</v>
      </c>
      <c r="C72" s="24">
        <v>-1.7291066300000001E-2</v>
      </c>
      <c r="D72" s="37">
        <v>339</v>
      </c>
      <c r="E72" s="24">
        <f t="shared" si="22"/>
        <v>-5.8651026392961877E-3</v>
      </c>
      <c r="F72" s="44">
        <f>IF(ISNUMBER(D72), $B78 * E72, "")</f>
        <v>-586.51026392961876</v>
      </c>
      <c r="G72" s="37">
        <v>344</v>
      </c>
      <c r="H72" s="24">
        <f t="shared" si="23"/>
        <v>8.7976539589442824E-3</v>
      </c>
      <c r="I72" s="44">
        <f>IF(ISNUMBER(G72), $B78 * H72, "")</f>
        <v>879.76539589442825</v>
      </c>
      <c r="J72" s="37">
        <v>345</v>
      </c>
      <c r="K72" s="24">
        <f t="shared" si="24"/>
        <v>1.1730205278592375E-2</v>
      </c>
      <c r="L72" s="44">
        <f>IF(ISNUMBER(J72), $B78 * K72, "")</f>
        <v>1173.0205278592375</v>
      </c>
      <c r="M72" s="37">
        <v>346</v>
      </c>
      <c r="N72" s="24">
        <f t="shared" si="25"/>
        <v>1.466275659824047E-2</v>
      </c>
      <c r="O72" s="44">
        <f>IF(ISNUMBER(M72), $B78 * N72, "")</f>
        <v>1466.2756598240469</v>
      </c>
      <c r="Q72" s="229"/>
      <c r="R72" s="230"/>
    </row>
    <row r="73" spans="1:18" ht="17.25" customHeight="1">
      <c r="A73" s="11" t="s">
        <v>96</v>
      </c>
      <c r="B73" s="32">
        <v>858</v>
      </c>
      <c r="C73" s="5">
        <v>-1.9428571400000001E-2</v>
      </c>
      <c r="D73" s="36">
        <v>853</v>
      </c>
      <c r="E73" s="5">
        <f t="shared" si="22"/>
        <v>-5.8275058275058279E-3</v>
      </c>
      <c r="F73" s="48">
        <f>IF(ISNUMBER(D73), $B78 * E73, "")</f>
        <v>-582.75058275058279</v>
      </c>
      <c r="G73" s="36">
        <v>873</v>
      </c>
      <c r="H73" s="5">
        <f t="shared" si="23"/>
        <v>1.7482517482517484E-2</v>
      </c>
      <c r="I73" s="48">
        <f>IF(ISNUMBER(G73), $B78 * H73, "")</f>
        <v>1748.2517482517483</v>
      </c>
      <c r="J73" s="36">
        <v>881</v>
      </c>
      <c r="K73" s="5">
        <f t="shared" si="24"/>
        <v>2.6806526806526808E-2</v>
      </c>
      <c r="L73" s="48">
        <f>IF(ISNUMBER(J73), $B78 * K73, "")</f>
        <v>2680.6526806526808</v>
      </c>
      <c r="M73" s="36">
        <v>873</v>
      </c>
      <c r="N73" s="5">
        <f t="shared" si="25"/>
        <v>1.7482517482517484E-2</v>
      </c>
      <c r="O73" s="48">
        <f>IF(ISNUMBER(M73), $B78 * N73, "")</f>
        <v>1748.2517482517483</v>
      </c>
      <c r="Q73" s="229"/>
      <c r="R73" s="230"/>
    </row>
    <row r="74" spans="1:18" ht="17.25" customHeight="1">
      <c r="A74" s="11" t="s">
        <v>116</v>
      </c>
      <c r="B74" s="32">
        <v>277</v>
      </c>
      <c r="C74" s="5">
        <v>-2.1201413400000001E-2</v>
      </c>
      <c r="D74" s="36">
        <v>274</v>
      </c>
      <c r="E74" s="5">
        <f t="shared" si="22"/>
        <v>-1.0830324909747292E-2</v>
      </c>
      <c r="F74" s="44">
        <f>IF(ISNUMBER(D74), $B78 * E74, "")</f>
        <v>-1083.0324909747292</v>
      </c>
      <c r="G74" s="36">
        <v>270</v>
      </c>
      <c r="H74" s="5">
        <f t="shared" si="23"/>
        <v>-2.5270758122743681E-2</v>
      </c>
      <c r="I74" s="44">
        <f>IF(ISNUMBER(G74), $B78 * H74, "")</f>
        <v>-2527.0758122743682</v>
      </c>
      <c r="J74" s="36">
        <v>268</v>
      </c>
      <c r="K74" s="5">
        <f t="shared" si="24"/>
        <v>-3.2490974729241874E-2</v>
      </c>
      <c r="L74" s="44">
        <f>IF(ISNUMBER(J74), $B78 * K74, "")</f>
        <v>-3249.0974729241875</v>
      </c>
      <c r="M74" s="36">
        <v>267</v>
      </c>
      <c r="N74" s="5">
        <f t="shared" si="25"/>
        <v>-3.6101083032490974E-2</v>
      </c>
      <c r="O74" s="44">
        <f>IF(ISNUMBER(M74), $B78 * N74, "")</f>
        <v>-3610.1083032490974</v>
      </c>
      <c r="Q74" s="229"/>
      <c r="R74" s="230"/>
    </row>
    <row r="75" spans="1:18" ht="17.25" customHeight="1">
      <c r="A75" s="11" t="s">
        <v>124</v>
      </c>
      <c r="B75" s="32">
        <v>165</v>
      </c>
      <c r="C75" s="5">
        <v>-2.36686391E-2</v>
      </c>
      <c r="D75" s="36">
        <v>162</v>
      </c>
      <c r="E75" s="5">
        <f t="shared" si="22"/>
        <v>-1.8181818181818181E-2</v>
      </c>
      <c r="F75" s="44">
        <f>IF(ISNUMBER(D75), $B78 * E75, "")</f>
        <v>-1818.181818181818</v>
      </c>
      <c r="G75" s="36">
        <v>169</v>
      </c>
      <c r="H75" s="5">
        <f t="shared" si="23"/>
        <v>2.4242424242424242E-2</v>
      </c>
      <c r="I75" s="44">
        <f>IF(ISNUMBER(G75), $B78 * H75, "")</f>
        <v>2424.242424242424</v>
      </c>
      <c r="J75" s="36">
        <v>172</v>
      </c>
      <c r="K75" s="5">
        <f t="shared" si="24"/>
        <v>4.2424242424242427E-2</v>
      </c>
      <c r="L75" s="44">
        <f>IF(ISNUMBER(J75), $B78 * K75, "")</f>
        <v>4242.4242424242429</v>
      </c>
      <c r="M75" s="36">
        <v>173</v>
      </c>
      <c r="N75" s="5">
        <f t="shared" si="25"/>
        <v>4.8484848484848485E-2</v>
      </c>
      <c r="O75" s="44">
        <f>IF(ISNUMBER(M75), $B78 * N75, "")</f>
        <v>4848.484848484848</v>
      </c>
      <c r="Q75" s="229"/>
      <c r="R75" s="230"/>
    </row>
    <row r="76" spans="1:18" ht="17.25" customHeight="1">
      <c r="A76" s="11" t="s">
        <v>157</v>
      </c>
      <c r="B76" s="32">
        <v>764</v>
      </c>
      <c r="C76" s="5">
        <v>-2.5510204099999999E-2</v>
      </c>
      <c r="D76" s="36">
        <v>825</v>
      </c>
      <c r="E76" s="5">
        <f t="shared" si="22"/>
        <v>7.9842931937172776E-2</v>
      </c>
      <c r="F76" s="44">
        <f>IF(ISNUMBER(D76), $B78 * E76, "")</f>
        <v>7984.293193717278</v>
      </c>
      <c r="G76" s="36">
        <v>825</v>
      </c>
      <c r="H76" s="5">
        <f t="shared" si="23"/>
        <v>7.9842931937172776E-2</v>
      </c>
      <c r="I76" s="44">
        <f>IF(ISNUMBER(G76), $B78 * H76, "")</f>
        <v>7984.293193717278</v>
      </c>
      <c r="J76" s="36">
        <v>827</v>
      </c>
      <c r="K76" s="5">
        <f t="shared" si="24"/>
        <v>8.2460732984293197E-2</v>
      </c>
      <c r="L76" s="44">
        <f>IF(ISNUMBER(J76), $B78 * K76, "")</f>
        <v>8246.073298429319</v>
      </c>
      <c r="M76" s="36">
        <v>818</v>
      </c>
      <c r="N76" s="5">
        <f t="shared" si="25"/>
        <v>7.0680628272251314E-2</v>
      </c>
      <c r="O76" s="44">
        <f>IF(ISNUMBER(M76), $B78 * N76, "")</f>
        <v>7068.0628272251315</v>
      </c>
      <c r="Q76" s="231"/>
      <c r="R76" s="232"/>
    </row>
    <row r="77" spans="1:18" ht="17.25" customHeight="1" thickBot="1">
      <c r="A77" s="13" t="s">
        <v>126</v>
      </c>
      <c r="B77" s="34">
        <v>181</v>
      </c>
      <c r="C77" s="16">
        <v>-2.68817204E-2</v>
      </c>
      <c r="D77" s="38">
        <v>179</v>
      </c>
      <c r="E77" s="16">
        <f t="shared" si="22"/>
        <v>-1.1049723756906077E-2</v>
      </c>
      <c r="F77" s="45">
        <f>IF(ISNUMBER(D77), $B78 * E77, "")</f>
        <v>-1104.9723756906076</v>
      </c>
      <c r="G77" s="38">
        <v>176</v>
      </c>
      <c r="H77" s="16">
        <f t="shared" si="23"/>
        <v>-2.7624309392265192E-2</v>
      </c>
      <c r="I77" s="45">
        <f>IF(ISNUMBER(G77), $B78 * H77, "")</f>
        <v>-2762.4309392265191</v>
      </c>
      <c r="J77" s="38">
        <v>174</v>
      </c>
      <c r="K77" s="16">
        <f t="shared" si="24"/>
        <v>-3.8674033149171269E-2</v>
      </c>
      <c r="L77" s="45">
        <f>IF(ISNUMBER(J77), $B78 * K77, "")</f>
        <v>-3867.4033149171269</v>
      </c>
      <c r="M77" s="38">
        <v>170</v>
      </c>
      <c r="N77" s="16">
        <f t="shared" si="25"/>
        <v>-6.0773480662983423E-2</v>
      </c>
      <c r="O77" s="45">
        <f>IF(ISNUMBER(M77), $B78 * N77, "")</f>
        <v>-6077.348066298342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-1.1478476358982899E-2</v>
      </c>
      <c r="F78" s="47">
        <f>SUM(F68:F77)</f>
        <v>-11478.476358982898</v>
      </c>
      <c r="G78" s="57" t="s">
        <v>82</v>
      </c>
      <c r="H78" s="46">
        <f>IF(COUNT(H68:H77), SUM(H68:H77) / COUNT(H68:H77), 0)</f>
        <v>-7.0756848691321001E-3</v>
      </c>
      <c r="I78" s="47">
        <f>SUM(I68:I77)</f>
        <v>-7075.6848691321011</v>
      </c>
      <c r="J78" s="57" t="s">
        <v>82</v>
      </c>
      <c r="K78" s="46">
        <f>IF(COUNT(K68:K77), SUM(K68:K77) / COUNT(K68:K77), 0)</f>
        <v>-3.0772632369971548E-3</v>
      </c>
      <c r="L78" s="47">
        <f>SUM(L68:L77)</f>
        <v>-3077.2632369971557</v>
      </c>
      <c r="M78" s="57" t="s">
        <v>82</v>
      </c>
      <c r="N78" s="46">
        <f>IF(COUNT(N68:N77), SUM(N68:N77) / COUNT(N68:N77), 0)</f>
        <v>-6.3425500805674075E-3</v>
      </c>
      <c r="O78" s="47">
        <f>SUM(O68:O77)</f>
        <v>-6342.5500805674046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23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27" t="s">
        <v>70</v>
      </c>
      <c r="M84" s="18" t="s">
        <v>67</v>
      </c>
      <c r="N84" s="4" t="s">
        <v>68</v>
      </c>
      <c r="O84" s="129" t="s">
        <v>70</v>
      </c>
      <c r="Q84" s="231"/>
      <c r="R84" s="232"/>
    </row>
    <row r="85" spans="1:18" ht="17.25" customHeight="1">
      <c r="A85" s="9" t="s">
        <v>127</v>
      </c>
      <c r="B85" s="31">
        <v>234</v>
      </c>
      <c r="C85" s="22">
        <v>-2.9045643199999999E-2</v>
      </c>
      <c r="D85" s="89">
        <v>232</v>
      </c>
      <c r="E85" s="22">
        <f>IF(ISNUMBER(D85), (D85 - $B85) / $B85, "")</f>
        <v>-8.5470085470085479E-3</v>
      </c>
      <c r="F85" s="43">
        <f>IF(ISNUMBER(D85), $B95 * E85, "")</f>
        <v>-854.70085470085473</v>
      </c>
      <c r="G85" s="89">
        <v>236</v>
      </c>
      <c r="H85" s="22">
        <f>IF(ISNUMBER(G85), (G85 - $B85) / $B85, "")</f>
        <v>8.5470085470085479E-3</v>
      </c>
      <c r="I85" s="43">
        <f>IF(ISNUMBER(G85), $B95 * H85, "")</f>
        <v>854.70085470085473</v>
      </c>
      <c r="J85" s="89">
        <v>239</v>
      </c>
      <c r="K85" s="22">
        <f>IF(ISNUMBER(J85), (J85 - $B85) / $B85, "")</f>
        <v>2.1367521367521368E-2</v>
      </c>
      <c r="L85" s="43">
        <f>IF(ISNUMBER(J85), $B95 * K85, "")</f>
        <v>2136.7521367521367</v>
      </c>
      <c r="M85" s="89">
        <v>240</v>
      </c>
      <c r="N85" s="22">
        <f>IF(ISNUMBER(M85), (M85 - $B85) / $B85, "")</f>
        <v>2.564102564102564E-2</v>
      </c>
      <c r="O85" s="43">
        <f>IF(ISNUMBER(M85), $B95 * N85, "")</f>
        <v>2564.102564102564</v>
      </c>
      <c r="Q85" s="229"/>
      <c r="R85" s="230"/>
    </row>
    <row r="86" spans="1:18" ht="17.25" customHeight="1">
      <c r="A86" s="11" t="s">
        <v>150</v>
      </c>
      <c r="B86" s="32">
        <v>266</v>
      </c>
      <c r="C86" s="5">
        <v>-2.9197080300000001E-2</v>
      </c>
      <c r="D86" s="36">
        <v>262</v>
      </c>
      <c r="E86" s="5">
        <f t="shared" ref="E86:E94" si="26">IF(ISNUMBER(D86), (D86 - $B86) / $B86, "")</f>
        <v>-1.5037593984962405E-2</v>
      </c>
      <c r="F86" s="44">
        <f>IF(ISNUMBER(D86), $B95 * E86, "")</f>
        <v>-1503.7593984962405</v>
      </c>
      <c r="G86" s="36">
        <v>259</v>
      </c>
      <c r="H86" s="5">
        <f t="shared" ref="H86:H94" si="27">IF(ISNUMBER(G86), (G86 - $B86) / $B86, "")</f>
        <v>-2.6315789473684209E-2</v>
      </c>
      <c r="I86" s="44">
        <f>IF(ISNUMBER(G86), $B95 * H86, "")</f>
        <v>-2631.5789473684208</v>
      </c>
      <c r="J86" s="36">
        <v>259</v>
      </c>
      <c r="K86" s="5">
        <f t="shared" ref="K86:K94" si="28">IF(ISNUMBER(J86), (J86 - $B86) / $B86, "")</f>
        <v>-2.6315789473684209E-2</v>
      </c>
      <c r="L86" s="44">
        <f>IF(ISNUMBER(J86), $B95 * K86, "")</f>
        <v>-2631.5789473684208</v>
      </c>
      <c r="M86" s="36">
        <v>256</v>
      </c>
      <c r="N86" s="5">
        <f t="shared" ref="N86:N94" si="29">IF(ISNUMBER(M86), (M86 - $B86) / $B86, "")</f>
        <v>-3.7593984962406013E-2</v>
      </c>
      <c r="O86" s="44">
        <f>IF(ISNUMBER(M86), $B95 * N86, "")</f>
        <v>-3759.3984962406012</v>
      </c>
      <c r="Q86" s="229"/>
      <c r="R86" s="230"/>
    </row>
    <row r="87" spans="1:18" ht="17.25" customHeight="1">
      <c r="A87" s="11" t="s">
        <v>140</v>
      </c>
      <c r="B87" s="32">
        <v>460</v>
      </c>
      <c r="C87" s="5">
        <v>-3.3613445399999997E-2</v>
      </c>
      <c r="D87" s="36">
        <v>459</v>
      </c>
      <c r="E87" s="5">
        <f t="shared" si="26"/>
        <v>-2.1739130434782609E-3</v>
      </c>
      <c r="F87" s="44">
        <f>IF(ISNUMBER(D87), $B95 * E87, "")</f>
        <v>-217.39130434782609</v>
      </c>
      <c r="G87" s="36">
        <v>451</v>
      </c>
      <c r="H87" s="5">
        <f t="shared" si="27"/>
        <v>-1.9565217391304349E-2</v>
      </c>
      <c r="I87" s="44">
        <f>IF(ISNUMBER(G87), $B95 * H87, "")</f>
        <v>-1956.521739130435</v>
      </c>
      <c r="J87" s="36">
        <v>455</v>
      </c>
      <c r="K87" s="5">
        <f t="shared" si="28"/>
        <v>-1.0869565217391304E-2</v>
      </c>
      <c r="L87" s="44">
        <f>IF(ISNUMBER(J87), $B95 * K87, "")</f>
        <v>-1086.9565217391305</v>
      </c>
      <c r="M87" s="36">
        <v>453</v>
      </c>
      <c r="N87" s="5">
        <f t="shared" si="29"/>
        <v>-1.5217391304347827E-2</v>
      </c>
      <c r="O87" s="44">
        <f>IF(ISNUMBER(M87), $B95 * N87, "")</f>
        <v>-1521.7391304347827</v>
      </c>
      <c r="Q87" s="229"/>
      <c r="R87" s="230"/>
    </row>
    <row r="88" spans="1:18" ht="17.25" customHeight="1">
      <c r="A88" s="11" t="s">
        <v>138</v>
      </c>
      <c r="B88" s="32">
        <v>190</v>
      </c>
      <c r="C88" s="5">
        <v>-3.5532994900000003E-2</v>
      </c>
      <c r="D88" s="36">
        <v>198</v>
      </c>
      <c r="E88" s="5">
        <f t="shared" si="26"/>
        <v>4.2105263157894736E-2</v>
      </c>
      <c r="F88" s="44">
        <f>IF(ISNUMBER(D88), $B95 * E88, "")</f>
        <v>4210.5263157894733</v>
      </c>
      <c r="G88" s="36">
        <v>198</v>
      </c>
      <c r="H88" s="5">
        <f t="shared" si="27"/>
        <v>4.2105263157894736E-2</v>
      </c>
      <c r="I88" s="44">
        <f>IF(ISNUMBER(G88), $B95 * H88, "")</f>
        <v>4210.5263157894733</v>
      </c>
      <c r="J88" s="36">
        <v>197</v>
      </c>
      <c r="K88" s="5">
        <f t="shared" si="28"/>
        <v>3.6842105263157891E-2</v>
      </c>
      <c r="L88" s="44">
        <f>IF(ISNUMBER(J88), $B95 * K88, "")</f>
        <v>3684.2105263157891</v>
      </c>
      <c r="M88" s="36">
        <v>204</v>
      </c>
      <c r="N88" s="5">
        <f t="shared" si="29"/>
        <v>7.3684210526315783E-2</v>
      </c>
      <c r="O88" s="44">
        <f>IF(ISNUMBER(M88), $B95 * N88, "")</f>
        <v>7368.4210526315783</v>
      </c>
      <c r="Q88" s="229"/>
      <c r="R88" s="230"/>
    </row>
    <row r="89" spans="1:18" ht="17.25" customHeight="1">
      <c r="A89" s="8" t="s">
        <v>164</v>
      </c>
      <c r="B89" s="33">
        <v>159</v>
      </c>
      <c r="C89" s="24">
        <v>-4.2168674699999999E-2</v>
      </c>
      <c r="D89" s="37">
        <v>174</v>
      </c>
      <c r="E89" s="24">
        <f t="shared" si="26"/>
        <v>9.4339622641509441E-2</v>
      </c>
      <c r="F89" s="44">
        <f>IF(ISNUMBER(D89), $B95 * E89, "")</f>
        <v>9433.962264150945</v>
      </c>
      <c r="G89" s="37">
        <v>168</v>
      </c>
      <c r="H89" s="24">
        <f t="shared" si="27"/>
        <v>5.6603773584905662E-2</v>
      </c>
      <c r="I89" s="44">
        <f>IF(ISNUMBER(G89), $B95 * H89, "")</f>
        <v>5660.3773584905666</v>
      </c>
      <c r="J89" s="37">
        <v>169</v>
      </c>
      <c r="K89" s="24">
        <f t="shared" si="28"/>
        <v>6.2893081761006289E-2</v>
      </c>
      <c r="L89" s="44">
        <f>IF(ISNUMBER(J89), $B95 * K89, "")</f>
        <v>6289.3081761006288</v>
      </c>
      <c r="M89" s="37">
        <v>172</v>
      </c>
      <c r="N89" s="24">
        <f t="shared" si="29"/>
        <v>8.1761006289308172E-2</v>
      </c>
      <c r="O89" s="44">
        <f>IF(ISNUMBER(M89), $B95 * N89, "")</f>
        <v>8176.100628930817</v>
      </c>
      <c r="Q89" s="229"/>
      <c r="R89" s="230"/>
    </row>
    <row r="90" spans="1:18" ht="17.25" customHeight="1">
      <c r="A90" s="11" t="s">
        <v>214</v>
      </c>
      <c r="B90" s="32">
        <v>251</v>
      </c>
      <c r="C90" s="5">
        <v>-4.5627376400000003E-2</v>
      </c>
      <c r="D90" s="36">
        <v>232</v>
      </c>
      <c r="E90" s="5">
        <f t="shared" si="26"/>
        <v>-7.5697211155378488E-2</v>
      </c>
      <c r="F90" s="48">
        <f>IF(ISNUMBER(D90), $B95 * E90, "")</f>
        <v>-7569.7211155378491</v>
      </c>
      <c r="G90" s="36">
        <v>233</v>
      </c>
      <c r="H90" s="5">
        <f t="shared" si="27"/>
        <v>-7.1713147410358571E-2</v>
      </c>
      <c r="I90" s="48">
        <f>IF(ISNUMBER(G90), $B95 * H90, "")</f>
        <v>-7171.314741035857</v>
      </c>
      <c r="J90" s="36">
        <v>232</v>
      </c>
      <c r="K90" s="5">
        <f t="shared" si="28"/>
        <v>-7.5697211155378488E-2</v>
      </c>
      <c r="L90" s="48">
        <f>IF(ISNUMBER(J90), $B95 * K90, "")</f>
        <v>-7569.7211155378491</v>
      </c>
      <c r="M90" s="36">
        <v>230</v>
      </c>
      <c r="N90" s="5">
        <f t="shared" si="29"/>
        <v>-8.3665338645418322E-2</v>
      </c>
      <c r="O90" s="48">
        <f>IF(ISNUMBER(M90), $B95 * N90, "")</f>
        <v>-8366.5338645418324</v>
      </c>
      <c r="Q90" s="229"/>
      <c r="R90" s="230"/>
    </row>
    <row r="91" spans="1:18" ht="17.25" customHeight="1">
      <c r="A91" s="11" t="s">
        <v>144</v>
      </c>
      <c r="B91" s="32">
        <v>667</v>
      </c>
      <c r="C91" s="5">
        <v>-4.5779685299999998E-2</v>
      </c>
      <c r="D91" s="36">
        <v>627</v>
      </c>
      <c r="E91" s="5">
        <f t="shared" si="26"/>
        <v>-5.9970014992503748E-2</v>
      </c>
      <c r="F91" s="44">
        <f>IF(ISNUMBER(D91), $B95 * E91, "")</f>
        <v>-5997.0014992503748</v>
      </c>
      <c r="G91" s="36">
        <v>625</v>
      </c>
      <c r="H91" s="5">
        <f t="shared" si="27"/>
        <v>-6.296851574212893E-2</v>
      </c>
      <c r="I91" s="44">
        <f>IF(ISNUMBER(G91), $B95 * H91, "")</f>
        <v>-6296.851574212893</v>
      </c>
      <c r="J91" s="36">
        <v>630</v>
      </c>
      <c r="K91" s="5">
        <f t="shared" si="28"/>
        <v>-5.5472263868065967E-2</v>
      </c>
      <c r="L91" s="44">
        <f>IF(ISNUMBER(J91), $B95 * K91, "")</f>
        <v>-5547.2263868065966</v>
      </c>
      <c r="M91" s="36">
        <v>627</v>
      </c>
      <c r="N91" s="5">
        <f t="shared" si="29"/>
        <v>-5.9970014992503748E-2</v>
      </c>
      <c r="O91" s="44">
        <f>IF(ISNUMBER(M91), $B95 * N91, "")</f>
        <v>-5997.0014992503748</v>
      </c>
      <c r="Q91" s="229"/>
      <c r="R91" s="230"/>
    </row>
    <row r="92" spans="1:18" ht="17.25" customHeight="1">
      <c r="A92" s="11" t="s">
        <v>118</v>
      </c>
      <c r="B92" s="32">
        <v>361</v>
      </c>
      <c r="C92" s="5">
        <v>-5.24934383E-2</v>
      </c>
      <c r="D92" s="36">
        <v>357</v>
      </c>
      <c r="E92" s="5">
        <f t="shared" si="26"/>
        <v>-1.1080332409972299E-2</v>
      </c>
      <c r="F92" s="44">
        <f>IF(ISNUMBER(D92), $B95 * E92, "")</f>
        <v>-1108.03324099723</v>
      </c>
      <c r="G92" s="36">
        <v>366</v>
      </c>
      <c r="H92" s="5">
        <f t="shared" si="27"/>
        <v>1.3850415512465374E-2</v>
      </c>
      <c r="I92" s="44">
        <f>IF(ISNUMBER(G92), $B95 * H92, "")</f>
        <v>1385.0415512465374</v>
      </c>
      <c r="J92" s="36">
        <v>366</v>
      </c>
      <c r="K92" s="5">
        <f t="shared" si="28"/>
        <v>1.3850415512465374E-2</v>
      </c>
      <c r="L92" s="44">
        <f>IF(ISNUMBER(J92), $B95 * K92, "")</f>
        <v>1385.0415512465374</v>
      </c>
      <c r="M92" s="36">
        <v>366</v>
      </c>
      <c r="N92" s="5">
        <f t="shared" si="29"/>
        <v>1.3850415512465374E-2</v>
      </c>
      <c r="O92" s="44">
        <f>IF(ISNUMBER(M92), $B95 * N92, "")</f>
        <v>1385.0415512465374</v>
      </c>
      <c r="Q92" s="229"/>
      <c r="R92" s="230"/>
    </row>
    <row r="93" spans="1:18" ht="17.25" customHeight="1">
      <c r="A93" s="11" t="s">
        <v>166</v>
      </c>
      <c r="B93" s="32">
        <v>711</v>
      </c>
      <c r="C93" s="5">
        <v>-5.3262316900000002E-2</v>
      </c>
      <c r="D93" s="36">
        <v>692</v>
      </c>
      <c r="E93" s="5">
        <f t="shared" si="26"/>
        <v>-2.6722925457102673E-2</v>
      </c>
      <c r="F93" s="44">
        <f>IF(ISNUMBER(D93), $B95 * E93, "")</f>
        <v>-2672.2925457102674</v>
      </c>
      <c r="G93" s="36">
        <v>687</v>
      </c>
      <c r="H93" s="5">
        <f t="shared" si="27"/>
        <v>-3.3755274261603373E-2</v>
      </c>
      <c r="I93" s="44">
        <f>IF(ISNUMBER(G93), $B95 * H93, "")</f>
        <v>-3375.5274261603372</v>
      </c>
      <c r="J93" s="36">
        <v>700</v>
      </c>
      <c r="K93" s="5">
        <f t="shared" si="28"/>
        <v>-1.5471167369901548E-2</v>
      </c>
      <c r="L93" s="44">
        <f>IF(ISNUMBER(J93), $B95 * K93, "")</f>
        <v>-1547.1167369901548</v>
      </c>
      <c r="M93" s="36">
        <v>691</v>
      </c>
      <c r="N93" s="5">
        <f t="shared" si="29"/>
        <v>-2.8129395218002812E-2</v>
      </c>
      <c r="O93" s="44">
        <f>IF(ISNUMBER(M93), $B95 * N93, "")</f>
        <v>-2812.939521800281</v>
      </c>
      <c r="Q93" s="231"/>
      <c r="R93" s="232"/>
    </row>
    <row r="94" spans="1:18" ht="17.25" customHeight="1" thickBot="1">
      <c r="A94" s="13" t="s">
        <v>137</v>
      </c>
      <c r="B94" s="34">
        <v>525</v>
      </c>
      <c r="C94" s="16">
        <v>-6.4171122999999997E-2</v>
      </c>
      <c r="D94" s="38">
        <v>503</v>
      </c>
      <c r="E94" s="16">
        <f t="shared" si="26"/>
        <v>-4.1904761904761903E-2</v>
      </c>
      <c r="F94" s="45">
        <f>IF(ISNUMBER(D94), $B95 * E94, "")</f>
        <v>-4190.4761904761899</v>
      </c>
      <c r="G94" s="38">
        <v>499</v>
      </c>
      <c r="H94" s="16">
        <f t="shared" si="27"/>
        <v>-4.9523809523809526E-2</v>
      </c>
      <c r="I94" s="45">
        <f>IF(ISNUMBER(G94), $B95 * H94, "")</f>
        <v>-4952.3809523809523</v>
      </c>
      <c r="J94" s="38">
        <v>497</v>
      </c>
      <c r="K94" s="16">
        <f t="shared" si="28"/>
        <v>-5.3333333333333337E-2</v>
      </c>
      <c r="L94" s="45">
        <f>IF(ISNUMBER(J94), $B95 * K94, "")</f>
        <v>-5333.3333333333339</v>
      </c>
      <c r="M94" s="38">
        <v>496</v>
      </c>
      <c r="N94" s="16">
        <f t="shared" si="29"/>
        <v>-5.5238095238095239E-2</v>
      </c>
      <c r="O94" s="45">
        <f>IF(ISNUMBER(M94), $B95 * N94, "")</f>
        <v>-5523.8095238095239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-1.0468887569576415E-2</v>
      </c>
      <c r="F95" s="47">
        <f>SUM(F85:F94)</f>
        <v>-10468.887569576413</v>
      </c>
      <c r="G95" s="57" t="s">
        <v>82</v>
      </c>
      <c r="H95" s="46">
        <f>IF(COUNT(H85:H94), SUM(H85:H94) / COUNT(H85:H94), 0)</f>
        <v>-1.4273529300061464E-2</v>
      </c>
      <c r="I95" s="47">
        <f>SUM(I85:I94)</f>
        <v>-14273.529300061464</v>
      </c>
      <c r="J95" s="57" t="s">
        <v>82</v>
      </c>
      <c r="K95" s="46">
        <f>IF(COUNT(K85:K94), SUM(K85:K94) / COUNT(K85:K94), 0)</f>
        <v>-1.0220620651360392E-2</v>
      </c>
      <c r="L95" s="47">
        <f>SUM(L85:L94)</f>
        <v>-10220.620651360394</v>
      </c>
      <c r="M95" s="57" t="s">
        <v>82</v>
      </c>
      <c r="N95" s="46">
        <f>IF(COUNT(N85:N94), SUM(N85:N94) / COUNT(N85:N94), 0)</f>
        <v>-8.4877562391658997E-3</v>
      </c>
      <c r="O95" s="47">
        <f>SUM(O85:O94)</f>
        <v>-8487.7562391658976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23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27" t="s">
        <v>70</v>
      </c>
      <c r="M101" s="18" t="s">
        <v>67</v>
      </c>
      <c r="N101" s="4" t="s">
        <v>68</v>
      </c>
      <c r="O101" s="129" t="s">
        <v>70</v>
      </c>
      <c r="Q101" s="231"/>
      <c r="R101" s="232"/>
    </row>
    <row r="102" spans="1:18" ht="17.25" customHeight="1">
      <c r="A102" s="9" t="s">
        <v>94</v>
      </c>
      <c r="B102" s="31">
        <v>94.4</v>
      </c>
      <c r="C102" s="22">
        <v>0.1238095238</v>
      </c>
      <c r="D102" s="89">
        <v>94.1</v>
      </c>
      <c r="E102" s="22">
        <f>IF(ISNUMBER(D102), (D102 - $B102) / $B102, "")</f>
        <v>-3.1779661016950356E-3</v>
      </c>
      <c r="F102" s="43">
        <f>IF(ISNUMBER(D102), $B112 * E102, "")</f>
        <v>-317.79661016950354</v>
      </c>
      <c r="G102" s="89">
        <v>92.6</v>
      </c>
      <c r="H102" s="22">
        <f>IF(ISNUMBER(G102), (G102 - $B102) / $B102, "")</f>
        <v>-1.9067796610169611E-2</v>
      </c>
      <c r="I102" s="43">
        <f>IF(ISNUMBER(G102), $B112 * H102, "")</f>
        <v>-1906.779661016961</v>
      </c>
      <c r="J102" s="89">
        <v>93.7</v>
      </c>
      <c r="K102" s="22">
        <f>IF(ISNUMBER(J102), (J102 - $B102) / $B102, "")</f>
        <v>-7.4152542372881653E-3</v>
      </c>
      <c r="L102" s="43">
        <f>IF(ISNUMBER(J102), $B112 * K102, "")</f>
        <v>-741.52542372881658</v>
      </c>
      <c r="M102" s="89">
        <v>91.7</v>
      </c>
      <c r="N102" s="22">
        <f>IF(ISNUMBER(M102), (M102 - $B102) / $B102, "")</f>
        <v>-2.8601694915254265E-2</v>
      </c>
      <c r="O102" s="43">
        <f>IF(ISNUMBER(M102), $B112 * N102, "")</f>
        <v>-2860.1694915254266</v>
      </c>
      <c r="Q102" s="229"/>
      <c r="R102" s="230"/>
    </row>
    <row r="103" spans="1:18" ht="17.25" customHeight="1">
      <c r="A103" s="11" t="s">
        <v>172</v>
      </c>
      <c r="B103" s="32">
        <v>798</v>
      </c>
      <c r="C103" s="5">
        <v>8.1300813E-2</v>
      </c>
      <c r="D103" s="36">
        <v>758</v>
      </c>
      <c r="E103" s="5">
        <f t="shared" ref="E103:E111" si="30">IF(ISNUMBER(D103), (D103 - $B103) / $B103, "")</f>
        <v>-5.0125313283208017E-2</v>
      </c>
      <c r="F103" s="44">
        <f>IF(ISNUMBER(D103), $B112 * E103, "")</f>
        <v>-5012.5313283208015</v>
      </c>
      <c r="G103" s="36">
        <v>762</v>
      </c>
      <c r="H103" s="5">
        <f t="shared" ref="H103:H111" si="31">IF(ISNUMBER(G103), (G103 - $B103) / $B103, "")</f>
        <v>-4.5112781954887216E-2</v>
      </c>
      <c r="I103" s="44">
        <f>IF(ISNUMBER(G103), $B112 * H103, "")</f>
        <v>-4511.2781954887214</v>
      </c>
      <c r="J103" s="36">
        <v>773</v>
      </c>
      <c r="K103" s="5">
        <f t="shared" ref="K103:K111" si="32">IF(ISNUMBER(J103), (J103 - $B103) / $B103, "")</f>
        <v>-3.1328320802005011E-2</v>
      </c>
      <c r="L103" s="44">
        <f>IF(ISNUMBER(J103), $B112 * K103, "")</f>
        <v>-3132.832080200501</v>
      </c>
      <c r="M103" s="36">
        <v>752</v>
      </c>
      <c r="N103" s="5">
        <f t="shared" ref="N103:N111" si="33">IF(ISNUMBER(M103), (M103 - $B103) / $B103, "")</f>
        <v>-5.764411027568922E-2</v>
      </c>
      <c r="O103" s="44">
        <f>IF(ISNUMBER(M103), $B112 * N103, "")</f>
        <v>-5764.4110275689218</v>
      </c>
      <c r="Q103" s="229"/>
      <c r="R103" s="230"/>
    </row>
    <row r="104" spans="1:18" ht="17.25" customHeight="1">
      <c r="A104" s="11" t="s">
        <v>130</v>
      </c>
      <c r="B104" s="32">
        <v>468</v>
      </c>
      <c r="C104" s="5">
        <v>8.0831408800000004E-2</v>
      </c>
      <c r="D104" s="36">
        <v>441</v>
      </c>
      <c r="E104" s="5">
        <f t="shared" si="30"/>
        <v>-5.7692307692307696E-2</v>
      </c>
      <c r="F104" s="44">
        <f>IF(ISNUMBER(D104), $B112 * E104, "")</f>
        <v>-5769.2307692307695</v>
      </c>
      <c r="G104" s="36">
        <v>437</v>
      </c>
      <c r="H104" s="5">
        <f t="shared" si="31"/>
        <v>-6.623931623931624E-2</v>
      </c>
      <c r="I104" s="44">
        <f>IF(ISNUMBER(G104), $B112 * H104, "")</f>
        <v>-6623.931623931624</v>
      </c>
      <c r="J104" s="36">
        <v>444</v>
      </c>
      <c r="K104" s="5">
        <f t="shared" si="32"/>
        <v>-5.128205128205128E-2</v>
      </c>
      <c r="L104" s="44">
        <f>IF(ISNUMBER(J104), $B112 * K104, "")</f>
        <v>-5128.2051282051279</v>
      </c>
      <c r="M104" s="36">
        <v>446</v>
      </c>
      <c r="N104" s="5">
        <f t="shared" si="33"/>
        <v>-4.7008547008547008E-2</v>
      </c>
      <c r="O104" s="44">
        <f>IF(ISNUMBER(M104), $B112 * N104, "")</f>
        <v>-4700.8547008547012</v>
      </c>
      <c r="Q104" s="229"/>
      <c r="R104" s="230"/>
    </row>
    <row r="105" spans="1:18" ht="17.25" customHeight="1">
      <c r="A105" s="11" t="s">
        <v>175</v>
      </c>
      <c r="B105" s="32">
        <v>580</v>
      </c>
      <c r="C105" s="5">
        <v>6.2271062299999999E-2</v>
      </c>
      <c r="D105" s="36">
        <v>554</v>
      </c>
      <c r="E105" s="5">
        <f t="shared" si="30"/>
        <v>-4.4827586206896551E-2</v>
      </c>
      <c r="F105" s="44">
        <f>IF(ISNUMBER(D105), $B112 * E105, "")</f>
        <v>-4482.7586206896549</v>
      </c>
      <c r="G105" s="36">
        <v>552</v>
      </c>
      <c r="H105" s="5">
        <f t="shared" si="31"/>
        <v>-4.8275862068965517E-2</v>
      </c>
      <c r="I105" s="44">
        <f>IF(ISNUMBER(G105), $B112 * H105, "")</f>
        <v>-4827.5862068965516</v>
      </c>
      <c r="J105" s="36">
        <v>549</v>
      </c>
      <c r="K105" s="5">
        <f t="shared" si="32"/>
        <v>-5.3448275862068968E-2</v>
      </c>
      <c r="L105" s="44">
        <f>IF(ISNUMBER(J105), $B112 * K105, "")</f>
        <v>-5344.8275862068967</v>
      </c>
      <c r="M105" s="36">
        <v>544</v>
      </c>
      <c r="N105" s="5">
        <f t="shared" si="33"/>
        <v>-6.2068965517241378E-2</v>
      </c>
      <c r="O105" s="44">
        <f>IF(ISNUMBER(M105), $B112 * N105, "")</f>
        <v>-6206.8965517241377</v>
      </c>
      <c r="Q105" s="229"/>
      <c r="R105" s="230"/>
    </row>
    <row r="106" spans="1:18" ht="17.25" customHeight="1">
      <c r="A106" s="8" t="s">
        <v>139</v>
      </c>
      <c r="B106" s="33">
        <v>1415</v>
      </c>
      <c r="C106" s="24">
        <v>5.99250936E-2</v>
      </c>
      <c r="D106" s="37">
        <v>1475</v>
      </c>
      <c r="E106" s="24">
        <f t="shared" si="30"/>
        <v>4.2402826855123678E-2</v>
      </c>
      <c r="F106" s="44">
        <f>IF(ISNUMBER(D106), $B112 * E106, "")</f>
        <v>4240.2826855123676</v>
      </c>
      <c r="G106" s="37">
        <v>1450</v>
      </c>
      <c r="H106" s="24">
        <f t="shared" si="31"/>
        <v>2.4734982332155476E-2</v>
      </c>
      <c r="I106" s="44">
        <f>IF(ISNUMBER(G106), $B112 * H106, "")</f>
        <v>2473.4982332155478</v>
      </c>
      <c r="J106" s="37">
        <v>1435</v>
      </c>
      <c r="K106" s="24">
        <f t="shared" si="32"/>
        <v>1.4134275618374558E-2</v>
      </c>
      <c r="L106" s="44">
        <f>IF(ISNUMBER(J106), $B112 * K106, "")</f>
        <v>1413.4275618374559</v>
      </c>
      <c r="M106" s="37">
        <v>1460</v>
      </c>
      <c r="N106" s="24">
        <f t="shared" si="33"/>
        <v>3.1802120141342753E-2</v>
      </c>
      <c r="O106" s="44">
        <f>IF(ISNUMBER(M106), $B112 * N106, "")</f>
        <v>3180.2120141342753</v>
      </c>
      <c r="Q106" s="229"/>
      <c r="R106" s="230"/>
    </row>
    <row r="107" spans="1:18" ht="17.25" customHeight="1">
      <c r="A107" s="11" t="s">
        <v>209</v>
      </c>
      <c r="B107" s="32">
        <v>85700</v>
      </c>
      <c r="C107" s="5">
        <v>5.5028930199999999E-2</v>
      </c>
      <c r="D107" s="36">
        <v>82100</v>
      </c>
      <c r="E107" s="5">
        <f t="shared" si="30"/>
        <v>-4.2007001166861145E-2</v>
      </c>
      <c r="F107" s="48">
        <f>IF(ISNUMBER(D107), $B112 * E107, "")</f>
        <v>-4200.7001166861146</v>
      </c>
      <c r="G107" s="36">
        <v>82210</v>
      </c>
      <c r="H107" s="5">
        <f t="shared" si="31"/>
        <v>-4.0723453908984832E-2</v>
      </c>
      <c r="I107" s="48">
        <f>IF(ISNUMBER(G107), $B112 * H107, "")</f>
        <v>-4072.3453908984829</v>
      </c>
      <c r="J107" s="36">
        <v>81450</v>
      </c>
      <c r="K107" s="5">
        <f t="shared" si="32"/>
        <v>-4.9591598599766626E-2</v>
      </c>
      <c r="L107" s="48">
        <f>IF(ISNUMBER(J107), $B112 * K107, "")</f>
        <v>-4959.159859976663</v>
      </c>
      <c r="M107" s="36">
        <v>81000</v>
      </c>
      <c r="N107" s="5">
        <f t="shared" si="33"/>
        <v>-5.4842473745624273E-2</v>
      </c>
      <c r="O107" s="48">
        <f>IF(ISNUMBER(M107), $B112 * N107, "")</f>
        <v>-5484.2473745624275</v>
      </c>
      <c r="Q107" s="229"/>
      <c r="R107" s="230"/>
    </row>
    <row r="108" spans="1:18" ht="17.25" customHeight="1">
      <c r="A108" s="11" t="s">
        <v>148</v>
      </c>
      <c r="B108" s="32">
        <v>72.099999999999994</v>
      </c>
      <c r="C108" s="5">
        <v>4.19075145E-2</v>
      </c>
      <c r="D108" s="36">
        <v>72.099999999999994</v>
      </c>
      <c r="E108" s="5">
        <f t="shared" si="30"/>
        <v>0</v>
      </c>
      <c r="F108" s="44">
        <f>IF(ISNUMBER(D108), $B112 * E108, "")</f>
        <v>0</v>
      </c>
      <c r="G108" s="36">
        <v>73.599999999999994</v>
      </c>
      <c r="H108" s="5">
        <f t="shared" si="31"/>
        <v>2.0804438280166437E-2</v>
      </c>
      <c r="I108" s="44">
        <f>IF(ISNUMBER(G108), $B112 * H108, "")</f>
        <v>2080.4438280166437</v>
      </c>
      <c r="J108" s="36">
        <v>72.8</v>
      </c>
      <c r="K108" s="5">
        <f t="shared" si="32"/>
        <v>9.7087378640777107E-3</v>
      </c>
      <c r="L108" s="44">
        <f>IF(ISNUMBER(J108), $B112 * K108, "")</f>
        <v>970.87378640777104</v>
      </c>
      <c r="M108" s="36">
        <v>76</v>
      </c>
      <c r="N108" s="5">
        <f t="shared" si="33"/>
        <v>5.4091539528432812E-2</v>
      </c>
      <c r="O108" s="44">
        <f>IF(ISNUMBER(M108), $B112 * N108, "")</f>
        <v>5409.1539528432813</v>
      </c>
      <c r="Q108" s="229"/>
      <c r="R108" s="230"/>
    </row>
    <row r="109" spans="1:18" ht="17.25" customHeight="1">
      <c r="A109" s="11" t="s">
        <v>97</v>
      </c>
      <c r="B109" s="32">
        <v>11880</v>
      </c>
      <c r="C109" s="5">
        <v>3.8461538500000003E-2</v>
      </c>
      <c r="D109" s="36">
        <v>11190</v>
      </c>
      <c r="E109" s="5">
        <f t="shared" si="30"/>
        <v>-5.808080808080808E-2</v>
      </c>
      <c r="F109" s="44">
        <f>IF(ISNUMBER(D109), $B112 * E109, "")</f>
        <v>-5808.0808080808083</v>
      </c>
      <c r="G109" s="36">
        <v>11240</v>
      </c>
      <c r="H109" s="5">
        <f t="shared" si="31"/>
        <v>-5.387205387205387E-2</v>
      </c>
      <c r="I109" s="44">
        <f>IF(ISNUMBER(G109), $B112 * H109, "")</f>
        <v>-5387.2053872053866</v>
      </c>
      <c r="J109" s="36">
        <v>11210</v>
      </c>
      <c r="K109" s="5">
        <f t="shared" si="32"/>
        <v>-5.6397306397306397E-2</v>
      </c>
      <c r="L109" s="44">
        <f>IF(ISNUMBER(J109), $B112 * K109, "")</f>
        <v>-5639.7306397306402</v>
      </c>
      <c r="M109" s="36">
        <v>11170</v>
      </c>
      <c r="N109" s="5">
        <f t="shared" si="33"/>
        <v>-5.9764309764309763E-2</v>
      </c>
      <c r="O109" s="44">
        <f>IF(ISNUMBER(M109), $B112 * N109, "")</f>
        <v>-5976.4309764309764</v>
      </c>
      <c r="Q109" s="229"/>
      <c r="R109" s="230"/>
    </row>
    <row r="110" spans="1:18" ht="17.25" customHeight="1">
      <c r="A110" s="11" t="s">
        <v>108</v>
      </c>
      <c r="B110" s="32">
        <v>9550</v>
      </c>
      <c r="C110" s="5">
        <v>3.2432432400000002E-2</v>
      </c>
      <c r="D110" s="36">
        <v>9745</v>
      </c>
      <c r="E110" s="5">
        <f t="shared" si="30"/>
        <v>2.0418848167539267E-2</v>
      </c>
      <c r="F110" s="44">
        <f>IF(ISNUMBER(D110), $B112 * E110, "")</f>
        <v>2041.8848167539268</v>
      </c>
      <c r="G110" s="36">
        <v>9710</v>
      </c>
      <c r="H110" s="5">
        <f t="shared" si="31"/>
        <v>1.6753926701570682E-2</v>
      </c>
      <c r="I110" s="44">
        <f>IF(ISNUMBER(G110), $B112 * H110, "")</f>
        <v>1675.3926701570683</v>
      </c>
      <c r="J110" s="36">
        <v>9725</v>
      </c>
      <c r="K110" s="5">
        <f t="shared" si="32"/>
        <v>1.832460732984293E-2</v>
      </c>
      <c r="L110" s="44">
        <f>IF(ISNUMBER(J110), $B112 * K110, "")</f>
        <v>1832.4607329842931</v>
      </c>
      <c r="M110" s="36">
        <v>9595</v>
      </c>
      <c r="N110" s="5">
        <f t="shared" si="33"/>
        <v>4.7120418848167539E-3</v>
      </c>
      <c r="O110" s="44">
        <f>IF(ISNUMBER(M110), $B112 * N110, "")</f>
        <v>471.20418848167537</v>
      </c>
      <c r="Q110" s="231"/>
      <c r="R110" s="232"/>
    </row>
    <row r="111" spans="1:18" ht="17.25" customHeight="1" thickBot="1">
      <c r="A111" s="13" t="s">
        <v>145</v>
      </c>
      <c r="B111" s="34">
        <v>53.6</v>
      </c>
      <c r="C111" s="16">
        <v>2.2900763399999999E-2</v>
      </c>
      <c r="D111" s="38">
        <v>52.1</v>
      </c>
      <c r="E111" s="16">
        <f t="shared" si="30"/>
        <v>-2.7985074626865673E-2</v>
      </c>
      <c r="F111" s="45">
        <f>IF(ISNUMBER(D111), $B112 * E111, "")</f>
        <v>-2798.5074626865671</v>
      </c>
      <c r="G111" s="38">
        <v>52.5</v>
      </c>
      <c r="H111" s="16">
        <f t="shared" si="31"/>
        <v>-2.0522388059701517E-2</v>
      </c>
      <c r="I111" s="45">
        <f>IF(ISNUMBER(G111), $B112 * H111, "")</f>
        <v>-2052.2388059701516</v>
      </c>
      <c r="J111" s="38">
        <v>52.6</v>
      </c>
      <c r="K111" s="16">
        <f t="shared" si="32"/>
        <v>-1.8656716417910446E-2</v>
      </c>
      <c r="L111" s="45">
        <f>IF(ISNUMBER(J111), $B112 * K111, "")</f>
        <v>-1865.6716417910445</v>
      </c>
      <c r="M111" s="38">
        <v>53</v>
      </c>
      <c r="N111" s="16">
        <f t="shared" si="33"/>
        <v>-1.1194029850746294E-2</v>
      </c>
      <c r="O111" s="45">
        <f>IF(ISNUMBER(M111), $B112 * N111, "")</f>
        <v>-1119.4029850746294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-2.2107438213597928E-2</v>
      </c>
      <c r="F112" s="47">
        <f>SUM(F102:F111)</f>
        <v>-22107.438213597929</v>
      </c>
      <c r="G112" s="57" t="s">
        <v>82</v>
      </c>
      <c r="H112" s="46">
        <f>IF(COUNT(H102:H111), SUM(H102:H111) / COUNT(H102:H111), 0)</f>
        <v>-2.3152030540018617E-2</v>
      </c>
      <c r="I112" s="47">
        <f>SUM(I102:I111)</f>
        <v>-23152.030540018623</v>
      </c>
      <c r="J112" s="57" t="s">
        <v>82</v>
      </c>
      <c r="K112" s="46">
        <f>IF(COUNT(K102:K111), SUM(K102:K111) / COUNT(K102:K111), 0)</f>
        <v>-2.2595190278610167E-2</v>
      </c>
      <c r="L112" s="47">
        <f>SUM(L102:L111)</f>
        <v>-22595.190278610167</v>
      </c>
      <c r="M112" s="57" t="s">
        <v>82</v>
      </c>
      <c r="N112" s="46">
        <f>IF(COUNT(N102:N111), SUM(N102:N111) / COUNT(N102:N111), 0)</f>
        <v>-2.3051842952281992E-2</v>
      </c>
      <c r="O112" s="47">
        <f>SUM(O102:O111)</f>
        <v>-23051.84295228199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889" priority="89">
      <formula>$E$27&gt;0</formula>
    </cfRule>
    <cfRule type="expression" dxfId="888" priority="90">
      <formula>$E$27&lt;0</formula>
    </cfRule>
  </conditionalFormatting>
  <conditionalFormatting sqref="G15:I16 H27:I27">
    <cfRule type="expression" dxfId="887" priority="87">
      <formula>$H$27&gt;0</formula>
    </cfRule>
    <cfRule type="expression" dxfId="886" priority="88">
      <formula>$H$27&lt;0</formula>
    </cfRule>
  </conditionalFormatting>
  <conditionalFormatting sqref="J15:L16 K27:L27">
    <cfRule type="expression" dxfId="885" priority="85">
      <formula>$K$27&gt;0</formula>
    </cfRule>
    <cfRule type="expression" dxfId="884" priority="86">
      <formula>$K$27&lt;0</formula>
    </cfRule>
  </conditionalFormatting>
  <conditionalFormatting sqref="M15:O16 N27:O27">
    <cfRule type="expression" dxfId="883" priority="83">
      <formula>$N$27&gt;0</formula>
    </cfRule>
    <cfRule type="expression" dxfId="882" priority="84">
      <formula>$N$27&lt;0</formula>
    </cfRule>
  </conditionalFormatting>
  <conditionalFormatting sqref="A17:O26 A34:O43">
    <cfRule type="expression" dxfId="881" priority="91">
      <formula>AND($N17 &gt; 0, ISNUMBER($N17))</formula>
    </cfRule>
    <cfRule type="expression" dxfId="880" priority="92">
      <formula>AND($N17 &lt; 0, ISNUMBER($N17))</formula>
    </cfRule>
    <cfRule type="expression" dxfId="879" priority="93">
      <formula>AND($K17 &gt; 0, ISNUMBER($K17))</formula>
    </cfRule>
    <cfRule type="expression" dxfId="878" priority="94">
      <formula>AND($K17 &lt; 0, ISNUMBER($K17))</formula>
    </cfRule>
    <cfRule type="expression" dxfId="877" priority="95">
      <formula>AND($H17 &gt; 0, ISNUMBER($H17))</formula>
    </cfRule>
    <cfRule type="expression" dxfId="876" priority="96">
      <formula>AND($H17 &lt; 0, ISNUMBER($H17))</formula>
    </cfRule>
    <cfRule type="expression" dxfId="875" priority="97">
      <formula>AND($E17 &gt; 0, ISNUMBER($E17))</formula>
    </cfRule>
    <cfRule type="expression" dxfId="874" priority="98">
      <formula>AND($E17 &lt; 0, ISNUMBER($E17))</formula>
    </cfRule>
  </conditionalFormatting>
  <conditionalFormatting sqref="D32:F33 E44:F44">
    <cfRule type="expression" dxfId="873" priority="81">
      <formula>$E$44&gt;0</formula>
    </cfRule>
    <cfRule type="expression" dxfId="872" priority="82">
      <formula>$E$44&lt;0</formula>
    </cfRule>
  </conditionalFormatting>
  <conditionalFormatting sqref="G32:I33 H44:I44">
    <cfRule type="expression" dxfId="871" priority="79">
      <formula>$H$44&gt;0</formula>
    </cfRule>
    <cfRule type="expression" dxfId="870" priority="80">
      <formula>$H$44&lt;0</formula>
    </cfRule>
  </conditionalFormatting>
  <conditionalFormatting sqref="J32:L33 K44:L44">
    <cfRule type="expression" dxfId="869" priority="77">
      <formula>$K$44&gt;0</formula>
    </cfRule>
    <cfRule type="expression" dxfId="868" priority="78">
      <formula>$K$44&lt;0</formula>
    </cfRule>
  </conditionalFormatting>
  <conditionalFormatting sqref="M32:O33 N44:O44">
    <cfRule type="expression" dxfId="867" priority="75">
      <formula>$N$44&gt;0</formula>
    </cfRule>
    <cfRule type="expression" dxfId="866" priority="76">
      <formula>$N$44&lt;0</formula>
    </cfRule>
  </conditionalFormatting>
  <conditionalFormatting sqref="A51:O60">
    <cfRule type="expression" dxfId="865" priority="67">
      <formula>AND($N51 &gt; 0, ISNUMBER($N51))</formula>
    </cfRule>
    <cfRule type="expression" dxfId="864" priority="68">
      <formula>AND($N51 &lt; 0, ISNUMBER($N51))</formula>
    </cfRule>
    <cfRule type="expression" dxfId="863" priority="69">
      <formula>AND($K51 &gt; 0, ISNUMBER($K51))</formula>
    </cfRule>
    <cfRule type="expression" dxfId="862" priority="70">
      <formula>AND($K51 &lt; 0, ISNUMBER($K51))</formula>
    </cfRule>
    <cfRule type="expression" dxfId="861" priority="71">
      <formula>AND($H51 &gt; 0, ISNUMBER($H51))</formula>
    </cfRule>
    <cfRule type="expression" dxfId="860" priority="72">
      <formula>AND($H51 &lt; 0, ISNUMBER($H51))</formula>
    </cfRule>
    <cfRule type="expression" dxfId="859" priority="73">
      <formula>AND($E51 &gt; 0, ISNUMBER($E51))</formula>
    </cfRule>
    <cfRule type="expression" dxfId="858" priority="74">
      <formula>AND($E51 &lt; 0, ISNUMBER($E51))</formula>
    </cfRule>
  </conditionalFormatting>
  <conditionalFormatting sqref="D49:F50 E61:F61">
    <cfRule type="expression" dxfId="857" priority="65">
      <formula>$E$61&gt;0</formula>
    </cfRule>
    <cfRule type="expression" dxfId="856" priority="66">
      <formula>$E$61&lt;0</formula>
    </cfRule>
  </conditionalFormatting>
  <conditionalFormatting sqref="G49:I50 H61:I61">
    <cfRule type="expression" dxfId="855" priority="63">
      <formula>$H$61&gt;0</formula>
    </cfRule>
    <cfRule type="expression" dxfId="854" priority="64">
      <formula>$H$61&lt;0</formula>
    </cfRule>
  </conditionalFormatting>
  <conditionalFormatting sqref="J49:L50 K61:L61">
    <cfRule type="expression" dxfId="853" priority="61">
      <formula>$K$61&gt;0</formula>
    </cfRule>
    <cfRule type="expression" dxfId="852" priority="62">
      <formula>$K$61&lt;0</formula>
    </cfRule>
  </conditionalFormatting>
  <conditionalFormatting sqref="M49:O50 N61:O61">
    <cfRule type="expression" dxfId="851" priority="59">
      <formula>$N$61&gt;0</formula>
    </cfRule>
    <cfRule type="expression" dxfId="850" priority="60">
      <formula>$N$61&lt;0</formula>
    </cfRule>
  </conditionalFormatting>
  <conditionalFormatting sqref="A68:O77">
    <cfRule type="expression" dxfId="849" priority="51">
      <formula>AND($N68 &gt; 0, ISNUMBER($N68))</formula>
    </cfRule>
    <cfRule type="expression" dxfId="848" priority="52">
      <formula>AND($N68 &lt; 0, ISNUMBER($N68))</formula>
    </cfRule>
    <cfRule type="expression" dxfId="847" priority="53">
      <formula>AND($K68 &gt; 0, ISNUMBER($K68))</formula>
    </cfRule>
    <cfRule type="expression" dxfId="846" priority="54">
      <formula>AND($K68 &lt; 0, ISNUMBER($K68))</formula>
    </cfRule>
    <cfRule type="expression" dxfId="845" priority="55">
      <formula>AND($H68 &gt; 0, ISNUMBER($H68))</formula>
    </cfRule>
    <cfRule type="expression" dxfId="844" priority="56">
      <formula>AND($H68 &lt; 0, ISNUMBER($H68))</formula>
    </cfRule>
    <cfRule type="expression" dxfId="843" priority="57">
      <formula>AND($E68 &gt; 0, ISNUMBER($E68))</formula>
    </cfRule>
    <cfRule type="expression" dxfId="842" priority="58">
      <formula>AND($E68 &lt; 0, ISNUMBER($E68))</formula>
    </cfRule>
  </conditionalFormatting>
  <conditionalFormatting sqref="D66:F67 E78:F78">
    <cfRule type="expression" dxfId="841" priority="49">
      <formula>$E$78&gt;0</formula>
    </cfRule>
    <cfRule type="expression" dxfId="840" priority="50">
      <formula>$E$78&lt;0</formula>
    </cfRule>
  </conditionalFormatting>
  <conditionalFormatting sqref="G66:I67 H78:I78">
    <cfRule type="expression" dxfId="839" priority="47">
      <formula>$H$78&gt;0</formula>
    </cfRule>
    <cfRule type="expression" dxfId="838" priority="48">
      <formula>$H$78&lt;0</formula>
    </cfRule>
  </conditionalFormatting>
  <conditionalFormatting sqref="J66:L67 K78:L78">
    <cfRule type="expression" dxfId="837" priority="45">
      <formula>$K$78&gt;0</formula>
    </cfRule>
    <cfRule type="expression" dxfId="836" priority="46">
      <formula>$K$78&lt;0</formula>
    </cfRule>
  </conditionalFormatting>
  <conditionalFormatting sqref="M66:O67 N78:O78">
    <cfRule type="expression" dxfId="835" priority="43">
      <formula>$N$78&gt;0</formula>
    </cfRule>
    <cfRule type="expression" dxfId="834" priority="44">
      <formula>$N$78&lt;0</formula>
    </cfRule>
  </conditionalFormatting>
  <conditionalFormatting sqref="A85:O94">
    <cfRule type="expression" dxfId="833" priority="35">
      <formula>AND($N85 &gt; 0, ISNUMBER($N85))</formula>
    </cfRule>
    <cfRule type="expression" dxfId="832" priority="36">
      <formula>AND($N85 &lt; 0, ISNUMBER($N85))</formula>
    </cfRule>
    <cfRule type="expression" dxfId="831" priority="37">
      <formula>AND($K85 &gt; 0, ISNUMBER($K85))</formula>
    </cfRule>
    <cfRule type="expression" dxfId="830" priority="38">
      <formula>AND($K85 &lt; 0, ISNUMBER($K85))</formula>
    </cfRule>
    <cfRule type="expression" dxfId="829" priority="39">
      <formula>AND($H85 &gt; 0, ISNUMBER($H85))</formula>
    </cfRule>
    <cfRule type="expression" dxfId="828" priority="40">
      <formula>AND($H85 &lt; 0, ISNUMBER($H85))</formula>
    </cfRule>
    <cfRule type="expression" dxfId="827" priority="41">
      <formula>AND($E85 &gt; 0, ISNUMBER($E85))</formula>
    </cfRule>
    <cfRule type="expression" dxfId="826" priority="42">
      <formula>AND($E85 &lt; 0, ISNUMBER($E85))</formula>
    </cfRule>
  </conditionalFormatting>
  <conditionalFormatting sqref="D83:F84 E95:F95">
    <cfRule type="expression" dxfId="825" priority="33">
      <formula>$E$95&gt;0</formula>
    </cfRule>
    <cfRule type="expression" dxfId="824" priority="34">
      <formula>$E$95&lt;0</formula>
    </cfRule>
  </conditionalFormatting>
  <conditionalFormatting sqref="G83:I84 H95:I95">
    <cfRule type="expression" dxfId="823" priority="31">
      <formula>$H$95&gt;0</formula>
    </cfRule>
    <cfRule type="expression" dxfId="822" priority="32">
      <formula>$H$95&lt;0</formula>
    </cfRule>
  </conditionalFormatting>
  <conditionalFormatting sqref="J83:L84 K95:L95">
    <cfRule type="expression" dxfId="821" priority="29">
      <formula>$K$95&gt;0</formula>
    </cfRule>
    <cfRule type="expression" dxfId="820" priority="30">
      <formula>$K$95&lt;0</formula>
    </cfRule>
  </conditionalFormatting>
  <conditionalFormatting sqref="M83:O84 N95:O95">
    <cfRule type="expression" dxfId="819" priority="27">
      <formula>$N$95&gt;0</formula>
    </cfRule>
    <cfRule type="expression" dxfId="818" priority="28">
      <formula>$N$95&lt;0</formula>
    </cfRule>
  </conditionalFormatting>
  <conditionalFormatting sqref="A102:O111">
    <cfRule type="expression" dxfId="817" priority="19">
      <formula>AND($N102 &gt; 0, ISNUMBER($N102))</formula>
    </cfRule>
    <cfRule type="expression" dxfId="816" priority="20">
      <formula>AND($N102 &lt; 0, ISNUMBER($N102))</formula>
    </cfRule>
    <cfRule type="expression" dxfId="815" priority="21">
      <formula>AND($K102 &gt; 0, ISNUMBER($K102))</formula>
    </cfRule>
    <cfRule type="expression" dxfId="814" priority="22">
      <formula>AND($K102 &lt; 0, ISNUMBER($K102))</formula>
    </cfRule>
    <cfRule type="expression" dxfId="813" priority="23">
      <formula>AND($H102 &gt; 0, ISNUMBER($H102))</formula>
    </cfRule>
    <cfRule type="expression" dxfId="812" priority="24">
      <formula>AND($H102 &lt; 0, ISNUMBER($H102))</formula>
    </cfRule>
    <cfRule type="expression" dxfId="811" priority="25">
      <formula>AND($E102 &gt; 0, ISNUMBER($E102))</formula>
    </cfRule>
    <cfRule type="expression" dxfId="810" priority="26">
      <formula>AND($E102 &lt; 0, ISNUMBER($E102))</formula>
    </cfRule>
  </conditionalFormatting>
  <conditionalFormatting sqref="D100:F101 E112:F112">
    <cfRule type="expression" dxfId="809" priority="17">
      <formula>$E$112&gt;0</formula>
    </cfRule>
    <cfRule type="expression" dxfId="808" priority="18">
      <formula>$E$112&lt;0</formula>
    </cfRule>
  </conditionalFormatting>
  <conditionalFormatting sqref="G100:I101 H112:I112">
    <cfRule type="expression" dxfId="807" priority="15">
      <formula>$H$112&gt;0</formula>
    </cfRule>
    <cfRule type="expression" dxfId="806" priority="16">
      <formula>$H$112&lt;0</formula>
    </cfRule>
  </conditionalFormatting>
  <conditionalFormatting sqref="J100:L101 K112:L112">
    <cfRule type="expression" dxfId="805" priority="13">
      <formula>$K$112&gt;0</formula>
    </cfRule>
    <cfRule type="expression" dxfId="804" priority="14">
      <formula>$K$112&lt;0</formula>
    </cfRule>
  </conditionalFormatting>
  <conditionalFormatting sqref="M100:O101 N112:O112">
    <cfRule type="expression" dxfId="803" priority="11">
      <formula>$N$112&gt;0</formula>
    </cfRule>
    <cfRule type="expression" dxfId="802" priority="12">
      <formula>$N$112&lt;0</formula>
    </cfRule>
  </conditionalFormatting>
  <conditionalFormatting sqref="G2:I3">
    <cfRule type="expression" dxfId="80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0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9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9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79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79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79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79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79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79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74465-340F-4153-ACF1-FE710F9E4A18}">
  <sheetPr codeName="Sheet15"/>
  <dimension ref="A1:R112"/>
  <sheetViews>
    <sheetView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44299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17,084 KRW (1.71%)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35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-13,866 KRW (-2.31%)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-2,990 KRW (-0.30%)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6,905 KRW (0.69%)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-29,406 KRW (-2.94%)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35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30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1" t="s">
        <v>67</v>
      </c>
      <c r="H16" s="132" t="s">
        <v>68</v>
      </c>
      <c r="I16" s="133" t="s">
        <v>70</v>
      </c>
      <c r="J16" s="4" t="s">
        <v>67</v>
      </c>
      <c r="K16" s="4" t="s">
        <v>68</v>
      </c>
      <c r="L16" s="134" t="s">
        <v>70</v>
      </c>
      <c r="M16" s="18" t="s">
        <v>67</v>
      </c>
      <c r="N16" s="4" t="s">
        <v>68</v>
      </c>
      <c r="O16" s="136" t="s">
        <v>70</v>
      </c>
      <c r="Q16" s="206"/>
      <c r="R16" s="207"/>
    </row>
    <row r="17" spans="1:18" ht="17.25" customHeight="1">
      <c r="A17" s="39" t="s">
        <v>192</v>
      </c>
      <c r="B17" s="89">
        <f>IF(NOT(_xlfn.IFNA(VLOOKUP($A17, $A$30:$O$112, 2, FALSE), "")=0), _xlfn.IFNA(VLOOKUP($A17, $A$30:$O$112, 2, FALSE), ""), "")</f>
        <v>3165</v>
      </c>
      <c r="C17" s="22">
        <f>IF(NOT(_xlfn.IFNA(VLOOKUP($A17, $A$30:$O$112, 3, FALSE), "")=0), _xlfn.IFNA(VLOOKUP($A17, $A$30:$O$112, 3, FALSE), ""), "")</f>
        <v>0.18097014929999999</v>
      </c>
      <c r="D17" s="89">
        <f>IF(NOT(_xlfn.IFNA(VLOOKUP($A17, $A$30:$O$112, 4, FALSE), "")=0), _xlfn.IFNA(VLOOKUP($A17, $A$30:$O$112, 4, FALSE), ""), "")</f>
        <v>3370</v>
      </c>
      <c r="E17" s="22">
        <f>IF(NOT(_xlfn.IFNA(VLOOKUP($A17, $A$30:$O$112, 5, FALSE), "")=0), _xlfn.IFNA(VLOOKUP($A17, $A$30:$O$112, 5, FALSE), ""), "")</f>
        <v>6.4770932069510262E-2</v>
      </c>
      <c r="F17" s="58">
        <f>IF(NOT(_xlfn.IFNA(VLOOKUP($A17, $A$30:$O$112, 6, FALSE), "")=0), _xlfn.IFNA(VLOOKUP($A17, $A$30:$O$112, 6, FALSE), ""), "")</f>
        <v>6477.0932069510263</v>
      </c>
      <c r="G17" s="36">
        <f t="shared" ref="G17:G26" si="0">IF(NOT(_xlfn.IFNA(VLOOKUP($A17, $A$30:$O$112, 7, FALSE), "")=0), _xlfn.IFNA(VLOOKUP($A17, $A$30:$O$112, 7, FALSE), ""), "")</f>
        <v>3295</v>
      </c>
      <c r="H17" s="5">
        <f>IF(NOT(_xlfn.IFNA(VLOOKUP($A17, $A$30:$O$112, 8, FALSE), "")=0), _xlfn.IFNA(VLOOKUP($A17, $A$30:$O$112, 8, FALSE), ""), "")</f>
        <v>4.1074249605055291E-2</v>
      </c>
      <c r="I17" s="59">
        <f>IF(NOT(_xlfn.IFNA(VLOOKUP($A17, $A$30:$O$112, 9, FALSE), "")=0), _xlfn.IFNA(VLOOKUP($A17, $A$30:$O$112, 9, FALSE), ""), "")</f>
        <v>4107.4249605055293</v>
      </c>
      <c r="J17" s="89">
        <f>IF(NOT(_xlfn.IFNA(VLOOKUP($A17, $A$30:$O$112, 10, FALSE), "")=0), _xlfn.IFNA(VLOOKUP($A17, $A$30:$O$112, 10, FALSE), ""), "")</f>
        <v>3435</v>
      </c>
      <c r="K17" s="22">
        <f>IF(NOT(_xlfn.IFNA(VLOOKUP($A17, $A$30:$O$112, 11, FALSE), "")=0), _xlfn.IFNA(VLOOKUP($A17, $A$30:$O$112, 11, FALSE), ""), "")</f>
        <v>8.5308056872037921E-2</v>
      </c>
      <c r="L17" s="58">
        <f>IF(NOT(_xlfn.IFNA(VLOOKUP($A17, $A$30:$O$112, 12, FALSE), "")=0), _xlfn.IFNA(VLOOKUP($A17, $A$30:$O$112, 12, FALSE), ""), "")</f>
        <v>8530.8056872037923</v>
      </c>
      <c r="M17" s="89">
        <f>IF(NOT(_xlfn.IFNA(VLOOKUP($A17, $A$30:$O$112, 13, FALSE), "")=0), _xlfn.IFNA(VLOOKUP($A17, $A$30:$O$112, 13, FALSE), ""), "")</f>
        <v>3395</v>
      </c>
      <c r="N17" s="22">
        <f>IF(NOT(_xlfn.IFNA(VLOOKUP($A17, $A$30:$O$112, 14, FALSE), "")=0), _xlfn.IFNA(VLOOKUP($A17, $A$30:$O$112, 14, FALSE), ""), "")</f>
        <v>7.266982622432859E-2</v>
      </c>
      <c r="O17" s="43">
        <f>IF(NOT(_xlfn.IFNA(VLOOKUP($A17, $A$30:$O$112, 15, FALSE), "")=0), _xlfn.IFNA(VLOOKUP($A17, $A$30:$O$112, 15, FALSE), ""), "")</f>
        <v>7266.982622432859</v>
      </c>
      <c r="Q17" s="204"/>
      <c r="R17" s="205"/>
    </row>
    <row r="18" spans="1:18" ht="17.25" customHeight="1">
      <c r="A18" s="40" t="s">
        <v>191</v>
      </c>
      <c r="B18" s="36">
        <f t="shared" ref="B18:B26" si="1">IF(NOT(_xlfn.IFNA(VLOOKUP($A18, $A$30:$O$112, 2, FALSE), "")=0), _xlfn.IFNA(VLOOKUP($A18, $A$30:$O$112, 2, FALSE), ""), "")</f>
        <v>10590</v>
      </c>
      <c r="C18" s="5">
        <f t="shared" ref="C18:C26" si="2">IF(NOT(_xlfn.IFNA(VLOOKUP($A18, $A$30:$O$112, 3, FALSE), "")=0), _xlfn.IFNA(VLOOKUP($A18, $A$30:$O$112, 3, FALSE), ""), "")</f>
        <v>0.1135646688</v>
      </c>
      <c r="D18" s="36">
        <f t="shared" ref="D18:D26" si="3">IF(NOT(_xlfn.IFNA(VLOOKUP($A18, $A$30:$O$112, 4, FALSE), "")=0), _xlfn.IFNA(VLOOKUP($A18, $A$30:$O$112, 4, FALSE), ""), "")</f>
        <v>11010</v>
      </c>
      <c r="E18" s="5">
        <f t="shared" ref="E18:E26" si="4">IF(NOT(_xlfn.IFNA(VLOOKUP($A18, $A$30:$O$112, 5, FALSE), "")=0), _xlfn.IFNA(VLOOKUP($A18, $A$30:$O$112, 5, FALSE), ""), "")</f>
        <v>3.9660056657223795E-2</v>
      </c>
      <c r="F18" s="59">
        <f t="shared" ref="F18:F26" si="5">IF(NOT(_xlfn.IFNA(VLOOKUP($A18, $A$30:$O$112, 6, FALSE), "")=0), _xlfn.IFNA(VLOOKUP($A18, $A$30:$O$112, 6, FALSE), ""), "")</f>
        <v>3966.0056657223795</v>
      </c>
      <c r="G18" s="36">
        <f t="shared" si="0"/>
        <v>10400</v>
      </c>
      <c r="H18" s="5">
        <f t="shared" ref="H18:H26" si="6">IF(NOT(_xlfn.IFNA(VLOOKUP($A18, $A$30:$O$112, 8, FALSE), "")=0), _xlfn.IFNA(VLOOKUP($A18, $A$30:$O$112, 8, FALSE), ""), "")</f>
        <v>-1.794145420207743E-2</v>
      </c>
      <c r="I18" s="59">
        <f t="shared" ref="I18:I26" si="7">IF(NOT(_xlfn.IFNA(VLOOKUP($A18, $A$30:$O$112, 9, FALSE), "")=0), _xlfn.IFNA(VLOOKUP($A18, $A$30:$O$112, 9, FALSE), ""), "")</f>
        <v>-1794.145420207743</v>
      </c>
      <c r="J18" s="36">
        <f t="shared" ref="J18:J26" si="8">IF(NOT(_xlfn.IFNA(VLOOKUP($A18, $A$30:$O$112, 10, FALSE), "")=0), _xlfn.IFNA(VLOOKUP($A18, $A$30:$O$112, 10, FALSE), ""), "")</f>
        <v>10460</v>
      </c>
      <c r="K18" s="5">
        <f t="shared" ref="K18:K26" si="9">IF(NOT(_xlfn.IFNA(VLOOKUP($A18, $A$30:$O$112, 11, FALSE), "")=0), _xlfn.IFNA(VLOOKUP($A18, $A$30:$O$112, 11, FALSE), ""), "")</f>
        <v>-1.2275731822474031E-2</v>
      </c>
      <c r="L18" s="59">
        <f t="shared" ref="L18:L26" si="10">IF(NOT(_xlfn.IFNA(VLOOKUP($A18, $A$30:$O$112, 12, FALSE), "")=0), _xlfn.IFNA(VLOOKUP($A18, $A$30:$O$112, 12, FALSE), ""), "")</f>
        <v>-1227.5731822474031</v>
      </c>
      <c r="M18" s="36">
        <f t="shared" ref="M18:M26" si="11">IF(NOT(_xlfn.IFNA(VLOOKUP($A18, $A$30:$O$112, 13, FALSE), "")=0), _xlfn.IFNA(VLOOKUP($A18, $A$30:$O$112, 13, FALSE), ""), "")</f>
        <v>10320</v>
      </c>
      <c r="N18" s="5">
        <f t="shared" ref="N18:N26" si="12">IF(NOT(_xlfn.IFNA(VLOOKUP($A18, $A$30:$O$112, 14, FALSE), "")=0), _xlfn.IFNA(VLOOKUP($A18, $A$30:$O$112, 14, FALSE), ""), "")</f>
        <v>-2.5495750708215296E-2</v>
      </c>
      <c r="O18" s="44">
        <f t="shared" ref="O18:O26" si="13">IF(NOT(_xlfn.IFNA(VLOOKUP($A18, $A$30:$O$112, 15, FALSE), "")=0), _xlfn.IFNA(VLOOKUP($A18, $A$30:$O$112, 15, FALSE), ""), "")</f>
        <v>-2549.5750708215296</v>
      </c>
      <c r="Q18" s="204"/>
      <c r="R18" s="205"/>
    </row>
    <row r="19" spans="1:18" ht="17.25" customHeight="1">
      <c r="A19" s="40" t="s">
        <v>210</v>
      </c>
      <c r="B19" s="36">
        <f t="shared" si="1"/>
        <v>6660</v>
      </c>
      <c r="C19" s="5">
        <f t="shared" si="2"/>
        <v>7.8542510100000004E-2</v>
      </c>
      <c r="D19" s="36">
        <f t="shared" si="3"/>
        <v>6220</v>
      </c>
      <c r="E19" s="5">
        <f t="shared" si="4"/>
        <v>-6.6066066066066062E-2</v>
      </c>
      <c r="F19" s="59">
        <f t="shared" si="5"/>
        <v>-6606.606606606606</v>
      </c>
      <c r="G19" s="36">
        <f t="shared" si="0"/>
        <v>6235</v>
      </c>
      <c r="H19" s="5">
        <f t="shared" si="6"/>
        <v>-6.3813813813813819E-2</v>
      </c>
      <c r="I19" s="59">
        <f t="shared" si="7"/>
        <v>-6381.3813813813822</v>
      </c>
      <c r="J19" s="36">
        <f t="shared" si="8"/>
        <v>6210</v>
      </c>
      <c r="K19" s="5">
        <f t="shared" si="9"/>
        <v>-6.7567567567567571E-2</v>
      </c>
      <c r="L19" s="59">
        <f t="shared" si="10"/>
        <v>-6756.7567567567576</v>
      </c>
      <c r="M19" s="36">
        <f t="shared" si="11"/>
        <v>6180</v>
      </c>
      <c r="N19" s="5">
        <f t="shared" si="12"/>
        <v>-7.2072072072072071E-2</v>
      </c>
      <c r="O19" s="44">
        <f t="shared" si="13"/>
        <v>-7207.2072072072069</v>
      </c>
      <c r="Q19" s="204"/>
      <c r="R19" s="205"/>
    </row>
    <row r="20" spans="1:18" ht="17.25" customHeight="1">
      <c r="A20" s="40" t="s">
        <v>164</v>
      </c>
      <c r="B20" s="36">
        <f t="shared" si="1"/>
        <v>172</v>
      </c>
      <c r="C20" s="5">
        <f t="shared" si="2"/>
        <v>7.4999999999999997E-2</v>
      </c>
      <c r="D20" s="36">
        <f t="shared" si="3"/>
        <v>170</v>
      </c>
      <c r="E20" s="5">
        <f t="shared" si="4"/>
        <v>-1.1627906976744186E-2</v>
      </c>
      <c r="F20" s="59">
        <f t="shared" si="5"/>
        <v>-1162.7906976744187</v>
      </c>
      <c r="G20" s="36">
        <f t="shared" si="0"/>
        <v>175</v>
      </c>
      <c r="H20" s="5">
        <f t="shared" si="6"/>
        <v>1.7441860465116279E-2</v>
      </c>
      <c r="I20" s="59">
        <f t="shared" si="7"/>
        <v>1744.1860465116279</v>
      </c>
      <c r="J20" s="36">
        <f t="shared" si="8"/>
        <v>183</v>
      </c>
      <c r="K20" s="5">
        <f t="shared" si="9"/>
        <v>6.3953488372093026E-2</v>
      </c>
      <c r="L20" s="59">
        <f t="shared" si="10"/>
        <v>6395.3488372093025</v>
      </c>
      <c r="M20" s="36">
        <f t="shared" si="11"/>
        <v>182</v>
      </c>
      <c r="N20" s="5">
        <f t="shared" si="12"/>
        <v>5.8139534883720929E-2</v>
      </c>
      <c r="O20" s="44">
        <f t="shared" si="13"/>
        <v>5813.9534883720926</v>
      </c>
      <c r="Q20" s="204"/>
      <c r="R20" s="205"/>
    </row>
    <row r="21" spans="1:18" ht="17.25" customHeight="1">
      <c r="A21" s="41" t="s">
        <v>92</v>
      </c>
      <c r="B21" s="37">
        <f t="shared" si="1"/>
        <v>6290</v>
      </c>
      <c r="C21" s="24">
        <f t="shared" si="2"/>
        <v>7.0638297899999994E-2</v>
      </c>
      <c r="D21" s="37">
        <f t="shared" si="3"/>
        <v>6015</v>
      </c>
      <c r="E21" s="24">
        <f t="shared" si="4"/>
        <v>-4.372019077901431E-2</v>
      </c>
      <c r="F21" s="60">
        <f t="shared" si="5"/>
        <v>-4372.019077901431</v>
      </c>
      <c r="G21" s="37">
        <f t="shared" si="0"/>
        <v>5790</v>
      </c>
      <c r="H21" s="24">
        <f t="shared" si="6"/>
        <v>-7.9491255961844198E-2</v>
      </c>
      <c r="I21" s="60">
        <f t="shared" si="7"/>
        <v>-7949.1255961844199</v>
      </c>
      <c r="J21" s="37">
        <f t="shared" si="8"/>
        <v>5760</v>
      </c>
      <c r="K21" s="24">
        <f t="shared" si="9"/>
        <v>-8.4260731319554846E-2</v>
      </c>
      <c r="L21" s="60">
        <f t="shared" si="10"/>
        <v>-8426.0731319554852</v>
      </c>
      <c r="M21" s="37">
        <f t="shared" si="11"/>
        <v>5845</v>
      </c>
      <c r="N21" s="24">
        <f t="shared" si="12"/>
        <v>-7.0747217806041332E-2</v>
      </c>
      <c r="O21" s="62">
        <f t="shared" si="13"/>
        <v>-7074.7217806041335</v>
      </c>
      <c r="Q21" s="204"/>
      <c r="R21" s="205"/>
    </row>
    <row r="22" spans="1:18" ht="17.25" customHeight="1">
      <c r="A22" s="40" t="s">
        <v>190</v>
      </c>
      <c r="B22" s="36">
        <f t="shared" si="1"/>
        <v>4905</v>
      </c>
      <c r="C22" s="5">
        <f t="shared" si="2"/>
        <v>6.2838569900000002E-2</v>
      </c>
      <c r="D22" s="36">
        <f t="shared" si="3"/>
        <v>5915</v>
      </c>
      <c r="E22" s="5">
        <f t="shared" si="4"/>
        <v>0.20591233435270132</v>
      </c>
      <c r="F22" s="59">
        <f t="shared" si="5"/>
        <v>20591.233435270133</v>
      </c>
      <c r="G22" s="36">
        <f t="shared" si="0"/>
        <v>5355</v>
      </c>
      <c r="H22" s="5">
        <f t="shared" si="6"/>
        <v>9.1743119266055051E-2</v>
      </c>
      <c r="I22" s="59">
        <f t="shared" si="7"/>
        <v>9174.3119266055055</v>
      </c>
      <c r="J22" s="36">
        <f t="shared" si="8"/>
        <v>5380</v>
      </c>
      <c r="K22" s="5">
        <f t="shared" si="9"/>
        <v>9.6839959225280325E-2</v>
      </c>
      <c r="L22" s="59">
        <f t="shared" si="10"/>
        <v>9683.9959225280327</v>
      </c>
      <c r="M22" s="36">
        <f t="shared" si="11"/>
        <v>5275</v>
      </c>
      <c r="N22" s="5">
        <f t="shared" si="12"/>
        <v>7.5433231396534142E-2</v>
      </c>
      <c r="O22" s="44">
        <f t="shared" si="13"/>
        <v>7543.3231396534138</v>
      </c>
      <c r="Q22" s="204"/>
      <c r="R22" s="205"/>
    </row>
    <row r="23" spans="1:18" ht="17.25" customHeight="1">
      <c r="A23" s="40" t="s">
        <v>138</v>
      </c>
      <c r="B23" s="36">
        <f t="shared" si="1"/>
        <v>204</v>
      </c>
      <c r="C23" s="5">
        <f t="shared" si="2"/>
        <v>6.25E-2</v>
      </c>
      <c r="D23" s="36">
        <f t="shared" si="3"/>
        <v>202</v>
      </c>
      <c r="E23" s="5">
        <f t="shared" si="4"/>
        <v>-9.8039215686274508E-3</v>
      </c>
      <c r="F23" s="59">
        <f t="shared" si="5"/>
        <v>-980.39215686274508</v>
      </c>
      <c r="G23" s="36">
        <f t="shared" si="0"/>
        <v>201</v>
      </c>
      <c r="H23" s="5">
        <f t="shared" si="6"/>
        <v>-1.4705882352941176E-2</v>
      </c>
      <c r="I23" s="59">
        <f t="shared" si="7"/>
        <v>-1470.5882352941176</v>
      </c>
      <c r="J23" s="36">
        <f t="shared" si="8"/>
        <v>201</v>
      </c>
      <c r="K23" s="5">
        <f t="shared" si="9"/>
        <v>-1.4705882352941176E-2</v>
      </c>
      <c r="L23" s="59">
        <f t="shared" si="10"/>
        <v>-1470.5882352941176</v>
      </c>
      <c r="M23" s="36">
        <f t="shared" si="11"/>
        <v>210</v>
      </c>
      <c r="N23" s="5">
        <f t="shared" si="12"/>
        <v>2.9411764705882353E-2</v>
      </c>
      <c r="O23" s="44">
        <f t="shared" si="13"/>
        <v>2941.1764705882351</v>
      </c>
      <c r="Q23" s="204"/>
      <c r="R23" s="205"/>
    </row>
    <row r="24" spans="1:18" ht="17.25" customHeight="1">
      <c r="A24" s="40" t="s">
        <v>125</v>
      </c>
      <c r="B24" s="36">
        <f t="shared" si="1"/>
        <v>644</v>
      </c>
      <c r="C24" s="5">
        <f t="shared" si="2"/>
        <v>5.2287581700000002E-2</v>
      </c>
      <c r="D24" s="36">
        <f t="shared" si="3"/>
        <v>737</v>
      </c>
      <c r="E24" s="5">
        <f t="shared" si="4"/>
        <v>0.14440993788819875</v>
      </c>
      <c r="F24" s="59">
        <f t="shared" si="5"/>
        <v>14440.993788819875</v>
      </c>
      <c r="G24" s="36">
        <f t="shared" si="0"/>
        <v>674</v>
      </c>
      <c r="H24" s="5">
        <f t="shared" si="6"/>
        <v>4.6583850931677016E-2</v>
      </c>
      <c r="I24" s="59">
        <f t="shared" si="7"/>
        <v>4658.3850931677016</v>
      </c>
      <c r="J24" s="36">
        <f t="shared" si="8"/>
        <v>671</v>
      </c>
      <c r="K24" s="5">
        <f t="shared" si="9"/>
        <v>4.192546583850932E-2</v>
      </c>
      <c r="L24" s="59">
        <f t="shared" si="10"/>
        <v>4192.5465838509317</v>
      </c>
      <c r="M24" s="36">
        <f t="shared" si="11"/>
        <v>677</v>
      </c>
      <c r="N24" s="5">
        <f t="shared" si="12"/>
        <v>5.124223602484472E-2</v>
      </c>
      <c r="O24" s="44">
        <f t="shared" si="13"/>
        <v>5124.2236024844724</v>
      </c>
      <c r="Q24" s="204"/>
      <c r="R24" s="205"/>
    </row>
    <row r="25" spans="1:18" ht="17.25" customHeight="1">
      <c r="A25" s="40" t="s">
        <v>196</v>
      </c>
      <c r="B25" s="36">
        <f t="shared" si="1"/>
        <v>752</v>
      </c>
      <c r="C25" s="5">
        <f t="shared" si="2"/>
        <v>-1.44167759E-2</v>
      </c>
      <c r="D25" s="36">
        <f t="shared" si="3"/>
        <v>756</v>
      </c>
      <c r="E25" s="5">
        <f t="shared" si="4"/>
        <v>5.3191489361702126E-3</v>
      </c>
      <c r="F25" s="59">
        <f t="shared" si="5"/>
        <v>531.91489361702122</v>
      </c>
      <c r="G25" s="36">
        <f t="shared" si="0"/>
        <v>827</v>
      </c>
      <c r="H25" s="5">
        <f t="shared" si="6"/>
        <v>9.9734042553191488E-2</v>
      </c>
      <c r="I25" s="59">
        <f t="shared" si="7"/>
        <v>9973.4042553191484</v>
      </c>
      <c r="J25" s="36">
        <f t="shared" si="8"/>
        <v>830</v>
      </c>
      <c r="K25" s="5">
        <f t="shared" si="9"/>
        <v>0.10372340425531915</v>
      </c>
      <c r="L25" s="59">
        <f t="shared" si="10"/>
        <v>10372.340425531915</v>
      </c>
      <c r="M25" s="36">
        <f t="shared" si="11"/>
        <v>814</v>
      </c>
      <c r="N25" s="5">
        <f t="shared" si="12"/>
        <v>8.2446808510638292E-2</v>
      </c>
      <c r="O25" s="44">
        <f t="shared" si="13"/>
        <v>8244.6808510638293</v>
      </c>
      <c r="Q25" s="206"/>
      <c r="R25" s="207"/>
    </row>
    <row r="26" spans="1:18" ht="17.25" customHeight="1" thickBot="1">
      <c r="A26" s="42" t="s">
        <v>220</v>
      </c>
      <c r="B26" s="38">
        <f t="shared" si="1"/>
        <v>446</v>
      </c>
      <c r="C26" s="16">
        <f t="shared" si="2"/>
        <v>-2.4070021899999999E-2</v>
      </c>
      <c r="D26" s="38">
        <f t="shared" si="3"/>
        <v>445</v>
      </c>
      <c r="E26" s="16">
        <f t="shared" si="4"/>
        <v>-2.242152466367713E-3</v>
      </c>
      <c r="F26" s="61">
        <f t="shared" si="5"/>
        <v>-224.2152466367713</v>
      </c>
      <c r="G26" s="38">
        <f t="shared" si="0"/>
        <v>445</v>
      </c>
      <c r="H26" s="16">
        <f t="shared" si="6"/>
        <v>-2.242152466367713E-3</v>
      </c>
      <c r="I26" s="61">
        <f t="shared" si="7"/>
        <v>-224.2152466367713</v>
      </c>
      <c r="J26" s="38">
        <f t="shared" si="8"/>
        <v>447</v>
      </c>
      <c r="K26" s="16">
        <f t="shared" si="9"/>
        <v>2.242152466367713E-3</v>
      </c>
      <c r="L26" s="61">
        <f t="shared" si="10"/>
        <v>224.2152466367713</v>
      </c>
      <c r="M26" s="38">
        <f t="shared" si="11"/>
        <v>456</v>
      </c>
      <c r="N26" s="16">
        <f t="shared" si="12"/>
        <v>2.2421524663677129E-2</v>
      </c>
      <c r="O26" s="45">
        <f t="shared" si="13"/>
        <v>2242.1524663677128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3.2661217204698459E-2</v>
      </c>
      <c r="F27" s="47">
        <f>SUM(F17:F26)</f>
        <v>32661.217204698471</v>
      </c>
      <c r="G27" s="57" t="s">
        <v>82</v>
      </c>
      <c r="H27" s="46">
        <f>IF(COUNT(H17:H26), SUM(H17:H26) / COUNT(H17:H26), 0)</f>
        <v>1.1838256402405078E-2</v>
      </c>
      <c r="I27" s="47">
        <f>SUM(I17:I26)</f>
        <v>11838.256402405077</v>
      </c>
      <c r="J27" s="57" t="s">
        <v>82</v>
      </c>
      <c r="K27" s="46">
        <f>IF(COUNT(K17:K26), SUM(K17:K26) / COUNT(K17:K26), 0)</f>
        <v>2.1518261396706984E-2</v>
      </c>
      <c r="L27" s="47">
        <f>SUM(L17:L26)</f>
        <v>21518.261396706981</v>
      </c>
      <c r="M27" s="57" t="s">
        <v>82</v>
      </c>
      <c r="N27" s="46">
        <f>IF(COUNT(N17:N26), SUM(N17:N26) / COUNT(N17:N26), 0)</f>
        <v>2.2344988582329743E-2</v>
      </c>
      <c r="O27" s="47">
        <f>SUM(O17:O26)</f>
        <v>22344.988582329745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30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34" t="s">
        <v>70</v>
      </c>
      <c r="M33" s="18" t="s">
        <v>67</v>
      </c>
      <c r="N33" s="4" t="s">
        <v>68</v>
      </c>
      <c r="O33" s="136" t="s">
        <v>70</v>
      </c>
      <c r="Q33" s="231"/>
      <c r="R33" s="232"/>
    </row>
    <row r="34" spans="1:18" ht="17.25" customHeight="1">
      <c r="A34" s="9" t="s">
        <v>148</v>
      </c>
      <c r="B34" s="31">
        <v>76</v>
      </c>
      <c r="C34" s="22">
        <v>2.5641025599999999E-2</v>
      </c>
      <c r="D34" s="89">
        <v>77.3</v>
      </c>
      <c r="E34" s="22">
        <f>IF(ISNUMBER(D34), (D34 - $B34) / $B34, "")</f>
        <v>1.71052631578947E-2</v>
      </c>
      <c r="F34" s="43">
        <f>IF(ISNUMBER(D34), $B44 * E34, "")</f>
        <v>1710.5263157894699</v>
      </c>
      <c r="G34" s="89">
        <v>75.5</v>
      </c>
      <c r="H34" s="22">
        <f>IF(ISNUMBER(G34), (G34 - $B34) / $B34, "")</f>
        <v>-6.5789473684210523E-3</v>
      </c>
      <c r="I34" s="43">
        <f>IF(ISNUMBER(G34), $B44 * H34, "")</f>
        <v>-657.8947368421052</v>
      </c>
      <c r="J34" s="89">
        <v>75.099999999999994</v>
      </c>
      <c r="K34" s="22">
        <f>IF(ISNUMBER(J34), (J34 - $B34) / $B34, "")</f>
        <v>-1.184210526315797E-2</v>
      </c>
      <c r="L34" s="43">
        <f>IF(ISNUMBER(J34), $B44 * K34, "")</f>
        <v>-1184.2105263157969</v>
      </c>
      <c r="M34" s="89">
        <v>77.2</v>
      </c>
      <c r="N34" s="22">
        <f>IF(ISNUMBER(M34), (M34 - $B34) / $B34, "")</f>
        <v>1.5789473684210565E-2</v>
      </c>
      <c r="O34" s="43">
        <f>IF(ISNUMBER(M34), $B44 * N34, "")</f>
        <v>1578.9473684210566</v>
      </c>
      <c r="Q34" s="229"/>
      <c r="R34" s="230"/>
    </row>
    <row r="35" spans="1:18" ht="17.25" customHeight="1">
      <c r="A35" s="11" t="s">
        <v>143</v>
      </c>
      <c r="B35" s="32">
        <v>10.7</v>
      </c>
      <c r="C35" s="5">
        <v>-2.7272727300000001E-2</v>
      </c>
      <c r="D35" s="36">
        <v>10.3</v>
      </c>
      <c r="E35" s="5">
        <f t="shared" ref="E35:E43" si="14">IF(ISNUMBER(D35), (D35 - $B35) / $B35, "")</f>
        <v>-3.738317757009333E-2</v>
      </c>
      <c r="F35" s="44">
        <f>IF(ISNUMBER(D35), $B44 * E35, "")</f>
        <v>-3738.317757009333</v>
      </c>
      <c r="G35" s="36">
        <v>10.3</v>
      </c>
      <c r="H35" s="5">
        <f t="shared" ref="H35:H43" si="15">IF(ISNUMBER(G35), (G35 - $B35) / $B35, "")</f>
        <v>-3.738317757009333E-2</v>
      </c>
      <c r="I35" s="44">
        <f>IF(ISNUMBER(G35), $B44 * H35, "")</f>
        <v>-3738.317757009333</v>
      </c>
      <c r="J35" s="36">
        <v>10.199999999999999</v>
      </c>
      <c r="K35" s="5">
        <f t="shared" ref="K35:K43" si="16">IF(ISNUMBER(J35), (J35 - $B35) / $B35, "")</f>
        <v>-4.6728971962616828E-2</v>
      </c>
      <c r="L35" s="44">
        <f>IF(ISNUMBER(J35), $B44 * K35, "")</f>
        <v>-4672.8971962616824</v>
      </c>
      <c r="M35" s="36">
        <v>10.1</v>
      </c>
      <c r="N35" s="5">
        <f t="shared" ref="N35:N43" si="17">IF(ISNUMBER(M35), (M35 - $B35) / $B35, "")</f>
        <v>-5.6074766355140158E-2</v>
      </c>
      <c r="O35" s="44">
        <f>IF(ISNUMBER(M35), $B44 * N35, "")</f>
        <v>-5607.4766355140155</v>
      </c>
      <c r="Q35" s="229"/>
      <c r="R35" s="230"/>
    </row>
    <row r="36" spans="1:18" ht="17.25" customHeight="1">
      <c r="A36" s="11" t="s">
        <v>107</v>
      </c>
      <c r="B36" s="32">
        <v>45.8</v>
      </c>
      <c r="C36" s="5">
        <v>-3.7815126099999999E-2</v>
      </c>
      <c r="D36" s="36">
        <v>45.5</v>
      </c>
      <c r="E36" s="5">
        <f t="shared" si="14"/>
        <v>-6.5502183406112918E-3</v>
      </c>
      <c r="F36" s="44">
        <f>IF(ISNUMBER(D36), $B44 * E36, "")</f>
        <v>-655.0218340611292</v>
      </c>
      <c r="G36" s="36">
        <v>44</v>
      </c>
      <c r="H36" s="5">
        <f t="shared" si="15"/>
        <v>-3.9301310043668061E-2</v>
      </c>
      <c r="I36" s="44">
        <f>IF(ISNUMBER(G36), $B44 * H36, "")</f>
        <v>-3930.1310043668063</v>
      </c>
      <c r="J36" s="36">
        <v>43.5</v>
      </c>
      <c r="K36" s="5">
        <f t="shared" si="16"/>
        <v>-5.0218340611353655E-2</v>
      </c>
      <c r="L36" s="44">
        <f>IF(ISNUMBER(J36), $B44 * K36, "")</f>
        <v>-5021.8340611353651</v>
      </c>
      <c r="M36" s="36">
        <v>44.3</v>
      </c>
      <c r="N36" s="5">
        <f t="shared" si="17"/>
        <v>-3.2751091703056769E-2</v>
      </c>
      <c r="O36" s="44">
        <f>IF(ISNUMBER(M36), $B44 * N36, "")</f>
        <v>-3275.1091703056768</v>
      </c>
      <c r="Q36" s="229"/>
      <c r="R36" s="230"/>
    </row>
    <row r="37" spans="1:18" ht="17.25" customHeight="1">
      <c r="A37" s="11" t="s">
        <v>163</v>
      </c>
      <c r="B37" s="32">
        <v>34.6</v>
      </c>
      <c r="C37" s="5">
        <v>-4.4198895000000002E-2</v>
      </c>
      <c r="D37" s="36">
        <v>34.4</v>
      </c>
      <c r="E37" s="5">
        <f t="shared" si="14"/>
        <v>-5.7803468208093307E-3</v>
      </c>
      <c r="F37" s="44">
        <f>IF(ISNUMBER(D37), $B44 * E37, "")</f>
        <v>-578.03468208093307</v>
      </c>
      <c r="G37" s="36">
        <v>33.299999999999997</v>
      </c>
      <c r="H37" s="5">
        <f t="shared" si="15"/>
        <v>-3.7572254335260236E-2</v>
      </c>
      <c r="I37" s="44">
        <f>IF(ISNUMBER(G37), $B44 * H37, "")</f>
        <v>-3757.2254335260236</v>
      </c>
      <c r="J37" s="36">
        <v>33.1</v>
      </c>
      <c r="K37" s="5">
        <f t="shared" si="16"/>
        <v>-4.3352601156069363E-2</v>
      </c>
      <c r="L37" s="44">
        <f>IF(ISNUMBER(J37), $B44 * K37, "")</f>
        <v>-4335.2601156069368</v>
      </c>
      <c r="M37" s="36">
        <v>33.6</v>
      </c>
      <c r="N37" s="5">
        <f t="shared" si="17"/>
        <v>-2.8901734104046242E-2</v>
      </c>
      <c r="O37" s="44">
        <f>IF(ISNUMBER(M37), $B44 * N37, "")</f>
        <v>-2890.1734104046241</v>
      </c>
      <c r="Q37" s="229"/>
      <c r="R37" s="230"/>
    </row>
    <row r="38" spans="1:18" ht="17.25" customHeight="1">
      <c r="A38" s="8" t="s">
        <v>155</v>
      </c>
      <c r="B38" s="33">
        <v>28.1</v>
      </c>
      <c r="C38" s="24">
        <v>-4.42176871E-2</v>
      </c>
      <c r="D38" s="37">
        <v>29.5</v>
      </c>
      <c r="E38" s="24">
        <f t="shared" si="14"/>
        <v>4.9822064056939445E-2</v>
      </c>
      <c r="F38" s="44">
        <f>IF(ISNUMBER(D38), $B44 * E38, "")</f>
        <v>4982.2064056939444</v>
      </c>
      <c r="G38" s="37">
        <v>28.7</v>
      </c>
      <c r="H38" s="24">
        <f t="shared" si="15"/>
        <v>2.1352313167259711E-2</v>
      </c>
      <c r="I38" s="44">
        <f>IF(ISNUMBER(G38), $B44 * H38, "")</f>
        <v>2135.2313167259713</v>
      </c>
      <c r="J38" s="37">
        <v>28.6</v>
      </c>
      <c r="K38" s="24">
        <f t="shared" si="16"/>
        <v>1.779359430604982E-2</v>
      </c>
      <c r="L38" s="44">
        <f>IF(ISNUMBER(J38), $B44 * K38, "")</f>
        <v>1779.359430604982</v>
      </c>
      <c r="M38" s="37">
        <v>29</v>
      </c>
      <c r="N38" s="24">
        <f t="shared" si="17"/>
        <v>3.2028469750889625E-2</v>
      </c>
      <c r="O38" s="44">
        <f>IF(ISNUMBER(M38), $B44 * N38, "")</f>
        <v>3202.8469750889626</v>
      </c>
      <c r="Q38" s="229"/>
      <c r="R38" s="230"/>
    </row>
    <row r="39" spans="1:18" ht="17.25" customHeight="1">
      <c r="A39" s="11" t="s">
        <v>136</v>
      </c>
      <c r="B39" s="32">
        <v>29.1</v>
      </c>
      <c r="C39" s="5">
        <v>-4.9019607799999997E-2</v>
      </c>
      <c r="D39" s="36">
        <v>29.8</v>
      </c>
      <c r="E39" s="5">
        <f t="shared" si="14"/>
        <v>2.4054982817869389E-2</v>
      </c>
      <c r="F39" s="48">
        <f>IF(ISNUMBER(D39), $B44 * E39, "")</f>
        <v>2405.4982817869391</v>
      </c>
      <c r="G39" s="36">
        <v>32.200000000000003</v>
      </c>
      <c r="H39" s="5">
        <f t="shared" si="15"/>
        <v>0.10652920962199317</v>
      </c>
      <c r="I39" s="48">
        <f>IF(ISNUMBER(G39), $B44 * H39, "")</f>
        <v>10652.920962199316</v>
      </c>
      <c r="J39" s="36">
        <v>33.200000000000003</v>
      </c>
      <c r="K39" s="5">
        <f t="shared" si="16"/>
        <v>0.14089347079037806</v>
      </c>
      <c r="L39" s="48">
        <f>IF(ISNUMBER(J39), $B44 * K39, "")</f>
        <v>14089.347079037807</v>
      </c>
      <c r="M39" s="36">
        <v>38.6</v>
      </c>
      <c r="N39" s="5">
        <f t="shared" si="17"/>
        <v>0.32646048109965636</v>
      </c>
      <c r="O39" s="48">
        <f>IF(ISNUMBER(M39), $B44 * N39, "")</f>
        <v>32646.048109965635</v>
      </c>
      <c r="Q39" s="229"/>
      <c r="R39" s="230"/>
    </row>
    <row r="40" spans="1:18" ht="17.25" customHeight="1">
      <c r="A40" s="11" t="s">
        <v>95</v>
      </c>
      <c r="B40" s="32">
        <v>31.5</v>
      </c>
      <c r="C40" s="5">
        <v>-5.1204819300000003E-2</v>
      </c>
      <c r="D40" s="36">
        <v>32</v>
      </c>
      <c r="E40" s="5">
        <f t="shared" si="14"/>
        <v>1.5873015873015872E-2</v>
      </c>
      <c r="F40" s="44">
        <f>IF(ISNUMBER(D40), $B44 * E40, "")</f>
        <v>1587.3015873015872</v>
      </c>
      <c r="G40" s="36">
        <v>30.5</v>
      </c>
      <c r="H40" s="5">
        <f t="shared" si="15"/>
        <v>-3.1746031746031744E-2</v>
      </c>
      <c r="I40" s="44">
        <f>IF(ISNUMBER(G40), $B44 * H40, "")</f>
        <v>-3174.6031746031745</v>
      </c>
      <c r="J40" s="36">
        <v>30.1</v>
      </c>
      <c r="K40" s="5">
        <f t="shared" si="16"/>
        <v>-4.4444444444444398E-2</v>
      </c>
      <c r="L40" s="44">
        <f>IF(ISNUMBER(J40), $B44 * K40, "")</f>
        <v>-4444.4444444444398</v>
      </c>
      <c r="M40" s="36">
        <v>30.5</v>
      </c>
      <c r="N40" s="5">
        <f t="shared" si="17"/>
        <v>-3.1746031746031744E-2</v>
      </c>
      <c r="O40" s="44">
        <f>IF(ISNUMBER(M40), $B44 * N40, "")</f>
        <v>-3174.6031746031745</v>
      </c>
      <c r="Q40" s="229"/>
      <c r="R40" s="230"/>
    </row>
    <row r="41" spans="1:18" ht="17.25" customHeight="1">
      <c r="A41" s="11" t="s">
        <v>100</v>
      </c>
      <c r="B41" s="32">
        <v>40.200000000000003</v>
      </c>
      <c r="C41" s="5">
        <v>-5.4117647099999999E-2</v>
      </c>
      <c r="D41" s="36">
        <v>40.4</v>
      </c>
      <c r="E41" s="5">
        <f t="shared" si="14"/>
        <v>4.975124378109346E-3</v>
      </c>
      <c r="F41" s="44">
        <f>IF(ISNUMBER(D41), $B44 * E41, "")</f>
        <v>497.51243781093461</v>
      </c>
      <c r="G41" s="36">
        <v>38.799999999999997</v>
      </c>
      <c r="H41" s="5">
        <f t="shared" si="15"/>
        <v>-3.4825870646766309E-2</v>
      </c>
      <c r="I41" s="44">
        <f>IF(ISNUMBER(G41), $B44 * H41, "")</f>
        <v>-3482.5870646766307</v>
      </c>
      <c r="J41" s="36">
        <v>38.200000000000003</v>
      </c>
      <c r="K41" s="5">
        <f t="shared" si="16"/>
        <v>-4.9751243781094523E-2</v>
      </c>
      <c r="L41" s="44">
        <f>IF(ISNUMBER(J41), $B44 * K41, "")</f>
        <v>-4975.1243781094527</v>
      </c>
      <c r="M41" s="36">
        <v>39.5</v>
      </c>
      <c r="N41" s="5">
        <f t="shared" si="17"/>
        <v>-1.7412935323383155E-2</v>
      </c>
      <c r="O41" s="44">
        <f>IF(ISNUMBER(M41), $B44 * N41, "")</f>
        <v>-1741.2935323383153</v>
      </c>
      <c r="Q41" s="229"/>
      <c r="R41" s="230"/>
    </row>
    <row r="42" spans="1:18" ht="17.25" customHeight="1">
      <c r="A42" s="11" t="s">
        <v>133</v>
      </c>
      <c r="B42" s="32">
        <v>28.4</v>
      </c>
      <c r="C42" s="5">
        <v>-5.6478405299999999E-2</v>
      </c>
      <c r="D42" s="36">
        <v>29.3</v>
      </c>
      <c r="E42" s="5">
        <f t="shared" si="14"/>
        <v>3.1690140845070498E-2</v>
      </c>
      <c r="F42" s="44">
        <f>IF(ISNUMBER(D42), $B44 * E42, "")</f>
        <v>3169.01408450705</v>
      </c>
      <c r="G42" s="36">
        <v>27.7</v>
      </c>
      <c r="H42" s="5">
        <f t="shared" si="15"/>
        <v>-2.464788732394364E-2</v>
      </c>
      <c r="I42" s="44">
        <f>IF(ISNUMBER(G42), $B44 * H42, "")</f>
        <v>-2464.7887323943642</v>
      </c>
      <c r="J42" s="36">
        <v>27.5</v>
      </c>
      <c r="K42" s="5">
        <f t="shared" si="16"/>
        <v>-3.1690140845070373E-2</v>
      </c>
      <c r="L42" s="44">
        <f>IF(ISNUMBER(J42), $B44 * K42, "")</f>
        <v>-3169.0140845070373</v>
      </c>
      <c r="M42" s="36">
        <v>28</v>
      </c>
      <c r="N42" s="5">
        <f t="shared" si="17"/>
        <v>-1.4084507042253471E-2</v>
      </c>
      <c r="O42" s="44">
        <f>IF(ISNUMBER(M42), $B44 * N42, "")</f>
        <v>-1408.4507042253472</v>
      </c>
      <c r="P42" s="17"/>
      <c r="Q42" s="231"/>
      <c r="R42" s="232"/>
    </row>
    <row r="43" spans="1:18" ht="17.25" customHeight="1" thickBot="1">
      <c r="A43" s="13" t="s">
        <v>119</v>
      </c>
      <c r="B43" s="34">
        <v>26.7</v>
      </c>
      <c r="C43" s="16">
        <v>-5.9859154900000003E-2</v>
      </c>
      <c r="D43" s="38">
        <v>26.8</v>
      </c>
      <c r="E43" s="16">
        <f t="shared" si="14"/>
        <v>3.7453183520599785E-3</v>
      </c>
      <c r="F43" s="45">
        <f>IF(ISNUMBER(D43), $B44 * E43, "")</f>
        <v>374.53183520599782</v>
      </c>
      <c r="G43" s="38">
        <v>26.1</v>
      </c>
      <c r="H43" s="16">
        <f t="shared" si="15"/>
        <v>-2.247191011235947E-2</v>
      </c>
      <c r="I43" s="45">
        <f>IF(ISNUMBER(G43), $B44 * H43, "")</f>
        <v>-2247.1910112359469</v>
      </c>
      <c r="J43" s="38">
        <v>25.5</v>
      </c>
      <c r="K43" s="16">
        <f t="shared" si="16"/>
        <v>-4.4943820224719079E-2</v>
      </c>
      <c r="L43" s="45">
        <f>IF(ISNUMBER(J43), $B44 * K43, "")</f>
        <v>-4494.3820224719075</v>
      </c>
      <c r="M43" s="38">
        <v>26.1</v>
      </c>
      <c r="N43" s="16">
        <f t="shared" si="17"/>
        <v>-2.247191011235947E-2</v>
      </c>
      <c r="O43" s="45">
        <f>IF(ISNUMBER(M43), $B44 * N43, "")</f>
        <v>-2247.1910112359469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9.7552166749445262E-3</v>
      </c>
      <c r="F44" s="47">
        <f>SUM(F34:F43)</f>
        <v>9755.2166749445278</v>
      </c>
      <c r="G44" s="57" t="s">
        <v>82</v>
      </c>
      <c r="H44" s="46">
        <f>IF(COUNT(H34:H43), SUM(H34:H43) / COUNT(H34:H43), 0)</f>
        <v>-1.0664586635729095E-2</v>
      </c>
      <c r="I44" s="47">
        <f>SUM(I34:I43)</f>
        <v>-10664.586635729098</v>
      </c>
      <c r="J44" s="57" t="s">
        <v>82</v>
      </c>
      <c r="K44" s="46">
        <f>IF(COUNT(K34:K43), SUM(K34:K43) / COUNT(K34:K43), 0)</f>
        <v>-1.6428460319209831E-2</v>
      </c>
      <c r="L44" s="47">
        <f>SUM(L34:L43)</f>
        <v>-16428.460319209829</v>
      </c>
      <c r="M44" s="57" t="s">
        <v>82</v>
      </c>
      <c r="N44" s="46">
        <f>IF(COUNT(N34:N43), SUM(N34:N43) / COUNT(N34:N43), 0)</f>
        <v>1.7083544814848559E-2</v>
      </c>
      <c r="O44" s="47">
        <f>SUM(O34:O43)</f>
        <v>17083.544814848559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30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34" t="s">
        <v>70</v>
      </c>
      <c r="M50" s="18" t="s">
        <v>67</v>
      </c>
      <c r="N50" s="4" t="s">
        <v>68</v>
      </c>
      <c r="O50" s="136" t="s">
        <v>70</v>
      </c>
      <c r="Q50" s="231"/>
      <c r="R50" s="232"/>
    </row>
    <row r="51" spans="1:18" ht="17.25" customHeight="1">
      <c r="A51" s="9" t="s">
        <v>135</v>
      </c>
      <c r="B51" s="31">
        <v>33.9</v>
      </c>
      <c r="C51" s="22">
        <v>-6.0941828300000001E-2</v>
      </c>
      <c r="D51" s="89">
        <v>32.799999999999997</v>
      </c>
      <c r="E51" s="22">
        <f>IF(ISNUMBER(D51), (D51 - $B51) / $B51, "")</f>
        <v>-3.2448377581120985E-2</v>
      </c>
      <c r="F51" s="43">
        <f>IF(ISNUMBER(D51), $B61 * E51, "")</f>
        <v>-3244.8377581120985</v>
      </c>
      <c r="G51" s="89">
        <v>31.9</v>
      </c>
      <c r="H51" s="22">
        <f>IF(ISNUMBER(G51), (G51 - $B51) / $B51, "")</f>
        <v>-5.8997050147492625E-2</v>
      </c>
      <c r="I51" s="43">
        <f>IF(ISNUMBER(G51), $B61 * H51, "")</f>
        <v>-5899.7050147492628</v>
      </c>
      <c r="J51" s="89">
        <v>31.2</v>
      </c>
      <c r="K51" s="22">
        <f>IF(ISNUMBER(J51), (J51 - $B51) / $B51, "")</f>
        <v>-7.9646017699115029E-2</v>
      </c>
      <c r="L51" s="43">
        <f>IF(ISNUMBER(J51), $B61 * K51, "")</f>
        <v>-7964.6017699115027</v>
      </c>
      <c r="M51" s="89">
        <v>31.9</v>
      </c>
      <c r="N51" s="22">
        <f>IF(ISNUMBER(M51), (M51 - $B51) / $B51, "")</f>
        <v>-5.8997050147492625E-2</v>
      </c>
      <c r="O51" s="43">
        <f>IF(ISNUMBER(M51), $B61 * N51, "")</f>
        <v>-5899.7050147492628</v>
      </c>
      <c r="Q51" s="229"/>
      <c r="R51" s="230"/>
    </row>
    <row r="52" spans="1:18" ht="17.25" customHeight="1">
      <c r="A52" s="11" t="s">
        <v>123</v>
      </c>
      <c r="B52" s="32">
        <v>88.8</v>
      </c>
      <c r="C52" s="5">
        <v>-6.2302006299999997E-2</v>
      </c>
      <c r="D52" s="36">
        <v>87.8</v>
      </c>
      <c r="E52" s="5">
        <f t="shared" ref="E52:E60" si="18">IF(ISNUMBER(D52), (D52 - $B52) / $B52, "")</f>
        <v>-1.1261261261261262E-2</v>
      </c>
      <c r="F52" s="44">
        <f>IF(ISNUMBER(D52), $B61 * E52, "")</f>
        <v>-1126.1261261261263</v>
      </c>
      <c r="G52" s="36">
        <v>84.9</v>
      </c>
      <c r="H52" s="5">
        <f t="shared" ref="H52:H60" si="19">IF(ISNUMBER(G52), (G52 - $B52) / $B52, "")</f>
        <v>-4.3918918918918824E-2</v>
      </c>
      <c r="I52" s="44">
        <f>IF(ISNUMBER(G52), $B61 * H52, "")</f>
        <v>-4391.8918918918826</v>
      </c>
      <c r="J52" s="36">
        <v>83.6</v>
      </c>
      <c r="K52" s="5">
        <f t="shared" ref="K52:K60" si="20">IF(ISNUMBER(J52), (J52 - $B52) / $B52, "")</f>
        <v>-5.8558558558558592E-2</v>
      </c>
      <c r="L52" s="44">
        <f>IF(ISNUMBER(J52), $B61 * K52, "")</f>
        <v>-5855.8558558558589</v>
      </c>
      <c r="M52" s="36">
        <v>84.7</v>
      </c>
      <c r="N52" s="5">
        <f t="shared" ref="N52:N60" si="21">IF(ISNUMBER(M52), (M52 - $B52) / $B52, "")</f>
        <v>-4.6171171171171109E-2</v>
      </c>
      <c r="O52" s="44">
        <f>IF(ISNUMBER(M52), $B61 * N52, "")</f>
        <v>-4617.1171171171109</v>
      </c>
      <c r="Q52" s="229"/>
      <c r="R52" s="230"/>
    </row>
    <row r="53" spans="1:18" ht="17.25" customHeight="1">
      <c r="A53" s="11" t="s">
        <v>145</v>
      </c>
      <c r="B53" s="32">
        <v>53</v>
      </c>
      <c r="C53" s="5">
        <v>-6.3604240300000003E-2</v>
      </c>
      <c r="D53" s="36">
        <v>50.8</v>
      </c>
      <c r="E53" s="5">
        <f t="shared" si="18"/>
        <v>-4.1509433962264204E-2</v>
      </c>
      <c r="F53" s="44">
        <f>IF(ISNUMBER(D53), $B61 * E53, "")</f>
        <v>-4150.9433962264202</v>
      </c>
      <c r="G53" s="36">
        <v>49.3</v>
      </c>
      <c r="H53" s="5">
        <f t="shared" si="19"/>
        <v>-6.9811320754717035E-2</v>
      </c>
      <c r="I53" s="44">
        <f>IF(ISNUMBER(G53), $B61 * H53, "")</f>
        <v>-6981.1320754717035</v>
      </c>
      <c r="J53" s="36">
        <v>48.7</v>
      </c>
      <c r="K53" s="5">
        <f t="shared" si="20"/>
        <v>-8.1132075471698054E-2</v>
      </c>
      <c r="L53" s="44">
        <f>IF(ISNUMBER(J53), $B61 * K53, "")</f>
        <v>-8113.2075471698054</v>
      </c>
      <c r="M53" s="36">
        <v>49.2</v>
      </c>
      <c r="N53" s="5">
        <f t="shared" si="21"/>
        <v>-7.1698113207547112E-2</v>
      </c>
      <c r="O53" s="44">
        <f>IF(ISNUMBER(M53), $B61 * N53, "")</f>
        <v>-7169.8113207547112</v>
      </c>
      <c r="Q53" s="229"/>
      <c r="R53" s="230"/>
    </row>
    <row r="54" spans="1:18" ht="17.25" customHeight="1">
      <c r="A54" s="11" t="s">
        <v>158</v>
      </c>
      <c r="B54" s="32">
        <v>33.9</v>
      </c>
      <c r="C54" s="5">
        <v>-6.6115702499999998E-2</v>
      </c>
      <c r="D54" s="36">
        <v>33.200000000000003</v>
      </c>
      <c r="E54" s="5">
        <f t="shared" si="18"/>
        <v>-2.0648967551622294E-2</v>
      </c>
      <c r="F54" s="44">
        <f>IF(ISNUMBER(D54), $B61 * E54, "")</f>
        <v>-2064.8967551622295</v>
      </c>
      <c r="G54" s="36">
        <v>32.200000000000003</v>
      </c>
      <c r="H54" s="5">
        <f t="shared" si="19"/>
        <v>-5.0147492625368606E-2</v>
      </c>
      <c r="I54" s="44">
        <f>IF(ISNUMBER(G54), $B61 * H54, "")</f>
        <v>-5014.7492625368604</v>
      </c>
      <c r="J54" s="36">
        <v>31.8</v>
      </c>
      <c r="K54" s="5">
        <f t="shared" si="20"/>
        <v>-6.1946902654867193E-2</v>
      </c>
      <c r="L54" s="44">
        <f>IF(ISNUMBER(J54), $B61 * K54, "")</f>
        <v>-6194.690265486719</v>
      </c>
      <c r="M54" s="36">
        <v>32.4</v>
      </c>
      <c r="N54" s="5">
        <f t="shared" si="21"/>
        <v>-4.4247787610619468E-2</v>
      </c>
      <c r="O54" s="44">
        <f>IF(ISNUMBER(M54), $B61 * N54, "")</f>
        <v>-4424.7787610619471</v>
      </c>
      <c r="Q54" s="229"/>
      <c r="R54" s="230"/>
    </row>
    <row r="55" spans="1:18" ht="17.25" customHeight="1">
      <c r="A55" s="8" t="s">
        <v>94</v>
      </c>
      <c r="B55" s="33">
        <v>91.7</v>
      </c>
      <c r="C55" s="24">
        <v>-6.6191446000000001E-2</v>
      </c>
      <c r="D55" s="37">
        <v>96.5</v>
      </c>
      <c r="E55" s="24">
        <f t="shared" si="18"/>
        <v>5.2344601962922538E-2</v>
      </c>
      <c r="F55" s="44">
        <f>IF(ISNUMBER(D55), $B61 * E55, "")</f>
        <v>5234.4601962922534</v>
      </c>
      <c r="G55" s="37">
        <v>96.3</v>
      </c>
      <c r="H55" s="24">
        <f t="shared" si="19"/>
        <v>5.016357688113407E-2</v>
      </c>
      <c r="I55" s="44">
        <f>IF(ISNUMBER(G55), $B61 * H55, "")</f>
        <v>5016.3576881134068</v>
      </c>
      <c r="J55" s="37">
        <v>99.5</v>
      </c>
      <c r="K55" s="24">
        <f t="shared" si="20"/>
        <v>8.5059978189749155E-2</v>
      </c>
      <c r="L55" s="44">
        <f>IF(ISNUMBER(J55), $B61 * K55, "")</f>
        <v>8505.9978189749163</v>
      </c>
      <c r="M55" s="37">
        <v>104</v>
      </c>
      <c r="N55" s="24">
        <f t="shared" si="21"/>
        <v>0.13413304252998906</v>
      </c>
      <c r="O55" s="44">
        <f>IF(ISNUMBER(M55), $B61 * N55, "")</f>
        <v>13413.304252998905</v>
      </c>
      <c r="Q55" s="229"/>
      <c r="R55" s="230"/>
    </row>
    <row r="56" spans="1:18" ht="17.25" customHeight="1">
      <c r="A56" s="11" t="s">
        <v>132</v>
      </c>
      <c r="B56" s="32">
        <v>38.700000000000003</v>
      </c>
      <c r="C56" s="5">
        <v>-6.9711538500000003E-2</v>
      </c>
      <c r="D56" s="36">
        <v>37.700000000000003</v>
      </c>
      <c r="E56" s="5">
        <f t="shared" si="18"/>
        <v>-2.5839793281653745E-2</v>
      </c>
      <c r="F56" s="48">
        <f>IF(ISNUMBER(D56), $B61 * E56, "")</f>
        <v>-2583.9793281653747</v>
      </c>
      <c r="G56" s="36">
        <v>36.6</v>
      </c>
      <c r="H56" s="5">
        <f t="shared" si="19"/>
        <v>-5.4263565891472902E-2</v>
      </c>
      <c r="I56" s="48">
        <f>IF(ISNUMBER(G56), $B61 * H56, "")</f>
        <v>-5426.3565891472899</v>
      </c>
      <c r="J56" s="36">
        <v>35.799999999999997</v>
      </c>
      <c r="K56" s="5">
        <f t="shared" si="20"/>
        <v>-7.4935400516796008E-2</v>
      </c>
      <c r="L56" s="48">
        <f>IF(ISNUMBER(J56), $B61 * K56, "")</f>
        <v>-7493.5400516796008</v>
      </c>
      <c r="M56" s="36">
        <v>36.700000000000003</v>
      </c>
      <c r="N56" s="5">
        <f t="shared" si="21"/>
        <v>-5.1679586563307491E-2</v>
      </c>
      <c r="O56" s="48">
        <f>IF(ISNUMBER(M56), $B61 * N56, "")</f>
        <v>-5167.9586563307494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-1.3227205279166659E-2</v>
      </c>
      <c r="F61" s="47">
        <f>SUM(F51:F60)</f>
        <v>-7936.323167499997</v>
      </c>
      <c r="G61" s="57" t="s">
        <v>82</v>
      </c>
      <c r="H61" s="46">
        <f>IF(COUNT(H51:H60), SUM(H51:H60) / COUNT(H51:H60), 0)</f>
        <v>-3.7829128576139327E-2</v>
      </c>
      <c r="I61" s="47">
        <f>SUM(I51:I60)</f>
        <v>-22697.477145683595</v>
      </c>
      <c r="J61" s="57" t="s">
        <v>82</v>
      </c>
      <c r="K61" s="46">
        <f>IF(COUNT(K51:K60), SUM(K51:K60) / COUNT(K51:K60), 0)</f>
        <v>-4.5193162785214291E-2</v>
      </c>
      <c r="L61" s="47">
        <f>SUM(L51:L60)</f>
        <v>-27115.897671128569</v>
      </c>
      <c r="M61" s="57" t="s">
        <v>82</v>
      </c>
      <c r="N61" s="46">
        <f>IF(COUNT(N51:N60), SUM(N51:N60) / COUNT(N51:N60), 0)</f>
        <v>-2.3110111028358127E-2</v>
      </c>
      <c r="O61" s="47">
        <f>SUM(O51:O60)</f>
        <v>-13866.066617014878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30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34" t="s">
        <v>70</v>
      </c>
      <c r="M67" s="18" t="s">
        <v>67</v>
      </c>
      <c r="N67" s="4" t="s">
        <v>68</v>
      </c>
      <c r="O67" s="136" t="s">
        <v>70</v>
      </c>
      <c r="Q67" s="231"/>
      <c r="R67" s="232"/>
    </row>
    <row r="68" spans="1:18" ht="17.25" customHeight="1">
      <c r="A68" s="9" t="s">
        <v>164</v>
      </c>
      <c r="B68" s="31">
        <v>172</v>
      </c>
      <c r="C68" s="22">
        <v>7.4999999999999997E-2</v>
      </c>
      <c r="D68" s="89">
        <v>170</v>
      </c>
      <c r="E68" s="22">
        <f>IF(ISNUMBER(D68), (D68 - $B68) / $B68, "")</f>
        <v>-1.1627906976744186E-2</v>
      </c>
      <c r="F68" s="43">
        <f>IF(ISNUMBER(D68), $B78 * E68, "")</f>
        <v>-1162.7906976744187</v>
      </c>
      <c r="G68" s="89">
        <v>175</v>
      </c>
      <c r="H68" s="22">
        <f>IF(ISNUMBER(G68), (G68 - $B68) / $B68, "")</f>
        <v>1.7441860465116279E-2</v>
      </c>
      <c r="I68" s="43">
        <f>IF(ISNUMBER(G68), $B78 * H68, "")</f>
        <v>1744.1860465116279</v>
      </c>
      <c r="J68" s="89">
        <v>183</v>
      </c>
      <c r="K68" s="22">
        <f>IF(ISNUMBER(J68), (J68 - $B68) / $B68, "")</f>
        <v>6.3953488372093026E-2</v>
      </c>
      <c r="L68" s="43">
        <f>IF(ISNUMBER(J68), $B78 * K68, "")</f>
        <v>6395.3488372093025</v>
      </c>
      <c r="M68" s="89">
        <v>182</v>
      </c>
      <c r="N68" s="22">
        <f>IF(ISNUMBER(M68), (M68 - $B68) / $B68, "")</f>
        <v>5.8139534883720929E-2</v>
      </c>
      <c r="O68" s="43">
        <f>IF(ISNUMBER(M68), $B78 * N68, "")</f>
        <v>5813.9534883720926</v>
      </c>
      <c r="Q68" s="229"/>
      <c r="R68" s="230"/>
    </row>
    <row r="69" spans="1:18" ht="17.25" customHeight="1">
      <c r="A69" s="11" t="s">
        <v>138</v>
      </c>
      <c r="B69" s="32">
        <v>204</v>
      </c>
      <c r="C69" s="5">
        <v>6.25E-2</v>
      </c>
      <c r="D69" s="36">
        <v>202</v>
      </c>
      <c r="E69" s="5">
        <f t="shared" ref="E69:E77" si="22">IF(ISNUMBER(D69), (D69 - $B69) / $B69, "")</f>
        <v>-9.8039215686274508E-3</v>
      </c>
      <c r="F69" s="44">
        <f>IF(ISNUMBER(D69), $B78 * E69, "")</f>
        <v>-980.39215686274508</v>
      </c>
      <c r="G69" s="36">
        <v>201</v>
      </c>
      <c r="H69" s="5">
        <f t="shared" ref="H69:H77" si="23">IF(ISNUMBER(G69), (G69 - $B69) / $B69, "")</f>
        <v>-1.4705882352941176E-2</v>
      </c>
      <c r="I69" s="44">
        <f>IF(ISNUMBER(G69), $B78 * H69, "")</f>
        <v>-1470.5882352941176</v>
      </c>
      <c r="J69" s="36">
        <v>201</v>
      </c>
      <c r="K69" s="5">
        <f t="shared" ref="K69:K77" si="24">IF(ISNUMBER(J69), (J69 - $B69) / $B69, "")</f>
        <v>-1.4705882352941176E-2</v>
      </c>
      <c r="L69" s="44">
        <f>IF(ISNUMBER(J69), $B78 * K69, "")</f>
        <v>-1470.5882352941176</v>
      </c>
      <c r="M69" s="36">
        <v>210</v>
      </c>
      <c r="N69" s="5">
        <f t="shared" ref="N69:N77" si="25">IF(ISNUMBER(M69), (M69 - $B69) / $B69, "")</f>
        <v>2.9411764705882353E-2</v>
      </c>
      <c r="O69" s="44">
        <f>IF(ISNUMBER(M69), $B78 * N69, "")</f>
        <v>2941.1764705882351</v>
      </c>
      <c r="Q69" s="229"/>
      <c r="R69" s="230"/>
    </row>
    <row r="70" spans="1:18" ht="17.25" customHeight="1">
      <c r="A70" s="11" t="s">
        <v>125</v>
      </c>
      <c r="B70" s="32">
        <v>644</v>
      </c>
      <c r="C70" s="5">
        <v>5.2287581700000002E-2</v>
      </c>
      <c r="D70" s="36">
        <v>737</v>
      </c>
      <c r="E70" s="5">
        <f t="shared" si="22"/>
        <v>0.14440993788819875</v>
      </c>
      <c r="F70" s="44">
        <f>IF(ISNUMBER(D70), $B78 * E70, "")</f>
        <v>14440.993788819875</v>
      </c>
      <c r="G70" s="36">
        <v>674</v>
      </c>
      <c r="H70" s="5">
        <f t="shared" si="23"/>
        <v>4.6583850931677016E-2</v>
      </c>
      <c r="I70" s="44">
        <f>IF(ISNUMBER(G70), $B78 * H70, "")</f>
        <v>4658.3850931677016</v>
      </c>
      <c r="J70" s="36">
        <v>671</v>
      </c>
      <c r="K70" s="5">
        <f t="shared" si="24"/>
        <v>4.192546583850932E-2</v>
      </c>
      <c r="L70" s="44">
        <f>IF(ISNUMBER(J70), $B78 * K70, "")</f>
        <v>4192.5465838509317</v>
      </c>
      <c r="M70" s="36">
        <v>677</v>
      </c>
      <c r="N70" s="5">
        <f t="shared" si="25"/>
        <v>5.124223602484472E-2</v>
      </c>
      <c r="O70" s="44">
        <f>IF(ISNUMBER(M70), $B78 * N70, "")</f>
        <v>5124.2236024844724</v>
      </c>
      <c r="Q70" s="229"/>
      <c r="R70" s="230"/>
    </row>
    <row r="71" spans="1:18" ht="17.25" customHeight="1">
      <c r="A71" s="11" t="s">
        <v>131</v>
      </c>
      <c r="B71" s="32">
        <v>334</v>
      </c>
      <c r="C71" s="5">
        <v>4.3749999999999997E-2</v>
      </c>
      <c r="D71" s="36">
        <v>334</v>
      </c>
      <c r="E71" s="5">
        <f t="shared" si="22"/>
        <v>0</v>
      </c>
      <c r="F71" s="44">
        <f>IF(ISNUMBER(D71), $B78 * E71, "")</f>
        <v>0</v>
      </c>
      <c r="G71" s="36">
        <v>330</v>
      </c>
      <c r="H71" s="5">
        <f t="shared" si="23"/>
        <v>-1.1976047904191617E-2</v>
      </c>
      <c r="I71" s="44">
        <f>IF(ISNUMBER(G71), $B78 * H71, "")</f>
        <v>-1197.6047904191616</v>
      </c>
      <c r="J71" s="36">
        <v>331</v>
      </c>
      <c r="K71" s="5">
        <f t="shared" si="24"/>
        <v>-8.9820359281437123E-3</v>
      </c>
      <c r="L71" s="44">
        <f>IF(ISNUMBER(J71), $B78 * K71, "")</f>
        <v>-898.20359281437118</v>
      </c>
      <c r="M71" s="36">
        <v>332</v>
      </c>
      <c r="N71" s="5">
        <f t="shared" si="25"/>
        <v>-5.9880239520958087E-3</v>
      </c>
      <c r="O71" s="44">
        <f>IF(ISNUMBER(M71), $B78 * N71, "")</f>
        <v>-598.80239520958082</v>
      </c>
      <c r="Q71" s="229"/>
      <c r="R71" s="230"/>
    </row>
    <row r="72" spans="1:18" ht="17.25" customHeight="1">
      <c r="A72" s="8" t="s">
        <v>96</v>
      </c>
      <c r="B72" s="33">
        <v>873</v>
      </c>
      <c r="C72" s="24">
        <v>3.43601896E-2</v>
      </c>
      <c r="D72" s="37">
        <v>885</v>
      </c>
      <c r="E72" s="24">
        <f t="shared" si="22"/>
        <v>1.3745704467353952E-2</v>
      </c>
      <c r="F72" s="44">
        <f>IF(ISNUMBER(D72), $B78 * E72, "")</f>
        <v>1374.5704467353951</v>
      </c>
      <c r="G72" s="37">
        <v>866</v>
      </c>
      <c r="H72" s="24">
        <f t="shared" si="23"/>
        <v>-8.0183276059564712E-3</v>
      </c>
      <c r="I72" s="44">
        <f>IF(ISNUMBER(G72), $B78 * H72, "")</f>
        <v>-801.83276059564707</v>
      </c>
      <c r="J72" s="37">
        <v>860</v>
      </c>
      <c r="K72" s="24">
        <f t="shared" si="24"/>
        <v>-1.4891179839633447E-2</v>
      </c>
      <c r="L72" s="44">
        <f>IF(ISNUMBER(J72), $B78 * K72, "")</f>
        <v>-1489.1179839633446</v>
      </c>
      <c r="M72" s="37">
        <v>861</v>
      </c>
      <c r="N72" s="24">
        <f t="shared" si="25"/>
        <v>-1.3745704467353952E-2</v>
      </c>
      <c r="O72" s="44">
        <f>IF(ISNUMBER(M72), $B78 * N72, "")</f>
        <v>-1374.5704467353951</v>
      </c>
      <c r="Q72" s="229"/>
      <c r="R72" s="230"/>
    </row>
    <row r="73" spans="1:18" ht="17.25" customHeight="1">
      <c r="A73" s="11" t="s">
        <v>127</v>
      </c>
      <c r="B73" s="32">
        <v>240</v>
      </c>
      <c r="C73" s="5">
        <v>3.0042918500000002E-2</v>
      </c>
      <c r="D73" s="36">
        <v>237</v>
      </c>
      <c r="E73" s="5">
        <f t="shared" si="22"/>
        <v>-1.2500000000000001E-2</v>
      </c>
      <c r="F73" s="48">
        <f>IF(ISNUMBER(D73), $B78 * E73, "")</f>
        <v>-1250</v>
      </c>
      <c r="G73" s="36">
        <v>232</v>
      </c>
      <c r="H73" s="5">
        <f t="shared" si="23"/>
        <v>-3.3333333333333333E-2</v>
      </c>
      <c r="I73" s="48">
        <f>IF(ISNUMBER(G73), $B78 * H73, "")</f>
        <v>-3333.3333333333335</v>
      </c>
      <c r="J73" s="36">
        <v>234</v>
      </c>
      <c r="K73" s="5">
        <f t="shared" si="24"/>
        <v>-2.5000000000000001E-2</v>
      </c>
      <c r="L73" s="48">
        <f>IF(ISNUMBER(J73), $B78 * K73, "")</f>
        <v>-2500</v>
      </c>
      <c r="M73" s="36">
        <v>237</v>
      </c>
      <c r="N73" s="5">
        <f t="shared" si="25"/>
        <v>-1.2500000000000001E-2</v>
      </c>
      <c r="O73" s="48">
        <f>IF(ISNUMBER(M73), $B78 * N73, "")</f>
        <v>-1250</v>
      </c>
      <c r="Q73" s="229"/>
      <c r="R73" s="230"/>
    </row>
    <row r="74" spans="1:18" ht="17.25" customHeight="1">
      <c r="A74" s="11" t="s">
        <v>117</v>
      </c>
      <c r="B74" s="32">
        <v>189</v>
      </c>
      <c r="C74" s="5">
        <v>1.6129032299999999E-2</v>
      </c>
      <c r="D74" s="36">
        <v>185</v>
      </c>
      <c r="E74" s="5">
        <f t="shared" si="22"/>
        <v>-2.1164021164021163E-2</v>
      </c>
      <c r="F74" s="44">
        <f>IF(ISNUMBER(D74), $B78 * E74, "")</f>
        <v>-2116.4021164021165</v>
      </c>
      <c r="G74" s="36">
        <v>184</v>
      </c>
      <c r="H74" s="5">
        <f t="shared" si="23"/>
        <v>-2.6455026455026454E-2</v>
      </c>
      <c r="I74" s="44">
        <f>IF(ISNUMBER(G74), $B78 * H74, "")</f>
        <v>-2645.5026455026455</v>
      </c>
      <c r="J74" s="36">
        <v>189</v>
      </c>
      <c r="K74" s="5">
        <f t="shared" si="24"/>
        <v>0</v>
      </c>
      <c r="L74" s="44">
        <f>IF(ISNUMBER(J74), $B78 * K74, "")</f>
        <v>0</v>
      </c>
      <c r="M74" s="36">
        <v>188</v>
      </c>
      <c r="N74" s="5">
        <f t="shared" si="25"/>
        <v>-5.2910052910052907E-3</v>
      </c>
      <c r="O74" s="44">
        <f>IF(ISNUMBER(M74), $B78 * N74, "")</f>
        <v>-529.10052910052912</v>
      </c>
      <c r="Q74" s="229"/>
      <c r="R74" s="230"/>
    </row>
    <row r="75" spans="1:18" ht="17.25" customHeight="1">
      <c r="A75" s="11" t="s">
        <v>146</v>
      </c>
      <c r="B75" s="32">
        <v>111</v>
      </c>
      <c r="C75" s="5">
        <v>9.0909091000000008E-3</v>
      </c>
      <c r="D75" s="36">
        <v>106</v>
      </c>
      <c r="E75" s="5">
        <f t="shared" si="22"/>
        <v>-4.5045045045045043E-2</v>
      </c>
      <c r="F75" s="44">
        <f>IF(ISNUMBER(D75), $B78 * E75, "")</f>
        <v>-4504.5045045045044</v>
      </c>
      <c r="G75" s="36">
        <v>104</v>
      </c>
      <c r="H75" s="5">
        <f t="shared" si="23"/>
        <v>-6.3063063063063057E-2</v>
      </c>
      <c r="I75" s="44">
        <f>IF(ISNUMBER(G75), $B78 * H75, "")</f>
        <v>-6306.3063063063055</v>
      </c>
      <c r="J75" s="36">
        <v>104</v>
      </c>
      <c r="K75" s="5">
        <f t="shared" si="24"/>
        <v>-6.3063063063063057E-2</v>
      </c>
      <c r="L75" s="44">
        <f>IF(ISNUMBER(J75), $B78 * K75, "")</f>
        <v>-6306.3063063063055</v>
      </c>
      <c r="M75" s="36">
        <v>106</v>
      </c>
      <c r="N75" s="5">
        <f t="shared" si="25"/>
        <v>-4.5045045045045043E-2</v>
      </c>
      <c r="O75" s="44">
        <f>IF(ISNUMBER(M75), $B78 * N75, "")</f>
        <v>-4504.5045045045044</v>
      </c>
      <c r="Q75" s="229"/>
      <c r="R75" s="230"/>
    </row>
    <row r="76" spans="1:18" ht="17.25" customHeight="1">
      <c r="A76" s="11" t="s">
        <v>124</v>
      </c>
      <c r="B76" s="32">
        <v>173</v>
      </c>
      <c r="C76" s="5">
        <v>5.8139534999999999E-3</v>
      </c>
      <c r="D76" s="36">
        <v>171</v>
      </c>
      <c r="E76" s="5">
        <f t="shared" si="22"/>
        <v>-1.1560693641618497E-2</v>
      </c>
      <c r="F76" s="44">
        <f>IF(ISNUMBER(D76), $B78 * E76, "")</f>
        <v>-1156.0693641618498</v>
      </c>
      <c r="G76" s="36">
        <v>165</v>
      </c>
      <c r="H76" s="5">
        <f t="shared" si="23"/>
        <v>-4.6242774566473986E-2</v>
      </c>
      <c r="I76" s="44">
        <f>IF(ISNUMBER(G76), $B78 * H76, "")</f>
        <v>-4624.277456647399</v>
      </c>
      <c r="J76" s="36">
        <v>164</v>
      </c>
      <c r="K76" s="5">
        <f t="shared" si="24"/>
        <v>-5.2023121387283239E-2</v>
      </c>
      <c r="L76" s="44">
        <f>IF(ISNUMBER(J76), $B78 * K76, "")</f>
        <v>-5202.3121387283236</v>
      </c>
      <c r="M76" s="36">
        <v>166</v>
      </c>
      <c r="N76" s="5">
        <f t="shared" si="25"/>
        <v>-4.046242774566474E-2</v>
      </c>
      <c r="O76" s="44">
        <f>IF(ISNUMBER(M76), $B78 * N76, "")</f>
        <v>-4046.2427745664741</v>
      </c>
      <c r="Q76" s="231"/>
      <c r="R76" s="232"/>
    </row>
    <row r="77" spans="1:18" ht="17.25" customHeight="1" thickBot="1">
      <c r="A77" s="13" t="s">
        <v>129</v>
      </c>
      <c r="B77" s="34">
        <v>219</v>
      </c>
      <c r="C77" s="16">
        <v>4.5871560000000002E-3</v>
      </c>
      <c r="D77" s="38">
        <v>214</v>
      </c>
      <c r="E77" s="16">
        <f t="shared" si="22"/>
        <v>-2.2831050228310501E-2</v>
      </c>
      <c r="F77" s="45">
        <f>IF(ISNUMBER(D77), $B78 * E77, "")</f>
        <v>-2283.1050228310501</v>
      </c>
      <c r="G77" s="38">
        <v>210</v>
      </c>
      <c r="H77" s="16">
        <f t="shared" si="23"/>
        <v>-4.1095890410958902E-2</v>
      </c>
      <c r="I77" s="45">
        <f>IF(ISNUMBER(G77), $B78 * H77, "")</f>
        <v>-4109.58904109589</v>
      </c>
      <c r="J77" s="38">
        <v>207</v>
      </c>
      <c r="K77" s="16">
        <f t="shared" si="24"/>
        <v>-5.4794520547945202E-2</v>
      </c>
      <c r="L77" s="45">
        <f>IF(ISNUMBER(J77), $B78 * K77, "")</f>
        <v>-5479.4520547945203</v>
      </c>
      <c r="M77" s="38">
        <v>209</v>
      </c>
      <c r="N77" s="16">
        <f t="shared" si="25"/>
        <v>-4.5662100456621002E-2</v>
      </c>
      <c r="O77" s="45">
        <f>IF(ISNUMBER(M77), $B78 * N77, "")</f>
        <v>-4566.2100456621001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2.3623003731185858E-3</v>
      </c>
      <c r="F78" s="47">
        <f>SUM(F68:F77)</f>
        <v>2362.3003731185868</v>
      </c>
      <c r="G78" s="57" t="s">
        <v>82</v>
      </c>
      <c r="H78" s="46">
        <f>IF(COUNT(H68:H77), SUM(H68:H77) / COUNT(H68:H77), 0)</f>
        <v>-1.808646342951517E-2</v>
      </c>
      <c r="I78" s="47">
        <f>SUM(I68:I77)</f>
        <v>-18086.46342951517</v>
      </c>
      <c r="J78" s="57" t="s">
        <v>82</v>
      </c>
      <c r="K78" s="46">
        <f>IF(COUNT(K68:K77), SUM(K68:K77) / COUNT(K68:K77), 0)</f>
        <v>-1.2758084890840751E-2</v>
      </c>
      <c r="L78" s="47">
        <f>SUM(L68:L77)</f>
        <v>-12758.084890840748</v>
      </c>
      <c r="M78" s="57" t="s">
        <v>82</v>
      </c>
      <c r="N78" s="46">
        <f>IF(COUNT(N68:N77), SUM(N68:N77) / COUNT(N68:N77), 0)</f>
        <v>-2.9900771343337818E-3</v>
      </c>
      <c r="O78" s="47">
        <f>SUM(O68:O77)</f>
        <v>-2990.0771343337833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30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34" t="s">
        <v>70</v>
      </c>
      <c r="M84" s="18" t="s">
        <v>67</v>
      </c>
      <c r="N84" s="4" t="s">
        <v>68</v>
      </c>
      <c r="O84" s="136" t="s">
        <v>70</v>
      </c>
      <c r="Q84" s="231"/>
      <c r="R84" s="232"/>
    </row>
    <row r="85" spans="1:18" ht="17.25" customHeight="1">
      <c r="A85" s="9" t="s">
        <v>122</v>
      </c>
      <c r="B85" s="31">
        <v>346</v>
      </c>
      <c r="C85" s="22">
        <v>2.8985507E-3</v>
      </c>
      <c r="D85" s="89">
        <v>345</v>
      </c>
      <c r="E85" s="22">
        <f>IF(ISNUMBER(D85), (D85 - $B85) / $B85, "")</f>
        <v>-2.8901734104046241E-3</v>
      </c>
      <c r="F85" s="43">
        <f>IF(ISNUMBER(D85), $B95 * E85, "")</f>
        <v>-289.01734104046244</v>
      </c>
      <c r="G85" s="89">
        <v>334</v>
      </c>
      <c r="H85" s="22">
        <f>IF(ISNUMBER(G85), (G85 - $B85) / $B85, "")</f>
        <v>-3.4682080924855488E-2</v>
      </c>
      <c r="I85" s="43">
        <f>IF(ISNUMBER(G85), $B95 * H85, "")</f>
        <v>-3468.2080924855486</v>
      </c>
      <c r="J85" s="89">
        <v>332</v>
      </c>
      <c r="K85" s="22">
        <f>IF(ISNUMBER(J85), (J85 - $B85) / $B85, "")</f>
        <v>-4.046242774566474E-2</v>
      </c>
      <c r="L85" s="43">
        <f>IF(ISNUMBER(J85), $B95 * K85, "")</f>
        <v>-4046.2427745664741</v>
      </c>
      <c r="M85" s="89">
        <v>336</v>
      </c>
      <c r="N85" s="22">
        <f>IF(ISNUMBER(M85), (M85 - $B85) / $B85, "")</f>
        <v>-2.8901734104046242E-2</v>
      </c>
      <c r="O85" s="43">
        <f>IF(ISNUMBER(M85), $B95 * N85, "")</f>
        <v>-2890.1734104046241</v>
      </c>
      <c r="Q85" s="229"/>
      <c r="R85" s="230"/>
    </row>
    <row r="86" spans="1:18" ht="17.25" customHeight="1">
      <c r="A86" s="11" t="s">
        <v>172</v>
      </c>
      <c r="B86" s="32">
        <v>752</v>
      </c>
      <c r="C86" s="5">
        <v>-1.44167759E-2</v>
      </c>
      <c r="D86" s="36">
        <v>756</v>
      </c>
      <c r="E86" s="5">
        <f t="shared" ref="E86:E94" si="26">IF(ISNUMBER(D86), (D86 - $B86) / $B86, "")</f>
        <v>5.3191489361702126E-3</v>
      </c>
      <c r="F86" s="44">
        <f>IF(ISNUMBER(D86), $B95 * E86, "")</f>
        <v>531.91489361702122</v>
      </c>
      <c r="G86" s="36">
        <v>827</v>
      </c>
      <c r="H86" s="5">
        <f t="shared" ref="H86:H94" si="27">IF(ISNUMBER(G86), (G86 - $B86) / $B86, "")</f>
        <v>9.9734042553191488E-2</v>
      </c>
      <c r="I86" s="44">
        <f>IF(ISNUMBER(G86), $B95 * H86, "")</f>
        <v>9973.4042553191484</v>
      </c>
      <c r="J86" s="36">
        <v>830</v>
      </c>
      <c r="K86" s="5">
        <f t="shared" ref="K86:K94" si="28">IF(ISNUMBER(J86), (J86 - $B86) / $B86, "")</f>
        <v>0.10372340425531915</v>
      </c>
      <c r="L86" s="44">
        <f>IF(ISNUMBER(J86), $B95 * K86, "")</f>
        <v>10372.340425531915</v>
      </c>
      <c r="M86" s="36">
        <v>814</v>
      </c>
      <c r="N86" s="5">
        <f t="shared" ref="N86:N94" si="29">IF(ISNUMBER(M86), (M86 - $B86) / $B86, "")</f>
        <v>8.2446808510638292E-2</v>
      </c>
      <c r="O86" s="44">
        <f>IF(ISNUMBER(M86), $B95 * N86, "")</f>
        <v>8244.6808510638293</v>
      </c>
      <c r="Q86" s="229"/>
      <c r="R86" s="230"/>
    </row>
    <row r="87" spans="1:18" ht="17.25" customHeight="1">
      <c r="A87" s="11" t="s">
        <v>134</v>
      </c>
      <c r="B87" s="32">
        <v>437</v>
      </c>
      <c r="C87" s="5">
        <v>-2.23713647E-2</v>
      </c>
      <c r="D87" s="36">
        <v>437</v>
      </c>
      <c r="E87" s="5">
        <f t="shared" si="26"/>
        <v>0</v>
      </c>
      <c r="F87" s="44">
        <f>IF(ISNUMBER(D87), $B95 * E87, "")</f>
        <v>0</v>
      </c>
      <c r="G87" s="36">
        <v>422</v>
      </c>
      <c r="H87" s="5">
        <f t="shared" si="27"/>
        <v>-3.4324942791762014E-2</v>
      </c>
      <c r="I87" s="44">
        <f>IF(ISNUMBER(G87), $B95 * H87, "")</f>
        <v>-3432.4942791762014</v>
      </c>
      <c r="J87" s="36">
        <v>418</v>
      </c>
      <c r="K87" s="5">
        <f t="shared" si="28"/>
        <v>-4.3478260869565216E-2</v>
      </c>
      <c r="L87" s="44">
        <f>IF(ISNUMBER(J87), $B95 * K87, "")</f>
        <v>-4347.826086956522</v>
      </c>
      <c r="M87" s="36">
        <v>430</v>
      </c>
      <c r="N87" s="5">
        <f t="shared" si="29"/>
        <v>-1.6018306636155607E-2</v>
      </c>
      <c r="O87" s="44">
        <f>IF(ISNUMBER(M87), $B95 * N87, "")</f>
        <v>-1601.8306636155608</v>
      </c>
      <c r="Q87" s="229"/>
      <c r="R87" s="230"/>
    </row>
    <row r="88" spans="1:18" ht="17.25" customHeight="1">
      <c r="A88" s="11" t="s">
        <v>130</v>
      </c>
      <c r="B88" s="32">
        <v>446</v>
      </c>
      <c r="C88" s="5">
        <v>-2.4070021899999999E-2</v>
      </c>
      <c r="D88" s="36">
        <v>445</v>
      </c>
      <c r="E88" s="5">
        <f t="shared" si="26"/>
        <v>-2.242152466367713E-3</v>
      </c>
      <c r="F88" s="44">
        <f>IF(ISNUMBER(D88), $B95 * E88, "")</f>
        <v>-224.2152466367713</v>
      </c>
      <c r="G88" s="36">
        <v>445</v>
      </c>
      <c r="H88" s="5">
        <f t="shared" si="27"/>
        <v>-2.242152466367713E-3</v>
      </c>
      <c r="I88" s="44">
        <f>IF(ISNUMBER(G88), $B95 * H88, "")</f>
        <v>-224.2152466367713</v>
      </c>
      <c r="J88" s="36">
        <v>447</v>
      </c>
      <c r="K88" s="5">
        <f t="shared" si="28"/>
        <v>2.242152466367713E-3</v>
      </c>
      <c r="L88" s="44">
        <f>IF(ISNUMBER(J88), $B95 * K88, "")</f>
        <v>224.2152466367713</v>
      </c>
      <c r="M88" s="36">
        <v>456</v>
      </c>
      <c r="N88" s="5">
        <f t="shared" si="29"/>
        <v>2.2421524663677129E-2</v>
      </c>
      <c r="O88" s="44">
        <f>IF(ISNUMBER(M88), $B95 * N88, "")</f>
        <v>2242.1524663677128</v>
      </c>
      <c r="Q88" s="229"/>
      <c r="R88" s="230"/>
    </row>
    <row r="89" spans="1:18" ht="17.25" customHeight="1">
      <c r="A89" s="8" t="s">
        <v>118</v>
      </c>
      <c r="B89" s="33">
        <v>366</v>
      </c>
      <c r="C89" s="24">
        <v>-2.65957447E-2</v>
      </c>
      <c r="D89" s="37">
        <v>359</v>
      </c>
      <c r="E89" s="24">
        <f t="shared" si="26"/>
        <v>-1.912568306010929E-2</v>
      </c>
      <c r="F89" s="44">
        <f>IF(ISNUMBER(D89), $B95 * E89, "")</f>
        <v>-1912.5683060109291</v>
      </c>
      <c r="G89" s="37">
        <v>355</v>
      </c>
      <c r="H89" s="24">
        <f t="shared" si="27"/>
        <v>-3.0054644808743168E-2</v>
      </c>
      <c r="I89" s="44">
        <f>IF(ISNUMBER(G89), $B95 * H89, "")</f>
        <v>-3005.4644808743169</v>
      </c>
      <c r="J89" s="37">
        <v>346</v>
      </c>
      <c r="K89" s="24">
        <f t="shared" si="28"/>
        <v>-5.4644808743169397E-2</v>
      </c>
      <c r="L89" s="44">
        <f>IF(ISNUMBER(J89), $B95 * K89, "")</f>
        <v>-5464.4808743169397</v>
      </c>
      <c r="M89" s="37">
        <v>350</v>
      </c>
      <c r="N89" s="24">
        <f t="shared" si="29"/>
        <v>-4.3715846994535519E-2</v>
      </c>
      <c r="O89" s="44">
        <f>IF(ISNUMBER(M89), $B95 * N89, "")</f>
        <v>-4371.5846994535523</v>
      </c>
      <c r="Q89" s="229"/>
      <c r="R89" s="230"/>
    </row>
    <row r="90" spans="1:18" ht="17.25" customHeight="1">
      <c r="A90" s="11" t="s">
        <v>140</v>
      </c>
      <c r="B90" s="32">
        <v>453</v>
      </c>
      <c r="C90" s="5">
        <v>-2.78969957E-2</v>
      </c>
      <c r="D90" s="36">
        <v>454</v>
      </c>
      <c r="E90" s="5">
        <f t="shared" si="26"/>
        <v>2.2075055187637969E-3</v>
      </c>
      <c r="F90" s="48">
        <f>IF(ISNUMBER(D90), $B95 * E90, "")</f>
        <v>220.75055187637969</v>
      </c>
      <c r="G90" s="36">
        <v>445</v>
      </c>
      <c r="H90" s="5">
        <f t="shared" si="27"/>
        <v>-1.7660044150110375E-2</v>
      </c>
      <c r="I90" s="48">
        <f>IF(ISNUMBER(G90), $B95 * H90, "")</f>
        <v>-1766.0044150110375</v>
      </c>
      <c r="J90" s="36">
        <v>442</v>
      </c>
      <c r="K90" s="5">
        <f t="shared" si="28"/>
        <v>-2.4282560706401765E-2</v>
      </c>
      <c r="L90" s="48">
        <f>IF(ISNUMBER(J90), $B95 * K90, "")</f>
        <v>-2428.2560706401764</v>
      </c>
      <c r="M90" s="36">
        <v>455</v>
      </c>
      <c r="N90" s="5">
        <f t="shared" si="29"/>
        <v>4.4150110375275938E-3</v>
      </c>
      <c r="O90" s="48">
        <f>IF(ISNUMBER(M90), $B95 * N90, "")</f>
        <v>441.50110375275938</v>
      </c>
      <c r="Q90" s="229"/>
      <c r="R90" s="230"/>
    </row>
    <row r="91" spans="1:18" ht="17.25" customHeight="1">
      <c r="A91" s="11" t="s">
        <v>142</v>
      </c>
      <c r="B91" s="32">
        <v>258</v>
      </c>
      <c r="C91" s="5">
        <v>-3.0075187999999999E-2</v>
      </c>
      <c r="D91" s="36">
        <v>264</v>
      </c>
      <c r="E91" s="5">
        <f t="shared" si="26"/>
        <v>2.3255813953488372E-2</v>
      </c>
      <c r="F91" s="44">
        <f>IF(ISNUMBER(D91), $B95 * E91, "")</f>
        <v>2325.5813953488373</v>
      </c>
      <c r="G91" s="36">
        <v>250</v>
      </c>
      <c r="H91" s="5">
        <f t="shared" si="27"/>
        <v>-3.1007751937984496E-2</v>
      </c>
      <c r="I91" s="44">
        <f>IF(ISNUMBER(G91), $B95 * H91, "")</f>
        <v>-3100.7751937984494</v>
      </c>
      <c r="J91" s="36">
        <v>246</v>
      </c>
      <c r="K91" s="5">
        <f t="shared" si="28"/>
        <v>-4.6511627906976744E-2</v>
      </c>
      <c r="L91" s="44">
        <f>IF(ISNUMBER(J91), $B95 * K91, "")</f>
        <v>-4651.1627906976746</v>
      </c>
      <c r="M91" s="36">
        <v>249</v>
      </c>
      <c r="N91" s="5">
        <f t="shared" si="29"/>
        <v>-3.4883720930232558E-2</v>
      </c>
      <c r="O91" s="44">
        <f>IF(ISNUMBER(M91), $B95 * N91, "")</f>
        <v>-3488.3720930232557</v>
      </c>
      <c r="Q91" s="229"/>
      <c r="R91" s="230"/>
    </row>
    <row r="92" spans="1:18" ht="17.25" customHeight="1">
      <c r="A92" s="11" t="s">
        <v>110</v>
      </c>
      <c r="B92" s="32">
        <v>715</v>
      </c>
      <c r="C92" s="5">
        <v>-3.8978494599999997E-2</v>
      </c>
      <c r="D92" s="36">
        <v>726</v>
      </c>
      <c r="E92" s="5">
        <f t="shared" si="26"/>
        <v>1.5384615384615385E-2</v>
      </c>
      <c r="F92" s="44">
        <f>IF(ISNUMBER(D92), $B95 * E92, "")</f>
        <v>1538.4615384615386</v>
      </c>
      <c r="G92" s="36">
        <v>708</v>
      </c>
      <c r="H92" s="5">
        <f t="shared" si="27"/>
        <v>-9.7902097902097911E-3</v>
      </c>
      <c r="I92" s="44">
        <f>IF(ISNUMBER(G92), $B95 * H92, "")</f>
        <v>-979.0209790209791</v>
      </c>
      <c r="J92" s="36">
        <v>702</v>
      </c>
      <c r="K92" s="5">
        <f t="shared" si="28"/>
        <v>-1.8181818181818181E-2</v>
      </c>
      <c r="L92" s="44">
        <f>IF(ISNUMBER(J92), $B95 * K92, "")</f>
        <v>-1818.181818181818</v>
      </c>
      <c r="M92" s="36">
        <v>712</v>
      </c>
      <c r="N92" s="5">
        <f t="shared" si="29"/>
        <v>-4.1958041958041958E-3</v>
      </c>
      <c r="O92" s="44">
        <f>IF(ISNUMBER(M92), $B95 * N92, "")</f>
        <v>-419.58041958041957</v>
      </c>
      <c r="Q92" s="229"/>
      <c r="R92" s="230"/>
    </row>
    <row r="93" spans="1:18" ht="17.25" customHeight="1">
      <c r="A93" s="11" t="s">
        <v>111</v>
      </c>
      <c r="B93" s="32">
        <v>666</v>
      </c>
      <c r="C93" s="5">
        <v>-4.31034483E-2</v>
      </c>
      <c r="D93" s="36">
        <v>689</v>
      </c>
      <c r="E93" s="5">
        <f t="shared" si="26"/>
        <v>3.4534534534534533E-2</v>
      </c>
      <c r="F93" s="44">
        <f>IF(ISNUMBER(D93), $B95 * E93, "")</f>
        <v>3453.4534534534532</v>
      </c>
      <c r="G93" s="36">
        <v>684</v>
      </c>
      <c r="H93" s="5">
        <f t="shared" si="27"/>
        <v>2.7027027027027029E-2</v>
      </c>
      <c r="I93" s="44">
        <f>IF(ISNUMBER(G93), $B95 * H93, "")</f>
        <v>2702.7027027027029</v>
      </c>
      <c r="J93" s="36">
        <v>668</v>
      </c>
      <c r="K93" s="5">
        <f t="shared" si="28"/>
        <v>3.003003003003003E-3</v>
      </c>
      <c r="L93" s="44">
        <f>IF(ISNUMBER(J93), $B95 * K93, "")</f>
        <v>300.30030030030031</v>
      </c>
      <c r="M93" s="36">
        <v>678</v>
      </c>
      <c r="N93" s="5">
        <f t="shared" si="29"/>
        <v>1.8018018018018018E-2</v>
      </c>
      <c r="O93" s="44">
        <f>IF(ISNUMBER(M93), $B95 * N93, "")</f>
        <v>1801.8018018018017</v>
      </c>
      <c r="Q93" s="231"/>
      <c r="R93" s="232"/>
    </row>
    <row r="94" spans="1:18" ht="17.25" customHeight="1" thickBot="1">
      <c r="A94" s="13" t="s">
        <v>166</v>
      </c>
      <c r="B94" s="34">
        <v>691</v>
      </c>
      <c r="C94" s="16">
        <v>-4.55801105E-2</v>
      </c>
      <c r="D94" s="38">
        <v>749</v>
      </c>
      <c r="E94" s="16">
        <f t="shared" si="26"/>
        <v>8.3936324167872653E-2</v>
      </c>
      <c r="F94" s="45">
        <f>IF(ISNUMBER(D94), $B95 * E94, "")</f>
        <v>8393.6324167872644</v>
      </c>
      <c r="G94" s="38">
        <v>734</v>
      </c>
      <c r="H94" s="16">
        <f t="shared" si="27"/>
        <v>6.2228654124457307E-2</v>
      </c>
      <c r="I94" s="45">
        <f>IF(ISNUMBER(G94), $B95 * H94, "")</f>
        <v>6222.8654124457307</v>
      </c>
      <c r="J94" s="38">
        <v>729</v>
      </c>
      <c r="K94" s="16">
        <f t="shared" si="28"/>
        <v>5.4992764109985527E-2</v>
      </c>
      <c r="L94" s="45">
        <f>IF(ISNUMBER(J94), $B95 * K94, "")</f>
        <v>5499.2764109985528</v>
      </c>
      <c r="M94" s="38">
        <v>739</v>
      </c>
      <c r="N94" s="16">
        <f t="shared" si="29"/>
        <v>6.9464544138929094E-2</v>
      </c>
      <c r="O94" s="45">
        <f>IF(ISNUMBER(M94), $B95 * N94, "")</f>
        <v>6946.4544138929095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1.4037993355856333E-2</v>
      </c>
      <c r="F95" s="47">
        <f>SUM(F85:F94)</f>
        <v>14037.993355856332</v>
      </c>
      <c r="G95" s="57" t="s">
        <v>82</v>
      </c>
      <c r="H95" s="46">
        <f>IF(COUNT(H85:H94), SUM(H85:H94) / COUNT(H85:H94), 0)</f>
        <v>2.9227896834642781E-3</v>
      </c>
      <c r="I95" s="47">
        <f>SUM(I85:I94)</f>
        <v>2922.7896834642775</v>
      </c>
      <c r="J95" s="57" t="s">
        <v>82</v>
      </c>
      <c r="K95" s="46">
        <f>IF(COUNT(K85:K94), SUM(K85:K94) / COUNT(K85:K94), 0)</f>
        <v>-6.3600180318920648E-3</v>
      </c>
      <c r="L95" s="47">
        <f>SUM(L85:L94)</f>
        <v>-6360.0180318920648</v>
      </c>
      <c r="M95" s="57" t="s">
        <v>82</v>
      </c>
      <c r="N95" s="46">
        <f>IF(COUNT(N85:N94), SUM(N85:N94) / COUNT(N85:N94), 0)</f>
        <v>6.9050493508015995E-3</v>
      </c>
      <c r="O95" s="47">
        <f>SUM(O85:O94)</f>
        <v>6905.0493508016007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30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34" t="s">
        <v>70</v>
      </c>
      <c r="M101" s="18" t="s">
        <v>67</v>
      </c>
      <c r="N101" s="4" t="s">
        <v>68</v>
      </c>
      <c r="O101" s="136" t="s">
        <v>70</v>
      </c>
      <c r="Q101" s="231"/>
      <c r="R101" s="232"/>
    </row>
    <row r="102" spans="1:18" ht="17.25" customHeight="1">
      <c r="A102" s="9" t="s">
        <v>93</v>
      </c>
      <c r="B102" s="31">
        <v>92310</v>
      </c>
      <c r="C102" s="22">
        <v>0.53160776509999996</v>
      </c>
      <c r="D102" s="89">
        <v>74210</v>
      </c>
      <c r="E102" s="22">
        <f>IF(ISNUMBER(D102), (D102 - $B102) / $B102, "")</f>
        <v>-0.19607843137254902</v>
      </c>
      <c r="F102" s="43">
        <f>IF(ISNUMBER(D102), $B112 * E102, "")</f>
        <v>-19607.843137254902</v>
      </c>
      <c r="G102" s="89">
        <v>72410</v>
      </c>
      <c r="H102" s="22">
        <f>IF(ISNUMBER(G102), (G102 - $B102) / $B102, "")</f>
        <v>-0.21557794388473622</v>
      </c>
      <c r="I102" s="43">
        <f>IF(ISNUMBER(G102), $B112 * H102, "")</f>
        <v>-21557.794388473623</v>
      </c>
      <c r="J102" s="89">
        <v>72050</v>
      </c>
      <c r="K102" s="22">
        <f>IF(ISNUMBER(J102), (J102 - $B102) / $B102, "")</f>
        <v>-0.21947784638717366</v>
      </c>
      <c r="L102" s="43">
        <f>IF(ISNUMBER(J102), $B112 * K102, "")</f>
        <v>-21947.784638717367</v>
      </c>
      <c r="M102" s="89">
        <v>72330</v>
      </c>
      <c r="N102" s="22">
        <f>IF(ISNUMBER(M102), (M102 - $B102) / $B102, "")</f>
        <v>-0.21644458888527787</v>
      </c>
      <c r="O102" s="43">
        <f>IF(ISNUMBER(M102), $B112 * N102, "")</f>
        <v>-21644.458888527788</v>
      </c>
      <c r="Q102" s="229"/>
      <c r="R102" s="230"/>
    </row>
    <row r="103" spans="1:18" ht="17.25" customHeight="1">
      <c r="A103" s="11" t="s">
        <v>106</v>
      </c>
      <c r="B103" s="32">
        <v>6830</v>
      </c>
      <c r="C103" s="5">
        <v>0.21314387209999999</v>
      </c>
      <c r="D103" s="36">
        <v>5560</v>
      </c>
      <c r="E103" s="5">
        <f t="shared" ref="E103:E111" si="30">IF(ISNUMBER(D103), (D103 - $B103) / $B103, "")</f>
        <v>-0.18594436310395315</v>
      </c>
      <c r="F103" s="44">
        <f>IF(ISNUMBER(D103), $B112 * E103, "")</f>
        <v>-18594.436310395315</v>
      </c>
      <c r="G103" s="36">
        <v>5435</v>
      </c>
      <c r="H103" s="5">
        <f t="shared" ref="H103:H111" si="31">IF(ISNUMBER(G103), (G103 - $B103) / $B103, "")</f>
        <v>-0.20424597364568081</v>
      </c>
      <c r="I103" s="44">
        <f>IF(ISNUMBER(G103), $B112 * H103, "")</f>
        <v>-20424.597364568082</v>
      </c>
      <c r="J103" s="36">
        <v>5465</v>
      </c>
      <c r="K103" s="5">
        <f t="shared" ref="K103:K111" si="32">IF(ISNUMBER(J103), (J103 - $B103) / $B103, "")</f>
        <v>-0.19985358711566617</v>
      </c>
      <c r="L103" s="44">
        <f>IF(ISNUMBER(J103), $B112 * K103, "")</f>
        <v>-19985.358711566616</v>
      </c>
      <c r="M103" s="36">
        <v>5490</v>
      </c>
      <c r="N103" s="5">
        <f t="shared" ref="N103:N111" si="33">IF(ISNUMBER(M103), (M103 - $B103) / $B103, "")</f>
        <v>-0.19619326500732065</v>
      </c>
      <c r="O103" s="44">
        <f>IF(ISNUMBER(M103), $B112 * N103, "")</f>
        <v>-19619.326500732066</v>
      </c>
      <c r="Q103" s="229"/>
      <c r="R103" s="230"/>
    </row>
    <row r="104" spans="1:18" ht="17.25" customHeight="1">
      <c r="A104" s="11" t="s">
        <v>192</v>
      </c>
      <c r="B104" s="32">
        <v>3165</v>
      </c>
      <c r="C104" s="5">
        <v>0.18097014929999999</v>
      </c>
      <c r="D104" s="36">
        <v>3370</v>
      </c>
      <c r="E104" s="5">
        <f t="shared" si="30"/>
        <v>6.4770932069510262E-2</v>
      </c>
      <c r="F104" s="44">
        <f>IF(ISNUMBER(D104), $B112 * E104, "")</f>
        <v>6477.0932069510263</v>
      </c>
      <c r="G104" s="36">
        <v>3295</v>
      </c>
      <c r="H104" s="5">
        <f t="shared" si="31"/>
        <v>4.1074249605055291E-2</v>
      </c>
      <c r="I104" s="44">
        <f>IF(ISNUMBER(G104), $B112 * H104, "")</f>
        <v>4107.4249605055293</v>
      </c>
      <c r="J104" s="36">
        <v>3435</v>
      </c>
      <c r="K104" s="5">
        <f t="shared" si="32"/>
        <v>8.5308056872037921E-2</v>
      </c>
      <c r="L104" s="44">
        <f>IF(ISNUMBER(J104), $B112 * K104, "")</f>
        <v>8530.8056872037923</v>
      </c>
      <c r="M104" s="36">
        <v>3395</v>
      </c>
      <c r="N104" s="5">
        <f t="shared" si="33"/>
        <v>7.266982622432859E-2</v>
      </c>
      <c r="O104" s="44">
        <f>IF(ISNUMBER(M104), $B112 * N104, "")</f>
        <v>7266.982622432859</v>
      </c>
      <c r="Q104" s="229"/>
      <c r="R104" s="230"/>
    </row>
    <row r="105" spans="1:18" ht="17.25" customHeight="1">
      <c r="A105" s="11" t="s">
        <v>191</v>
      </c>
      <c r="B105" s="32">
        <v>10590</v>
      </c>
      <c r="C105" s="5">
        <v>0.1135646688</v>
      </c>
      <c r="D105" s="36">
        <v>11010</v>
      </c>
      <c r="E105" s="5">
        <f t="shared" si="30"/>
        <v>3.9660056657223795E-2</v>
      </c>
      <c r="F105" s="44">
        <f>IF(ISNUMBER(D105), $B112 * E105, "")</f>
        <v>3966.0056657223795</v>
      </c>
      <c r="G105" s="36">
        <v>10400</v>
      </c>
      <c r="H105" s="5">
        <f t="shared" si="31"/>
        <v>-1.794145420207743E-2</v>
      </c>
      <c r="I105" s="44">
        <f>IF(ISNUMBER(G105), $B112 * H105, "")</f>
        <v>-1794.145420207743</v>
      </c>
      <c r="J105" s="36">
        <v>10460</v>
      </c>
      <c r="K105" s="5">
        <f t="shared" si="32"/>
        <v>-1.2275731822474031E-2</v>
      </c>
      <c r="L105" s="44">
        <f>IF(ISNUMBER(J105), $B112 * K105, "")</f>
        <v>-1227.5731822474031</v>
      </c>
      <c r="M105" s="36">
        <v>10320</v>
      </c>
      <c r="N105" s="5">
        <f t="shared" si="33"/>
        <v>-2.5495750708215296E-2</v>
      </c>
      <c r="O105" s="44">
        <f>IF(ISNUMBER(M105), $B112 * N105, "")</f>
        <v>-2549.5750708215296</v>
      </c>
      <c r="Q105" s="229"/>
      <c r="R105" s="230"/>
    </row>
    <row r="106" spans="1:18" ht="17.25" customHeight="1">
      <c r="A106" s="8" t="s">
        <v>210</v>
      </c>
      <c r="B106" s="33">
        <v>6660</v>
      </c>
      <c r="C106" s="24">
        <v>7.8542510100000004E-2</v>
      </c>
      <c r="D106" s="37">
        <v>6220</v>
      </c>
      <c r="E106" s="24">
        <f t="shared" si="30"/>
        <v>-6.6066066066066062E-2</v>
      </c>
      <c r="F106" s="44">
        <f>IF(ISNUMBER(D106), $B112 * E106, "")</f>
        <v>-6606.606606606606</v>
      </c>
      <c r="G106" s="37">
        <v>6235</v>
      </c>
      <c r="H106" s="24">
        <f t="shared" si="31"/>
        <v>-6.3813813813813819E-2</v>
      </c>
      <c r="I106" s="44">
        <f>IF(ISNUMBER(G106), $B112 * H106, "")</f>
        <v>-6381.3813813813822</v>
      </c>
      <c r="J106" s="37">
        <v>6210</v>
      </c>
      <c r="K106" s="24">
        <f t="shared" si="32"/>
        <v>-6.7567567567567571E-2</v>
      </c>
      <c r="L106" s="44">
        <f>IF(ISNUMBER(J106), $B112 * K106, "")</f>
        <v>-6756.7567567567576</v>
      </c>
      <c r="M106" s="37">
        <v>6180</v>
      </c>
      <c r="N106" s="24">
        <f t="shared" si="33"/>
        <v>-7.2072072072072071E-2</v>
      </c>
      <c r="O106" s="44">
        <f>IF(ISNUMBER(M106), $B112 * N106, "")</f>
        <v>-7207.2072072072069</v>
      </c>
      <c r="Q106" s="229"/>
      <c r="R106" s="230"/>
    </row>
    <row r="107" spans="1:18" ht="17.25" customHeight="1">
      <c r="A107" s="11" t="s">
        <v>164</v>
      </c>
      <c r="B107" s="32">
        <v>172</v>
      </c>
      <c r="C107" s="5">
        <v>7.4999999999999997E-2</v>
      </c>
      <c r="D107" s="36">
        <v>170</v>
      </c>
      <c r="E107" s="5">
        <f t="shared" si="30"/>
        <v>-1.1627906976744186E-2</v>
      </c>
      <c r="F107" s="48">
        <f>IF(ISNUMBER(D107), $B112 * E107, "")</f>
        <v>-1162.7906976744187</v>
      </c>
      <c r="G107" s="36">
        <v>175</v>
      </c>
      <c r="H107" s="5">
        <f t="shared" si="31"/>
        <v>1.7441860465116279E-2</v>
      </c>
      <c r="I107" s="48">
        <f>IF(ISNUMBER(G107), $B112 * H107, "")</f>
        <v>1744.1860465116279</v>
      </c>
      <c r="J107" s="36">
        <v>183</v>
      </c>
      <c r="K107" s="5">
        <f t="shared" si="32"/>
        <v>6.3953488372093026E-2</v>
      </c>
      <c r="L107" s="48">
        <f>IF(ISNUMBER(J107), $B112 * K107, "")</f>
        <v>6395.3488372093025</v>
      </c>
      <c r="M107" s="36">
        <v>182</v>
      </c>
      <c r="N107" s="5">
        <f t="shared" si="33"/>
        <v>5.8139534883720929E-2</v>
      </c>
      <c r="O107" s="48">
        <f>IF(ISNUMBER(M107), $B112 * N107, "")</f>
        <v>5813.9534883720926</v>
      </c>
      <c r="Q107" s="229"/>
      <c r="R107" s="230"/>
    </row>
    <row r="108" spans="1:18" ht="17.25" customHeight="1">
      <c r="A108" s="11" t="s">
        <v>92</v>
      </c>
      <c r="B108" s="32">
        <v>6290</v>
      </c>
      <c r="C108" s="5">
        <v>7.0638297899999994E-2</v>
      </c>
      <c r="D108" s="36">
        <v>6015</v>
      </c>
      <c r="E108" s="5">
        <f t="shared" si="30"/>
        <v>-4.372019077901431E-2</v>
      </c>
      <c r="F108" s="44">
        <f>IF(ISNUMBER(D108), $B112 * E108, "")</f>
        <v>-4372.019077901431</v>
      </c>
      <c r="G108" s="36">
        <v>5790</v>
      </c>
      <c r="H108" s="5">
        <f t="shared" si="31"/>
        <v>-7.9491255961844198E-2</v>
      </c>
      <c r="I108" s="44">
        <f>IF(ISNUMBER(G108), $B112 * H108, "")</f>
        <v>-7949.1255961844199</v>
      </c>
      <c r="J108" s="36">
        <v>5760</v>
      </c>
      <c r="K108" s="5">
        <f t="shared" si="32"/>
        <v>-8.4260731319554846E-2</v>
      </c>
      <c r="L108" s="44">
        <f>IF(ISNUMBER(J108), $B112 * K108, "")</f>
        <v>-8426.0731319554852</v>
      </c>
      <c r="M108" s="36">
        <v>5845</v>
      </c>
      <c r="N108" s="5">
        <f t="shared" si="33"/>
        <v>-7.0747217806041332E-2</v>
      </c>
      <c r="O108" s="44">
        <f>IF(ISNUMBER(M108), $B112 * N108, "")</f>
        <v>-7074.7217806041335</v>
      </c>
      <c r="Q108" s="229"/>
      <c r="R108" s="230"/>
    </row>
    <row r="109" spans="1:18" ht="17.25" customHeight="1">
      <c r="A109" s="11" t="s">
        <v>190</v>
      </c>
      <c r="B109" s="32">
        <v>4905</v>
      </c>
      <c r="C109" s="5">
        <v>6.2838569900000002E-2</v>
      </c>
      <c r="D109" s="36">
        <v>5915</v>
      </c>
      <c r="E109" s="5">
        <f t="shared" si="30"/>
        <v>0.20591233435270132</v>
      </c>
      <c r="F109" s="44">
        <f>IF(ISNUMBER(D109), $B112 * E109, "")</f>
        <v>20591.233435270133</v>
      </c>
      <c r="G109" s="36">
        <v>5355</v>
      </c>
      <c r="H109" s="5">
        <f t="shared" si="31"/>
        <v>9.1743119266055051E-2</v>
      </c>
      <c r="I109" s="44">
        <f>IF(ISNUMBER(G109), $B112 * H109, "")</f>
        <v>9174.3119266055055</v>
      </c>
      <c r="J109" s="36">
        <v>5380</v>
      </c>
      <c r="K109" s="5">
        <f t="shared" si="32"/>
        <v>9.6839959225280325E-2</v>
      </c>
      <c r="L109" s="44">
        <f>IF(ISNUMBER(J109), $B112 * K109, "")</f>
        <v>9683.9959225280327</v>
      </c>
      <c r="M109" s="36">
        <v>5275</v>
      </c>
      <c r="N109" s="5">
        <f t="shared" si="33"/>
        <v>7.5433231396534142E-2</v>
      </c>
      <c r="O109" s="44">
        <f>IF(ISNUMBER(M109), $B112 * N109, "")</f>
        <v>7543.3231396534138</v>
      </c>
      <c r="Q109" s="229"/>
      <c r="R109" s="230"/>
    </row>
    <row r="110" spans="1:18" ht="17.25" customHeight="1">
      <c r="A110" s="11" t="s">
        <v>138</v>
      </c>
      <c r="B110" s="32">
        <v>204</v>
      </c>
      <c r="C110" s="5">
        <v>6.25E-2</v>
      </c>
      <c r="D110" s="36">
        <v>202</v>
      </c>
      <c r="E110" s="5">
        <f t="shared" si="30"/>
        <v>-9.8039215686274508E-3</v>
      </c>
      <c r="F110" s="44">
        <f>IF(ISNUMBER(D110), $B112 * E110, "")</f>
        <v>-980.39215686274508</v>
      </c>
      <c r="G110" s="36">
        <v>201</v>
      </c>
      <c r="H110" s="5">
        <f t="shared" si="31"/>
        <v>-1.4705882352941176E-2</v>
      </c>
      <c r="I110" s="44">
        <f>IF(ISNUMBER(G110), $B112 * H110, "")</f>
        <v>-1470.5882352941176</v>
      </c>
      <c r="J110" s="36">
        <v>201</v>
      </c>
      <c r="K110" s="5">
        <f t="shared" si="32"/>
        <v>-1.4705882352941176E-2</v>
      </c>
      <c r="L110" s="44">
        <f>IF(ISNUMBER(J110), $B112 * K110, "")</f>
        <v>-1470.5882352941176</v>
      </c>
      <c r="M110" s="36">
        <v>210</v>
      </c>
      <c r="N110" s="5">
        <f t="shared" si="33"/>
        <v>2.9411764705882353E-2</v>
      </c>
      <c r="O110" s="44">
        <f>IF(ISNUMBER(M110), $B112 * N110, "")</f>
        <v>2941.1764705882351</v>
      </c>
      <c r="Q110" s="231"/>
      <c r="R110" s="232"/>
    </row>
    <row r="111" spans="1:18" ht="17.25" customHeight="1" thickBot="1">
      <c r="A111" s="13" t="s">
        <v>125</v>
      </c>
      <c r="B111" s="34">
        <v>644</v>
      </c>
      <c r="C111" s="16">
        <v>5.2287581700000002E-2</v>
      </c>
      <c r="D111" s="38">
        <v>737</v>
      </c>
      <c r="E111" s="16">
        <f t="shared" si="30"/>
        <v>0.14440993788819875</v>
      </c>
      <c r="F111" s="45">
        <f>IF(ISNUMBER(D111), $B112 * E111, "")</f>
        <v>14440.993788819875</v>
      </c>
      <c r="G111" s="38">
        <v>674</v>
      </c>
      <c r="H111" s="16">
        <f t="shared" si="31"/>
        <v>4.6583850931677016E-2</v>
      </c>
      <c r="I111" s="45">
        <f>IF(ISNUMBER(G111), $B112 * H111, "")</f>
        <v>4658.3850931677016</v>
      </c>
      <c r="J111" s="38">
        <v>671</v>
      </c>
      <c r="K111" s="16">
        <f t="shared" si="32"/>
        <v>4.192546583850932E-2</v>
      </c>
      <c r="L111" s="45">
        <f>IF(ISNUMBER(J111), $B112 * K111, "")</f>
        <v>4192.5465838509317</v>
      </c>
      <c r="M111" s="38">
        <v>677</v>
      </c>
      <c r="N111" s="16">
        <f t="shared" si="33"/>
        <v>5.124223602484472E-2</v>
      </c>
      <c r="O111" s="45">
        <f>IF(ISNUMBER(M111), $B112 * N111, "")</f>
        <v>5124.2236024844724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-5.8487618899320058E-3</v>
      </c>
      <c r="F112" s="47">
        <f>SUM(F102:F111)</f>
        <v>-5848.7618899320023</v>
      </c>
      <c r="G112" s="57" t="s">
        <v>82</v>
      </c>
      <c r="H112" s="46">
        <f>IF(COUNT(H102:H111), SUM(H102:H111) / COUNT(H102:H111), 0)</f>
        <v>-3.9893324359319006E-2</v>
      </c>
      <c r="I112" s="47">
        <f>SUM(I102:I111)</f>
        <v>-39893.324359319013</v>
      </c>
      <c r="J112" s="57" t="s">
        <v>82</v>
      </c>
      <c r="K112" s="46">
        <f>IF(COUNT(K102:K111), SUM(K102:K111) / COUNT(K102:K111), 0)</f>
        <v>-3.1011437625745698E-2</v>
      </c>
      <c r="L112" s="47">
        <f>SUM(L102:L111)</f>
        <v>-31011.437625745682</v>
      </c>
      <c r="M112" s="57" t="s">
        <v>82</v>
      </c>
      <c r="N112" s="46">
        <f>IF(COUNT(N102:N111), SUM(N102:N111) / COUNT(N102:N111), 0)</f>
        <v>-2.9405630124361648E-2</v>
      </c>
      <c r="O112" s="47">
        <f>SUM(O102:O111)</f>
        <v>-29405.630124361651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791" priority="89">
      <formula>$E$27&gt;0</formula>
    </cfRule>
    <cfRule type="expression" dxfId="790" priority="90">
      <formula>$E$27&lt;0</formula>
    </cfRule>
  </conditionalFormatting>
  <conditionalFormatting sqref="G15:I16 H27:I27">
    <cfRule type="expression" dxfId="789" priority="87">
      <formula>$H$27&gt;0</formula>
    </cfRule>
    <cfRule type="expression" dxfId="788" priority="88">
      <formula>$H$27&lt;0</formula>
    </cfRule>
  </conditionalFormatting>
  <conditionalFormatting sqref="J15:L16 K27:L27">
    <cfRule type="expression" dxfId="787" priority="85">
      <formula>$K$27&gt;0</formula>
    </cfRule>
    <cfRule type="expression" dxfId="786" priority="86">
      <formula>$K$27&lt;0</formula>
    </cfRule>
  </conditionalFormatting>
  <conditionalFormatting sqref="M15:O16 N27:O27">
    <cfRule type="expression" dxfId="785" priority="83">
      <formula>$N$27&gt;0</formula>
    </cfRule>
    <cfRule type="expression" dxfId="784" priority="84">
      <formula>$N$27&lt;0</formula>
    </cfRule>
  </conditionalFormatting>
  <conditionalFormatting sqref="A17:O26 A34:O43">
    <cfRule type="expression" dxfId="783" priority="91">
      <formula>AND($N17 &gt; 0, ISNUMBER($N17))</formula>
    </cfRule>
    <cfRule type="expression" dxfId="782" priority="92">
      <formula>AND($N17 &lt; 0, ISNUMBER($N17))</formula>
    </cfRule>
    <cfRule type="expression" dxfId="781" priority="93">
      <formula>AND($K17 &gt; 0, ISNUMBER($K17))</formula>
    </cfRule>
    <cfRule type="expression" dxfId="780" priority="94">
      <formula>AND($K17 &lt; 0, ISNUMBER($K17))</formula>
    </cfRule>
    <cfRule type="expression" dxfId="779" priority="95">
      <formula>AND($H17 &gt; 0, ISNUMBER($H17))</formula>
    </cfRule>
    <cfRule type="expression" dxfId="778" priority="96">
      <formula>AND($H17 &lt; 0, ISNUMBER($H17))</formula>
    </cfRule>
    <cfRule type="expression" dxfId="777" priority="97">
      <formula>AND($E17 &gt; 0, ISNUMBER($E17))</formula>
    </cfRule>
    <cfRule type="expression" dxfId="776" priority="98">
      <formula>AND($E17 &lt; 0, ISNUMBER($E17))</formula>
    </cfRule>
  </conditionalFormatting>
  <conditionalFormatting sqref="D32:F33 E44:F44">
    <cfRule type="expression" dxfId="775" priority="81">
      <formula>$E$44&gt;0</formula>
    </cfRule>
    <cfRule type="expression" dxfId="774" priority="82">
      <formula>$E$44&lt;0</formula>
    </cfRule>
  </conditionalFormatting>
  <conditionalFormatting sqref="G32:I33 H44:I44">
    <cfRule type="expression" dxfId="773" priority="79">
      <formula>$H$44&gt;0</formula>
    </cfRule>
    <cfRule type="expression" dxfId="772" priority="80">
      <formula>$H$44&lt;0</formula>
    </cfRule>
  </conditionalFormatting>
  <conditionalFormatting sqref="J32:L33 K44:L44">
    <cfRule type="expression" dxfId="771" priority="77">
      <formula>$K$44&gt;0</formula>
    </cfRule>
    <cfRule type="expression" dxfId="770" priority="78">
      <formula>$K$44&lt;0</formula>
    </cfRule>
  </conditionalFormatting>
  <conditionalFormatting sqref="M32:O33 N44:O44">
    <cfRule type="expression" dxfId="769" priority="75">
      <formula>$N$44&gt;0</formula>
    </cfRule>
    <cfRule type="expression" dxfId="768" priority="76">
      <formula>$N$44&lt;0</formula>
    </cfRule>
  </conditionalFormatting>
  <conditionalFormatting sqref="A51:O60">
    <cfRule type="expression" dxfId="767" priority="67">
      <formula>AND($N51 &gt; 0, ISNUMBER($N51))</formula>
    </cfRule>
    <cfRule type="expression" dxfId="766" priority="68">
      <formula>AND($N51 &lt; 0, ISNUMBER($N51))</formula>
    </cfRule>
    <cfRule type="expression" dxfId="765" priority="69">
      <formula>AND($K51 &gt; 0, ISNUMBER($K51))</formula>
    </cfRule>
    <cfRule type="expression" dxfId="764" priority="70">
      <formula>AND($K51 &lt; 0, ISNUMBER($K51))</formula>
    </cfRule>
    <cfRule type="expression" dxfId="763" priority="71">
      <formula>AND($H51 &gt; 0, ISNUMBER($H51))</formula>
    </cfRule>
    <cfRule type="expression" dxfId="762" priority="72">
      <formula>AND($H51 &lt; 0, ISNUMBER($H51))</formula>
    </cfRule>
    <cfRule type="expression" dxfId="761" priority="73">
      <formula>AND($E51 &gt; 0, ISNUMBER($E51))</formula>
    </cfRule>
    <cfRule type="expression" dxfId="760" priority="74">
      <formula>AND($E51 &lt; 0, ISNUMBER($E51))</formula>
    </cfRule>
  </conditionalFormatting>
  <conditionalFormatting sqref="D49:F50 E61:F61">
    <cfRule type="expression" dxfId="759" priority="65">
      <formula>$E$61&gt;0</formula>
    </cfRule>
    <cfRule type="expression" dxfId="758" priority="66">
      <formula>$E$61&lt;0</formula>
    </cfRule>
  </conditionalFormatting>
  <conditionalFormatting sqref="G49:I50 H61:I61">
    <cfRule type="expression" dxfId="757" priority="63">
      <formula>$H$61&gt;0</formula>
    </cfRule>
    <cfRule type="expression" dxfId="756" priority="64">
      <formula>$H$61&lt;0</formula>
    </cfRule>
  </conditionalFormatting>
  <conditionalFormatting sqref="J49:L50 K61:L61">
    <cfRule type="expression" dxfId="755" priority="61">
      <formula>$K$61&gt;0</formula>
    </cfRule>
    <cfRule type="expression" dxfId="754" priority="62">
      <formula>$K$61&lt;0</formula>
    </cfRule>
  </conditionalFormatting>
  <conditionalFormatting sqref="M49:O50 N61:O61">
    <cfRule type="expression" dxfId="753" priority="59">
      <formula>$N$61&gt;0</formula>
    </cfRule>
    <cfRule type="expression" dxfId="752" priority="60">
      <formula>$N$61&lt;0</formula>
    </cfRule>
  </conditionalFormatting>
  <conditionalFormatting sqref="A68:O77">
    <cfRule type="expression" dxfId="751" priority="51">
      <formula>AND($N68 &gt; 0, ISNUMBER($N68))</formula>
    </cfRule>
    <cfRule type="expression" dxfId="750" priority="52">
      <formula>AND($N68 &lt; 0, ISNUMBER($N68))</formula>
    </cfRule>
    <cfRule type="expression" dxfId="749" priority="53">
      <formula>AND($K68 &gt; 0, ISNUMBER($K68))</formula>
    </cfRule>
    <cfRule type="expression" dxfId="748" priority="54">
      <formula>AND($K68 &lt; 0, ISNUMBER($K68))</formula>
    </cfRule>
    <cfRule type="expression" dxfId="747" priority="55">
      <formula>AND($H68 &gt; 0, ISNUMBER($H68))</formula>
    </cfRule>
    <cfRule type="expression" dxfId="746" priority="56">
      <formula>AND($H68 &lt; 0, ISNUMBER($H68))</formula>
    </cfRule>
    <cfRule type="expression" dxfId="745" priority="57">
      <formula>AND($E68 &gt; 0, ISNUMBER($E68))</formula>
    </cfRule>
    <cfRule type="expression" dxfId="744" priority="58">
      <formula>AND($E68 &lt; 0, ISNUMBER($E68))</formula>
    </cfRule>
  </conditionalFormatting>
  <conditionalFormatting sqref="D66:F67 E78:F78">
    <cfRule type="expression" dxfId="743" priority="49">
      <formula>$E$78&gt;0</formula>
    </cfRule>
    <cfRule type="expression" dxfId="742" priority="50">
      <formula>$E$78&lt;0</formula>
    </cfRule>
  </conditionalFormatting>
  <conditionalFormatting sqref="G66:I67 H78:I78">
    <cfRule type="expression" dxfId="741" priority="47">
      <formula>$H$78&gt;0</formula>
    </cfRule>
    <cfRule type="expression" dxfId="740" priority="48">
      <formula>$H$78&lt;0</formula>
    </cfRule>
  </conditionalFormatting>
  <conditionalFormatting sqref="J66:L67 K78:L78">
    <cfRule type="expression" dxfId="739" priority="45">
      <formula>$K$78&gt;0</formula>
    </cfRule>
    <cfRule type="expression" dxfId="738" priority="46">
      <formula>$K$78&lt;0</formula>
    </cfRule>
  </conditionalFormatting>
  <conditionalFormatting sqref="M66:O67 N78:O78">
    <cfRule type="expression" dxfId="737" priority="43">
      <formula>$N$78&gt;0</formula>
    </cfRule>
    <cfRule type="expression" dxfId="736" priority="44">
      <formula>$N$78&lt;0</formula>
    </cfRule>
  </conditionalFormatting>
  <conditionalFormatting sqref="A85:O94">
    <cfRule type="expression" dxfId="735" priority="35">
      <formula>AND($N85 &gt; 0, ISNUMBER($N85))</formula>
    </cfRule>
    <cfRule type="expression" dxfId="734" priority="36">
      <formula>AND($N85 &lt; 0, ISNUMBER($N85))</formula>
    </cfRule>
    <cfRule type="expression" dxfId="733" priority="37">
      <formula>AND($K85 &gt; 0, ISNUMBER($K85))</formula>
    </cfRule>
    <cfRule type="expression" dxfId="732" priority="38">
      <formula>AND($K85 &lt; 0, ISNUMBER($K85))</formula>
    </cfRule>
    <cfRule type="expression" dxfId="731" priority="39">
      <formula>AND($H85 &gt; 0, ISNUMBER($H85))</formula>
    </cfRule>
    <cfRule type="expression" dxfId="730" priority="40">
      <formula>AND($H85 &lt; 0, ISNUMBER($H85))</formula>
    </cfRule>
    <cfRule type="expression" dxfId="729" priority="41">
      <formula>AND($E85 &gt; 0, ISNUMBER($E85))</formula>
    </cfRule>
    <cfRule type="expression" dxfId="728" priority="42">
      <formula>AND($E85 &lt; 0, ISNUMBER($E85))</formula>
    </cfRule>
  </conditionalFormatting>
  <conditionalFormatting sqref="D83:F84 E95:F95">
    <cfRule type="expression" dxfId="727" priority="33">
      <formula>$E$95&gt;0</formula>
    </cfRule>
    <cfRule type="expression" dxfId="726" priority="34">
      <formula>$E$95&lt;0</formula>
    </cfRule>
  </conditionalFormatting>
  <conditionalFormatting sqref="G83:I84 H95:I95">
    <cfRule type="expression" dxfId="725" priority="31">
      <formula>$H$95&gt;0</formula>
    </cfRule>
    <cfRule type="expression" dxfId="724" priority="32">
      <formula>$H$95&lt;0</formula>
    </cfRule>
  </conditionalFormatting>
  <conditionalFormatting sqref="J83:L84 K95:L95">
    <cfRule type="expression" dxfId="723" priority="29">
      <formula>$K$95&gt;0</formula>
    </cfRule>
    <cfRule type="expression" dxfId="722" priority="30">
      <formula>$K$95&lt;0</formula>
    </cfRule>
  </conditionalFormatting>
  <conditionalFormatting sqref="M83:O84 N95:O95">
    <cfRule type="expression" dxfId="721" priority="27">
      <formula>$N$95&gt;0</formula>
    </cfRule>
    <cfRule type="expression" dxfId="720" priority="28">
      <formula>$N$95&lt;0</formula>
    </cfRule>
  </conditionalFormatting>
  <conditionalFormatting sqref="A102:O111">
    <cfRule type="expression" dxfId="719" priority="19">
      <formula>AND($N102 &gt; 0, ISNUMBER($N102))</formula>
    </cfRule>
    <cfRule type="expression" dxfId="718" priority="20">
      <formula>AND($N102 &lt; 0, ISNUMBER($N102))</formula>
    </cfRule>
    <cfRule type="expression" dxfId="717" priority="21">
      <formula>AND($K102 &gt; 0, ISNUMBER($K102))</formula>
    </cfRule>
    <cfRule type="expression" dxfId="716" priority="22">
      <formula>AND($K102 &lt; 0, ISNUMBER($K102))</formula>
    </cfRule>
    <cfRule type="expression" dxfId="715" priority="23">
      <formula>AND($H102 &gt; 0, ISNUMBER($H102))</formula>
    </cfRule>
    <cfRule type="expression" dxfId="714" priority="24">
      <formula>AND($H102 &lt; 0, ISNUMBER($H102))</formula>
    </cfRule>
    <cfRule type="expression" dxfId="713" priority="25">
      <formula>AND($E102 &gt; 0, ISNUMBER($E102))</formula>
    </cfRule>
    <cfRule type="expression" dxfId="712" priority="26">
      <formula>AND($E102 &lt; 0, ISNUMBER($E102))</formula>
    </cfRule>
  </conditionalFormatting>
  <conditionalFormatting sqref="D100:F101 E112:F112">
    <cfRule type="expression" dxfId="711" priority="17">
      <formula>$E$112&gt;0</formula>
    </cfRule>
    <cfRule type="expression" dxfId="710" priority="18">
      <formula>$E$112&lt;0</formula>
    </cfRule>
  </conditionalFormatting>
  <conditionalFormatting sqref="G100:I101 H112:I112">
    <cfRule type="expression" dxfId="709" priority="15">
      <formula>$H$112&gt;0</formula>
    </cfRule>
    <cfRule type="expression" dxfId="708" priority="16">
      <formula>$H$112&lt;0</formula>
    </cfRule>
  </conditionalFormatting>
  <conditionalFormatting sqref="J100:L101 K112:L112">
    <cfRule type="expression" dxfId="707" priority="13">
      <formula>$K$112&gt;0</formula>
    </cfRule>
    <cfRule type="expression" dxfId="706" priority="14">
      <formula>$K$112&lt;0</formula>
    </cfRule>
  </conditionalFormatting>
  <conditionalFormatting sqref="M100:O101 N112:O112">
    <cfRule type="expression" dxfId="705" priority="11">
      <formula>$N$112&gt;0</formula>
    </cfRule>
    <cfRule type="expression" dxfId="704" priority="12">
      <formula>$N$112&lt;0</formula>
    </cfRule>
  </conditionalFormatting>
  <conditionalFormatting sqref="G2:I3">
    <cfRule type="expression" dxfId="703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702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01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700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99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98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697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696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695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694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EB4B5-06D5-4C6A-9D7B-A4A0B348C021}">
  <sheetPr codeName="Sheet16"/>
  <dimension ref="A1:R112"/>
  <sheetViews>
    <sheetView topLeftCell="A19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6.875" bestFit="1" customWidth="1"/>
    <col min="5" max="5" width="8.875" bestFit="1" customWidth="1"/>
    <col min="6" max="6" width="14" bestFit="1" customWidth="1"/>
    <col min="7" max="7" width="16.87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44300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-52,296 KRW (-5.23%)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42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-48,359 KRW (-8.06%)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49,462 KRW (4.95%)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-80,518 KRW (-8.05%)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12,901 KRW (1.29%)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42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37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38" t="s">
        <v>67</v>
      </c>
      <c r="H16" s="139" t="s">
        <v>68</v>
      </c>
      <c r="I16" s="140" t="s">
        <v>70</v>
      </c>
      <c r="J16" s="4" t="s">
        <v>67</v>
      </c>
      <c r="K16" s="4" t="s">
        <v>68</v>
      </c>
      <c r="L16" s="141" t="s">
        <v>70</v>
      </c>
      <c r="M16" s="18" t="s">
        <v>67</v>
      </c>
      <c r="N16" s="4" t="s">
        <v>68</v>
      </c>
      <c r="O16" s="143" t="s">
        <v>70</v>
      </c>
      <c r="Q16" s="206"/>
      <c r="R16" s="207"/>
    </row>
    <row r="17" spans="1:18" ht="17.25" customHeight="1">
      <c r="A17" s="39" t="s">
        <v>192</v>
      </c>
      <c r="B17" s="89">
        <f>IF(NOT(_xlfn.IFNA(VLOOKUP($A17, $A$30:$O$112, 2, FALSE), "")=0), _xlfn.IFNA(VLOOKUP($A17, $A$30:$O$112, 2, FALSE), ""), "")</f>
        <v>3395</v>
      </c>
      <c r="C17" s="22">
        <f>IF(NOT(_xlfn.IFNA(VLOOKUP($A17, $A$30:$O$112, 3, FALSE), "")=0), _xlfn.IFNA(VLOOKUP($A17, $A$30:$O$112, 3, FALSE), ""), "")</f>
        <v>0.1587030717</v>
      </c>
      <c r="D17" s="89">
        <f>IF(NOT(_xlfn.IFNA(VLOOKUP($A17, $A$30:$O$112, 4, FALSE), "")=0), _xlfn.IFNA(VLOOKUP($A17, $A$30:$O$112, 4, FALSE), ""), "")</f>
        <v>2870</v>
      </c>
      <c r="E17" s="22">
        <f>IF(NOT(_xlfn.IFNA(VLOOKUP($A17, $A$30:$O$112, 5, FALSE), "")=0), _xlfn.IFNA(VLOOKUP($A17, $A$30:$O$112, 5, FALSE), ""), "")</f>
        <v>-0.15463917525773196</v>
      </c>
      <c r="F17" s="58">
        <f>IF(NOT(_xlfn.IFNA(VLOOKUP($A17, $A$30:$O$112, 6, FALSE), "")=0), _xlfn.IFNA(VLOOKUP($A17, $A$30:$O$112, 6, FALSE), ""), "")</f>
        <v>-15463.917525773197</v>
      </c>
      <c r="G17" s="36">
        <f t="shared" ref="G17:G26" si="0">IF(NOT(_xlfn.IFNA(VLOOKUP($A17, $A$30:$O$112, 7, FALSE), "")=0), _xlfn.IFNA(VLOOKUP($A17, $A$30:$O$112, 7, FALSE), ""), "")</f>
        <v>2995</v>
      </c>
      <c r="H17" s="5">
        <f>IF(NOT(_xlfn.IFNA(VLOOKUP($A17, $A$30:$O$112, 8, FALSE), "")=0), _xlfn.IFNA(VLOOKUP($A17, $A$30:$O$112, 8, FALSE), ""), "")</f>
        <v>-0.11782032400589101</v>
      </c>
      <c r="I17" s="59">
        <f>IF(NOT(_xlfn.IFNA(VLOOKUP($A17, $A$30:$O$112, 9, FALSE), "")=0), _xlfn.IFNA(VLOOKUP($A17, $A$30:$O$112, 9, FALSE), ""), "")</f>
        <v>-11782.032400589102</v>
      </c>
      <c r="J17" s="89">
        <f>IF(NOT(_xlfn.IFNA(VLOOKUP($A17, $A$30:$O$112, 10, FALSE), "")=0), _xlfn.IFNA(VLOOKUP($A17, $A$30:$O$112, 10, FALSE), ""), "")</f>
        <v>3405</v>
      </c>
      <c r="K17" s="22">
        <f>IF(NOT(_xlfn.IFNA(VLOOKUP($A17, $A$30:$O$112, 11, FALSE), "")=0), _xlfn.IFNA(VLOOKUP($A17, $A$30:$O$112, 11, FALSE), ""), "")</f>
        <v>2.9455081001472753E-3</v>
      </c>
      <c r="L17" s="58">
        <f>IF(NOT(_xlfn.IFNA(VLOOKUP($A17, $A$30:$O$112, 12, FALSE), "")=0), _xlfn.IFNA(VLOOKUP($A17, $A$30:$O$112, 12, FALSE), ""), "")</f>
        <v>294.55081001472752</v>
      </c>
      <c r="M17" s="89">
        <f>IF(NOT(_xlfn.IFNA(VLOOKUP($A17, $A$30:$O$112, 13, FALSE), "")=0), _xlfn.IFNA(VLOOKUP($A17, $A$30:$O$112, 13, FALSE), ""), "")</f>
        <v>3240</v>
      </c>
      <c r="N17" s="22">
        <f>IF(NOT(_xlfn.IFNA(VLOOKUP($A17, $A$30:$O$112, 14, FALSE), "")=0), _xlfn.IFNA(VLOOKUP($A17, $A$30:$O$112, 14, FALSE), ""), "")</f>
        <v>-4.5655375552282766E-2</v>
      </c>
      <c r="O17" s="43">
        <f>IF(NOT(_xlfn.IFNA(VLOOKUP($A17, $A$30:$O$112, 15, FALSE), "")=0), _xlfn.IFNA(VLOOKUP($A17, $A$30:$O$112, 15, FALSE), ""), "")</f>
        <v>-4565.5375552282767</v>
      </c>
      <c r="Q17" s="204"/>
      <c r="R17" s="205"/>
    </row>
    <row r="18" spans="1:18" ht="17.25" customHeight="1">
      <c r="A18" s="40" t="s">
        <v>206</v>
      </c>
      <c r="B18" s="36">
        <f t="shared" ref="B18:B26" si="1">IF(NOT(_xlfn.IFNA(VLOOKUP($A18, $A$30:$O$112, 2, FALSE), "")=0), _xlfn.IFNA(VLOOKUP($A18, $A$30:$O$112, 2, FALSE), ""), "")</f>
        <v>2205</v>
      </c>
      <c r="C18" s="5">
        <f t="shared" ref="C18:C26" si="2">IF(NOT(_xlfn.IFNA(VLOOKUP($A18, $A$30:$O$112, 3, FALSE), "")=0), _xlfn.IFNA(VLOOKUP($A18, $A$30:$O$112, 3, FALSE), ""), "")</f>
        <v>0.1484375</v>
      </c>
      <c r="D18" s="36">
        <f t="shared" ref="D18:D26" si="3">IF(NOT(_xlfn.IFNA(VLOOKUP($A18, $A$30:$O$112, 4, FALSE), "")=0), _xlfn.IFNA(VLOOKUP($A18, $A$30:$O$112, 4, FALSE), ""), "")</f>
        <v>2460</v>
      </c>
      <c r="E18" s="5">
        <f t="shared" ref="E18:E26" si="4">IF(NOT(_xlfn.IFNA(VLOOKUP($A18, $A$30:$O$112, 5, FALSE), "")=0), _xlfn.IFNA(VLOOKUP($A18, $A$30:$O$112, 5, FALSE), ""), "")</f>
        <v>0.11564625850340136</v>
      </c>
      <c r="F18" s="59">
        <f t="shared" ref="F18:F26" si="5">IF(NOT(_xlfn.IFNA(VLOOKUP($A18, $A$30:$O$112, 6, FALSE), "")=0), _xlfn.IFNA(VLOOKUP($A18, $A$30:$O$112, 6, FALSE), ""), "")</f>
        <v>11564.625850340137</v>
      </c>
      <c r="G18" s="36">
        <f t="shared" si="0"/>
        <v>2330</v>
      </c>
      <c r="H18" s="5">
        <f t="shared" ref="H18:H26" si="6">IF(NOT(_xlfn.IFNA(VLOOKUP($A18, $A$30:$O$112, 8, FALSE), "")=0), _xlfn.IFNA(VLOOKUP($A18, $A$30:$O$112, 8, FALSE), ""), "")</f>
        <v>5.6689342403628121E-2</v>
      </c>
      <c r="I18" s="59">
        <f t="shared" ref="I18:I26" si="7">IF(NOT(_xlfn.IFNA(VLOOKUP($A18, $A$30:$O$112, 9, FALSE), "")=0), _xlfn.IFNA(VLOOKUP($A18, $A$30:$O$112, 9, FALSE), ""), "")</f>
        <v>5668.9342403628125</v>
      </c>
      <c r="J18" s="36">
        <f t="shared" ref="J18:J26" si="8">IF(NOT(_xlfn.IFNA(VLOOKUP($A18, $A$30:$O$112, 10, FALSE), "")=0), _xlfn.IFNA(VLOOKUP($A18, $A$30:$O$112, 10, FALSE), ""), "")</f>
        <v>2280</v>
      </c>
      <c r="K18" s="5">
        <f t="shared" ref="K18:K26" si="9">IF(NOT(_xlfn.IFNA(VLOOKUP($A18, $A$30:$O$112, 11, FALSE), "")=0), _xlfn.IFNA(VLOOKUP($A18, $A$30:$O$112, 11, FALSE), ""), "")</f>
        <v>3.4013605442176874E-2</v>
      </c>
      <c r="L18" s="59">
        <f t="shared" ref="L18:L26" si="10">IF(NOT(_xlfn.IFNA(VLOOKUP($A18, $A$30:$O$112, 12, FALSE), "")=0), _xlfn.IFNA(VLOOKUP($A18, $A$30:$O$112, 12, FALSE), ""), "")</f>
        <v>3401.3605442176872</v>
      </c>
      <c r="M18" s="36">
        <f t="shared" ref="M18:M26" si="11">IF(NOT(_xlfn.IFNA(VLOOKUP($A18, $A$30:$O$112, 13, FALSE), "")=0), _xlfn.IFNA(VLOOKUP($A18, $A$30:$O$112, 13, FALSE), ""), "")</f>
        <v>2130</v>
      </c>
      <c r="N18" s="5">
        <f t="shared" ref="N18:N26" si="12">IF(NOT(_xlfn.IFNA(VLOOKUP($A18, $A$30:$O$112, 14, FALSE), "")=0), _xlfn.IFNA(VLOOKUP($A18, $A$30:$O$112, 14, FALSE), ""), "")</f>
        <v>-3.4013605442176874E-2</v>
      </c>
      <c r="O18" s="44">
        <f t="shared" ref="O18:O26" si="13">IF(NOT(_xlfn.IFNA(VLOOKUP($A18, $A$30:$O$112, 15, FALSE), "")=0), _xlfn.IFNA(VLOOKUP($A18, $A$30:$O$112, 15, FALSE), ""), "")</f>
        <v>-3401.3605442176872</v>
      </c>
      <c r="Q18" s="204"/>
      <c r="R18" s="205"/>
    </row>
    <row r="19" spans="1:18" ht="17.25" customHeight="1">
      <c r="A19" s="40" t="s">
        <v>94</v>
      </c>
      <c r="B19" s="36">
        <f t="shared" si="1"/>
        <v>104</v>
      </c>
      <c r="C19" s="5">
        <f t="shared" si="2"/>
        <v>0.12798264640000001</v>
      </c>
      <c r="D19" s="36">
        <f t="shared" si="3"/>
        <v>142</v>
      </c>
      <c r="E19" s="5">
        <f t="shared" si="4"/>
        <v>0.36538461538461536</v>
      </c>
      <c r="F19" s="59">
        <f t="shared" si="5"/>
        <v>36538.461538461539</v>
      </c>
      <c r="G19" s="36">
        <f t="shared" si="0"/>
        <v>169</v>
      </c>
      <c r="H19" s="5">
        <f t="shared" si="6"/>
        <v>0.625</v>
      </c>
      <c r="I19" s="59">
        <f t="shared" si="7"/>
        <v>62500</v>
      </c>
      <c r="J19" s="36">
        <f t="shared" si="8"/>
        <v>171</v>
      </c>
      <c r="K19" s="5">
        <f t="shared" si="9"/>
        <v>0.64423076923076927</v>
      </c>
      <c r="L19" s="59">
        <f t="shared" si="10"/>
        <v>64423.076923076929</v>
      </c>
      <c r="M19" s="36">
        <f t="shared" si="11"/>
        <v>162</v>
      </c>
      <c r="N19" s="5">
        <f t="shared" si="12"/>
        <v>0.55769230769230771</v>
      </c>
      <c r="O19" s="44">
        <f t="shared" si="13"/>
        <v>55769.230769230773</v>
      </c>
      <c r="Q19" s="204"/>
      <c r="R19" s="205"/>
    </row>
    <row r="20" spans="1:18" ht="17.25" customHeight="1">
      <c r="A20" s="40" t="s">
        <v>223</v>
      </c>
      <c r="B20" s="36">
        <f t="shared" si="1"/>
        <v>9340</v>
      </c>
      <c r="C20" s="5">
        <f t="shared" si="2"/>
        <v>0.1027154664</v>
      </c>
      <c r="D20" s="36">
        <f t="shared" si="3"/>
        <v>10100</v>
      </c>
      <c r="E20" s="5">
        <f t="shared" si="4"/>
        <v>8.137044967880086E-2</v>
      </c>
      <c r="F20" s="59">
        <f t="shared" si="5"/>
        <v>8137.044967880086</v>
      </c>
      <c r="G20" s="36">
        <f t="shared" si="0"/>
        <v>9755</v>
      </c>
      <c r="H20" s="5">
        <f t="shared" si="6"/>
        <v>4.4432548179871523E-2</v>
      </c>
      <c r="I20" s="59">
        <f t="shared" si="7"/>
        <v>4443.2548179871519</v>
      </c>
      <c r="J20" s="36">
        <f t="shared" si="8"/>
        <v>9655</v>
      </c>
      <c r="K20" s="5">
        <f t="shared" si="9"/>
        <v>3.3725910064239827E-2</v>
      </c>
      <c r="L20" s="59">
        <f t="shared" si="10"/>
        <v>3372.5910064239824</v>
      </c>
      <c r="M20" s="36">
        <f t="shared" si="11"/>
        <v>9350</v>
      </c>
      <c r="N20" s="5">
        <f t="shared" si="12"/>
        <v>1.0706638115631692E-3</v>
      </c>
      <c r="O20" s="44">
        <f t="shared" si="13"/>
        <v>107.06638115631692</v>
      </c>
      <c r="Q20" s="204"/>
      <c r="R20" s="205"/>
    </row>
    <row r="21" spans="1:18" ht="17.25" customHeight="1">
      <c r="A21" s="41" t="s">
        <v>190</v>
      </c>
      <c r="B21" s="37">
        <f t="shared" si="1"/>
        <v>5275</v>
      </c>
      <c r="C21" s="24">
        <f t="shared" si="2"/>
        <v>8.7628866E-2</v>
      </c>
      <c r="D21" s="37">
        <f t="shared" si="3"/>
        <v>5040</v>
      </c>
      <c r="E21" s="24">
        <f t="shared" si="4"/>
        <v>-4.4549763033175357E-2</v>
      </c>
      <c r="F21" s="60">
        <f t="shared" si="5"/>
        <v>-4454.9763033175359</v>
      </c>
      <c r="G21" s="37">
        <f t="shared" si="0"/>
        <v>4835</v>
      </c>
      <c r="H21" s="24">
        <f t="shared" si="6"/>
        <v>-8.3412322274881517E-2</v>
      </c>
      <c r="I21" s="60">
        <f t="shared" si="7"/>
        <v>-8341.2322274881517</v>
      </c>
      <c r="J21" s="37">
        <f t="shared" si="8"/>
        <v>5060</v>
      </c>
      <c r="K21" s="24">
        <f t="shared" si="9"/>
        <v>-4.0758293838862557E-2</v>
      </c>
      <c r="L21" s="60">
        <f t="shared" si="10"/>
        <v>-4075.8293838862555</v>
      </c>
      <c r="M21" s="37">
        <f t="shared" si="11"/>
        <v>4920</v>
      </c>
      <c r="N21" s="24">
        <f t="shared" si="12"/>
        <v>-6.7298578199052134E-2</v>
      </c>
      <c r="O21" s="62">
        <f t="shared" si="13"/>
        <v>-6729.8578199052135</v>
      </c>
      <c r="Q21" s="204"/>
      <c r="R21" s="205"/>
    </row>
    <row r="22" spans="1:18" ht="17.25" customHeight="1">
      <c r="A22" s="40" t="s">
        <v>164</v>
      </c>
      <c r="B22" s="36">
        <f t="shared" si="1"/>
        <v>182</v>
      </c>
      <c r="C22" s="5">
        <f t="shared" si="2"/>
        <v>8.3333333300000006E-2</v>
      </c>
      <c r="D22" s="36">
        <f t="shared" si="3"/>
        <v>194</v>
      </c>
      <c r="E22" s="5">
        <f t="shared" si="4"/>
        <v>6.5934065934065936E-2</v>
      </c>
      <c r="F22" s="59">
        <f t="shared" si="5"/>
        <v>6593.4065934065939</v>
      </c>
      <c r="G22" s="36">
        <f t="shared" si="0"/>
        <v>182</v>
      </c>
      <c r="H22" s="5" t="str">
        <f t="shared" si="6"/>
        <v/>
      </c>
      <c r="I22" s="59" t="str">
        <f t="shared" si="7"/>
        <v/>
      </c>
      <c r="J22" s="36">
        <f t="shared" si="8"/>
        <v>179</v>
      </c>
      <c r="K22" s="5">
        <f t="shared" si="9"/>
        <v>-1.6483516483516484E-2</v>
      </c>
      <c r="L22" s="59">
        <f t="shared" si="10"/>
        <v>-1648.3516483516485</v>
      </c>
      <c r="M22" s="36">
        <f t="shared" si="11"/>
        <v>174</v>
      </c>
      <c r="N22" s="5">
        <f t="shared" si="12"/>
        <v>-4.3956043956043959E-2</v>
      </c>
      <c r="O22" s="44">
        <f t="shared" si="13"/>
        <v>-4395.6043956043959</v>
      </c>
      <c r="Q22" s="204"/>
      <c r="R22" s="205"/>
    </row>
    <row r="23" spans="1:18" ht="17.25" customHeight="1">
      <c r="A23" s="40" t="s">
        <v>222</v>
      </c>
      <c r="B23" s="36">
        <f t="shared" si="1"/>
        <v>343950</v>
      </c>
      <c r="C23" s="5">
        <f t="shared" si="2"/>
        <v>7.3669424100000006E-2</v>
      </c>
      <c r="D23" s="36">
        <f t="shared" si="3"/>
        <v>356800</v>
      </c>
      <c r="E23" s="5">
        <f t="shared" si="4"/>
        <v>3.7360081407181278E-2</v>
      </c>
      <c r="F23" s="59">
        <f t="shared" si="5"/>
        <v>3736.0081407181278</v>
      </c>
      <c r="G23" s="36">
        <f t="shared" si="0"/>
        <v>343450</v>
      </c>
      <c r="H23" s="5">
        <f t="shared" si="6"/>
        <v>-1.4536996656490768E-3</v>
      </c>
      <c r="I23" s="59">
        <f t="shared" si="7"/>
        <v>-145.36996656490768</v>
      </c>
      <c r="J23" s="36">
        <f t="shared" si="8"/>
        <v>340850</v>
      </c>
      <c r="K23" s="5">
        <f t="shared" si="9"/>
        <v>-9.0129379270242772E-3</v>
      </c>
      <c r="L23" s="59">
        <f t="shared" si="10"/>
        <v>-901.29379270242771</v>
      </c>
      <c r="M23" s="36">
        <f t="shared" si="11"/>
        <v>338550</v>
      </c>
      <c r="N23" s="5">
        <f t="shared" si="12"/>
        <v>-1.569995638901003E-2</v>
      </c>
      <c r="O23" s="44">
        <f t="shared" si="13"/>
        <v>-1569.9956389010031</v>
      </c>
      <c r="Q23" s="204"/>
      <c r="R23" s="205"/>
    </row>
    <row r="24" spans="1:18" ht="17.25" customHeight="1">
      <c r="A24" s="40" t="s">
        <v>126</v>
      </c>
      <c r="B24" s="36">
        <f t="shared" si="1"/>
        <v>181</v>
      </c>
      <c r="C24" s="5">
        <f t="shared" si="2"/>
        <v>7.1005917200000004E-2</v>
      </c>
      <c r="D24" s="36">
        <f t="shared" si="3"/>
        <v>205</v>
      </c>
      <c r="E24" s="5">
        <f t="shared" si="4"/>
        <v>0.13259668508287292</v>
      </c>
      <c r="F24" s="59">
        <f t="shared" si="5"/>
        <v>13259.668508287292</v>
      </c>
      <c r="G24" s="36">
        <f t="shared" si="0"/>
        <v>216</v>
      </c>
      <c r="H24" s="5">
        <f t="shared" si="6"/>
        <v>0.19337016574585636</v>
      </c>
      <c r="I24" s="59">
        <f t="shared" si="7"/>
        <v>19337.016574585636</v>
      </c>
      <c r="J24" s="36">
        <f t="shared" si="8"/>
        <v>204</v>
      </c>
      <c r="K24" s="5">
        <f t="shared" si="9"/>
        <v>0.1270718232044199</v>
      </c>
      <c r="L24" s="59">
        <f t="shared" si="10"/>
        <v>12707.182320441991</v>
      </c>
      <c r="M24" s="36">
        <f t="shared" si="11"/>
        <v>208</v>
      </c>
      <c r="N24" s="5">
        <f t="shared" si="12"/>
        <v>0.14917127071823205</v>
      </c>
      <c r="O24" s="44">
        <f t="shared" si="13"/>
        <v>14917.127071823204</v>
      </c>
      <c r="Q24" s="204"/>
      <c r="R24" s="205"/>
    </row>
    <row r="25" spans="1:18" ht="17.25" customHeight="1">
      <c r="A25" s="40" t="s">
        <v>228</v>
      </c>
      <c r="B25" s="36">
        <f t="shared" si="1"/>
        <v>739</v>
      </c>
      <c r="C25" s="5">
        <f t="shared" si="2"/>
        <v>6.3309352499999999E-2</v>
      </c>
      <c r="D25" s="36">
        <f t="shared" si="3"/>
        <v>688</v>
      </c>
      <c r="E25" s="5">
        <f t="shared" si="4"/>
        <v>-6.9012178619756434E-2</v>
      </c>
      <c r="F25" s="59">
        <f t="shared" si="5"/>
        <v>-6901.2178619756432</v>
      </c>
      <c r="G25" s="36">
        <f t="shared" si="0"/>
        <v>669</v>
      </c>
      <c r="H25" s="5">
        <f t="shared" si="6"/>
        <v>-9.4722598105548034E-2</v>
      </c>
      <c r="I25" s="59">
        <f t="shared" si="7"/>
        <v>-9472.2598105548041</v>
      </c>
      <c r="J25" s="36">
        <f t="shared" si="8"/>
        <v>668</v>
      </c>
      <c r="K25" s="5">
        <f t="shared" si="9"/>
        <v>-9.6075778078484442E-2</v>
      </c>
      <c r="L25" s="59">
        <f t="shared" si="10"/>
        <v>-9607.5778078484436</v>
      </c>
      <c r="M25" s="36">
        <f t="shared" si="11"/>
        <v>661</v>
      </c>
      <c r="N25" s="5">
        <f t="shared" si="12"/>
        <v>-0.10554803788903924</v>
      </c>
      <c r="O25" s="44">
        <f t="shared" si="13"/>
        <v>-10554.803788903924</v>
      </c>
      <c r="Q25" s="206"/>
      <c r="R25" s="207"/>
    </row>
    <row r="26" spans="1:18" ht="17.25" customHeight="1" thickBot="1">
      <c r="A26" s="42" t="s">
        <v>197</v>
      </c>
      <c r="B26" s="38">
        <f t="shared" si="1"/>
        <v>936200</v>
      </c>
      <c r="C26" s="16">
        <f t="shared" si="2"/>
        <v>6.7989961200000004E-2</v>
      </c>
      <c r="D26" s="38">
        <f t="shared" si="3"/>
        <v>1044000</v>
      </c>
      <c r="E26" s="16">
        <f t="shared" si="4"/>
        <v>0.11514633625293741</v>
      </c>
      <c r="F26" s="61">
        <f t="shared" si="5"/>
        <v>11514.633625293742</v>
      </c>
      <c r="G26" s="38">
        <f t="shared" si="0"/>
        <v>1013000</v>
      </c>
      <c r="H26" s="16">
        <f t="shared" si="6"/>
        <v>8.2033753471480453E-2</v>
      </c>
      <c r="I26" s="61">
        <f t="shared" si="7"/>
        <v>8203.375347148045</v>
      </c>
      <c r="J26" s="38">
        <f t="shared" si="8"/>
        <v>1018500</v>
      </c>
      <c r="K26" s="16">
        <f t="shared" si="9"/>
        <v>8.7908566545609912E-2</v>
      </c>
      <c r="L26" s="61">
        <f t="shared" si="10"/>
        <v>8790.856654560992</v>
      </c>
      <c r="M26" s="38">
        <f t="shared" si="11"/>
        <v>1000000</v>
      </c>
      <c r="N26" s="16">
        <f t="shared" si="12"/>
        <v>6.8147831659901736E-2</v>
      </c>
      <c r="O26" s="45">
        <f t="shared" si="13"/>
        <v>6814.783165990174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6.4523737533321149E-2</v>
      </c>
      <c r="F27" s="47">
        <f>SUM(F17:F26)</f>
        <v>64523.737533321146</v>
      </c>
      <c r="G27" s="57" t="s">
        <v>82</v>
      </c>
      <c r="H27" s="46">
        <f>IF(COUNT(H17:H26), SUM(H17:H26) / COUNT(H17:H26), 0)</f>
        <v>7.8235207305429641E-2</v>
      </c>
      <c r="I27" s="47">
        <f>SUM(I17:I26)</f>
        <v>70411.686574886669</v>
      </c>
      <c r="J27" s="57" t="s">
        <v>82</v>
      </c>
      <c r="K27" s="46">
        <f>IF(COUNT(K17:K26), SUM(K17:K26) / COUNT(K17:K26), 0)</f>
        <v>7.6756565625947529E-2</v>
      </c>
      <c r="L27" s="47">
        <f>SUM(L17:L26)</f>
        <v>76756.565625947536</v>
      </c>
      <c r="M27" s="57" t="s">
        <v>82</v>
      </c>
      <c r="N27" s="46">
        <f>IF(COUNT(N17:N26), SUM(N17:N26) / COUNT(N17:N26), 0)</f>
        <v>4.639104764543997E-2</v>
      </c>
      <c r="O27" s="47">
        <f>SUM(O17:O26)</f>
        <v>46391.047645439961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37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1" t="s">
        <v>70</v>
      </c>
      <c r="M33" s="18" t="s">
        <v>67</v>
      </c>
      <c r="N33" s="4" t="s">
        <v>68</v>
      </c>
      <c r="O33" s="143" t="s">
        <v>70</v>
      </c>
      <c r="Q33" s="231"/>
      <c r="R33" s="232"/>
    </row>
    <row r="34" spans="1:18" ht="17.25" customHeight="1">
      <c r="A34" s="9" t="s">
        <v>136</v>
      </c>
      <c r="B34" s="31">
        <v>38.6</v>
      </c>
      <c r="C34" s="22">
        <v>0.3174061433</v>
      </c>
      <c r="D34" s="89">
        <v>33.1</v>
      </c>
      <c r="E34" s="22">
        <f>IF(ISNUMBER(D34), (D34 - $B34) / $B34, "")</f>
        <v>-0.14248704663212436</v>
      </c>
      <c r="F34" s="43">
        <f>IF(ISNUMBER(D34), $B44 * E34, "")</f>
        <v>-14248.704663212437</v>
      </c>
      <c r="G34" s="89">
        <v>32.1</v>
      </c>
      <c r="H34" s="22">
        <f>IF(ISNUMBER(G34), (G34 - $B34) / $B34, "")</f>
        <v>-0.16839378238341968</v>
      </c>
      <c r="I34" s="43">
        <f>IF(ISNUMBER(G34), $B44 * H34, "")</f>
        <v>-16839.378238341968</v>
      </c>
      <c r="J34" s="89">
        <v>31.4</v>
      </c>
      <c r="K34" s="22">
        <f>IF(ISNUMBER(J34), (J34 - $B34) / $B34, "")</f>
        <v>-0.1865284974093265</v>
      </c>
      <c r="L34" s="43">
        <f>IF(ISNUMBER(J34), $B44 * K34, "")</f>
        <v>-18652.849740932652</v>
      </c>
      <c r="M34" s="89">
        <v>29.6</v>
      </c>
      <c r="N34" s="22">
        <f>IF(ISNUMBER(M34), (M34 - $B34) / $B34, "")</f>
        <v>-0.23316062176165803</v>
      </c>
      <c r="O34" s="43">
        <f>IF(ISNUMBER(M34), $B44 * N34, "")</f>
        <v>-23316.062176165804</v>
      </c>
      <c r="Q34" s="229"/>
      <c r="R34" s="230"/>
    </row>
    <row r="35" spans="1:18" ht="17.25" customHeight="1">
      <c r="A35" s="11" t="s">
        <v>155</v>
      </c>
      <c r="B35" s="32">
        <v>29</v>
      </c>
      <c r="C35" s="5">
        <v>3.5714285700000001E-2</v>
      </c>
      <c r="D35" s="36">
        <v>26.2</v>
      </c>
      <c r="E35" s="5">
        <f t="shared" ref="E35:E43" si="14">IF(ISNUMBER(D35), (D35 - $B35) / $B35, "")</f>
        <v>-9.6551724137931061E-2</v>
      </c>
      <c r="F35" s="44">
        <f>IF(ISNUMBER(D35), $B44 * E35, "")</f>
        <v>-9655.1724137931069</v>
      </c>
      <c r="G35" s="36">
        <v>25.8</v>
      </c>
      <c r="H35" s="5">
        <f t="shared" ref="H35:H43" si="15">IF(ISNUMBER(G35), (G35 - $B35) / $B35, "")</f>
        <v>-0.11034482758620687</v>
      </c>
      <c r="I35" s="44">
        <f>IF(ISNUMBER(G35), $B44 * H35, "")</f>
        <v>-11034.482758620687</v>
      </c>
      <c r="J35" s="36">
        <v>26.1</v>
      </c>
      <c r="K35" s="5">
        <f t="shared" ref="K35:K43" si="16">IF(ISNUMBER(J35), (J35 - $B35) / $B35, "")</f>
        <v>-9.999999999999995E-2</v>
      </c>
      <c r="L35" s="44">
        <f>IF(ISNUMBER(J35), $B44 * K35, "")</f>
        <v>-9999.9999999999945</v>
      </c>
      <c r="M35" s="36">
        <v>25.7</v>
      </c>
      <c r="N35" s="5">
        <f t="shared" ref="N35:N43" si="17">IF(ISNUMBER(M35), (M35 - $B35) / $B35, "")</f>
        <v>-0.11379310344827588</v>
      </c>
      <c r="O35" s="44">
        <f>IF(ISNUMBER(M35), $B44 * N35, "")</f>
        <v>-11379.310344827589</v>
      </c>
      <c r="Q35" s="229"/>
      <c r="R35" s="230"/>
    </row>
    <row r="36" spans="1:18" ht="17.25" customHeight="1">
      <c r="A36" s="11" t="s">
        <v>163</v>
      </c>
      <c r="B36" s="32">
        <v>33.6</v>
      </c>
      <c r="C36" s="5">
        <v>-2.6086956500000001E-2</v>
      </c>
      <c r="D36" s="36">
        <v>37.1</v>
      </c>
      <c r="E36" s="5">
        <f t="shared" si="14"/>
        <v>0.10416666666666666</v>
      </c>
      <c r="F36" s="44">
        <f>IF(ISNUMBER(D36), $B44 * E36, "")</f>
        <v>10416.666666666666</v>
      </c>
      <c r="G36" s="36">
        <v>41.2</v>
      </c>
      <c r="H36" s="5">
        <f t="shared" si="15"/>
        <v>0.22619047619047622</v>
      </c>
      <c r="I36" s="44">
        <f>IF(ISNUMBER(G36), $B44 * H36, "")</f>
        <v>22619.047619047622</v>
      </c>
      <c r="J36" s="36">
        <v>40.5</v>
      </c>
      <c r="K36" s="5">
        <f t="shared" si="16"/>
        <v>0.20535714285714279</v>
      </c>
      <c r="L36" s="44">
        <f>IF(ISNUMBER(J36), $B44 * K36, "")</f>
        <v>20535.714285714279</v>
      </c>
      <c r="M36" s="36">
        <v>38.799999999999997</v>
      </c>
      <c r="N36" s="5">
        <f t="shared" si="17"/>
        <v>0.15476190476190463</v>
      </c>
      <c r="O36" s="44">
        <f>IF(ISNUMBER(M36), $B44 * N36, "")</f>
        <v>15476.190476190463</v>
      </c>
      <c r="Q36" s="229"/>
      <c r="R36" s="230"/>
    </row>
    <row r="37" spans="1:18" ht="17.25" customHeight="1">
      <c r="A37" s="11" t="s">
        <v>119</v>
      </c>
      <c r="B37" s="32">
        <v>26.1</v>
      </c>
      <c r="C37" s="5">
        <v>-2.9739776999999998E-2</v>
      </c>
      <c r="D37" s="36">
        <v>23.4</v>
      </c>
      <c r="E37" s="5">
        <f t="shared" si="14"/>
        <v>-0.10344827586206908</v>
      </c>
      <c r="F37" s="44">
        <f>IF(ISNUMBER(D37), $B44 * E37, "")</f>
        <v>-10344.827586206908</v>
      </c>
      <c r="G37" s="36">
        <v>23.5</v>
      </c>
      <c r="H37" s="5">
        <f t="shared" si="15"/>
        <v>-9.9616858237547942E-2</v>
      </c>
      <c r="I37" s="44">
        <f>IF(ISNUMBER(G37), $B44 * H37, "")</f>
        <v>-9961.6858237547949</v>
      </c>
      <c r="J37" s="36">
        <v>23.3</v>
      </c>
      <c r="K37" s="5">
        <f t="shared" si="16"/>
        <v>-0.10727969348659006</v>
      </c>
      <c r="L37" s="44">
        <f>IF(ISNUMBER(J37), $B44 * K37, "")</f>
        <v>-10727.969348659006</v>
      </c>
      <c r="M37" s="36">
        <v>22.9</v>
      </c>
      <c r="N37" s="5">
        <f t="shared" si="17"/>
        <v>-0.12260536398467443</v>
      </c>
      <c r="O37" s="44">
        <f>IF(ISNUMBER(M37), $B44 * N37, "")</f>
        <v>-12260.536398467444</v>
      </c>
      <c r="Q37" s="229"/>
      <c r="R37" s="230"/>
    </row>
    <row r="38" spans="1:18" ht="17.25" customHeight="1">
      <c r="A38" s="8" t="s">
        <v>95</v>
      </c>
      <c r="B38" s="33">
        <v>30.5</v>
      </c>
      <c r="C38" s="24">
        <v>-3.1746031700000003E-2</v>
      </c>
      <c r="D38" s="37">
        <v>28.3</v>
      </c>
      <c r="E38" s="24">
        <f t="shared" si="14"/>
        <v>-7.2131147540983584E-2</v>
      </c>
      <c r="F38" s="44">
        <f>IF(ISNUMBER(D38), $B44 * E38, "")</f>
        <v>-7213.1147540983584</v>
      </c>
      <c r="G38" s="37">
        <v>28.1</v>
      </c>
      <c r="H38" s="24">
        <f t="shared" si="15"/>
        <v>-7.8688524590163886E-2</v>
      </c>
      <c r="I38" s="44">
        <f>IF(ISNUMBER(G38), $B44 * H38, "")</f>
        <v>-7868.8524590163888</v>
      </c>
      <c r="J38" s="37">
        <v>27.8</v>
      </c>
      <c r="K38" s="24">
        <f t="shared" si="16"/>
        <v>-8.8524590163934408E-2</v>
      </c>
      <c r="L38" s="44">
        <f>IF(ISNUMBER(J38), $B44 * K38, "")</f>
        <v>-8852.4590163934408</v>
      </c>
      <c r="M38" s="37">
        <v>27.4</v>
      </c>
      <c r="N38" s="24">
        <f t="shared" si="17"/>
        <v>-0.10163934426229512</v>
      </c>
      <c r="O38" s="44">
        <f>IF(ISNUMBER(M38), $B44 * N38, "")</f>
        <v>-10163.934426229513</v>
      </c>
      <c r="Q38" s="229"/>
      <c r="R38" s="230"/>
    </row>
    <row r="39" spans="1:18" ht="17.25" customHeight="1">
      <c r="A39" s="11" t="s">
        <v>100</v>
      </c>
      <c r="B39" s="32">
        <v>39.5</v>
      </c>
      <c r="C39" s="5">
        <v>-3.1862745099999999E-2</v>
      </c>
      <c r="D39" s="36">
        <v>34.700000000000003</v>
      </c>
      <c r="E39" s="5">
        <f t="shared" si="14"/>
        <v>-0.12151898734177208</v>
      </c>
      <c r="F39" s="48">
        <f>IF(ISNUMBER(D39), $B44 * E39, "")</f>
        <v>-12151.898734177208</v>
      </c>
      <c r="G39" s="36">
        <v>35</v>
      </c>
      <c r="H39" s="5">
        <f t="shared" si="15"/>
        <v>-0.11392405063291139</v>
      </c>
      <c r="I39" s="48">
        <f>IF(ISNUMBER(G39), $B44 * H39, "")</f>
        <v>-11392.405063291139</v>
      </c>
      <c r="J39" s="36">
        <v>35</v>
      </c>
      <c r="K39" s="5">
        <f t="shared" si="16"/>
        <v>-0.11392405063291139</v>
      </c>
      <c r="L39" s="48">
        <f>IF(ISNUMBER(J39), $B44 * K39, "")</f>
        <v>-11392.405063291139</v>
      </c>
      <c r="M39" s="36">
        <v>34.299999999999997</v>
      </c>
      <c r="N39" s="5">
        <f t="shared" si="17"/>
        <v>-0.13164556962025323</v>
      </c>
      <c r="O39" s="48">
        <f>IF(ISNUMBER(M39), $B44 * N39, "")</f>
        <v>-13164.556962025323</v>
      </c>
      <c r="Q39" s="229"/>
      <c r="R39" s="230"/>
    </row>
    <row r="40" spans="1:18" ht="17.25" customHeight="1">
      <c r="A40" s="11" t="s">
        <v>133</v>
      </c>
      <c r="B40" s="32">
        <v>28</v>
      </c>
      <c r="C40" s="5">
        <v>-3.4482758600000003E-2</v>
      </c>
      <c r="D40" s="36">
        <v>25.3</v>
      </c>
      <c r="E40" s="5">
        <f t="shared" si="14"/>
        <v>-9.6428571428571405E-2</v>
      </c>
      <c r="F40" s="44">
        <f>IF(ISNUMBER(D40), $B44 * E40, "")</f>
        <v>-9642.8571428571413</v>
      </c>
      <c r="G40" s="36">
        <v>25.1</v>
      </c>
      <c r="H40" s="5">
        <f t="shared" si="15"/>
        <v>-0.10357142857142852</v>
      </c>
      <c r="I40" s="44">
        <f>IF(ISNUMBER(G40), $B44 * H40, "")</f>
        <v>-10357.142857142851</v>
      </c>
      <c r="J40" s="36">
        <v>25</v>
      </c>
      <c r="K40" s="5">
        <f t="shared" si="16"/>
        <v>-0.10714285714285714</v>
      </c>
      <c r="L40" s="44">
        <f>IF(ISNUMBER(J40), $B44 * K40, "")</f>
        <v>-10714.285714285714</v>
      </c>
      <c r="M40" s="36">
        <v>24.5</v>
      </c>
      <c r="N40" s="5">
        <f t="shared" si="17"/>
        <v>-0.125</v>
      </c>
      <c r="O40" s="44">
        <f>IF(ISNUMBER(M40), $B44 * N40, "")</f>
        <v>-12500</v>
      </c>
      <c r="Q40" s="229"/>
      <c r="R40" s="230"/>
    </row>
    <row r="41" spans="1:18" ht="17.25" customHeight="1">
      <c r="A41" s="11" t="s">
        <v>143</v>
      </c>
      <c r="B41" s="32">
        <v>10.1</v>
      </c>
      <c r="C41" s="5">
        <v>-3.8095238099999998E-2</v>
      </c>
      <c r="D41" s="36">
        <v>10.199999999999999</v>
      </c>
      <c r="E41" s="5">
        <f t="shared" si="14"/>
        <v>9.9009900990098664E-3</v>
      </c>
      <c r="F41" s="44">
        <f>IF(ISNUMBER(D41), $B44 * E41, "")</f>
        <v>990.09900990098663</v>
      </c>
      <c r="G41" s="36">
        <v>9.94</v>
      </c>
      <c r="H41" s="5">
        <f t="shared" si="15"/>
        <v>-1.5841584158415856E-2</v>
      </c>
      <c r="I41" s="44">
        <f>IF(ISNUMBER(G41), $B44 * H41, "")</f>
        <v>-1584.1584158415856</v>
      </c>
      <c r="J41" s="36">
        <v>9.93</v>
      </c>
      <c r="K41" s="5">
        <f t="shared" si="16"/>
        <v>-1.6831683168316826E-2</v>
      </c>
      <c r="L41" s="44">
        <f>IF(ISNUMBER(J41), $B44 * K41, "")</f>
        <v>-1683.1683168316827</v>
      </c>
      <c r="M41" s="36">
        <v>9.58</v>
      </c>
      <c r="N41" s="5">
        <f t="shared" si="17"/>
        <v>-5.1485148514851448E-2</v>
      </c>
      <c r="O41" s="44">
        <f>IF(ISNUMBER(M41), $B44 * N41, "")</f>
        <v>-5148.5148514851444</v>
      </c>
      <c r="Q41" s="229"/>
      <c r="R41" s="230"/>
    </row>
    <row r="42" spans="1:18" ht="17.25" customHeight="1">
      <c r="A42" s="11" t="s">
        <v>107</v>
      </c>
      <c r="B42" s="32">
        <v>44.3</v>
      </c>
      <c r="C42" s="5">
        <v>-4.31965443E-2</v>
      </c>
      <c r="D42" s="36">
        <v>39.700000000000003</v>
      </c>
      <c r="E42" s="5">
        <f t="shared" si="14"/>
        <v>-0.1038374717832956</v>
      </c>
      <c r="F42" s="44">
        <f>IF(ISNUMBER(D42), $B44 * E42, "")</f>
        <v>-10383.747178329559</v>
      </c>
      <c r="G42" s="36">
        <v>39.299999999999997</v>
      </c>
      <c r="H42" s="5">
        <f t="shared" si="15"/>
        <v>-0.11286681715575622</v>
      </c>
      <c r="I42" s="44">
        <f>IF(ISNUMBER(G42), $B44 * H42, "")</f>
        <v>-11286.681715575622</v>
      </c>
      <c r="J42" s="36">
        <v>39.5</v>
      </c>
      <c r="K42" s="5">
        <f t="shared" si="16"/>
        <v>-0.1083521444695259</v>
      </c>
      <c r="L42" s="44">
        <f>IF(ISNUMBER(J42), $B44 * K42, "")</f>
        <v>-10835.21444695259</v>
      </c>
      <c r="M42" s="36">
        <v>39</v>
      </c>
      <c r="N42" s="5">
        <f t="shared" si="17"/>
        <v>-0.11963882618510152</v>
      </c>
      <c r="O42" s="44">
        <f>IF(ISNUMBER(M42), $B44 * N42, "")</f>
        <v>-11963.882618510152</v>
      </c>
      <c r="P42" s="17"/>
      <c r="Q42" s="231"/>
      <c r="R42" s="232"/>
    </row>
    <row r="43" spans="1:18" ht="17.25" customHeight="1" thickBot="1">
      <c r="A43" s="13" t="s">
        <v>148</v>
      </c>
      <c r="B43" s="34">
        <v>77.2</v>
      </c>
      <c r="C43" s="16">
        <v>-4.8088779300000002E-2</v>
      </c>
      <c r="D43" s="38">
        <v>91</v>
      </c>
      <c r="E43" s="16">
        <f t="shared" si="14"/>
        <v>0.17875647668393779</v>
      </c>
      <c r="F43" s="45">
        <f>IF(ISNUMBER(D43), $B44 * E43, "")</f>
        <v>17875.64766839378</v>
      </c>
      <c r="G43" s="38">
        <v>103</v>
      </c>
      <c r="H43" s="16">
        <f t="shared" si="15"/>
        <v>0.33419689119170981</v>
      </c>
      <c r="I43" s="45">
        <f>IF(ISNUMBER(G43), $B44 * H43, "")</f>
        <v>33419.68911917098</v>
      </c>
      <c r="J43" s="38">
        <v>114</v>
      </c>
      <c r="K43" s="16">
        <f t="shared" si="16"/>
        <v>0.47668393782383417</v>
      </c>
      <c r="L43" s="45">
        <f>IF(ISNUMBER(J43), $B44 * K43, "")</f>
        <v>47668.39378238342</v>
      </c>
      <c r="M43" s="38">
        <v>102</v>
      </c>
      <c r="N43" s="16">
        <f t="shared" si="17"/>
        <v>0.32124352331606215</v>
      </c>
      <c r="O43" s="45">
        <f>IF(ISNUMBER(M43), $B44 * N43, "")</f>
        <v>32124.352331606216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-4.4357909127713278E-2</v>
      </c>
      <c r="F44" s="47">
        <f>SUM(F34:F43)</f>
        <v>-44357.909127713283</v>
      </c>
      <c r="G44" s="57" t="s">
        <v>82</v>
      </c>
      <c r="H44" s="46">
        <f>IF(COUNT(H34:H43), SUM(H34:H43) / COUNT(H34:H43), 0)</f>
        <v>-2.4286050593366436E-2</v>
      </c>
      <c r="I44" s="47">
        <f>SUM(I34:I43)</f>
        <v>-24286.050593366432</v>
      </c>
      <c r="J44" s="57" t="s">
        <v>82</v>
      </c>
      <c r="K44" s="46">
        <f>IF(COUNT(K34:K43), SUM(K34:K43) / COUNT(K34:K43), 0)</f>
        <v>-1.4654243579248522E-2</v>
      </c>
      <c r="L44" s="47">
        <f>SUM(L34:L43)</f>
        <v>-14654.243579248519</v>
      </c>
      <c r="M44" s="57" t="s">
        <v>82</v>
      </c>
      <c r="N44" s="46">
        <f>IF(COUNT(N34:N43), SUM(N34:N43) / COUNT(N34:N43), 0)</f>
        <v>-5.2296254969914281E-2</v>
      </c>
      <c r="O44" s="47">
        <f>SUM(O34:O43)</f>
        <v>-52296.254969914284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37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1" t="s">
        <v>70</v>
      </c>
      <c r="M50" s="18" t="s">
        <v>67</v>
      </c>
      <c r="N50" s="4" t="s">
        <v>68</v>
      </c>
      <c r="O50" s="143" t="s">
        <v>70</v>
      </c>
      <c r="Q50" s="231"/>
      <c r="R50" s="232"/>
    </row>
    <row r="51" spans="1:18" ht="17.25" customHeight="1">
      <c r="A51" s="9" t="s">
        <v>123</v>
      </c>
      <c r="B51" s="31">
        <v>84.7</v>
      </c>
      <c r="C51" s="22">
        <v>-4.8314606699999998E-2</v>
      </c>
      <c r="D51" s="89">
        <v>81</v>
      </c>
      <c r="E51" s="22">
        <f>IF(ISNUMBER(D51), (D51 - $B51) / $B51, "")</f>
        <v>-4.3683589138134624E-2</v>
      </c>
      <c r="F51" s="43">
        <f>IF(ISNUMBER(D51), $B61 * E51, "")</f>
        <v>-4368.3589138134621</v>
      </c>
      <c r="G51" s="89">
        <v>79.5</v>
      </c>
      <c r="H51" s="22">
        <f>IF(ISNUMBER(G51), (G51 - $B51) / $B51, "")</f>
        <v>-6.1393152302243244E-2</v>
      </c>
      <c r="I51" s="43">
        <f>IF(ISNUMBER(G51), $B61 * H51, "")</f>
        <v>-6139.3152302243243</v>
      </c>
      <c r="J51" s="89">
        <v>80</v>
      </c>
      <c r="K51" s="22">
        <f>IF(ISNUMBER(J51), (J51 - $B51) / $B51, "")</f>
        <v>-5.5489964580873706E-2</v>
      </c>
      <c r="L51" s="43">
        <f>IF(ISNUMBER(J51), $B61 * K51, "")</f>
        <v>-5548.9964580873702</v>
      </c>
      <c r="M51" s="89">
        <v>78</v>
      </c>
      <c r="N51" s="22">
        <f>IF(ISNUMBER(M51), (M51 - $B51) / $B51, "")</f>
        <v>-7.9102715466351864E-2</v>
      </c>
      <c r="O51" s="43">
        <f>IF(ISNUMBER(M51), $B61 * N51, "")</f>
        <v>-7910.2715466351865</v>
      </c>
      <c r="Q51" s="229"/>
      <c r="R51" s="230"/>
    </row>
    <row r="52" spans="1:18" ht="17.25" customHeight="1">
      <c r="A52" s="11" t="s">
        <v>158</v>
      </c>
      <c r="B52" s="32">
        <v>32.4</v>
      </c>
      <c r="C52" s="5">
        <v>-5.2631578900000003E-2</v>
      </c>
      <c r="D52" s="36">
        <v>29.1</v>
      </c>
      <c r="E52" s="5">
        <f t="shared" ref="E52:E60" si="18">IF(ISNUMBER(D52), (D52 - $B52) / $B52, "")</f>
        <v>-0.10185185185185176</v>
      </c>
      <c r="F52" s="44">
        <f>IF(ISNUMBER(D52), $B61 * E52, "")</f>
        <v>-10185.185185185177</v>
      </c>
      <c r="G52" s="36">
        <v>28.5</v>
      </c>
      <c r="H52" s="5">
        <f t="shared" ref="H52:H60" si="19">IF(ISNUMBER(G52), (G52 - $B52) / $B52, "")</f>
        <v>-0.12037037037037034</v>
      </c>
      <c r="I52" s="44">
        <f>IF(ISNUMBER(G52), $B61 * H52, "")</f>
        <v>-12037.037037037033</v>
      </c>
      <c r="J52" s="36">
        <v>28.5</v>
      </c>
      <c r="K52" s="5">
        <f t="shared" ref="K52:K60" si="20">IF(ISNUMBER(J52), (J52 - $B52) / $B52, "")</f>
        <v>-0.12037037037037034</v>
      </c>
      <c r="L52" s="44">
        <f>IF(ISNUMBER(J52), $B61 * K52, "")</f>
        <v>-12037.037037037033</v>
      </c>
      <c r="M52" s="36">
        <v>28</v>
      </c>
      <c r="N52" s="5">
        <f t="shared" ref="N52:N60" si="21">IF(ISNUMBER(M52), (M52 - $B52) / $B52, "")</f>
        <v>-0.13580246913580243</v>
      </c>
      <c r="O52" s="44">
        <f>IF(ISNUMBER(M52), $B61 * N52, "")</f>
        <v>-13580.246913580244</v>
      </c>
      <c r="Q52" s="229"/>
      <c r="R52" s="230"/>
    </row>
    <row r="53" spans="1:18" ht="17.25" customHeight="1">
      <c r="A53" s="11" t="s">
        <v>132</v>
      </c>
      <c r="B53" s="32">
        <v>36.700000000000003</v>
      </c>
      <c r="C53" s="5">
        <v>-5.4123711300000002E-2</v>
      </c>
      <c r="D53" s="36">
        <v>32.5</v>
      </c>
      <c r="E53" s="5">
        <f t="shared" si="18"/>
        <v>-0.11444141689373304</v>
      </c>
      <c r="F53" s="44">
        <f>IF(ISNUMBER(D53), $B61 * E53, "")</f>
        <v>-11444.141689373304</v>
      </c>
      <c r="G53" s="36">
        <v>32.299999999999997</v>
      </c>
      <c r="H53" s="5">
        <f t="shared" si="19"/>
        <v>-0.11989100817438707</v>
      </c>
      <c r="I53" s="44">
        <f>IF(ISNUMBER(G53), $B61 * H53, "")</f>
        <v>-11989.100817438706</v>
      </c>
      <c r="J53" s="36">
        <v>32.200000000000003</v>
      </c>
      <c r="K53" s="5">
        <f t="shared" si="20"/>
        <v>-0.12261580381471389</v>
      </c>
      <c r="L53" s="44">
        <f>IF(ISNUMBER(J53), $B61 * K53, "")</f>
        <v>-12261.580381471389</v>
      </c>
      <c r="M53" s="36">
        <v>31.7</v>
      </c>
      <c r="N53" s="5">
        <f t="shared" si="21"/>
        <v>-0.13623978201634887</v>
      </c>
      <c r="O53" s="44">
        <f>IF(ISNUMBER(M53), $B61 * N53, "")</f>
        <v>-13623.978201634887</v>
      </c>
      <c r="Q53" s="229"/>
      <c r="R53" s="230"/>
    </row>
    <row r="54" spans="1:18" ht="17.25" customHeight="1">
      <c r="A54" s="11" t="s">
        <v>135</v>
      </c>
      <c r="B54" s="32">
        <v>31.9</v>
      </c>
      <c r="C54" s="5">
        <v>-5.6213017800000001E-2</v>
      </c>
      <c r="D54" s="36">
        <v>28.2</v>
      </c>
      <c r="E54" s="5">
        <f t="shared" si="18"/>
        <v>-0.115987460815047</v>
      </c>
      <c r="F54" s="44">
        <f>IF(ISNUMBER(D54), $B61 * E54, "")</f>
        <v>-11598.7460815047</v>
      </c>
      <c r="G54" s="36">
        <v>28.1</v>
      </c>
      <c r="H54" s="5">
        <f t="shared" si="19"/>
        <v>-0.11912225705329145</v>
      </c>
      <c r="I54" s="44">
        <f>IF(ISNUMBER(G54), $B61 * H54, "")</f>
        <v>-11912.225705329145</v>
      </c>
      <c r="J54" s="36">
        <v>28</v>
      </c>
      <c r="K54" s="5">
        <f t="shared" si="20"/>
        <v>-0.12225705329153601</v>
      </c>
      <c r="L54" s="44">
        <f>IF(ISNUMBER(J54), $B61 * K54, "")</f>
        <v>-12225.705329153601</v>
      </c>
      <c r="M54" s="36">
        <v>27.9</v>
      </c>
      <c r="N54" s="5">
        <f t="shared" si="21"/>
        <v>-0.12539184952978058</v>
      </c>
      <c r="O54" s="44">
        <f>IF(ISNUMBER(M54), $B61 * N54, "")</f>
        <v>-12539.184952978057</v>
      </c>
      <c r="Q54" s="229"/>
      <c r="R54" s="230"/>
    </row>
    <row r="55" spans="1:18" ht="17.25" customHeight="1">
      <c r="A55" s="8" t="s">
        <v>145</v>
      </c>
      <c r="B55" s="33">
        <v>49.2</v>
      </c>
      <c r="C55" s="24">
        <v>-6.4638783300000002E-2</v>
      </c>
      <c r="D55" s="37">
        <v>46.4</v>
      </c>
      <c r="E55" s="24">
        <f t="shared" si="18"/>
        <v>-5.6910569105691138E-2</v>
      </c>
      <c r="F55" s="44">
        <f>IF(ISNUMBER(D55), $B61 * E55, "")</f>
        <v>-5691.0569105691138</v>
      </c>
      <c r="G55" s="37">
        <v>45.9</v>
      </c>
      <c r="H55" s="24">
        <f t="shared" si="19"/>
        <v>-6.7073170731707404E-2</v>
      </c>
      <c r="I55" s="44">
        <f>IF(ISNUMBER(G55), $B61 * H55, "")</f>
        <v>-6707.3170731707405</v>
      </c>
      <c r="J55" s="37">
        <v>45.8</v>
      </c>
      <c r="K55" s="24">
        <f t="shared" si="20"/>
        <v>-6.9105691056910681E-2</v>
      </c>
      <c r="L55" s="44">
        <f>IF(ISNUMBER(J55), $B61 * K55, "")</f>
        <v>-6910.5691056910682</v>
      </c>
      <c r="M55" s="37">
        <v>45.5</v>
      </c>
      <c r="N55" s="24">
        <f t="shared" si="21"/>
        <v>-7.5203252032520373E-2</v>
      </c>
      <c r="O55" s="44">
        <f>IF(ISNUMBER(M55), $B61 * N55, "")</f>
        <v>-7520.3252032520377</v>
      </c>
      <c r="Q55" s="229"/>
      <c r="R55" s="230"/>
    </row>
    <row r="56" spans="1:18" ht="17.25" customHeight="1">
      <c r="A56" s="11" t="s">
        <v>224</v>
      </c>
      <c r="B56" s="32">
        <v>936200</v>
      </c>
      <c r="C56" s="5">
        <v>6.7989961200000004E-2</v>
      </c>
      <c r="D56" s="36">
        <v>1044000</v>
      </c>
      <c r="E56" s="5">
        <f t="shared" si="18"/>
        <v>0.11514633625293741</v>
      </c>
      <c r="F56" s="48">
        <f>IF(ISNUMBER(D56), $B61 * E56, "")</f>
        <v>11514.633625293742</v>
      </c>
      <c r="G56" s="36">
        <v>1013000</v>
      </c>
      <c r="H56" s="5">
        <f t="shared" si="19"/>
        <v>8.2033753471480453E-2</v>
      </c>
      <c r="I56" s="48">
        <f>IF(ISNUMBER(G56), $B61 * H56, "")</f>
        <v>8203.375347148045</v>
      </c>
      <c r="J56" s="36">
        <v>1018500</v>
      </c>
      <c r="K56" s="5">
        <f t="shared" si="20"/>
        <v>8.7908566545609912E-2</v>
      </c>
      <c r="L56" s="48">
        <f>IF(ISNUMBER(J56), $B61 * K56, "")</f>
        <v>8790.856654560992</v>
      </c>
      <c r="M56" s="36">
        <v>1000000</v>
      </c>
      <c r="N56" s="5">
        <f t="shared" si="21"/>
        <v>6.8147831659901736E-2</v>
      </c>
      <c r="O56" s="48">
        <f>IF(ISNUMBER(M56), $B61 * N56, "")</f>
        <v>6814.783165990174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-5.2954758591920031E-2</v>
      </c>
      <c r="F61" s="47">
        <f>SUM(F51:F60)</f>
        <v>-31772.855155152014</v>
      </c>
      <c r="G61" s="57" t="s">
        <v>82</v>
      </c>
      <c r="H61" s="46">
        <f>IF(COUNT(H51:H60), SUM(H51:H60) / COUNT(H51:H60), 0)</f>
        <v>-6.7636034193419847E-2</v>
      </c>
      <c r="I61" s="47">
        <f>SUM(I51:I60)</f>
        <v>-40581.620516051909</v>
      </c>
      <c r="J61" s="57" t="s">
        <v>82</v>
      </c>
      <c r="K61" s="46">
        <f>IF(COUNT(K51:K60), SUM(K51:K60) / COUNT(K51:K60), 0)</f>
        <v>-6.698838609479911E-2</v>
      </c>
      <c r="L61" s="47">
        <f>SUM(L51:L60)</f>
        <v>-40193.031656879466</v>
      </c>
      <c r="M61" s="57" t="s">
        <v>82</v>
      </c>
      <c r="N61" s="46">
        <f>IF(COUNT(N51:N60), SUM(N51:N60) / COUNT(N51:N60), 0)</f>
        <v>-8.0598706086817046E-2</v>
      </c>
      <c r="O61" s="47">
        <f>SUM(O51:O60)</f>
        <v>-48359.223652090244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37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1" t="s">
        <v>70</v>
      </c>
      <c r="M67" s="18" t="s">
        <v>67</v>
      </c>
      <c r="N67" s="4" t="s">
        <v>68</v>
      </c>
      <c r="O67" s="143" t="s">
        <v>70</v>
      </c>
      <c r="Q67" s="231"/>
      <c r="R67" s="232"/>
    </row>
    <row r="68" spans="1:18" ht="17.25" customHeight="1">
      <c r="A68" s="9" t="s">
        <v>168</v>
      </c>
      <c r="B68" s="31">
        <v>769</v>
      </c>
      <c r="C68" s="22">
        <v>0.20722135010000001</v>
      </c>
      <c r="D68" s="89">
        <v>687</v>
      </c>
      <c r="E68" s="22">
        <f>IF(ISNUMBER(D68), (D68 - $B68) / $B68, "")</f>
        <v>-0.10663198959687907</v>
      </c>
      <c r="F68" s="43">
        <f>IF(ISNUMBER(D68), $B78 * E68, "")</f>
        <v>-10663.198959687907</v>
      </c>
      <c r="G68" s="89">
        <v>667</v>
      </c>
      <c r="H68" s="22">
        <f>IF(ISNUMBER(G68), (G68 - $B68) / $B68, "")</f>
        <v>-0.13263979193758127</v>
      </c>
      <c r="I68" s="43">
        <f>IF(ISNUMBER(G68), $B78 * H68, "")</f>
        <v>-13263.979193758127</v>
      </c>
      <c r="J68" s="89">
        <v>677</v>
      </c>
      <c r="K68" s="22">
        <f>IF(ISNUMBER(J68), (J68 - $B68) / $B68, "")</f>
        <v>-0.11963589076723016</v>
      </c>
      <c r="L68" s="43">
        <f>IF(ISNUMBER(J68), $B78 * K68, "")</f>
        <v>-11963.589076723016</v>
      </c>
      <c r="M68" s="89">
        <v>662</v>
      </c>
      <c r="N68" s="22">
        <f>IF(ISNUMBER(M68), (M68 - $B68) / $B68, "")</f>
        <v>-0.13914174252275682</v>
      </c>
      <c r="O68" s="43">
        <f>IF(ISNUMBER(M68), $B78 * N68, "")</f>
        <v>-13914.174252275683</v>
      </c>
      <c r="Q68" s="229"/>
      <c r="R68" s="230"/>
    </row>
    <row r="69" spans="1:18" ht="17.25" customHeight="1">
      <c r="A69" s="11" t="s">
        <v>94</v>
      </c>
      <c r="B69" s="32">
        <v>104</v>
      </c>
      <c r="C69" s="5">
        <v>0.12798264640000001</v>
      </c>
      <c r="D69" s="36">
        <v>142</v>
      </c>
      <c r="E69" s="5">
        <f t="shared" ref="E69:E77" si="22">IF(ISNUMBER(D69), (D69 - $B69) / $B69, "")</f>
        <v>0.36538461538461536</v>
      </c>
      <c r="F69" s="44">
        <f>IF(ISNUMBER(D69), $B78 * E69, "")</f>
        <v>36538.461538461539</v>
      </c>
      <c r="G69" s="36">
        <v>169</v>
      </c>
      <c r="H69" s="5">
        <f t="shared" ref="H69:H77" si="23">IF(ISNUMBER(G69), (G69 - $B69) / $B69, "")</f>
        <v>0.625</v>
      </c>
      <c r="I69" s="44">
        <f>IF(ISNUMBER(G69), $B78 * H69, "")</f>
        <v>62500</v>
      </c>
      <c r="J69" s="36">
        <v>171</v>
      </c>
      <c r="K69" s="5">
        <f t="shared" ref="K69:K77" si="24">IF(ISNUMBER(J69), (J69 - $B69) / $B69, "")</f>
        <v>0.64423076923076927</v>
      </c>
      <c r="L69" s="44">
        <f>IF(ISNUMBER(J69), $B78 * K69, "")</f>
        <v>64423.076923076929</v>
      </c>
      <c r="M69" s="36">
        <v>162</v>
      </c>
      <c r="N69" s="5">
        <f t="shared" ref="N69:N77" si="25">IF(ISNUMBER(M69), (M69 - $B69) / $B69, "")</f>
        <v>0.55769230769230771</v>
      </c>
      <c r="O69" s="44">
        <f>IF(ISNUMBER(M69), $B78 * N69, "")</f>
        <v>55769.230769230773</v>
      </c>
      <c r="Q69" s="229"/>
      <c r="R69" s="230"/>
    </row>
    <row r="70" spans="1:18" ht="17.25" customHeight="1">
      <c r="A70" s="11" t="s">
        <v>164</v>
      </c>
      <c r="B70" s="32">
        <v>182</v>
      </c>
      <c r="C70" s="5">
        <v>8.3333333300000006E-2</v>
      </c>
      <c r="D70" s="36">
        <v>194</v>
      </c>
      <c r="E70" s="5">
        <f t="shared" si="22"/>
        <v>6.5934065934065936E-2</v>
      </c>
      <c r="F70" s="44">
        <f>IF(ISNUMBER(D70), $B78 * E70, "")</f>
        <v>6593.4065934065939</v>
      </c>
      <c r="G70" s="36">
        <v>182</v>
      </c>
      <c r="H70" s="5">
        <f t="shared" si="23"/>
        <v>0</v>
      </c>
      <c r="I70" s="44">
        <f>IF(ISNUMBER(G70), $B78 * H70, "")</f>
        <v>0</v>
      </c>
      <c r="J70" s="36">
        <v>179</v>
      </c>
      <c r="K70" s="5">
        <f t="shared" si="24"/>
        <v>-1.6483516483516484E-2</v>
      </c>
      <c r="L70" s="44">
        <f>IF(ISNUMBER(J70), $B78 * K70, "")</f>
        <v>-1648.3516483516485</v>
      </c>
      <c r="M70" s="36">
        <v>174</v>
      </c>
      <c r="N70" s="5">
        <f t="shared" si="25"/>
        <v>-4.3956043956043959E-2</v>
      </c>
      <c r="O70" s="44">
        <f>IF(ISNUMBER(M70), $B78 * N70, "")</f>
        <v>-4395.6043956043959</v>
      </c>
      <c r="Q70" s="229"/>
      <c r="R70" s="230"/>
    </row>
    <row r="71" spans="1:18" ht="17.25" customHeight="1">
      <c r="A71" s="11" t="s">
        <v>126</v>
      </c>
      <c r="B71" s="32">
        <v>181</v>
      </c>
      <c r="C71" s="5">
        <v>7.1005917200000004E-2</v>
      </c>
      <c r="D71" s="36">
        <v>205</v>
      </c>
      <c r="E71" s="5">
        <f t="shared" si="22"/>
        <v>0.13259668508287292</v>
      </c>
      <c r="F71" s="44">
        <f>IF(ISNUMBER(D71), $B78 * E71, "")</f>
        <v>13259.668508287292</v>
      </c>
      <c r="G71" s="36">
        <v>216</v>
      </c>
      <c r="H71" s="5">
        <f t="shared" si="23"/>
        <v>0.19337016574585636</v>
      </c>
      <c r="I71" s="44">
        <f>IF(ISNUMBER(G71), $B78 * H71, "")</f>
        <v>19337.016574585636</v>
      </c>
      <c r="J71" s="36">
        <v>204</v>
      </c>
      <c r="K71" s="5">
        <f t="shared" si="24"/>
        <v>0.1270718232044199</v>
      </c>
      <c r="L71" s="44">
        <f>IF(ISNUMBER(J71), $B78 * K71, "")</f>
        <v>12707.182320441991</v>
      </c>
      <c r="M71" s="36">
        <v>208</v>
      </c>
      <c r="N71" s="5">
        <f t="shared" si="25"/>
        <v>0.14917127071823205</v>
      </c>
      <c r="O71" s="44">
        <f>IF(ISNUMBER(M71), $B78 * N71, "")</f>
        <v>14917.127071823204</v>
      </c>
      <c r="Q71" s="229"/>
      <c r="R71" s="230"/>
    </row>
    <row r="72" spans="1:18" ht="17.25" customHeight="1">
      <c r="A72" s="8" t="s">
        <v>166</v>
      </c>
      <c r="B72" s="33">
        <v>739</v>
      </c>
      <c r="C72" s="24">
        <v>6.3309352499999999E-2</v>
      </c>
      <c r="D72" s="37">
        <v>688</v>
      </c>
      <c r="E72" s="24">
        <f t="shared" si="22"/>
        <v>-6.9012178619756434E-2</v>
      </c>
      <c r="F72" s="44">
        <f>IF(ISNUMBER(D72), $B78 * E72, "")</f>
        <v>-6901.2178619756432</v>
      </c>
      <c r="G72" s="37">
        <v>669</v>
      </c>
      <c r="H72" s="24">
        <f t="shared" si="23"/>
        <v>-9.4722598105548034E-2</v>
      </c>
      <c r="I72" s="44">
        <f>IF(ISNUMBER(G72), $B78 * H72, "")</f>
        <v>-9472.2598105548041</v>
      </c>
      <c r="J72" s="37">
        <v>668</v>
      </c>
      <c r="K72" s="24">
        <f t="shared" si="24"/>
        <v>-9.6075778078484442E-2</v>
      </c>
      <c r="L72" s="44">
        <f>IF(ISNUMBER(J72), $B78 * K72, "")</f>
        <v>-9607.5778078484436</v>
      </c>
      <c r="M72" s="37">
        <v>661</v>
      </c>
      <c r="N72" s="24">
        <f t="shared" si="25"/>
        <v>-0.10554803788903924</v>
      </c>
      <c r="O72" s="44">
        <f>IF(ISNUMBER(M72), $B78 * N72, "")</f>
        <v>-10554.803788903924</v>
      </c>
      <c r="Q72" s="229"/>
      <c r="R72" s="230"/>
    </row>
    <row r="73" spans="1:18" ht="17.25" customHeight="1">
      <c r="A73" s="11" t="s">
        <v>172</v>
      </c>
      <c r="B73" s="32">
        <v>814</v>
      </c>
      <c r="C73" s="5">
        <v>4.8969072199999998E-2</v>
      </c>
      <c r="D73" s="36">
        <v>871</v>
      </c>
      <c r="E73" s="5">
        <f t="shared" si="22"/>
        <v>7.0024570024570021E-2</v>
      </c>
      <c r="F73" s="48">
        <f>IF(ISNUMBER(D73), $B78 * E73, "")</f>
        <v>7002.4570024570021</v>
      </c>
      <c r="G73" s="36">
        <v>813</v>
      </c>
      <c r="H73" s="5">
        <f t="shared" si="23"/>
        <v>-1.2285012285012285E-3</v>
      </c>
      <c r="I73" s="48">
        <f>IF(ISNUMBER(G73), $B78 * H73, "")</f>
        <v>-122.85012285012284</v>
      </c>
      <c r="J73" s="36">
        <v>802</v>
      </c>
      <c r="K73" s="5">
        <f t="shared" si="24"/>
        <v>-1.4742014742014743E-2</v>
      </c>
      <c r="L73" s="48">
        <f>IF(ISNUMBER(J73), $B78 * K73, "")</f>
        <v>-1474.2014742014742</v>
      </c>
      <c r="M73" s="36">
        <v>784</v>
      </c>
      <c r="N73" s="5">
        <f t="shared" si="25"/>
        <v>-3.6855036855036855E-2</v>
      </c>
      <c r="O73" s="48">
        <f>IF(ISNUMBER(M73), $B78 * N73, "")</f>
        <v>-3685.5036855036856</v>
      </c>
      <c r="Q73" s="229"/>
      <c r="R73" s="230"/>
    </row>
    <row r="74" spans="1:18" ht="17.25" customHeight="1">
      <c r="A74" s="11" t="s">
        <v>116</v>
      </c>
      <c r="B74" s="32">
        <v>282</v>
      </c>
      <c r="C74" s="5">
        <v>3.67647059E-2</v>
      </c>
      <c r="D74" s="36">
        <v>296</v>
      </c>
      <c r="E74" s="5">
        <f t="shared" si="22"/>
        <v>4.9645390070921988E-2</v>
      </c>
      <c r="F74" s="44">
        <f>IF(ISNUMBER(D74), $B78 * E74, "")</f>
        <v>4964.5390070921985</v>
      </c>
      <c r="G74" s="36">
        <v>292</v>
      </c>
      <c r="H74" s="5">
        <f t="shared" si="23"/>
        <v>3.5460992907801421E-2</v>
      </c>
      <c r="I74" s="44">
        <f>IF(ISNUMBER(G74), $B78 * H74, "")</f>
        <v>3546.0992907801419</v>
      </c>
      <c r="J74" s="36">
        <v>296</v>
      </c>
      <c r="K74" s="5">
        <f t="shared" si="24"/>
        <v>4.9645390070921988E-2</v>
      </c>
      <c r="L74" s="44">
        <f>IF(ISNUMBER(J74), $B78 * K74, "")</f>
        <v>4964.5390070921985</v>
      </c>
      <c r="M74" s="36">
        <v>294</v>
      </c>
      <c r="N74" s="5">
        <f t="shared" si="25"/>
        <v>4.2553191489361701E-2</v>
      </c>
      <c r="O74" s="44">
        <f>IF(ISNUMBER(M74), $B78 * N74, "")</f>
        <v>4255.3191489361698</v>
      </c>
      <c r="Q74" s="229"/>
      <c r="R74" s="230"/>
    </row>
    <row r="75" spans="1:18" ht="17.25" customHeight="1">
      <c r="A75" s="11" t="s">
        <v>214</v>
      </c>
      <c r="B75" s="32">
        <v>243</v>
      </c>
      <c r="C75" s="5">
        <v>2.96610169E-2</v>
      </c>
      <c r="D75" s="36">
        <v>270</v>
      </c>
      <c r="E75" s="5">
        <f t="shared" si="22"/>
        <v>0.1111111111111111</v>
      </c>
      <c r="F75" s="44">
        <f>IF(ISNUMBER(D75), $B78 * E75, "")</f>
        <v>11111.111111111111</v>
      </c>
      <c r="G75" s="36">
        <v>272</v>
      </c>
      <c r="H75" s="5">
        <f t="shared" si="23"/>
        <v>0.11934156378600823</v>
      </c>
      <c r="I75" s="44">
        <f>IF(ISNUMBER(G75), $B78 * H75, "")</f>
        <v>11934.156378600823</v>
      </c>
      <c r="J75" s="36">
        <v>281</v>
      </c>
      <c r="K75" s="5">
        <f t="shared" si="24"/>
        <v>0.15637860082304528</v>
      </c>
      <c r="L75" s="44">
        <f>IF(ISNUMBER(J75), $B78 * K75, "")</f>
        <v>15637.860082304527</v>
      </c>
      <c r="M75" s="36">
        <v>281</v>
      </c>
      <c r="N75" s="5">
        <f t="shared" si="25"/>
        <v>0.15637860082304528</v>
      </c>
      <c r="O75" s="44">
        <f>IF(ISNUMBER(M75), $B78 * N75, "")</f>
        <v>15637.860082304527</v>
      </c>
      <c r="Q75" s="229"/>
      <c r="R75" s="230"/>
    </row>
    <row r="76" spans="1:18" ht="17.25" customHeight="1">
      <c r="A76" s="11" t="s">
        <v>150</v>
      </c>
      <c r="B76" s="32">
        <v>264</v>
      </c>
      <c r="C76" s="5">
        <v>2.72373541E-2</v>
      </c>
      <c r="D76" s="36">
        <v>254</v>
      </c>
      <c r="E76" s="5">
        <f t="shared" si="22"/>
        <v>-3.787878787878788E-2</v>
      </c>
      <c r="F76" s="44">
        <f>IF(ISNUMBER(D76), $B78 * E76, "")</f>
        <v>-3787.878787878788</v>
      </c>
      <c r="G76" s="36">
        <v>251</v>
      </c>
      <c r="H76" s="5">
        <f t="shared" si="23"/>
        <v>-4.924242424242424E-2</v>
      </c>
      <c r="I76" s="44">
        <f>IF(ISNUMBER(G76), $B78 * H76, "")</f>
        <v>-4924.242424242424</v>
      </c>
      <c r="J76" s="36">
        <v>252</v>
      </c>
      <c r="K76" s="5">
        <f t="shared" si="24"/>
        <v>-4.5454545454545456E-2</v>
      </c>
      <c r="L76" s="44">
        <f>IF(ISNUMBER(J76), $B78 * K76, "")</f>
        <v>-4545.454545454546</v>
      </c>
      <c r="M76" s="36">
        <v>247</v>
      </c>
      <c r="N76" s="5">
        <f t="shared" si="25"/>
        <v>-6.4393939393939392E-2</v>
      </c>
      <c r="O76" s="44">
        <f>IF(ISNUMBER(M76), $B78 * N76, "")</f>
        <v>-6439.393939393939</v>
      </c>
      <c r="Q76" s="231"/>
      <c r="R76" s="232"/>
    </row>
    <row r="77" spans="1:18" ht="17.25" customHeight="1" thickBot="1">
      <c r="A77" s="13" t="s">
        <v>117</v>
      </c>
      <c r="B77" s="34">
        <v>188</v>
      </c>
      <c r="C77" s="16">
        <v>1.6216216200000001E-2</v>
      </c>
      <c r="D77" s="38">
        <v>200</v>
      </c>
      <c r="E77" s="16">
        <f t="shared" si="22"/>
        <v>6.3829787234042548E-2</v>
      </c>
      <c r="F77" s="45">
        <f>IF(ISNUMBER(D77), $B78 * E77, "")</f>
        <v>6382.9787234042551</v>
      </c>
      <c r="G77" s="38">
        <v>196</v>
      </c>
      <c r="H77" s="16">
        <f t="shared" si="23"/>
        <v>4.2553191489361701E-2</v>
      </c>
      <c r="I77" s="45">
        <f>IF(ISNUMBER(G77), $B78 * H77, "")</f>
        <v>4255.3191489361698</v>
      </c>
      <c r="J77" s="38">
        <v>191</v>
      </c>
      <c r="K77" s="16">
        <f t="shared" si="24"/>
        <v>1.5957446808510637E-2</v>
      </c>
      <c r="L77" s="45">
        <f>IF(ISNUMBER(J77), $B78 * K77, "")</f>
        <v>1595.7446808510638</v>
      </c>
      <c r="M77" s="38">
        <v>184</v>
      </c>
      <c r="N77" s="16">
        <f t="shared" si="25"/>
        <v>-2.1276595744680851E-2</v>
      </c>
      <c r="O77" s="45">
        <f>IF(ISNUMBER(M77), $B78 * N77, "")</f>
        <v>-2127.6595744680849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6.4500326874677633E-2</v>
      </c>
      <c r="F78" s="47">
        <f>SUM(F68:F77)</f>
        <v>64500.326874677652</v>
      </c>
      <c r="G78" s="57" t="s">
        <v>82</v>
      </c>
      <c r="H78" s="46">
        <f>IF(COUNT(H68:H77), SUM(H68:H77) / COUNT(H68:H77), 0)</f>
        <v>7.3789259841497298E-2</v>
      </c>
      <c r="I78" s="47">
        <f>SUM(I68:I77)</f>
        <v>73789.259841497289</v>
      </c>
      <c r="J78" s="57" t="s">
        <v>82</v>
      </c>
      <c r="K78" s="46">
        <f>IF(COUNT(K68:K77), SUM(K68:K77) / COUNT(K68:K77), 0)</f>
        <v>7.0089228461187564E-2</v>
      </c>
      <c r="L78" s="47">
        <f>SUM(L68:L77)</f>
        <v>70089.22846118758</v>
      </c>
      <c r="M78" s="57" t="s">
        <v>82</v>
      </c>
      <c r="N78" s="46">
        <f>IF(COUNT(N68:N77), SUM(N68:N77) / COUNT(N68:N77), 0)</f>
        <v>4.9462397436144973E-2</v>
      </c>
      <c r="O78" s="47">
        <f>SUM(O68:O77)</f>
        <v>49462.397436144965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37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1" t="s">
        <v>70</v>
      </c>
      <c r="M84" s="18" t="s">
        <v>67</v>
      </c>
      <c r="N84" s="4" t="s">
        <v>68</v>
      </c>
      <c r="O84" s="143" t="s">
        <v>70</v>
      </c>
      <c r="Q84" s="231"/>
      <c r="R84" s="232"/>
    </row>
    <row r="85" spans="1:18" ht="17.25" customHeight="1">
      <c r="A85" s="9" t="s">
        <v>113</v>
      </c>
      <c r="B85" s="31">
        <v>135</v>
      </c>
      <c r="C85" s="22">
        <v>1.5037594E-2</v>
      </c>
      <c r="D85" s="89">
        <v>123</v>
      </c>
      <c r="E85" s="22">
        <f>IF(ISNUMBER(D85), (D85 - $B85) / $B85, "")</f>
        <v>-8.8888888888888892E-2</v>
      </c>
      <c r="F85" s="43">
        <f>IF(ISNUMBER(D85), $B95 * E85, "")</f>
        <v>-8888.8888888888887</v>
      </c>
      <c r="G85" s="89">
        <v>122</v>
      </c>
      <c r="H85" s="22">
        <f>IF(ISNUMBER(G85), (G85 - $B85) / $B85, "")</f>
        <v>-9.6296296296296297E-2</v>
      </c>
      <c r="I85" s="43">
        <f>IF(ISNUMBER(G85), $B95 * H85, "")</f>
        <v>-9629.6296296296296</v>
      </c>
      <c r="J85" s="89">
        <v>122</v>
      </c>
      <c r="K85" s="22">
        <f>IF(ISNUMBER(J85), (J85 - $B85) / $B85, "")</f>
        <v>-9.6296296296296297E-2</v>
      </c>
      <c r="L85" s="43">
        <f>IF(ISNUMBER(J85), $B95 * K85, "")</f>
        <v>-9629.6296296296296</v>
      </c>
      <c r="M85" s="89">
        <v>120</v>
      </c>
      <c r="N85" s="22">
        <f>IF(ISNUMBER(M85), (M85 - $B85) / $B85, "")</f>
        <v>-0.1111111111111111</v>
      </c>
      <c r="O85" s="43">
        <f>IF(ISNUMBER(M85), $B95 * N85, "")</f>
        <v>-11111.111111111111</v>
      </c>
      <c r="Q85" s="229"/>
      <c r="R85" s="230"/>
    </row>
    <row r="86" spans="1:18" ht="17.25" customHeight="1">
      <c r="A86" s="11" t="s">
        <v>171</v>
      </c>
      <c r="B86" s="32">
        <v>640</v>
      </c>
      <c r="C86" s="5">
        <v>1.1058451800000001E-2</v>
      </c>
      <c r="D86" s="36">
        <v>581</v>
      </c>
      <c r="E86" s="5">
        <f t="shared" ref="E86:E94" si="26">IF(ISNUMBER(D86), (D86 - $B86) / $B86, "")</f>
        <v>-9.2187500000000006E-2</v>
      </c>
      <c r="F86" s="44">
        <f>IF(ISNUMBER(D86), $B95 * E86, "")</f>
        <v>-9218.75</v>
      </c>
      <c r="G86" s="36">
        <v>566</v>
      </c>
      <c r="H86" s="5">
        <f t="shared" ref="H86:H94" si="27">IF(ISNUMBER(G86), (G86 - $B86) / $B86, "")</f>
        <v>-0.11562500000000001</v>
      </c>
      <c r="I86" s="44">
        <f>IF(ISNUMBER(G86), $B95 * H86, "")</f>
        <v>-11562.5</v>
      </c>
      <c r="J86" s="36">
        <v>570</v>
      </c>
      <c r="K86" s="5">
        <f t="shared" ref="K86:K94" si="28">IF(ISNUMBER(J86), (J86 - $B86) / $B86, "")</f>
        <v>-0.109375</v>
      </c>
      <c r="L86" s="44">
        <f>IF(ISNUMBER(J86), $B95 * K86, "")</f>
        <v>-10937.5</v>
      </c>
      <c r="M86" s="36">
        <v>556</v>
      </c>
      <c r="N86" s="5">
        <f t="shared" ref="N86:N94" si="29">IF(ISNUMBER(M86), (M86 - $B86) / $B86, "")</f>
        <v>-0.13125000000000001</v>
      </c>
      <c r="O86" s="44">
        <f>IF(ISNUMBER(M86), $B95 * N86, "")</f>
        <v>-13125</v>
      </c>
      <c r="Q86" s="229"/>
      <c r="R86" s="230"/>
    </row>
    <row r="87" spans="1:18" ht="17.25" customHeight="1">
      <c r="A87" s="11" t="s">
        <v>138</v>
      </c>
      <c r="B87" s="32">
        <v>210</v>
      </c>
      <c r="C87" s="5">
        <v>4.784689E-3</v>
      </c>
      <c r="D87" s="36">
        <v>200</v>
      </c>
      <c r="E87" s="5">
        <f t="shared" si="26"/>
        <v>-4.7619047619047616E-2</v>
      </c>
      <c r="F87" s="44">
        <f>IF(ISNUMBER(D87), $B95 * E87, "")</f>
        <v>-4761.9047619047615</v>
      </c>
      <c r="G87" s="36">
        <v>199</v>
      </c>
      <c r="H87" s="5">
        <f t="shared" si="27"/>
        <v>-5.2380952380952382E-2</v>
      </c>
      <c r="I87" s="44">
        <f>IF(ISNUMBER(G87), $B95 * H87, "")</f>
        <v>-5238.0952380952385</v>
      </c>
      <c r="J87" s="36">
        <v>200</v>
      </c>
      <c r="K87" s="5">
        <f t="shared" si="28"/>
        <v>-4.7619047619047616E-2</v>
      </c>
      <c r="L87" s="44">
        <f>IF(ISNUMBER(J87), $B95 * K87, "")</f>
        <v>-4761.9047619047615</v>
      </c>
      <c r="M87" s="36">
        <v>195</v>
      </c>
      <c r="N87" s="5">
        <f t="shared" si="29"/>
        <v>-7.1428571428571425E-2</v>
      </c>
      <c r="O87" s="44">
        <f>IF(ISNUMBER(M87), $B95 * N87, "")</f>
        <v>-7142.8571428571422</v>
      </c>
      <c r="Q87" s="229"/>
      <c r="R87" s="230"/>
    </row>
    <row r="88" spans="1:18" ht="17.25" customHeight="1">
      <c r="A88" s="11" t="s">
        <v>144</v>
      </c>
      <c r="B88" s="32">
        <v>650</v>
      </c>
      <c r="C88" s="5">
        <v>4.6367852000000001E-3</v>
      </c>
      <c r="D88" s="36">
        <v>620</v>
      </c>
      <c r="E88" s="5">
        <f t="shared" si="26"/>
        <v>-4.6153846153846156E-2</v>
      </c>
      <c r="F88" s="44">
        <f>IF(ISNUMBER(D88), $B95 * E88, "")</f>
        <v>-4615.3846153846152</v>
      </c>
      <c r="G88" s="36">
        <v>601</v>
      </c>
      <c r="H88" s="5">
        <f t="shared" si="27"/>
        <v>-7.5384615384615383E-2</v>
      </c>
      <c r="I88" s="44">
        <f>IF(ISNUMBER(G88), $B95 * H88, "")</f>
        <v>-7538.4615384615381</v>
      </c>
      <c r="J88" s="36">
        <v>603</v>
      </c>
      <c r="K88" s="5">
        <f t="shared" si="28"/>
        <v>-7.2307692307692309E-2</v>
      </c>
      <c r="L88" s="44">
        <f>IF(ISNUMBER(J88), $B95 * K88, "")</f>
        <v>-7230.7692307692305</v>
      </c>
      <c r="M88" s="36">
        <v>594</v>
      </c>
      <c r="N88" s="5">
        <f t="shared" si="29"/>
        <v>-8.615384615384615E-2</v>
      </c>
      <c r="O88" s="44">
        <f>IF(ISNUMBER(M88), $B95 * N88, "")</f>
        <v>-8615.3846153846152</v>
      </c>
      <c r="Q88" s="229"/>
      <c r="R88" s="230"/>
    </row>
    <row r="89" spans="1:18" ht="17.25" customHeight="1">
      <c r="A89" s="8" t="s">
        <v>111</v>
      </c>
      <c r="B89" s="33">
        <v>678</v>
      </c>
      <c r="C89" s="24">
        <v>0</v>
      </c>
      <c r="D89" s="37">
        <v>634</v>
      </c>
      <c r="E89" s="24">
        <f t="shared" si="26"/>
        <v>-6.4896755162241887E-2</v>
      </c>
      <c r="F89" s="44">
        <f>IF(ISNUMBER(D89), $B95 * E89, "")</f>
        <v>-6489.6755162241889</v>
      </c>
      <c r="G89" s="37">
        <v>622</v>
      </c>
      <c r="H89" s="24">
        <f t="shared" si="27"/>
        <v>-8.2595870206489674E-2</v>
      </c>
      <c r="I89" s="44">
        <f>IF(ISNUMBER(G89), $B95 * H89, "")</f>
        <v>-8259.5870206489672</v>
      </c>
      <c r="J89" s="37">
        <v>624</v>
      </c>
      <c r="K89" s="24">
        <f t="shared" si="28"/>
        <v>-7.9646017699115043E-2</v>
      </c>
      <c r="L89" s="44">
        <f>IF(ISNUMBER(J89), $B95 * K89, "")</f>
        <v>-7964.6017699115046</v>
      </c>
      <c r="M89" s="37">
        <v>611</v>
      </c>
      <c r="N89" s="24">
        <f t="shared" si="29"/>
        <v>-9.8820058997050153E-2</v>
      </c>
      <c r="O89" s="44">
        <f>IF(ISNUMBER(M89), $B95 * N89, "")</f>
        <v>-9882.0058997050146</v>
      </c>
      <c r="Q89" s="229"/>
      <c r="R89" s="230"/>
    </row>
    <row r="90" spans="1:18" ht="17.25" customHeight="1">
      <c r="A90" s="11" t="s">
        <v>137</v>
      </c>
      <c r="B90" s="32">
        <v>507</v>
      </c>
      <c r="C90" s="5">
        <v>-9.765625E-3</v>
      </c>
      <c r="D90" s="36">
        <v>466</v>
      </c>
      <c r="E90" s="5">
        <f t="shared" si="26"/>
        <v>-8.0867850098619326E-2</v>
      </c>
      <c r="F90" s="48">
        <f>IF(ISNUMBER(D90), $B95 * E90, "")</f>
        <v>-8086.7850098619328</v>
      </c>
      <c r="G90" s="36">
        <v>458</v>
      </c>
      <c r="H90" s="5">
        <f t="shared" si="27"/>
        <v>-9.6646942800788949E-2</v>
      </c>
      <c r="I90" s="48">
        <f>IF(ISNUMBER(G90), $B95 * H90, "")</f>
        <v>-9664.6942800788947</v>
      </c>
      <c r="J90" s="36">
        <v>454</v>
      </c>
      <c r="K90" s="5">
        <f t="shared" si="28"/>
        <v>-0.10453648915187377</v>
      </c>
      <c r="L90" s="48">
        <f>IF(ISNUMBER(J90), $B95 * K90, "")</f>
        <v>-10453.648915187377</v>
      </c>
      <c r="M90" s="36">
        <v>462</v>
      </c>
      <c r="N90" s="5">
        <f t="shared" si="29"/>
        <v>-8.8757396449704137E-2</v>
      </c>
      <c r="O90" s="48">
        <f>IF(ISNUMBER(M90), $B95 * N90, "")</f>
        <v>-8875.7396449704138</v>
      </c>
      <c r="Q90" s="229"/>
      <c r="R90" s="230"/>
    </row>
    <row r="91" spans="1:18" ht="17.25" customHeight="1">
      <c r="A91" s="11" t="s">
        <v>175</v>
      </c>
      <c r="B91" s="32">
        <v>542</v>
      </c>
      <c r="C91" s="5">
        <v>-1.4545454500000001E-2</v>
      </c>
      <c r="D91" s="36">
        <v>539</v>
      </c>
      <c r="E91" s="5">
        <f t="shared" si="26"/>
        <v>-5.5350553505535052E-3</v>
      </c>
      <c r="F91" s="44">
        <f>IF(ISNUMBER(D91), $B95 * E91, "")</f>
        <v>-553.50553505535049</v>
      </c>
      <c r="G91" s="36">
        <v>529</v>
      </c>
      <c r="H91" s="5">
        <f t="shared" si="27"/>
        <v>-2.3985239852398525E-2</v>
      </c>
      <c r="I91" s="44">
        <f>IF(ISNUMBER(G91), $B95 * H91, "")</f>
        <v>-2398.5239852398527</v>
      </c>
      <c r="J91" s="36">
        <v>532</v>
      </c>
      <c r="K91" s="5">
        <f t="shared" si="28"/>
        <v>-1.8450184501845018E-2</v>
      </c>
      <c r="L91" s="44">
        <f>IF(ISNUMBER(J91), $B95 * K91, "")</f>
        <v>-1845.0184501845019</v>
      </c>
      <c r="M91" s="36">
        <v>517</v>
      </c>
      <c r="N91" s="5">
        <f t="shared" si="29"/>
        <v>-4.6125461254612546E-2</v>
      </c>
      <c r="O91" s="44">
        <f>IF(ISNUMBER(M91), $B95 * N91, "")</f>
        <v>-4612.5461254612546</v>
      </c>
      <c r="Q91" s="229"/>
      <c r="R91" s="230"/>
    </row>
    <row r="92" spans="1:18" ht="17.25" customHeight="1">
      <c r="A92" s="11" t="s">
        <v>104</v>
      </c>
      <c r="B92" s="32">
        <v>737</v>
      </c>
      <c r="C92" s="5">
        <v>-1.86418109E-2</v>
      </c>
      <c r="D92" s="36">
        <v>695</v>
      </c>
      <c r="E92" s="5">
        <f t="shared" si="26"/>
        <v>-5.698778833107191E-2</v>
      </c>
      <c r="F92" s="44">
        <f>IF(ISNUMBER(D92), $B95 * E92, "")</f>
        <v>-5698.7788331071906</v>
      </c>
      <c r="G92" s="36">
        <v>682</v>
      </c>
      <c r="H92" s="5">
        <f t="shared" si="27"/>
        <v>-7.4626865671641784E-2</v>
      </c>
      <c r="I92" s="44">
        <f>IF(ISNUMBER(G92), $B95 * H92, "")</f>
        <v>-7462.6865671641781</v>
      </c>
      <c r="J92" s="36">
        <v>687</v>
      </c>
      <c r="K92" s="5">
        <f t="shared" si="28"/>
        <v>-6.7842605156037988E-2</v>
      </c>
      <c r="L92" s="44">
        <f>IF(ISNUMBER(J92), $B95 * K92, "")</f>
        <v>-6784.2605156037989</v>
      </c>
      <c r="M92" s="36">
        <v>672</v>
      </c>
      <c r="N92" s="5">
        <f t="shared" si="29"/>
        <v>-8.819538670284939E-2</v>
      </c>
      <c r="O92" s="44">
        <f>IF(ISNUMBER(M92), $B95 * N92, "")</f>
        <v>-8819.5386702849391</v>
      </c>
      <c r="Q92" s="229"/>
      <c r="R92" s="230"/>
    </row>
    <row r="93" spans="1:18" ht="17.25" customHeight="1">
      <c r="A93" s="11" t="s">
        <v>130</v>
      </c>
      <c r="B93" s="32">
        <v>456</v>
      </c>
      <c r="C93" s="5">
        <v>-2.5641025599999999E-2</v>
      </c>
      <c r="D93" s="36">
        <v>471</v>
      </c>
      <c r="E93" s="5">
        <f t="shared" si="26"/>
        <v>3.2894736842105261E-2</v>
      </c>
      <c r="F93" s="44">
        <f>IF(ISNUMBER(D93), $B95 * E93, "")</f>
        <v>3289.4736842105262</v>
      </c>
      <c r="G93" s="36">
        <v>479</v>
      </c>
      <c r="H93" s="5">
        <f t="shared" si="27"/>
        <v>5.0438596491228067E-2</v>
      </c>
      <c r="I93" s="44">
        <f>IF(ISNUMBER(G93), $B95 * H93, "")</f>
        <v>5043.8596491228063</v>
      </c>
      <c r="J93" s="36">
        <v>484</v>
      </c>
      <c r="K93" s="5">
        <f t="shared" si="28"/>
        <v>6.1403508771929821E-2</v>
      </c>
      <c r="L93" s="44">
        <f>IF(ISNUMBER(J93), $B95 * K93, "")</f>
        <v>6140.3508771929819</v>
      </c>
      <c r="M93" s="36">
        <v>470</v>
      </c>
      <c r="N93" s="5">
        <f t="shared" si="29"/>
        <v>3.0701754385964911E-2</v>
      </c>
      <c r="O93" s="44">
        <f>IF(ISNUMBER(M93), $B95 * N93, "")</f>
        <v>3070.1754385964909</v>
      </c>
      <c r="Q93" s="231"/>
      <c r="R93" s="232"/>
    </row>
    <row r="94" spans="1:18" ht="17.25" customHeight="1" thickBot="1">
      <c r="A94" s="13" t="s">
        <v>103</v>
      </c>
      <c r="B94" s="34">
        <v>114</v>
      </c>
      <c r="C94" s="16">
        <v>-2.5641025599999999E-2</v>
      </c>
      <c r="D94" s="38">
        <v>101</v>
      </c>
      <c r="E94" s="16">
        <f t="shared" si="26"/>
        <v>-0.11403508771929824</v>
      </c>
      <c r="F94" s="45">
        <f>IF(ISNUMBER(D94), $B95 * E94, "")</f>
        <v>-11403.508771929824</v>
      </c>
      <c r="G94" s="38">
        <v>103</v>
      </c>
      <c r="H94" s="16">
        <f t="shared" si="27"/>
        <v>-9.6491228070175433E-2</v>
      </c>
      <c r="I94" s="45">
        <f>IF(ISNUMBER(G94), $B95 * H94, "")</f>
        <v>-9649.1228070175439</v>
      </c>
      <c r="J94" s="38">
        <v>103</v>
      </c>
      <c r="K94" s="16">
        <f t="shared" si="28"/>
        <v>-9.6491228070175433E-2</v>
      </c>
      <c r="L94" s="45">
        <f>IF(ISNUMBER(J94), $B95 * K94, "")</f>
        <v>-9649.1228070175439</v>
      </c>
      <c r="M94" s="38">
        <v>101</v>
      </c>
      <c r="N94" s="16">
        <f t="shared" si="29"/>
        <v>-0.11403508771929824</v>
      </c>
      <c r="O94" s="45">
        <f>IF(ISNUMBER(M94), $B95 * N94, "")</f>
        <v>-11403.508771929824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-5.6427708248146226E-2</v>
      </c>
      <c r="F95" s="47">
        <f>SUM(F85:F94)</f>
        <v>-56427.708248146235</v>
      </c>
      <c r="G95" s="57" t="s">
        <v>82</v>
      </c>
      <c r="H95" s="46">
        <f>IF(COUNT(H85:H94), SUM(H85:H94) / COUNT(H85:H94), 0)</f>
        <v>-6.6359441417213033E-2</v>
      </c>
      <c r="I95" s="47">
        <f>SUM(I85:I94)</f>
        <v>-66359.441417213035</v>
      </c>
      <c r="J95" s="57" t="s">
        <v>82</v>
      </c>
      <c r="K95" s="46">
        <f>IF(COUNT(K85:K94), SUM(K85:K94) / COUNT(K85:K94), 0)</f>
        <v>-6.311610520301536E-2</v>
      </c>
      <c r="L95" s="47">
        <f>SUM(L85:L94)</f>
        <v>-63116.105203015359</v>
      </c>
      <c r="M95" s="57" t="s">
        <v>82</v>
      </c>
      <c r="N95" s="46">
        <f>IF(COUNT(N85:N94), SUM(N85:N94) / COUNT(N85:N94), 0)</f>
        <v>-8.0517516543107834E-2</v>
      </c>
      <c r="O95" s="47">
        <f>SUM(O85:O94)</f>
        <v>-80517.516543107835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37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1" t="s">
        <v>70</v>
      </c>
      <c r="M101" s="18" t="s">
        <v>67</v>
      </c>
      <c r="N101" s="4" t="s">
        <v>68</v>
      </c>
      <c r="O101" s="143" t="s">
        <v>70</v>
      </c>
      <c r="Q101" s="231"/>
      <c r="R101" s="232"/>
    </row>
    <row r="102" spans="1:18" ht="17.25" customHeight="1">
      <c r="A102" s="9" t="s">
        <v>136</v>
      </c>
      <c r="B102" s="31">
        <v>38.6</v>
      </c>
      <c r="C102" s="22">
        <v>0.3174061433</v>
      </c>
      <c r="D102" s="89">
        <v>33.1</v>
      </c>
      <c r="E102" s="22">
        <f>IF(ISNUMBER(D102), (D102 - $B102) / $B102, "")</f>
        <v>-0.14248704663212436</v>
      </c>
      <c r="F102" s="43">
        <f>IF(ISNUMBER(D102), $B112 * E102, "")</f>
        <v>-14248.704663212437</v>
      </c>
      <c r="G102" s="89">
        <v>32.1</v>
      </c>
      <c r="H102" s="22">
        <f>IF(ISNUMBER(G102), (G102 - $B102) / $B102, "")</f>
        <v>-0.16839378238341968</v>
      </c>
      <c r="I102" s="43">
        <f>IF(ISNUMBER(G102), $B112 * H102, "")</f>
        <v>-16839.378238341968</v>
      </c>
      <c r="J102" s="89">
        <v>31.4</v>
      </c>
      <c r="K102" s="22">
        <f>IF(ISNUMBER(J102), (J102 - $B102) / $B102, "")</f>
        <v>-0.1865284974093265</v>
      </c>
      <c r="L102" s="43">
        <f>IF(ISNUMBER(J102), $B112 * K102, "")</f>
        <v>-18652.849740932652</v>
      </c>
      <c r="M102" s="89">
        <v>29.6</v>
      </c>
      <c r="N102" s="22">
        <f>IF(ISNUMBER(M102), (M102 - $B102) / $B102, "")</f>
        <v>-0.23316062176165803</v>
      </c>
      <c r="O102" s="43">
        <f>IF(ISNUMBER(M102), $B112 * N102, "")</f>
        <v>-23316.062176165804</v>
      </c>
      <c r="Q102" s="229"/>
      <c r="R102" s="230"/>
    </row>
    <row r="103" spans="1:18" ht="17.25" customHeight="1">
      <c r="A103" s="11" t="s">
        <v>168</v>
      </c>
      <c r="B103" s="32">
        <v>769</v>
      </c>
      <c r="C103" s="5">
        <v>0.20722135010000001</v>
      </c>
      <c r="D103" s="36">
        <v>687</v>
      </c>
      <c r="E103" s="5">
        <f t="shared" ref="E103:E111" si="30">IF(ISNUMBER(D103), (D103 - $B103) / $B103, "")</f>
        <v>-0.10663198959687907</v>
      </c>
      <c r="F103" s="44">
        <f>IF(ISNUMBER(D103), $B112 * E103, "")</f>
        <v>-10663.198959687907</v>
      </c>
      <c r="G103" s="36">
        <v>667</v>
      </c>
      <c r="H103" s="5">
        <f t="shared" ref="H103:H111" si="31">IF(ISNUMBER(G103), (G103 - $B103) / $B103, "")</f>
        <v>-0.13263979193758127</v>
      </c>
      <c r="I103" s="44">
        <f>IF(ISNUMBER(G103), $B112 * H103, "")</f>
        <v>-13263.979193758127</v>
      </c>
      <c r="J103" s="36">
        <v>677</v>
      </c>
      <c r="K103" s="5">
        <f t="shared" ref="K103:K111" si="32">IF(ISNUMBER(J103), (J103 - $B103) / $B103, "")</f>
        <v>-0.11963589076723016</v>
      </c>
      <c r="L103" s="44">
        <f>IF(ISNUMBER(J103), $B112 * K103, "")</f>
        <v>-11963.589076723016</v>
      </c>
      <c r="M103" s="36">
        <v>662</v>
      </c>
      <c r="N103" s="5">
        <f t="shared" ref="N103:N111" si="33">IF(ISNUMBER(M103), (M103 - $B103) / $B103, "")</f>
        <v>-0.13914174252275682</v>
      </c>
      <c r="O103" s="44">
        <f>IF(ISNUMBER(M103), $B112 * N103, "")</f>
        <v>-13914.174252275683</v>
      </c>
      <c r="Q103" s="229"/>
      <c r="R103" s="230"/>
    </row>
    <row r="104" spans="1:18" ht="17.25" customHeight="1">
      <c r="A104" s="11" t="s">
        <v>192</v>
      </c>
      <c r="B104" s="32">
        <v>3395</v>
      </c>
      <c r="C104" s="5">
        <v>0.1587030717</v>
      </c>
      <c r="D104" s="36">
        <v>2870</v>
      </c>
      <c r="E104" s="5">
        <f t="shared" si="30"/>
        <v>-0.15463917525773196</v>
      </c>
      <c r="F104" s="44">
        <f>IF(ISNUMBER(D104), $B112 * E104, "")</f>
        <v>-15463.917525773197</v>
      </c>
      <c r="G104" s="36">
        <v>2995</v>
      </c>
      <c r="H104" s="5">
        <f t="shared" si="31"/>
        <v>-0.11782032400589101</v>
      </c>
      <c r="I104" s="44">
        <f>IF(ISNUMBER(G104), $B112 * H104, "")</f>
        <v>-11782.032400589102</v>
      </c>
      <c r="J104" s="36">
        <v>3405</v>
      </c>
      <c r="K104" s="5">
        <f t="shared" si="32"/>
        <v>2.9455081001472753E-3</v>
      </c>
      <c r="L104" s="44">
        <f>IF(ISNUMBER(J104), $B112 * K104, "")</f>
        <v>294.55081001472752</v>
      </c>
      <c r="M104" s="36">
        <v>3240</v>
      </c>
      <c r="N104" s="5">
        <f t="shared" si="33"/>
        <v>-4.5655375552282766E-2</v>
      </c>
      <c r="O104" s="44">
        <f>IF(ISNUMBER(M104), $B112 * N104, "")</f>
        <v>-4565.5375552282767</v>
      </c>
      <c r="Q104" s="229"/>
      <c r="R104" s="230"/>
    </row>
    <row r="105" spans="1:18" ht="17.25" customHeight="1">
      <c r="A105" s="11" t="s">
        <v>206</v>
      </c>
      <c r="B105" s="32">
        <v>2205</v>
      </c>
      <c r="C105" s="5">
        <v>0.1484375</v>
      </c>
      <c r="D105" s="36">
        <v>2460</v>
      </c>
      <c r="E105" s="5">
        <f t="shared" si="30"/>
        <v>0.11564625850340136</v>
      </c>
      <c r="F105" s="44">
        <f>IF(ISNUMBER(D105), $B112 * E105, "")</f>
        <v>11564.625850340137</v>
      </c>
      <c r="G105" s="36">
        <v>2330</v>
      </c>
      <c r="H105" s="5">
        <f t="shared" si="31"/>
        <v>5.6689342403628121E-2</v>
      </c>
      <c r="I105" s="44">
        <f>IF(ISNUMBER(G105), $B112 * H105, "")</f>
        <v>5668.9342403628125</v>
      </c>
      <c r="J105" s="36">
        <v>2280</v>
      </c>
      <c r="K105" s="5">
        <f t="shared" si="32"/>
        <v>3.4013605442176874E-2</v>
      </c>
      <c r="L105" s="44">
        <f>IF(ISNUMBER(J105), $B112 * K105, "")</f>
        <v>3401.3605442176872</v>
      </c>
      <c r="M105" s="36">
        <v>2130</v>
      </c>
      <c r="N105" s="5">
        <f t="shared" si="33"/>
        <v>-3.4013605442176874E-2</v>
      </c>
      <c r="O105" s="44">
        <f>IF(ISNUMBER(M105), $B112 * N105, "")</f>
        <v>-3401.3605442176872</v>
      </c>
      <c r="Q105" s="229"/>
      <c r="R105" s="230"/>
    </row>
    <row r="106" spans="1:18" ht="17.25" customHeight="1">
      <c r="A106" s="8" t="s">
        <v>94</v>
      </c>
      <c r="B106" s="33">
        <v>104</v>
      </c>
      <c r="C106" s="24">
        <v>0.12798264640000001</v>
      </c>
      <c r="D106" s="37">
        <v>142</v>
      </c>
      <c r="E106" s="24">
        <f t="shared" si="30"/>
        <v>0.36538461538461536</v>
      </c>
      <c r="F106" s="44">
        <f>IF(ISNUMBER(D106), $B112 * E106, "")</f>
        <v>36538.461538461539</v>
      </c>
      <c r="G106" s="37">
        <v>169</v>
      </c>
      <c r="H106" s="24">
        <f t="shared" si="31"/>
        <v>0.625</v>
      </c>
      <c r="I106" s="44">
        <f>IF(ISNUMBER(G106), $B112 * H106, "")</f>
        <v>62500</v>
      </c>
      <c r="J106" s="37">
        <v>171</v>
      </c>
      <c r="K106" s="24">
        <f t="shared" si="32"/>
        <v>0.64423076923076927</v>
      </c>
      <c r="L106" s="44">
        <f>IF(ISNUMBER(J106), $B112 * K106, "")</f>
        <v>64423.076923076929</v>
      </c>
      <c r="M106" s="37">
        <v>162</v>
      </c>
      <c r="N106" s="24">
        <f t="shared" si="33"/>
        <v>0.55769230769230771</v>
      </c>
      <c r="O106" s="44">
        <f>IF(ISNUMBER(M106), $B112 * N106, "")</f>
        <v>55769.230769230773</v>
      </c>
      <c r="Q106" s="229"/>
      <c r="R106" s="230"/>
    </row>
    <row r="107" spans="1:18" ht="17.25" customHeight="1">
      <c r="A107" s="11" t="s">
        <v>223</v>
      </c>
      <c r="B107" s="32">
        <v>9340</v>
      </c>
      <c r="C107" s="5">
        <v>0.1027154664</v>
      </c>
      <c r="D107" s="36">
        <v>10100</v>
      </c>
      <c r="E107" s="5">
        <f t="shared" si="30"/>
        <v>8.137044967880086E-2</v>
      </c>
      <c r="F107" s="48">
        <f>IF(ISNUMBER(D107), $B112 * E107, "")</f>
        <v>8137.044967880086</v>
      </c>
      <c r="G107" s="36">
        <v>9755</v>
      </c>
      <c r="H107" s="5">
        <f t="shared" si="31"/>
        <v>4.4432548179871523E-2</v>
      </c>
      <c r="I107" s="48">
        <f>IF(ISNUMBER(G107), $B112 * H107, "")</f>
        <v>4443.2548179871519</v>
      </c>
      <c r="J107" s="36">
        <v>9655</v>
      </c>
      <c r="K107" s="5">
        <f t="shared" si="32"/>
        <v>3.3725910064239827E-2</v>
      </c>
      <c r="L107" s="48">
        <f>IF(ISNUMBER(J107), $B112 * K107, "")</f>
        <v>3372.5910064239824</v>
      </c>
      <c r="M107" s="36">
        <v>9350</v>
      </c>
      <c r="N107" s="5">
        <f t="shared" si="33"/>
        <v>1.0706638115631692E-3</v>
      </c>
      <c r="O107" s="48">
        <f>IF(ISNUMBER(M107), $B112 * N107, "")</f>
        <v>107.06638115631692</v>
      </c>
      <c r="Q107" s="229"/>
      <c r="R107" s="230"/>
    </row>
    <row r="108" spans="1:18" ht="17.25" customHeight="1">
      <c r="A108" s="11" t="s">
        <v>190</v>
      </c>
      <c r="B108" s="32">
        <v>5275</v>
      </c>
      <c r="C108" s="5">
        <v>8.7628866E-2</v>
      </c>
      <c r="D108" s="36">
        <v>5040</v>
      </c>
      <c r="E108" s="5">
        <f t="shared" si="30"/>
        <v>-4.4549763033175357E-2</v>
      </c>
      <c r="F108" s="44">
        <f>IF(ISNUMBER(D108), $B112 * E108, "")</f>
        <v>-4454.9763033175359</v>
      </c>
      <c r="G108" s="36">
        <v>4835</v>
      </c>
      <c r="H108" s="5">
        <f t="shared" si="31"/>
        <v>-8.3412322274881517E-2</v>
      </c>
      <c r="I108" s="44">
        <f>IF(ISNUMBER(G108), $B112 * H108, "")</f>
        <v>-8341.2322274881517</v>
      </c>
      <c r="J108" s="36">
        <v>5060</v>
      </c>
      <c r="K108" s="5">
        <f t="shared" si="32"/>
        <v>-4.0758293838862557E-2</v>
      </c>
      <c r="L108" s="44">
        <f>IF(ISNUMBER(J108), $B112 * K108, "")</f>
        <v>-4075.8293838862555</v>
      </c>
      <c r="M108" s="36">
        <v>4920</v>
      </c>
      <c r="N108" s="5">
        <f t="shared" si="33"/>
        <v>-6.7298578199052134E-2</v>
      </c>
      <c r="O108" s="44">
        <f>IF(ISNUMBER(M108), $B112 * N108, "")</f>
        <v>-6729.8578199052135</v>
      </c>
      <c r="Q108" s="229"/>
      <c r="R108" s="230"/>
    </row>
    <row r="109" spans="1:18" ht="17.25" customHeight="1">
      <c r="A109" s="11" t="s">
        <v>164</v>
      </c>
      <c r="B109" s="32">
        <v>182</v>
      </c>
      <c r="C109" s="5">
        <v>8.3333333300000006E-2</v>
      </c>
      <c r="D109" s="36">
        <v>194</v>
      </c>
      <c r="E109" s="5">
        <f t="shared" si="30"/>
        <v>6.5934065934065936E-2</v>
      </c>
      <c r="F109" s="44">
        <f>IF(ISNUMBER(D109), $B112 * E109, "")</f>
        <v>6593.4065934065939</v>
      </c>
      <c r="G109" s="36">
        <v>182</v>
      </c>
      <c r="H109" s="5">
        <f t="shared" si="31"/>
        <v>0</v>
      </c>
      <c r="I109" s="44">
        <f>IF(ISNUMBER(G109), $B112 * H109, "")</f>
        <v>0</v>
      </c>
      <c r="J109" s="36">
        <v>179</v>
      </c>
      <c r="K109" s="5">
        <f t="shared" si="32"/>
        <v>-1.6483516483516484E-2</v>
      </c>
      <c r="L109" s="44">
        <f>IF(ISNUMBER(J109), $B112 * K109, "")</f>
        <v>-1648.3516483516485</v>
      </c>
      <c r="M109" s="36">
        <v>174</v>
      </c>
      <c r="N109" s="5">
        <f t="shared" si="33"/>
        <v>-4.3956043956043959E-2</v>
      </c>
      <c r="O109" s="44">
        <f>IF(ISNUMBER(M109), $B112 * N109, "")</f>
        <v>-4395.6043956043959</v>
      </c>
      <c r="Q109" s="229"/>
      <c r="R109" s="230"/>
    </row>
    <row r="110" spans="1:18" ht="17.25" customHeight="1">
      <c r="A110" s="11" t="s">
        <v>222</v>
      </c>
      <c r="B110" s="32">
        <v>343950</v>
      </c>
      <c r="C110" s="5">
        <v>7.3669424100000006E-2</v>
      </c>
      <c r="D110" s="36">
        <v>356800</v>
      </c>
      <c r="E110" s="5">
        <f t="shared" si="30"/>
        <v>3.7360081407181278E-2</v>
      </c>
      <c r="F110" s="44">
        <f>IF(ISNUMBER(D110), $B112 * E110, "")</f>
        <v>3736.0081407181278</v>
      </c>
      <c r="G110" s="36">
        <v>343450</v>
      </c>
      <c r="H110" s="5">
        <f t="shared" si="31"/>
        <v>-1.4536996656490768E-3</v>
      </c>
      <c r="I110" s="44">
        <f>IF(ISNUMBER(G110), $B112 * H110, "")</f>
        <v>-145.36996656490768</v>
      </c>
      <c r="J110" s="36">
        <v>340850</v>
      </c>
      <c r="K110" s="5">
        <f t="shared" si="32"/>
        <v>-9.0129379270242772E-3</v>
      </c>
      <c r="L110" s="44">
        <f>IF(ISNUMBER(J110), $B112 * K110, "")</f>
        <v>-901.29379270242771</v>
      </c>
      <c r="M110" s="36">
        <v>338550</v>
      </c>
      <c r="N110" s="5">
        <f t="shared" si="33"/>
        <v>-1.569995638901003E-2</v>
      </c>
      <c r="O110" s="44">
        <f>IF(ISNUMBER(M110), $B112 * N110, "")</f>
        <v>-1569.9956389010031</v>
      </c>
      <c r="Q110" s="231"/>
      <c r="R110" s="232"/>
    </row>
    <row r="111" spans="1:18" ht="17.25" customHeight="1" thickBot="1">
      <c r="A111" s="13" t="s">
        <v>126</v>
      </c>
      <c r="B111" s="34">
        <v>181</v>
      </c>
      <c r="C111" s="16">
        <v>7.1005917200000004E-2</v>
      </c>
      <c r="D111" s="38">
        <v>205</v>
      </c>
      <c r="E111" s="16">
        <f t="shared" si="30"/>
        <v>0.13259668508287292</v>
      </c>
      <c r="F111" s="45">
        <f>IF(ISNUMBER(D111), $B112 * E111, "")</f>
        <v>13259.668508287292</v>
      </c>
      <c r="G111" s="38">
        <v>216</v>
      </c>
      <c r="H111" s="16">
        <f t="shared" si="31"/>
        <v>0.19337016574585636</v>
      </c>
      <c r="I111" s="45">
        <f>IF(ISNUMBER(G111), $B112 * H111, "")</f>
        <v>19337.016574585636</v>
      </c>
      <c r="J111" s="38">
        <v>204</v>
      </c>
      <c r="K111" s="16">
        <f t="shared" si="32"/>
        <v>0.1270718232044199</v>
      </c>
      <c r="L111" s="45">
        <f>IF(ISNUMBER(J111), $B112 * K111, "")</f>
        <v>12707.182320441991</v>
      </c>
      <c r="M111" s="38">
        <v>208</v>
      </c>
      <c r="N111" s="16">
        <f t="shared" si="33"/>
        <v>0.14917127071823205</v>
      </c>
      <c r="O111" s="45">
        <f>IF(ISNUMBER(M111), $B112 * N111, "")</f>
        <v>14917.127071823204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3.4998418147102694E-2</v>
      </c>
      <c r="F112" s="47">
        <f>SUM(F102:F111)</f>
        <v>34998.418147102704</v>
      </c>
      <c r="G112" s="57" t="s">
        <v>82</v>
      </c>
      <c r="H112" s="46">
        <f>IF(COUNT(H102:H111), SUM(H102:H111) / COUNT(H102:H111), 0)</f>
        <v>4.157721360619334E-2</v>
      </c>
      <c r="I112" s="47">
        <f>SUM(I102:I111)</f>
        <v>41577.213606193342</v>
      </c>
      <c r="J112" s="57" t="s">
        <v>82</v>
      </c>
      <c r="K112" s="46">
        <f>IF(COUNT(K102:K111), SUM(K102:K111) / COUNT(K102:K111), 0)</f>
        <v>4.6956847961579312E-2</v>
      </c>
      <c r="L112" s="47">
        <f>SUM(L102:L111)</f>
        <v>46956.847961579319</v>
      </c>
      <c r="M112" s="57" t="s">
        <v>82</v>
      </c>
      <c r="N112" s="46">
        <f>IF(COUNT(N102:N111), SUM(N102:N111) / COUNT(N102:N111), 0)</f>
        <v>1.290083183991223E-2</v>
      </c>
      <c r="O112" s="47">
        <f>SUM(O102:O111)</f>
        <v>12900.831839912233</v>
      </c>
      <c r="Q112" s="233"/>
      <c r="R112" s="234"/>
    </row>
  </sheetData>
  <mergeCells count="149"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D15:F16 E27:F27">
    <cfRule type="expression" dxfId="693" priority="89">
      <formula>$E$27&gt;0</formula>
    </cfRule>
    <cfRule type="expression" dxfId="692" priority="90">
      <formula>$E$27&lt;0</formula>
    </cfRule>
  </conditionalFormatting>
  <conditionalFormatting sqref="G15:I16 H27:I27">
    <cfRule type="expression" dxfId="691" priority="87">
      <formula>$H$27&gt;0</formula>
    </cfRule>
    <cfRule type="expression" dxfId="690" priority="88">
      <formula>$H$27&lt;0</formula>
    </cfRule>
  </conditionalFormatting>
  <conditionalFormatting sqref="J15:L16 K27:L27">
    <cfRule type="expression" dxfId="689" priority="85">
      <formula>$K$27&gt;0</formula>
    </cfRule>
    <cfRule type="expression" dxfId="688" priority="86">
      <formula>$K$27&lt;0</formula>
    </cfRule>
  </conditionalFormatting>
  <conditionalFormatting sqref="M15:O16 N27:O27">
    <cfRule type="expression" dxfId="687" priority="83">
      <formula>$N$27&gt;0</formula>
    </cfRule>
    <cfRule type="expression" dxfId="686" priority="84">
      <formula>$N$27&lt;0</formula>
    </cfRule>
  </conditionalFormatting>
  <conditionalFormatting sqref="A17:O26 A34:O43">
    <cfRule type="expression" dxfId="685" priority="91">
      <formula>AND($N17 &gt; 0, ISNUMBER($N17))</formula>
    </cfRule>
    <cfRule type="expression" dxfId="684" priority="92">
      <formula>AND($N17 &lt; 0, ISNUMBER($N17))</formula>
    </cfRule>
    <cfRule type="expression" dxfId="683" priority="93">
      <formula>AND($K17 &gt; 0, ISNUMBER($K17))</formula>
    </cfRule>
    <cfRule type="expression" dxfId="682" priority="94">
      <formula>AND($K17 &lt; 0, ISNUMBER($K17))</formula>
    </cfRule>
    <cfRule type="expression" dxfId="681" priority="95">
      <formula>AND($H17 &gt; 0, ISNUMBER($H17))</formula>
    </cfRule>
    <cfRule type="expression" dxfId="680" priority="96">
      <formula>AND($H17 &lt; 0, ISNUMBER($H17))</formula>
    </cfRule>
    <cfRule type="expression" dxfId="679" priority="97">
      <formula>AND($E17 &gt; 0, ISNUMBER($E17))</formula>
    </cfRule>
    <cfRule type="expression" dxfId="678" priority="98">
      <formula>AND($E17 &lt; 0, ISNUMBER($E17))</formula>
    </cfRule>
  </conditionalFormatting>
  <conditionalFormatting sqref="D32:F33 E44:F44">
    <cfRule type="expression" dxfId="677" priority="81">
      <formula>$E$44&gt;0</formula>
    </cfRule>
    <cfRule type="expression" dxfId="676" priority="82">
      <formula>$E$44&lt;0</formula>
    </cfRule>
  </conditionalFormatting>
  <conditionalFormatting sqref="G32:I33 H44:I44">
    <cfRule type="expression" dxfId="675" priority="79">
      <formula>$H$44&gt;0</formula>
    </cfRule>
    <cfRule type="expression" dxfId="674" priority="80">
      <formula>$H$44&lt;0</formula>
    </cfRule>
  </conditionalFormatting>
  <conditionalFormatting sqref="J32:L33 K44:L44">
    <cfRule type="expression" dxfId="673" priority="77">
      <formula>$K$44&gt;0</formula>
    </cfRule>
    <cfRule type="expression" dxfId="672" priority="78">
      <formula>$K$44&lt;0</formula>
    </cfRule>
  </conditionalFormatting>
  <conditionalFormatting sqref="M32:O33 N44:O44">
    <cfRule type="expression" dxfId="671" priority="75">
      <formula>$N$44&gt;0</formula>
    </cfRule>
    <cfRule type="expression" dxfId="670" priority="76">
      <formula>$N$44&lt;0</formula>
    </cfRule>
  </conditionalFormatting>
  <conditionalFormatting sqref="A51:O60">
    <cfRule type="expression" dxfId="669" priority="67">
      <formula>AND($N51 &gt; 0, ISNUMBER($N51))</formula>
    </cfRule>
    <cfRule type="expression" dxfId="668" priority="68">
      <formula>AND($N51 &lt; 0, ISNUMBER($N51))</formula>
    </cfRule>
    <cfRule type="expression" dxfId="667" priority="69">
      <formula>AND($K51 &gt; 0, ISNUMBER($K51))</formula>
    </cfRule>
    <cfRule type="expression" dxfId="666" priority="70">
      <formula>AND($K51 &lt; 0, ISNUMBER($K51))</formula>
    </cfRule>
    <cfRule type="expression" dxfId="665" priority="71">
      <formula>AND($H51 &gt; 0, ISNUMBER($H51))</formula>
    </cfRule>
    <cfRule type="expression" dxfId="664" priority="72">
      <formula>AND($H51 &lt; 0, ISNUMBER($H51))</formula>
    </cfRule>
    <cfRule type="expression" dxfId="663" priority="73">
      <formula>AND($E51 &gt; 0, ISNUMBER($E51))</formula>
    </cfRule>
    <cfRule type="expression" dxfId="662" priority="74">
      <formula>AND($E51 &lt; 0, ISNUMBER($E51))</formula>
    </cfRule>
  </conditionalFormatting>
  <conditionalFormatting sqref="D49:F50 E61:F61">
    <cfRule type="expression" dxfId="661" priority="65">
      <formula>$E$61&gt;0</formula>
    </cfRule>
    <cfRule type="expression" dxfId="660" priority="66">
      <formula>$E$61&lt;0</formula>
    </cfRule>
  </conditionalFormatting>
  <conditionalFormatting sqref="G49:I50 H61:I61">
    <cfRule type="expression" dxfId="659" priority="63">
      <formula>$H$61&gt;0</formula>
    </cfRule>
    <cfRule type="expression" dxfId="658" priority="64">
      <formula>$H$61&lt;0</formula>
    </cfRule>
  </conditionalFormatting>
  <conditionalFormatting sqref="J49:L50 K61:L61">
    <cfRule type="expression" dxfId="657" priority="61">
      <formula>$K$61&gt;0</formula>
    </cfRule>
    <cfRule type="expression" dxfId="656" priority="62">
      <formula>$K$61&lt;0</formula>
    </cfRule>
  </conditionalFormatting>
  <conditionalFormatting sqref="M49:O50 N61:O61">
    <cfRule type="expression" dxfId="655" priority="59">
      <formula>$N$61&gt;0</formula>
    </cfRule>
    <cfRule type="expression" dxfId="654" priority="60">
      <formula>$N$61&lt;0</formula>
    </cfRule>
  </conditionalFormatting>
  <conditionalFormatting sqref="A68:O77">
    <cfRule type="expression" dxfId="653" priority="51">
      <formula>AND($N68 &gt; 0, ISNUMBER($N68))</formula>
    </cfRule>
    <cfRule type="expression" dxfId="652" priority="52">
      <formula>AND($N68 &lt; 0, ISNUMBER($N68))</formula>
    </cfRule>
    <cfRule type="expression" dxfId="651" priority="53">
      <formula>AND($K68 &gt; 0, ISNUMBER($K68))</formula>
    </cfRule>
    <cfRule type="expression" dxfId="650" priority="54">
      <formula>AND($K68 &lt; 0, ISNUMBER($K68))</formula>
    </cfRule>
    <cfRule type="expression" dxfId="649" priority="55">
      <formula>AND($H68 &gt; 0, ISNUMBER($H68))</formula>
    </cfRule>
    <cfRule type="expression" dxfId="648" priority="56">
      <formula>AND($H68 &lt; 0, ISNUMBER($H68))</formula>
    </cfRule>
    <cfRule type="expression" dxfId="647" priority="57">
      <formula>AND($E68 &gt; 0, ISNUMBER($E68))</formula>
    </cfRule>
    <cfRule type="expression" dxfId="646" priority="58">
      <formula>AND($E68 &lt; 0, ISNUMBER($E68))</formula>
    </cfRule>
  </conditionalFormatting>
  <conditionalFormatting sqref="D66:F67 E78:F78">
    <cfRule type="expression" dxfId="645" priority="49">
      <formula>$E$78&gt;0</formula>
    </cfRule>
    <cfRule type="expression" dxfId="644" priority="50">
      <formula>$E$78&lt;0</formula>
    </cfRule>
  </conditionalFormatting>
  <conditionalFormatting sqref="G66:I67 H78:I78">
    <cfRule type="expression" dxfId="643" priority="47">
      <formula>$H$78&gt;0</formula>
    </cfRule>
    <cfRule type="expression" dxfId="642" priority="48">
      <formula>$H$78&lt;0</formula>
    </cfRule>
  </conditionalFormatting>
  <conditionalFormatting sqref="J66:L67 K78:L78">
    <cfRule type="expression" dxfId="641" priority="45">
      <formula>$K$78&gt;0</formula>
    </cfRule>
    <cfRule type="expression" dxfId="640" priority="46">
      <formula>$K$78&lt;0</formula>
    </cfRule>
  </conditionalFormatting>
  <conditionalFormatting sqref="M66:O67 N78:O78">
    <cfRule type="expression" dxfId="639" priority="43">
      <formula>$N$78&gt;0</formula>
    </cfRule>
    <cfRule type="expression" dxfId="638" priority="44">
      <formula>$N$78&lt;0</formula>
    </cfRule>
  </conditionalFormatting>
  <conditionalFormatting sqref="A85:O94">
    <cfRule type="expression" dxfId="637" priority="35">
      <formula>AND($N85 &gt; 0, ISNUMBER($N85))</formula>
    </cfRule>
    <cfRule type="expression" dxfId="636" priority="36">
      <formula>AND($N85 &lt; 0, ISNUMBER($N85))</formula>
    </cfRule>
    <cfRule type="expression" dxfId="635" priority="37">
      <formula>AND($K85 &gt; 0, ISNUMBER($K85))</formula>
    </cfRule>
    <cfRule type="expression" dxfId="634" priority="38">
      <formula>AND($K85 &lt; 0, ISNUMBER($K85))</formula>
    </cfRule>
    <cfRule type="expression" dxfId="633" priority="39">
      <formula>AND($H85 &gt; 0, ISNUMBER($H85))</formula>
    </cfRule>
    <cfRule type="expression" dxfId="632" priority="40">
      <formula>AND($H85 &lt; 0, ISNUMBER($H85))</formula>
    </cfRule>
    <cfRule type="expression" dxfId="631" priority="41">
      <formula>AND($E85 &gt; 0, ISNUMBER($E85))</formula>
    </cfRule>
    <cfRule type="expression" dxfId="630" priority="42">
      <formula>AND($E85 &lt; 0, ISNUMBER($E85))</formula>
    </cfRule>
  </conditionalFormatting>
  <conditionalFormatting sqref="D83:F84 E95:F95">
    <cfRule type="expression" dxfId="629" priority="33">
      <formula>$E$95&gt;0</formula>
    </cfRule>
    <cfRule type="expression" dxfId="628" priority="34">
      <formula>$E$95&lt;0</formula>
    </cfRule>
  </conditionalFormatting>
  <conditionalFormatting sqref="G83:I84 H95:I95">
    <cfRule type="expression" dxfId="627" priority="31">
      <formula>$H$95&gt;0</formula>
    </cfRule>
    <cfRule type="expression" dxfId="626" priority="32">
      <formula>$H$95&lt;0</formula>
    </cfRule>
  </conditionalFormatting>
  <conditionalFormatting sqref="J83:L84 K95:L95">
    <cfRule type="expression" dxfId="625" priority="29">
      <formula>$K$95&gt;0</formula>
    </cfRule>
    <cfRule type="expression" dxfId="624" priority="30">
      <formula>$K$95&lt;0</formula>
    </cfRule>
  </conditionalFormatting>
  <conditionalFormatting sqref="M83:O84 N95:O95">
    <cfRule type="expression" dxfId="623" priority="27">
      <formula>$N$95&gt;0</formula>
    </cfRule>
    <cfRule type="expression" dxfId="622" priority="28">
      <formula>$N$95&lt;0</formula>
    </cfRule>
  </conditionalFormatting>
  <conditionalFormatting sqref="A102:O111">
    <cfRule type="expression" dxfId="621" priority="19">
      <formula>AND($N102 &gt; 0, ISNUMBER($N102))</formula>
    </cfRule>
    <cfRule type="expression" dxfId="620" priority="20">
      <formula>AND($N102 &lt; 0, ISNUMBER($N102))</formula>
    </cfRule>
    <cfRule type="expression" dxfId="619" priority="21">
      <formula>AND($K102 &gt; 0, ISNUMBER($K102))</formula>
    </cfRule>
    <cfRule type="expression" dxfId="618" priority="22">
      <formula>AND($K102 &lt; 0, ISNUMBER($K102))</formula>
    </cfRule>
    <cfRule type="expression" dxfId="617" priority="23">
      <formula>AND($H102 &gt; 0, ISNUMBER($H102))</formula>
    </cfRule>
    <cfRule type="expression" dxfId="616" priority="24">
      <formula>AND($H102 &lt; 0, ISNUMBER($H102))</formula>
    </cfRule>
    <cfRule type="expression" dxfId="615" priority="25">
      <formula>AND($E102 &gt; 0, ISNUMBER($E102))</formula>
    </cfRule>
    <cfRule type="expression" dxfId="614" priority="26">
      <formula>AND($E102 &lt; 0, ISNUMBER($E102))</formula>
    </cfRule>
  </conditionalFormatting>
  <conditionalFormatting sqref="D100:F101 E112:F112">
    <cfRule type="expression" dxfId="613" priority="17">
      <formula>$E$112&gt;0</formula>
    </cfRule>
    <cfRule type="expression" dxfId="612" priority="18">
      <formula>$E$112&lt;0</formula>
    </cfRule>
  </conditionalFormatting>
  <conditionalFormatting sqref="G100:I101 H112:I112">
    <cfRule type="expression" dxfId="611" priority="15">
      <formula>$H$112&gt;0</formula>
    </cfRule>
    <cfRule type="expression" dxfId="610" priority="16">
      <formula>$H$112&lt;0</formula>
    </cfRule>
  </conditionalFormatting>
  <conditionalFormatting sqref="J100:L101 K112:L112">
    <cfRule type="expression" dxfId="609" priority="13">
      <formula>$K$112&gt;0</formula>
    </cfRule>
    <cfRule type="expression" dxfId="608" priority="14">
      <formula>$K$112&lt;0</formula>
    </cfRule>
  </conditionalFormatting>
  <conditionalFormatting sqref="M100:O101 N112:O112">
    <cfRule type="expression" dxfId="607" priority="11">
      <formula>$N$112&gt;0</formula>
    </cfRule>
    <cfRule type="expression" dxfId="606" priority="12">
      <formula>$N$112&lt;0</formula>
    </cfRule>
  </conditionalFormatting>
  <conditionalFormatting sqref="G2:I3">
    <cfRule type="expression" dxfId="605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604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603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02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601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600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99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98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597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596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7A37A-48A0-4001-90EF-104D4A515CC3}">
  <sheetPr codeName="Sheet17"/>
  <dimension ref="A1:R112"/>
  <sheetViews>
    <sheetView topLeftCell="A67" zoomScaleNormal="100" workbookViewId="0">
      <selection activeCell="A85" sqref="A85:XFD94"/>
    </sheetView>
  </sheetViews>
  <sheetFormatPr defaultRowHeight="16.5"/>
  <cols>
    <col min="1" max="1" width="13" bestFit="1" customWidth="1"/>
    <col min="2" max="2" width="16.87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3.1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44301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82,876 KRW (8.29%)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45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46,227 KRW (7.70%)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75,159 KRW (7.52%)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78,784 KRW (7.88%)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42,452 KRW (4.25%)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45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44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48" t="s">
        <v>67</v>
      </c>
      <c r="H16" s="149" t="s">
        <v>68</v>
      </c>
      <c r="I16" s="150" t="s">
        <v>70</v>
      </c>
      <c r="J16" s="4" t="s">
        <v>67</v>
      </c>
      <c r="K16" s="4" t="s">
        <v>68</v>
      </c>
      <c r="L16" s="146" t="s">
        <v>70</v>
      </c>
      <c r="M16" s="18" t="s">
        <v>67</v>
      </c>
      <c r="N16" s="4" t="s">
        <v>68</v>
      </c>
      <c r="O16" s="147" t="s">
        <v>70</v>
      </c>
      <c r="Q16" s="206"/>
      <c r="R16" s="207"/>
    </row>
    <row r="17" spans="1:18" ht="17.25" customHeight="1">
      <c r="A17" s="39" t="s">
        <v>163</v>
      </c>
      <c r="B17" s="89">
        <f>IF(NOT(_xlfn.IFNA(VLOOKUP($A17, $A$30:$O$112, 2, FALSE), "")=0), _xlfn.IFNA(VLOOKUP($A17, $A$30:$O$112, 2, FALSE), ""), "")</f>
        <v>38.799999999999997</v>
      </c>
      <c r="C17" s="22">
        <f>IF(NOT(_xlfn.IFNA(VLOOKUP($A17, $A$30:$O$112, 3, FALSE), "")=0), _xlfn.IFNA(VLOOKUP($A17, $A$30:$O$112, 3, FALSE), ""), "")</f>
        <v>8.6834733900000002E-2</v>
      </c>
      <c r="D17" s="89">
        <f>IF(NOT(_xlfn.IFNA(VLOOKUP($A17, $A$30:$O$112, 4, FALSE), "")=0), _xlfn.IFNA(VLOOKUP($A17, $A$30:$O$112, 4, FALSE), ""), "")</f>
        <v>39.5</v>
      </c>
      <c r="E17" s="22">
        <f>IF(NOT(_xlfn.IFNA(VLOOKUP($A17, $A$30:$O$112, 5, FALSE), "")=0), _xlfn.IFNA(VLOOKUP($A17, $A$30:$O$112, 5, FALSE), ""), "")</f>
        <v>1.8041237113402137E-2</v>
      </c>
      <c r="F17" s="58">
        <f>IF(NOT(_xlfn.IFNA(VLOOKUP($A17, $A$30:$O$112, 6, FALSE), "")=0), _xlfn.IFNA(VLOOKUP($A17, $A$30:$O$112, 6, FALSE), ""), "")</f>
        <v>1804.1237113402137</v>
      </c>
      <c r="G17" s="36">
        <f t="shared" ref="G17:G26" si="0">IF(NOT(_xlfn.IFNA(VLOOKUP($A17, $A$30:$O$112, 7, FALSE), "")=0), _xlfn.IFNA(VLOOKUP($A17, $A$30:$O$112, 7, FALSE), ""), "")</f>
        <v>39.6</v>
      </c>
      <c r="H17" s="5">
        <f>IF(NOT(_xlfn.IFNA(VLOOKUP($A17, $A$30:$O$112, 8, FALSE), "")=0), _xlfn.IFNA(VLOOKUP($A17, $A$30:$O$112, 8, FALSE), ""), "")</f>
        <v>2.0618556701031038E-2</v>
      </c>
      <c r="I17" s="59">
        <f>IF(NOT(_xlfn.IFNA(VLOOKUP($A17, $A$30:$O$112, 9, FALSE), "")=0), _xlfn.IFNA(VLOOKUP($A17, $A$30:$O$112, 9, FALSE), ""), "")</f>
        <v>2061.8556701031039</v>
      </c>
      <c r="J17" s="89">
        <f>IF(NOT(_xlfn.IFNA(VLOOKUP($A17, $A$30:$O$112, 10, FALSE), "")=0), _xlfn.IFNA(VLOOKUP($A17, $A$30:$O$112, 10, FALSE), ""), "")</f>
        <v>39.299999999999997</v>
      </c>
      <c r="K17" s="22">
        <f>IF(NOT(_xlfn.IFNA(VLOOKUP($A17, $A$30:$O$112, 11, FALSE), "")=0), _xlfn.IFNA(VLOOKUP($A17, $A$30:$O$112, 11, FALSE), ""), "")</f>
        <v>1.2886597938144331E-2</v>
      </c>
      <c r="L17" s="58">
        <f>IF(NOT(_xlfn.IFNA(VLOOKUP($A17, $A$30:$O$112, 12, FALSE), "")=0), _xlfn.IFNA(VLOOKUP($A17, $A$30:$O$112, 12, FALSE), ""), "")</f>
        <v>1288.659793814433</v>
      </c>
      <c r="M17" s="89">
        <f>IF(NOT(_xlfn.IFNA(VLOOKUP($A17, $A$30:$O$112, 13, FALSE), "")=0), _xlfn.IFNA(VLOOKUP($A17, $A$30:$O$112, 13, FALSE), ""), "")</f>
        <v>40</v>
      </c>
      <c r="N17" s="22">
        <f>IF(NOT(_xlfn.IFNA(VLOOKUP($A17, $A$30:$O$112, 14, FALSE), "")=0), _xlfn.IFNA(VLOOKUP($A17, $A$30:$O$112, 14, FALSE), ""), "")</f>
        <v>3.0927835051546466E-2</v>
      </c>
      <c r="O17" s="43">
        <f>IF(NOT(_xlfn.IFNA(VLOOKUP($A17, $A$30:$O$112, 15, FALSE), "")=0), _xlfn.IFNA(VLOOKUP($A17, $A$30:$O$112, 15, FALSE), ""), "")</f>
        <v>3092.7835051546467</v>
      </c>
      <c r="Q17" s="204"/>
      <c r="R17" s="205"/>
    </row>
    <row r="18" spans="1:18" ht="17.25" customHeight="1">
      <c r="A18" s="40" t="s">
        <v>93</v>
      </c>
      <c r="B18" s="36">
        <f t="shared" ref="B18:B26" si="1">IF(NOT(_xlfn.IFNA(VLOOKUP($A18, $A$30:$O$112, 2, FALSE), "")=0), _xlfn.IFNA(VLOOKUP($A18, $A$30:$O$112, 2, FALSE), ""), "")</f>
        <v>78270</v>
      </c>
      <c r="C18" s="5">
        <f t="shared" ref="C18:C26" si="2">IF(NOT(_xlfn.IFNA(VLOOKUP($A18, $A$30:$O$112, 3, FALSE), "")=0), _xlfn.IFNA(VLOOKUP($A18, $A$30:$O$112, 3, FALSE), ""), "")</f>
        <v>8.1226688800000002E-2</v>
      </c>
      <c r="D18" s="36">
        <f t="shared" ref="D18:D26" si="3">IF(NOT(_xlfn.IFNA(VLOOKUP($A18, $A$30:$O$112, 4, FALSE), "")=0), _xlfn.IFNA(VLOOKUP($A18, $A$30:$O$112, 4, FALSE), ""), "")</f>
        <v>79070</v>
      </c>
      <c r="E18" s="5">
        <f t="shared" ref="E18:E26" si="4">IF(NOT(_xlfn.IFNA(VLOOKUP($A18, $A$30:$O$112, 5, FALSE), "")=0), _xlfn.IFNA(VLOOKUP($A18, $A$30:$O$112, 5, FALSE), ""), "")</f>
        <v>1.0221029768749201E-2</v>
      </c>
      <c r="F18" s="59">
        <f t="shared" ref="F18:F26" si="5">IF(NOT(_xlfn.IFNA(VLOOKUP($A18, $A$30:$O$112, 6, FALSE), "")=0), _xlfn.IFNA(VLOOKUP($A18, $A$30:$O$112, 6, FALSE), ""), "")</f>
        <v>1022.10297687492</v>
      </c>
      <c r="G18" s="36">
        <f t="shared" si="0"/>
        <v>79630</v>
      </c>
      <c r="H18" s="5">
        <f t="shared" ref="H18:H26" si="6">IF(NOT(_xlfn.IFNA(VLOOKUP($A18, $A$30:$O$112, 8, FALSE), "")=0), _xlfn.IFNA(VLOOKUP($A18, $A$30:$O$112, 8, FALSE), ""), "")</f>
        <v>1.7375750606873644E-2</v>
      </c>
      <c r="I18" s="59">
        <f t="shared" ref="I18:I26" si="7">IF(NOT(_xlfn.IFNA(VLOOKUP($A18, $A$30:$O$112, 9, FALSE), "")=0), _xlfn.IFNA(VLOOKUP($A18, $A$30:$O$112, 9, FALSE), ""), "")</f>
        <v>1737.5750606873644</v>
      </c>
      <c r="J18" s="36">
        <f t="shared" ref="J18:J26" si="8">IF(NOT(_xlfn.IFNA(VLOOKUP($A18, $A$30:$O$112, 10, FALSE), "")=0), _xlfn.IFNA(VLOOKUP($A18, $A$30:$O$112, 10, FALSE), ""), "")</f>
        <v>79430</v>
      </c>
      <c r="K18" s="5">
        <f t="shared" ref="K18:K26" si="9">IF(NOT(_xlfn.IFNA(VLOOKUP($A18, $A$30:$O$112, 11, FALSE), "")=0), _xlfn.IFNA(VLOOKUP($A18, $A$30:$O$112, 11, FALSE), ""), "")</f>
        <v>1.4820493164686342E-2</v>
      </c>
      <c r="L18" s="59">
        <f t="shared" ref="L18:L26" si="10">IF(NOT(_xlfn.IFNA(VLOOKUP($A18, $A$30:$O$112, 12, FALSE), "")=0), _xlfn.IFNA(VLOOKUP($A18, $A$30:$O$112, 12, FALSE), ""), "")</f>
        <v>1482.0493164686341</v>
      </c>
      <c r="M18" s="36">
        <f t="shared" ref="M18:M26" si="11">IF(NOT(_xlfn.IFNA(VLOOKUP($A18, $A$30:$O$112, 13, FALSE), "")=0), _xlfn.IFNA(VLOOKUP($A18, $A$30:$O$112, 13, FALSE), ""), "")</f>
        <v>80540</v>
      </c>
      <c r="N18" s="5">
        <f t="shared" ref="N18:N26" si="12">IF(NOT(_xlfn.IFNA(VLOOKUP($A18, $A$30:$O$112, 14, FALSE), "")=0), _xlfn.IFNA(VLOOKUP($A18, $A$30:$O$112, 14, FALSE), ""), "")</f>
        <v>2.900217196882586E-2</v>
      </c>
      <c r="O18" s="44">
        <f t="shared" ref="O18:O26" si="13">IF(NOT(_xlfn.IFNA(VLOOKUP($A18, $A$30:$O$112, 15, FALSE), "")=0), _xlfn.IFNA(VLOOKUP($A18, $A$30:$O$112, 15, FALSE), ""), "")</f>
        <v>2900.217196882586</v>
      </c>
      <c r="Q18" s="204"/>
      <c r="R18" s="205"/>
    </row>
    <row r="19" spans="1:18" ht="17.25" customHeight="1">
      <c r="A19" s="40" t="s">
        <v>126</v>
      </c>
      <c r="B19" s="36">
        <f t="shared" si="1"/>
        <v>208</v>
      </c>
      <c r="C19" s="5">
        <f t="shared" si="2"/>
        <v>7.2164948500000006E-2</v>
      </c>
      <c r="D19" s="36">
        <f t="shared" si="3"/>
        <v>231</v>
      </c>
      <c r="E19" s="5">
        <f t="shared" si="4"/>
        <v>0.11057692307692307</v>
      </c>
      <c r="F19" s="59">
        <f t="shared" si="5"/>
        <v>11057.692307692307</v>
      </c>
      <c r="G19" s="36">
        <f t="shared" si="0"/>
        <v>230</v>
      </c>
      <c r="H19" s="5">
        <f t="shared" si="6"/>
        <v>0.10576923076923077</v>
      </c>
      <c r="I19" s="59">
        <f t="shared" si="7"/>
        <v>10576.923076923076</v>
      </c>
      <c r="J19" s="36">
        <f t="shared" si="8"/>
        <v>229</v>
      </c>
      <c r="K19" s="5">
        <f t="shared" si="9"/>
        <v>0.10096153846153846</v>
      </c>
      <c r="L19" s="59">
        <f t="shared" si="10"/>
        <v>10096.153846153846</v>
      </c>
      <c r="M19" s="36">
        <f t="shared" si="11"/>
        <v>231</v>
      </c>
      <c r="N19" s="5">
        <f t="shared" si="12"/>
        <v>0.11057692307692307</v>
      </c>
      <c r="O19" s="44">
        <f t="shared" si="13"/>
        <v>11057.692307692307</v>
      </c>
      <c r="Q19" s="204"/>
      <c r="R19" s="205"/>
    </row>
    <row r="20" spans="1:18" ht="17.25" customHeight="1">
      <c r="A20" s="40" t="s">
        <v>224</v>
      </c>
      <c r="B20" s="36">
        <f t="shared" si="1"/>
        <v>1000000</v>
      </c>
      <c r="C20" s="5">
        <f t="shared" si="2"/>
        <v>5.69707219E-2</v>
      </c>
      <c r="D20" s="36">
        <f t="shared" si="3"/>
        <v>1030000</v>
      </c>
      <c r="E20" s="5">
        <f t="shared" si="4"/>
        <v>0.03</v>
      </c>
      <c r="F20" s="59">
        <f t="shared" si="5"/>
        <v>3000</v>
      </c>
      <c r="G20" s="36">
        <f t="shared" si="0"/>
        <v>1028500</v>
      </c>
      <c r="H20" s="5">
        <f t="shared" si="6"/>
        <v>2.8500000000000001E-2</v>
      </c>
      <c r="I20" s="59">
        <f t="shared" si="7"/>
        <v>2850</v>
      </c>
      <c r="J20" s="36">
        <f t="shared" si="8"/>
        <v>1030500</v>
      </c>
      <c r="K20" s="5">
        <f t="shared" si="9"/>
        <v>3.0499999999999999E-2</v>
      </c>
      <c r="L20" s="59">
        <f t="shared" si="10"/>
        <v>3050</v>
      </c>
      <c r="M20" s="36">
        <f t="shared" si="11"/>
        <v>1079000</v>
      </c>
      <c r="N20" s="5">
        <f t="shared" si="12"/>
        <v>7.9000000000000001E-2</v>
      </c>
      <c r="O20" s="44">
        <f t="shared" si="13"/>
        <v>7900</v>
      </c>
      <c r="Q20" s="204"/>
      <c r="R20" s="205"/>
    </row>
    <row r="21" spans="1:18" ht="17.25" customHeight="1">
      <c r="A21" s="41" t="s">
        <v>229</v>
      </c>
      <c r="B21" s="37">
        <f t="shared" si="1"/>
        <v>294</v>
      </c>
      <c r="C21" s="24">
        <f t="shared" si="2"/>
        <v>3.1578947400000001E-2</v>
      </c>
      <c r="D21" s="37">
        <f t="shared" si="3"/>
        <v>300</v>
      </c>
      <c r="E21" s="24">
        <f t="shared" si="4"/>
        <v>2.0408163265306121E-2</v>
      </c>
      <c r="F21" s="60">
        <f t="shared" si="5"/>
        <v>2040.8163265306121</v>
      </c>
      <c r="G21" s="37">
        <f t="shared" si="0"/>
        <v>295</v>
      </c>
      <c r="H21" s="24">
        <f t="shared" si="6"/>
        <v>3.4013605442176869E-3</v>
      </c>
      <c r="I21" s="60">
        <f t="shared" si="7"/>
        <v>340.13605442176868</v>
      </c>
      <c r="J21" s="37">
        <f t="shared" si="8"/>
        <v>299</v>
      </c>
      <c r="K21" s="24">
        <f t="shared" si="9"/>
        <v>1.7006802721088437E-2</v>
      </c>
      <c r="L21" s="60">
        <f t="shared" si="10"/>
        <v>1700.6802721088436</v>
      </c>
      <c r="M21" s="37">
        <f t="shared" si="11"/>
        <v>305</v>
      </c>
      <c r="N21" s="24">
        <f t="shared" si="12"/>
        <v>3.7414965986394558E-2</v>
      </c>
      <c r="O21" s="62">
        <f t="shared" si="13"/>
        <v>3741.4965986394559</v>
      </c>
      <c r="Q21" s="204"/>
      <c r="R21" s="205"/>
    </row>
    <row r="22" spans="1:18" ht="17.25" customHeight="1">
      <c r="A22" s="40" t="s">
        <v>195</v>
      </c>
      <c r="B22" s="36">
        <f t="shared" si="1"/>
        <v>3240</v>
      </c>
      <c r="C22" s="5">
        <f t="shared" si="2"/>
        <v>3.6799999999999999E-2</v>
      </c>
      <c r="D22" s="36">
        <f t="shared" si="3"/>
        <v>3230</v>
      </c>
      <c r="E22" s="5">
        <f t="shared" si="4"/>
        <v>-3.0864197530864196E-3</v>
      </c>
      <c r="F22" s="59">
        <f t="shared" si="5"/>
        <v>-308.64197530864197</v>
      </c>
      <c r="G22" s="36">
        <f t="shared" si="0"/>
        <v>3300</v>
      </c>
      <c r="H22" s="5">
        <f t="shared" si="6"/>
        <v>1.8518518518518517E-2</v>
      </c>
      <c r="I22" s="59">
        <f t="shared" si="7"/>
        <v>1851.8518518518517</v>
      </c>
      <c r="J22" s="36">
        <f t="shared" si="8"/>
        <v>3250</v>
      </c>
      <c r="K22" s="5">
        <f t="shared" si="9"/>
        <v>3.0864197530864196E-3</v>
      </c>
      <c r="L22" s="59">
        <f t="shared" si="10"/>
        <v>308.64197530864197</v>
      </c>
      <c r="M22" s="36">
        <f t="shared" si="11"/>
        <v>3220</v>
      </c>
      <c r="N22" s="5">
        <f t="shared" si="12"/>
        <v>-6.1728395061728392E-3</v>
      </c>
      <c r="O22" s="44">
        <f t="shared" si="13"/>
        <v>-617.28395061728395</v>
      </c>
      <c r="Q22" s="204"/>
      <c r="R22" s="205"/>
    </row>
    <row r="23" spans="1:18" ht="17.25" customHeight="1">
      <c r="A23" s="40"/>
      <c r="B23" s="36" t="str">
        <f t="shared" si="1"/>
        <v/>
      </c>
      <c r="C23" s="5" t="str">
        <f t="shared" si="2"/>
        <v/>
      </c>
      <c r="D23" s="36" t="str">
        <f t="shared" si="3"/>
        <v/>
      </c>
      <c r="E23" s="5" t="str">
        <f t="shared" si="4"/>
        <v/>
      </c>
      <c r="F23" s="59" t="str">
        <f t="shared" si="5"/>
        <v/>
      </c>
      <c r="G23" s="36" t="str">
        <f t="shared" si="0"/>
        <v/>
      </c>
      <c r="H23" s="5" t="str">
        <f t="shared" si="6"/>
        <v/>
      </c>
      <c r="I23" s="59" t="str">
        <f t="shared" si="7"/>
        <v/>
      </c>
      <c r="J23" s="36" t="str">
        <f t="shared" si="8"/>
        <v/>
      </c>
      <c r="K23" s="5" t="str">
        <f t="shared" si="9"/>
        <v/>
      </c>
      <c r="L23" s="59" t="str">
        <f t="shared" si="10"/>
        <v/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/>
      <c r="B24" s="36" t="str">
        <f t="shared" si="1"/>
        <v/>
      </c>
      <c r="C24" s="5" t="str">
        <f t="shared" si="2"/>
        <v/>
      </c>
      <c r="D24" s="36" t="str">
        <f t="shared" si="3"/>
        <v/>
      </c>
      <c r="E24" s="5" t="str">
        <f t="shared" si="4"/>
        <v/>
      </c>
      <c r="F24" s="59" t="str">
        <f t="shared" si="5"/>
        <v/>
      </c>
      <c r="G24" s="36" t="str">
        <f t="shared" si="0"/>
        <v/>
      </c>
      <c r="H24" s="5" t="str">
        <f t="shared" si="6"/>
        <v/>
      </c>
      <c r="I24" s="59" t="str">
        <f t="shared" si="7"/>
        <v/>
      </c>
      <c r="J24" s="36" t="str">
        <f t="shared" si="8"/>
        <v/>
      </c>
      <c r="K24" s="5" t="str">
        <f t="shared" si="9"/>
        <v/>
      </c>
      <c r="L24" s="59" t="str">
        <f t="shared" si="10"/>
        <v/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/>
      <c r="B25" s="36" t="str">
        <f t="shared" si="1"/>
        <v/>
      </c>
      <c r="C25" s="5" t="str">
        <f t="shared" si="2"/>
        <v/>
      </c>
      <c r="D25" s="36" t="str">
        <f t="shared" si="3"/>
        <v/>
      </c>
      <c r="E25" s="5" t="str">
        <f t="shared" si="4"/>
        <v/>
      </c>
      <c r="F25" s="59" t="str">
        <f t="shared" si="5"/>
        <v/>
      </c>
      <c r="G25" s="36" t="str">
        <f t="shared" si="0"/>
        <v/>
      </c>
      <c r="H25" s="5" t="str">
        <f t="shared" si="6"/>
        <v/>
      </c>
      <c r="I25" s="59" t="str">
        <f t="shared" si="7"/>
        <v/>
      </c>
      <c r="J25" s="36" t="str">
        <f t="shared" si="8"/>
        <v/>
      </c>
      <c r="K25" s="5" t="str">
        <f t="shared" si="9"/>
        <v/>
      </c>
      <c r="L25" s="59" t="str">
        <f t="shared" si="10"/>
        <v/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/>
      <c r="B26" s="38" t="str">
        <f t="shared" si="1"/>
        <v/>
      </c>
      <c r="C26" s="16" t="str">
        <f t="shared" si="2"/>
        <v/>
      </c>
      <c r="D26" s="38" t="str">
        <f t="shared" si="3"/>
        <v/>
      </c>
      <c r="E26" s="16" t="str">
        <f t="shared" si="4"/>
        <v/>
      </c>
      <c r="F26" s="61" t="str">
        <f t="shared" si="5"/>
        <v/>
      </c>
      <c r="G26" s="38" t="str">
        <f t="shared" si="0"/>
        <v/>
      </c>
      <c r="H26" s="16" t="str">
        <f t="shared" si="6"/>
        <v/>
      </c>
      <c r="I26" s="61" t="str">
        <f t="shared" si="7"/>
        <v/>
      </c>
      <c r="J26" s="38" t="str">
        <f t="shared" si="8"/>
        <v/>
      </c>
      <c r="K26" s="16" t="str">
        <f t="shared" si="9"/>
        <v/>
      </c>
      <c r="L26" s="61" t="str">
        <f t="shared" si="10"/>
        <v/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3.102682224521568E-2</v>
      </c>
      <c r="F27" s="47">
        <f>SUM(F17:F26)</f>
        <v>18616.093347129416</v>
      </c>
      <c r="G27" s="57" t="s">
        <v>82</v>
      </c>
      <c r="H27" s="46">
        <f>IF(COUNT(H17:H26), SUM(H17:H26) / COUNT(H17:H26), 0)</f>
        <v>3.2363902856645275E-2</v>
      </c>
      <c r="I27" s="47">
        <f>SUM(I17:I26)</f>
        <v>19418.341713987164</v>
      </c>
      <c r="J27" s="57" t="s">
        <v>82</v>
      </c>
      <c r="K27" s="46">
        <f>IF(COUNT(K17:K26), SUM(K17:K26) / COUNT(K17:K26), 0)</f>
        <v>2.9876975339757333E-2</v>
      </c>
      <c r="L27" s="47">
        <f>SUM(L17:L26)</f>
        <v>17926.185203854398</v>
      </c>
      <c r="M27" s="57" t="s">
        <v>82</v>
      </c>
      <c r="N27" s="46">
        <f>IF(COUNT(N17:N26), SUM(N17:N26) / COUNT(N17:N26), 0)</f>
        <v>4.6791509429586188E-2</v>
      </c>
      <c r="O27" s="47">
        <f>SUM(O17:O26)</f>
        <v>28074.905657751715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44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46" t="s">
        <v>70</v>
      </c>
      <c r="M33" s="18" t="s">
        <v>67</v>
      </c>
      <c r="N33" s="4" t="s">
        <v>68</v>
      </c>
      <c r="O33" s="147" t="s">
        <v>70</v>
      </c>
      <c r="Q33" s="231"/>
      <c r="R33" s="232"/>
    </row>
    <row r="34" spans="1:18" ht="17.25" customHeight="1">
      <c r="A34" s="9" t="s">
        <v>163</v>
      </c>
      <c r="B34" s="31">
        <v>38.799999999999997</v>
      </c>
      <c r="C34" s="22">
        <v>8.6834733900000002E-2</v>
      </c>
      <c r="D34" s="89">
        <v>39.5</v>
      </c>
      <c r="E34" s="22">
        <f>IF(ISNUMBER(D34), (D34 - $B34) / $B34, "")</f>
        <v>1.8041237113402137E-2</v>
      </c>
      <c r="F34" s="43">
        <f>IF(ISNUMBER(D34), $B44 * E34, "")</f>
        <v>1804.1237113402137</v>
      </c>
      <c r="G34" s="89">
        <v>39.6</v>
      </c>
      <c r="H34" s="22">
        <f>IF(ISNUMBER(G34), (G34 - $B34) / $B34, "")</f>
        <v>2.0618556701031038E-2</v>
      </c>
      <c r="I34" s="43">
        <f>IF(ISNUMBER(G34), $B44 * H34, "")</f>
        <v>2061.8556701031039</v>
      </c>
      <c r="J34" s="89">
        <v>39.299999999999997</v>
      </c>
      <c r="K34" s="22">
        <f>IF(ISNUMBER(J34), (J34 - $B34) / $B34, "")</f>
        <v>1.2886597938144331E-2</v>
      </c>
      <c r="L34" s="43">
        <f>IF(ISNUMBER(J34), $B44 * K34, "")</f>
        <v>1288.659793814433</v>
      </c>
      <c r="M34" s="89">
        <v>40</v>
      </c>
      <c r="N34" s="22">
        <f>IF(ISNUMBER(M34), (M34 - $B34) / $B34, "")</f>
        <v>3.0927835051546466E-2</v>
      </c>
      <c r="O34" s="43">
        <f>IF(ISNUMBER(M34), $B44 * N34, "")</f>
        <v>3092.7835051546467</v>
      </c>
      <c r="Q34" s="229"/>
      <c r="R34" s="230"/>
    </row>
    <row r="35" spans="1:18" ht="17.25" customHeight="1">
      <c r="A35" s="11" t="s">
        <v>143</v>
      </c>
      <c r="B35" s="32">
        <v>9.58</v>
      </c>
      <c r="C35" s="5">
        <v>-7.8846153799999999E-2</v>
      </c>
      <c r="D35" s="36">
        <v>10.1</v>
      </c>
      <c r="E35" s="5">
        <f t="shared" ref="E35:E43" si="14">IF(ISNUMBER(D35), (D35 - $B35) / $B35, "")</f>
        <v>5.4279749478079287E-2</v>
      </c>
      <c r="F35" s="44">
        <f>IF(ISNUMBER(D35), $B44 * E35, "")</f>
        <v>5427.9749478079284</v>
      </c>
      <c r="G35" s="36">
        <v>10.4</v>
      </c>
      <c r="H35" s="5">
        <f t="shared" ref="H35:H43" si="15">IF(ISNUMBER(G35), (G35 - $B35) / $B35, "")</f>
        <v>8.5594989561586662E-2</v>
      </c>
      <c r="I35" s="44">
        <f>IF(ISNUMBER(G35), $B44 * H35, "")</f>
        <v>8559.4989561586663</v>
      </c>
      <c r="J35" s="36">
        <v>10.3</v>
      </c>
      <c r="K35" s="5">
        <f t="shared" ref="K35:K43" si="16">IF(ISNUMBER(J35), (J35 - $B35) / $B35, "")</f>
        <v>7.5156576200417602E-2</v>
      </c>
      <c r="L35" s="44">
        <f>IF(ISNUMBER(J35), $B44 * K35, "")</f>
        <v>7515.6576200417603</v>
      </c>
      <c r="M35" s="36">
        <v>10.5</v>
      </c>
      <c r="N35" s="5">
        <f t="shared" ref="N35:N43" si="17">IF(ISNUMBER(M35), (M35 - $B35) / $B35, "")</f>
        <v>9.6033402922755737E-2</v>
      </c>
      <c r="O35" s="44">
        <f>IF(ISNUMBER(M35), $B44 * N35, "")</f>
        <v>9603.340292275574</v>
      </c>
      <c r="Q35" s="229"/>
      <c r="R35" s="230"/>
    </row>
    <row r="36" spans="1:18" ht="17.25" customHeight="1">
      <c r="A36" s="11" t="s">
        <v>145</v>
      </c>
      <c r="B36" s="32">
        <v>45.5</v>
      </c>
      <c r="C36" s="5">
        <v>-9.1816367300000007E-2</v>
      </c>
      <c r="D36" s="36">
        <v>47.5</v>
      </c>
      <c r="E36" s="5">
        <f t="shared" si="14"/>
        <v>4.3956043956043959E-2</v>
      </c>
      <c r="F36" s="44">
        <f>IF(ISNUMBER(D36), $B44 * E36, "")</f>
        <v>4395.6043956043959</v>
      </c>
      <c r="G36" s="36">
        <v>48.8</v>
      </c>
      <c r="H36" s="5">
        <f t="shared" si="15"/>
        <v>7.2527472527472464E-2</v>
      </c>
      <c r="I36" s="44">
        <f>IF(ISNUMBER(G36), $B44 * H36, "")</f>
        <v>7252.7472527472464</v>
      </c>
      <c r="J36" s="36">
        <v>48.6</v>
      </c>
      <c r="K36" s="5">
        <f t="shared" si="16"/>
        <v>6.8131868131868167E-2</v>
      </c>
      <c r="L36" s="44">
        <f>IF(ISNUMBER(J36), $B44 * K36, "")</f>
        <v>6813.1868131868168</v>
      </c>
      <c r="M36" s="36">
        <v>49.3</v>
      </c>
      <c r="N36" s="5">
        <f t="shared" si="17"/>
        <v>8.3516483516483456E-2</v>
      </c>
      <c r="O36" s="44">
        <f>IF(ISNUMBER(M36), $B44 * N36, "")</f>
        <v>8351.6483516483459</v>
      </c>
      <c r="Q36" s="229"/>
      <c r="R36" s="230"/>
    </row>
    <row r="37" spans="1:18" ht="17.25" customHeight="1">
      <c r="A37" s="11" t="s">
        <v>128</v>
      </c>
      <c r="B37" s="32">
        <v>97.1</v>
      </c>
      <c r="C37" s="5">
        <v>-9.2523364499999997E-2</v>
      </c>
      <c r="D37" s="36">
        <v>108</v>
      </c>
      <c r="E37" s="5">
        <f t="shared" si="14"/>
        <v>0.11225540679711644</v>
      </c>
      <c r="F37" s="44">
        <f>IF(ISNUMBER(D37), $B44 * E37, "")</f>
        <v>11225.540679711645</v>
      </c>
      <c r="G37" s="36">
        <v>104</v>
      </c>
      <c r="H37" s="5">
        <f t="shared" si="15"/>
        <v>7.1060762100926947E-2</v>
      </c>
      <c r="I37" s="44">
        <f>IF(ISNUMBER(G37), $B44 * H37, "")</f>
        <v>7106.076210092695</v>
      </c>
      <c r="J37" s="36">
        <v>106</v>
      </c>
      <c r="K37" s="5">
        <f t="shared" si="16"/>
        <v>9.1658084449021696E-2</v>
      </c>
      <c r="L37" s="44">
        <f>IF(ISNUMBER(J37), $B44 * K37, "")</f>
        <v>9165.8084449021699</v>
      </c>
      <c r="M37" s="36">
        <v>106</v>
      </c>
      <c r="N37" s="5">
        <f t="shared" si="17"/>
        <v>9.1658084449021696E-2</v>
      </c>
      <c r="O37" s="44">
        <f>IF(ISNUMBER(M37), $B44 * N37, "")</f>
        <v>9165.8084449021699</v>
      </c>
      <c r="Q37" s="229"/>
      <c r="R37" s="230"/>
    </row>
    <row r="38" spans="1:18" ht="17.25" customHeight="1">
      <c r="A38" s="8" t="s">
        <v>155</v>
      </c>
      <c r="B38" s="33">
        <v>25.7</v>
      </c>
      <c r="C38" s="24">
        <v>-0.1137931034</v>
      </c>
      <c r="D38" s="37">
        <v>26.3</v>
      </c>
      <c r="E38" s="24">
        <f t="shared" si="14"/>
        <v>2.3346303501945581E-2</v>
      </c>
      <c r="F38" s="44">
        <f>IF(ISNUMBER(D38), $B44 * E38, "")</f>
        <v>2334.6303501945581</v>
      </c>
      <c r="G38" s="37">
        <v>27.2</v>
      </c>
      <c r="H38" s="24">
        <f t="shared" si="15"/>
        <v>5.8365758754863814E-2</v>
      </c>
      <c r="I38" s="44">
        <f>IF(ISNUMBER(G38), $B44 * H38, "")</f>
        <v>5836.5758754863818</v>
      </c>
      <c r="J38" s="37">
        <v>27.3</v>
      </c>
      <c r="K38" s="24">
        <f t="shared" si="16"/>
        <v>6.2256809338521457E-2</v>
      </c>
      <c r="L38" s="44">
        <f>IF(ISNUMBER(J38), $B44 * K38, "")</f>
        <v>6225.6809338521462</v>
      </c>
      <c r="M38" s="37">
        <v>27.2</v>
      </c>
      <c r="N38" s="24">
        <f t="shared" si="17"/>
        <v>5.8365758754863814E-2</v>
      </c>
      <c r="O38" s="44">
        <f>IF(ISNUMBER(M38), $B44 * N38, "")</f>
        <v>5836.5758754863818</v>
      </c>
      <c r="Q38" s="229"/>
      <c r="R38" s="230"/>
    </row>
    <row r="39" spans="1:18" ht="17.25" customHeight="1">
      <c r="A39" s="11" t="s">
        <v>107</v>
      </c>
      <c r="B39" s="32">
        <v>39</v>
      </c>
      <c r="C39" s="5">
        <v>-0.1176470588</v>
      </c>
      <c r="D39" s="36">
        <v>41.9</v>
      </c>
      <c r="E39" s="5">
        <f t="shared" si="14"/>
        <v>7.4358974358974317E-2</v>
      </c>
      <c r="F39" s="48">
        <f>IF(ISNUMBER(D39), $B44 * E39, "")</f>
        <v>7435.8974358974319</v>
      </c>
      <c r="G39" s="36">
        <v>42.2</v>
      </c>
      <c r="H39" s="5">
        <f t="shared" si="15"/>
        <v>8.2051282051282121E-2</v>
      </c>
      <c r="I39" s="48">
        <f>IF(ISNUMBER(G39), $B44 * H39, "")</f>
        <v>8205.1282051282124</v>
      </c>
      <c r="J39" s="36">
        <v>42.3</v>
      </c>
      <c r="K39" s="5">
        <f t="shared" si="16"/>
        <v>8.4615384615384537E-2</v>
      </c>
      <c r="L39" s="48">
        <f>IF(ISNUMBER(J39), $B44 * K39, "")</f>
        <v>8461.5384615384537</v>
      </c>
      <c r="M39" s="36">
        <v>42.4</v>
      </c>
      <c r="N39" s="5">
        <f t="shared" si="17"/>
        <v>8.7179487179487147E-2</v>
      </c>
      <c r="O39" s="48">
        <f>IF(ISNUMBER(M39), $B44 * N39, "")</f>
        <v>8717.9487179487151</v>
      </c>
      <c r="Q39" s="229"/>
      <c r="R39" s="230"/>
    </row>
    <row r="40" spans="1:18" ht="17.25" customHeight="1">
      <c r="A40" s="11" t="s">
        <v>119</v>
      </c>
      <c r="B40" s="32">
        <v>22.9</v>
      </c>
      <c r="C40" s="5">
        <v>-0.12260536399999999</v>
      </c>
      <c r="D40" s="36">
        <v>24.1</v>
      </c>
      <c r="E40" s="5">
        <f t="shared" si="14"/>
        <v>5.2401746724890959E-2</v>
      </c>
      <c r="F40" s="44">
        <f>IF(ISNUMBER(D40), $B44 * E40, "")</f>
        <v>5240.1746724890954</v>
      </c>
      <c r="G40" s="36">
        <v>24.4</v>
      </c>
      <c r="H40" s="5">
        <f t="shared" si="15"/>
        <v>6.5502183406113537E-2</v>
      </c>
      <c r="I40" s="44">
        <f>IF(ISNUMBER(G40), $B44 * H40, "")</f>
        <v>6550.2183406113536</v>
      </c>
      <c r="J40" s="36">
        <v>24.7</v>
      </c>
      <c r="K40" s="5">
        <f t="shared" si="16"/>
        <v>7.8602620087336275E-2</v>
      </c>
      <c r="L40" s="44">
        <f>IF(ISNUMBER(J40), $B44 * K40, "")</f>
        <v>7860.2620087336272</v>
      </c>
      <c r="M40" s="36">
        <v>25.2</v>
      </c>
      <c r="N40" s="5">
        <f t="shared" si="17"/>
        <v>0.10043668122270746</v>
      </c>
      <c r="O40" s="44">
        <f>IF(ISNUMBER(M40), $B44 * N40, "")</f>
        <v>10043.668122270747</v>
      </c>
      <c r="Q40" s="229"/>
      <c r="R40" s="230"/>
    </row>
    <row r="41" spans="1:18" ht="17.25" customHeight="1">
      <c r="A41" s="11" t="s">
        <v>146</v>
      </c>
      <c r="B41" s="32">
        <v>91.9</v>
      </c>
      <c r="C41" s="5">
        <v>-0.1247619048</v>
      </c>
      <c r="D41" s="36">
        <v>97.6</v>
      </c>
      <c r="E41" s="5">
        <f t="shared" si="14"/>
        <v>6.202393906420009E-2</v>
      </c>
      <c r="F41" s="44">
        <f>IF(ISNUMBER(D41), $B44 * E41, "")</f>
        <v>6202.3939064200085</v>
      </c>
      <c r="G41" s="36">
        <v>98.5</v>
      </c>
      <c r="H41" s="5">
        <f t="shared" si="15"/>
        <v>7.1817192600652821E-2</v>
      </c>
      <c r="I41" s="44">
        <f>IF(ISNUMBER(G41), $B44 * H41, "")</f>
        <v>7181.7192600652825</v>
      </c>
      <c r="J41" s="36">
        <v>99.2</v>
      </c>
      <c r="K41" s="5">
        <f t="shared" si="16"/>
        <v>7.9434167573449371E-2</v>
      </c>
      <c r="L41" s="44">
        <f>IF(ISNUMBER(J41), $B44 * K41, "")</f>
        <v>7943.4167573449367</v>
      </c>
      <c r="M41" s="36">
        <v>99.7</v>
      </c>
      <c r="N41" s="5">
        <f t="shared" si="17"/>
        <v>8.4874863982589741E-2</v>
      </c>
      <c r="O41" s="44">
        <f>IF(ISNUMBER(M41), $B44 * N41, "")</f>
        <v>8487.4863982589741</v>
      </c>
      <c r="Q41" s="229"/>
      <c r="R41" s="230"/>
    </row>
    <row r="42" spans="1:18" ht="17.25" customHeight="1">
      <c r="A42" s="11" t="s">
        <v>135</v>
      </c>
      <c r="B42" s="32">
        <v>27.9</v>
      </c>
      <c r="C42" s="5">
        <v>-0.12539184950000001</v>
      </c>
      <c r="D42" s="36">
        <v>29.3</v>
      </c>
      <c r="E42" s="5">
        <f t="shared" si="14"/>
        <v>5.0179211469534128E-2</v>
      </c>
      <c r="F42" s="44">
        <f>IF(ISNUMBER(D42), $B44 * E42, "")</f>
        <v>5017.921146953413</v>
      </c>
      <c r="G42" s="36">
        <v>29.3</v>
      </c>
      <c r="H42" s="5">
        <f t="shared" si="15"/>
        <v>5.0179211469534128E-2</v>
      </c>
      <c r="I42" s="44">
        <f>IF(ISNUMBER(G42), $B44 * H42, "")</f>
        <v>5017.921146953413</v>
      </c>
      <c r="J42" s="36">
        <v>29.5</v>
      </c>
      <c r="K42" s="5">
        <f t="shared" si="16"/>
        <v>5.7347670250896113E-2</v>
      </c>
      <c r="L42" s="44">
        <f>IF(ISNUMBER(J42), $B44 * K42, "")</f>
        <v>5734.7670250896117</v>
      </c>
      <c r="M42" s="36">
        <v>29.9</v>
      </c>
      <c r="N42" s="5">
        <f t="shared" si="17"/>
        <v>7.1684587813620082E-2</v>
      </c>
      <c r="O42" s="44">
        <f>IF(ISNUMBER(M42), $B44 * N42, "")</f>
        <v>7168.4587813620083</v>
      </c>
      <c r="P42" s="17"/>
      <c r="Q42" s="231"/>
      <c r="R42" s="232"/>
    </row>
    <row r="43" spans="1:18" ht="17.25" customHeight="1" thickBot="1">
      <c r="A43" s="13" t="s">
        <v>95</v>
      </c>
      <c r="B43" s="34">
        <v>27.4</v>
      </c>
      <c r="C43" s="16">
        <v>-0.127388535</v>
      </c>
      <c r="D43" s="38">
        <v>29.7</v>
      </c>
      <c r="E43" s="16">
        <f t="shared" si="14"/>
        <v>8.3941605839416095E-2</v>
      </c>
      <c r="F43" s="45">
        <f>IF(ISNUMBER(D43), $B44 * E43, "")</f>
        <v>8394.1605839416097</v>
      </c>
      <c r="G43" s="38">
        <v>30.4</v>
      </c>
      <c r="H43" s="16">
        <f t="shared" si="15"/>
        <v>0.10948905109489052</v>
      </c>
      <c r="I43" s="45">
        <f>IF(ISNUMBER(G43), $B44 * H43, "")</f>
        <v>10948.905109489051</v>
      </c>
      <c r="J43" s="38">
        <v>30.7</v>
      </c>
      <c r="K43" s="16">
        <f t="shared" si="16"/>
        <v>0.1204379562043796</v>
      </c>
      <c r="L43" s="45">
        <f>IF(ISNUMBER(J43), $B44 * K43, "")</f>
        <v>12043.795620437959</v>
      </c>
      <c r="M43" s="38">
        <v>30.8</v>
      </c>
      <c r="N43" s="16">
        <f t="shared" si="17"/>
        <v>0.124087591240876</v>
      </c>
      <c r="O43" s="45">
        <f>IF(ISNUMBER(M43), $B44 * N43, "")</f>
        <v>12408.759124087599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5.7478421830360303E-2</v>
      </c>
      <c r="F44" s="47">
        <f>SUM(F34:F43)</f>
        <v>57478.421830360305</v>
      </c>
      <c r="G44" s="57" t="s">
        <v>82</v>
      </c>
      <c r="H44" s="46">
        <f>IF(COUNT(H34:H43), SUM(H34:H43) / COUNT(H34:H43), 0)</f>
        <v>6.8720646026835391E-2</v>
      </c>
      <c r="I44" s="47">
        <f>SUM(I34:I43)</f>
        <v>68720.646026835413</v>
      </c>
      <c r="J44" s="57" t="s">
        <v>82</v>
      </c>
      <c r="K44" s="46">
        <f>IF(COUNT(K34:K43), SUM(K34:K43) / COUNT(K34:K43), 0)</f>
        <v>7.3052773478941915E-2</v>
      </c>
      <c r="L44" s="47">
        <f>SUM(L34:L43)</f>
        <v>73052.773478941905</v>
      </c>
      <c r="M44" s="57" t="s">
        <v>82</v>
      </c>
      <c r="N44" s="46">
        <f>IF(COUNT(N34:N43), SUM(N34:N43) / COUNT(N34:N43), 0)</f>
        <v>8.2876477613395144E-2</v>
      </c>
      <c r="O44" s="47">
        <f>SUM(O34:O43)</f>
        <v>82876.477613395167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44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46" t="s">
        <v>70</v>
      </c>
      <c r="M50" s="18" t="s">
        <v>67</v>
      </c>
      <c r="N50" s="4" t="s">
        <v>68</v>
      </c>
      <c r="O50" s="147" t="s">
        <v>70</v>
      </c>
      <c r="Q50" s="231"/>
      <c r="R50" s="232"/>
    </row>
    <row r="51" spans="1:18" ht="17.25" customHeight="1">
      <c r="A51" s="9" t="s">
        <v>158</v>
      </c>
      <c r="B51" s="31">
        <v>28</v>
      </c>
      <c r="C51" s="22">
        <v>-0.13043478259999999</v>
      </c>
      <c r="D51" s="89">
        <v>32.700000000000003</v>
      </c>
      <c r="E51" s="22">
        <f>IF(ISNUMBER(D51), (D51 - $B51) / $B51, "")</f>
        <v>0.16785714285714295</v>
      </c>
      <c r="F51" s="43">
        <f>IF(ISNUMBER(D51), $B61 * E51, "")</f>
        <v>16785.714285714297</v>
      </c>
      <c r="G51" s="89">
        <v>32</v>
      </c>
      <c r="H51" s="22">
        <f>IF(ISNUMBER(G51), (G51 - $B51) / $B51, "")</f>
        <v>0.14285714285714285</v>
      </c>
      <c r="I51" s="43">
        <f>IF(ISNUMBER(G51), $B61 * H51, "")</f>
        <v>14285.714285714284</v>
      </c>
      <c r="J51" s="89">
        <v>31.9</v>
      </c>
      <c r="K51" s="22">
        <f>IF(ISNUMBER(J51), (J51 - $B51) / $B51, "")</f>
        <v>0.13928571428571423</v>
      </c>
      <c r="L51" s="43">
        <f>IF(ISNUMBER(J51), $B61 * K51, "")</f>
        <v>13928.571428571424</v>
      </c>
      <c r="M51" s="89">
        <v>31.5</v>
      </c>
      <c r="N51" s="22">
        <f>IF(ISNUMBER(M51), (M51 - $B51) / $B51, "")</f>
        <v>0.125</v>
      </c>
      <c r="O51" s="43">
        <f>IF(ISNUMBER(M51), $B61 * N51, "")</f>
        <v>12500</v>
      </c>
      <c r="Q51" s="229"/>
      <c r="R51" s="230"/>
    </row>
    <row r="52" spans="1:18" ht="17.25" customHeight="1">
      <c r="A52" s="11" t="s">
        <v>133</v>
      </c>
      <c r="B52" s="32">
        <v>24.5</v>
      </c>
      <c r="C52" s="5">
        <v>-0.13120567380000001</v>
      </c>
      <c r="D52" s="36">
        <v>25.7</v>
      </c>
      <c r="E52" s="5">
        <f t="shared" ref="E52:E60" si="18">IF(ISNUMBER(D52), (D52 - $B52) / $B52, "")</f>
        <v>4.8979591836734664E-2</v>
      </c>
      <c r="F52" s="44">
        <f>IF(ISNUMBER(D52), $B61 * E52, "")</f>
        <v>4897.9591836734662</v>
      </c>
      <c r="G52" s="36">
        <v>26.2</v>
      </c>
      <c r="H52" s="5">
        <f t="shared" ref="H52:H60" si="19">IF(ISNUMBER(G52), (G52 - $B52) / $B52, "")</f>
        <v>6.9387755102040788E-2</v>
      </c>
      <c r="I52" s="44">
        <f>IF(ISNUMBER(G52), $B61 * H52, "")</f>
        <v>6938.7755102040792</v>
      </c>
      <c r="J52" s="36">
        <v>26.3</v>
      </c>
      <c r="K52" s="5">
        <f t="shared" ref="K52:K60" si="20">IF(ISNUMBER(J52), (J52 - $B52) / $B52, "")</f>
        <v>7.3469387755102075E-2</v>
      </c>
      <c r="L52" s="44">
        <f>IF(ISNUMBER(J52), $B61 * K52, "")</f>
        <v>7346.938775510208</v>
      </c>
      <c r="M52" s="36">
        <v>26.4</v>
      </c>
      <c r="N52" s="5">
        <f t="shared" ref="N52:N60" si="21">IF(ISNUMBER(M52), (M52 - $B52) / $B52, "")</f>
        <v>7.755102040816321E-2</v>
      </c>
      <c r="O52" s="44">
        <f>IF(ISNUMBER(M52), $B61 * N52, "")</f>
        <v>7755.1020408163213</v>
      </c>
      <c r="Q52" s="229"/>
      <c r="R52" s="230"/>
    </row>
    <row r="53" spans="1:18" ht="17.25" customHeight="1">
      <c r="A53" s="11" t="s">
        <v>100</v>
      </c>
      <c r="B53" s="32">
        <v>34.299999999999997</v>
      </c>
      <c r="C53" s="5">
        <v>-0.13164556960000001</v>
      </c>
      <c r="D53" s="36">
        <v>36.700000000000003</v>
      </c>
      <c r="E53" s="5">
        <f t="shared" si="18"/>
        <v>6.9970845481049732E-2</v>
      </c>
      <c r="F53" s="44">
        <f>IF(ISNUMBER(D53), $B61 * E53, "")</f>
        <v>6997.0845481049728</v>
      </c>
      <c r="G53" s="36">
        <v>37.200000000000003</v>
      </c>
      <c r="H53" s="5">
        <f t="shared" si="19"/>
        <v>8.4548104956268397E-2</v>
      </c>
      <c r="I53" s="44">
        <f>IF(ISNUMBER(G53), $B61 * H53, "")</f>
        <v>8454.8104956268398</v>
      </c>
      <c r="J53" s="36">
        <v>37.9</v>
      </c>
      <c r="K53" s="5">
        <f t="shared" si="20"/>
        <v>0.10495626822157439</v>
      </c>
      <c r="L53" s="44">
        <f>IF(ISNUMBER(J53), $B61 * K53, "")</f>
        <v>10495.626822157439</v>
      </c>
      <c r="M53" s="36">
        <v>37.799999999999997</v>
      </c>
      <c r="N53" s="5">
        <f t="shared" si="21"/>
        <v>0.10204081632653061</v>
      </c>
      <c r="O53" s="44">
        <f>IF(ISNUMBER(M53), $B61 * N53, "")</f>
        <v>10204.081632653062</v>
      </c>
      <c r="Q53" s="229"/>
      <c r="R53" s="230"/>
    </row>
    <row r="54" spans="1:18" ht="17.25" customHeight="1">
      <c r="A54" s="11" t="s">
        <v>132</v>
      </c>
      <c r="B54" s="32">
        <v>31.7</v>
      </c>
      <c r="C54" s="5">
        <v>-0.13387978140000001</v>
      </c>
      <c r="D54" s="36">
        <v>34.4</v>
      </c>
      <c r="E54" s="5">
        <f t="shared" si="18"/>
        <v>8.517350157728705E-2</v>
      </c>
      <c r="F54" s="44">
        <f>IF(ISNUMBER(D54), $B61 * E54, "")</f>
        <v>8517.3501577287043</v>
      </c>
      <c r="G54" s="36">
        <v>34.6</v>
      </c>
      <c r="H54" s="5">
        <f t="shared" si="19"/>
        <v>9.1482649842271363E-2</v>
      </c>
      <c r="I54" s="44">
        <f>IF(ISNUMBER(G54), $B61 * H54, "")</f>
        <v>9148.2649842271367</v>
      </c>
      <c r="J54" s="36">
        <v>34.6</v>
      </c>
      <c r="K54" s="5">
        <f t="shared" si="20"/>
        <v>9.1482649842271363E-2</v>
      </c>
      <c r="L54" s="44">
        <f>IF(ISNUMBER(J54), $B61 * K54, "")</f>
        <v>9148.2649842271367</v>
      </c>
      <c r="M54" s="36">
        <v>34.700000000000003</v>
      </c>
      <c r="N54" s="5">
        <f t="shared" si="21"/>
        <v>9.4637223974763526E-2</v>
      </c>
      <c r="O54" s="44">
        <f>IF(ISNUMBER(M54), $B61 * N54, "")</f>
        <v>9463.7223974763529</v>
      </c>
      <c r="Q54" s="229"/>
      <c r="R54" s="230"/>
    </row>
    <row r="55" spans="1:18" ht="17.25" customHeight="1">
      <c r="A55" s="8" t="s">
        <v>123</v>
      </c>
      <c r="B55" s="33">
        <v>78</v>
      </c>
      <c r="C55" s="24">
        <v>-0.14096916300000001</v>
      </c>
      <c r="D55" s="37">
        <v>80.2</v>
      </c>
      <c r="E55" s="24">
        <f t="shared" si="18"/>
        <v>2.820512820512824E-2</v>
      </c>
      <c r="F55" s="44">
        <f>IF(ISNUMBER(D55), $B61 * E55, "")</f>
        <v>2820.512820512824</v>
      </c>
      <c r="G55" s="37">
        <v>81.3</v>
      </c>
      <c r="H55" s="24">
        <f t="shared" si="19"/>
        <v>4.2307692307692268E-2</v>
      </c>
      <c r="I55" s="44">
        <f>IF(ISNUMBER(G55), $B61 * H55, "")</f>
        <v>4230.7692307692269</v>
      </c>
      <c r="J55" s="37">
        <v>81.7</v>
      </c>
      <c r="K55" s="24">
        <f t="shared" si="20"/>
        <v>4.7435897435897476E-2</v>
      </c>
      <c r="L55" s="44">
        <f>IF(ISNUMBER(J55), $B61 * K55, "")</f>
        <v>4743.5897435897477</v>
      </c>
      <c r="M55" s="37">
        <v>81.599999999999994</v>
      </c>
      <c r="N55" s="24">
        <f t="shared" si="21"/>
        <v>4.615384615384608E-2</v>
      </c>
      <c r="O55" s="44">
        <f>IF(ISNUMBER(M55), $B61 * N55, "")</f>
        <v>4615.384615384608</v>
      </c>
      <c r="Q55" s="229"/>
      <c r="R55" s="230"/>
    </row>
    <row r="56" spans="1:18" ht="17.25" customHeight="1">
      <c r="A56" s="11" t="s">
        <v>136</v>
      </c>
      <c r="B56" s="32">
        <v>29.6</v>
      </c>
      <c r="C56" s="5">
        <v>-0.14202898550000001</v>
      </c>
      <c r="D56" s="36">
        <v>29.3</v>
      </c>
      <c r="E56" s="5">
        <f t="shared" si="18"/>
        <v>-1.0135135135135158E-2</v>
      </c>
      <c r="F56" s="48">
        <f>IF(ISNUMBER(D56), $B61 * E56, "")</f>
        <v>-1013.5135135135158</v>
      </c>
      <c r="G56" s="36">
        <v>29.8</v>
      </c>
      <c r="H56" s="5">
        <f t="shared" si="19"/>
        <v>6.7567567567567328E-3</v>
      </c>
      <c r="I56" s="48">
        <f>IF(ISNUMBER(G56), $B61 * H56, "")</f>
        <v>675.67567567567323</v>
      </c>
      <c r="J56" s="36">
        <v>29.7</v>
      </c>
      <c r="K56" s="5">
        <f t="shared" si="20"/>
        <v>3.3783783783783061E-3</v>
      </c>
      <c r="L56" s="48">
        <f>IF(ISNUMBER(J56), $B61 * K56, "")</f>
        <v>337.83783783783059</v>
      </c>
      <c r="M56" s="36">
        <v>30.1</v>
      </c>
      <c r="N56" s="5">
        <f t="shared" si="21"/>
        <v>1.6891891891891889E-2</v>
      </c>
      <c r="O56" s="48">
        <f>IF(ISNUMBER(M56), $B61 * N56, "")</f>
        <v>1689.1891891891889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6.5008512470367916E-2</v>
      </c>
      <c r="F61" s="47">
        <f>SUM(F51:F60)</f>
        <v>39005.107482220752</v>
      </c>
      <c r="G61" s="57" t="s">
        <v>82</v>
      </c>
      <c r="H61" s="46">
        <f>IF(COUNT(H51:H60), SUM(H51:H60) / COUNT(H51:H60), 0)</f>
        <v>7.2890016970362057E-2</v>
      </c>
      <c r="I61" s="47">
        <f>SUM(I51:I60)</f>
        <v>43734.010182217244</v>
      </c>
      <c r="J61" s="57" t="s">
        <v>82</v>
      </c>
      <c r="K61" s="46">
        <f>IF(COUNT(K51:K60), SUM(K51:K60) / COUNT(K51:K60), 0)</f>
        <v>7.6668049319822976E-2</v>
      </c>
      <c r="L61" s="47">
        <f>SUM(L51:L60)</f>
        <v>46000.829591893787</v>
      </c>
      <c r="M61" s="57" t="s">
        <v>82</v>
      </c>
      <c r="N61" s="46">
        <f>IF(COUNT(N51:N60), SUM(N51:N60) / COUNT(N51:N60), 0)</f>
        <v>7.7045799792532552E-2</v>
      </c>
      <c r="O61" s="47">
        <f>SUM(O51:O60)</f>
        <v>46227.47987551953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44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46" t="s">
        <v>70</v>
      </c>
      <c r="M67" s="18" t="s">
        <v>67</v>
      </c>
      <c r="N67" s="4" t="s">
        <v>68</v>
      </c>
      <c r="O67" s="147" t="s">
        <v>70</v>
      </c>
      <c r="Q67" s="231"/>
      <c r="R67" s="232"/>
    </row>
    <row r="68" spans="1:18" ht="17.25" customHeight="1">
      <c r="A68" t="s">
        <v>19</v>
      </c>
      <c r="B68">
        <v>162</v>
      </c>
      <c r="C68" s="90">
        <v>0.33884297520000001</v>
      </c>
      <c r="D68" s="89">
        <v>176</v>
      </c>
      <c r="E68" s="22">
        <f>IF(ISNUMBER(D68), (D68 - $B68) / $B68, "")</f>
        <v>8.6419753086419748E-2</v>
      </c>
      <c r="F68" s="43">
        <f>IF(ISNUMBER(D68), $B78 * E68, "")</f>
        <v>8641.9753086419751</v>
      </c>
      <c r="G68" s="89">
        <v>163</v>
      </c>
      <c r="H68" s="22">
        <f>IF(ISNUMBER(G68), (G68 - $B68) / $B68, "")</f>
        <v>6.1728395061728392E-3</v>
      </c>
      <c r="I68" s="43">
        <f>IF(ISNUMBER(G68), $B78 * H68, "")</f>
        <v>617.28395061728395</v>
      </c>
      <c r="J68" s="89">
        <v>164</v>
      </c>
      <c r="K68" s="22">
        <f>IF(ISNUMBER(J68), (J68 - $B68) / $B68, "")</f>
        <v>1.2345679012345678E-2</v>
      </c>
      <c r="L68" s="43">
        <f>IF(ISNUMBER(J68), $B78 * K68, "")</f>
        <v>1234.5679012345679</v>
      </c>
      <c r="M68" s="89">
        <v>167</v>
      </c>
      <c r="N68" s="22">
        <f>IF(ISNUMBER(M68), (M68 - $B68) / $B68, "")</f>
        <v>3.0864197530864196E-2</v>
      </c>
      <c r="O68" s="43">
        <f>IF(ISNUMBER(M68), $B78 * N68, "")</f>
        <v>3086.4197530864194</v>
      </c>
      <c r="Q68" s="229"/>
      <c r="R68" s="230"/>
    </row>
    <row r="69" spans="1:18" ht="17.25" customHeight="1">
      <c r="A69" t="s">
        <v>148</v>
      </c>
      <c r="B69">
        <v>102</v>
      </c>
      <c r="C69" s="90">
        <v>0.21428571430000001</v>
      </c>
      <c r="D69" s="36">
        <v>96</v>
      </c>
      <c r="E69" s="5">
        <f t="shared" ref="E69:E77" si="22">IF(ISNUMBER(D69), (D69 - $B69) / $B69, "")</f>
        <v>-5.8823529411764705E-2</v>
      </c>
      <c r="F69" s="44">
        <f>IF(ISNUMBER(D69), $B78 * E69, "")</f>
        <v>-5882.3529411764703</v>
      </c>
      <c r="G69" s="36">
        <v>95.1</v>
      </c>
      <c r="H69" s="5">
        <f t="shared" ref="H69:H77" si="23">IF(ISNUMBER(G69), (G69 - $B69) / $B69, "")</f>
        <v>-6.7647058823529463E-2</v>
      </c>
      <c r="I69" s="44">
        <f>IF(ISNUMBER(G69), $B78 * H69, "")</f>
        <v>-6764.705882352946</v>
      </c>
      <c r="J69" s="36">
        <v>93.9</v>
      </c>
      <c r="K69" s="5">
        <f t="shared" ref="K69:K77" si="24">IF(ISNUMBER(J69), (J69 - $B69) / $B69, "")</f>
        <v>-7.9411764705882293E-2</v>
      </c>
      <c r="L69" s="44">
        <f>IF(ISNUMBER(J69), $B78 * K69, "")</f>
        <v>-7941.1764705882297</v>
      </c>
      <c r="M69" s="36">
        <v>95.9</v>
      </c>
      <c r="N69" s="5">
        <f t="shared" ref="N69:N77" si="25">IF(ISNUMBER(M69), (M69 - $B69) / $B69, "")</f>
        <v>-5.9803921568627398E-2</v>
      </c>
      <c r="O69" s="44">
        <f>IF(ISNUMBER(M69), $B78 * N69, "")</f>
        <v>-5980.3921568627402</v>
      </c>
      <c r="Q69" s="229"/>
      <c r="R69" s="230"/>
    </row>
    <row r="70" spans="1:18" ht="17.25" customHeight="1">
      <c r="A70" t="s">
        <v>214</v>
      </c>
      <c r="B70">
        <v>281</v>
      </c>
      <c r="C70" s="90">
        <v>0.15637860079999999</v>
      </c>
      <c r="D70" s="36">
        <v>330</v>
      </c>
      <c r="E70" s="5">
        <f t="shared" si="22"/>
        <v>0.17437722419928825</v>
      </c>
      <c r="F70" s="44">
        <f>IF(ISNUMBER(D70), $B78 * E70, "")</f>
        <v>17437.722419928825</v>
      </c>
      <c r="G70" s="36">
        <v>311</v>
      </c>
      <c r="H70" s="5">
        <f t="shared" si="23"/>
        <v>0.10676156583629894</v>
      </c>
      <c r="I70" s="44">
        <f>IF(ISNUMBER(G70), $B78 * H70, "")</f>
        <v>10676.156583629894</v>
      </c>
      <c r="J70" s="36">
        <v>317</v>
      </c>
      <c r="K70" s="5">
        <f t="shared" si="24"/>
        <v>0.12811387900355872</v>
      </c>
      <c r="L70" s="44">
        <f>IF(ISNUMBER(J70), $B78 * K70, "")</f>
        <v>12811.387900355872</v>
      </c>
      <c r="M70" s="36">
        <v>318</v>
      </c>
      <c r="N70" s="5">
        <f t="shared" si="25"/>
        <v>0.13167259786476868</v>
      </c>
      <c r="O70" s="44">
        <f>IF(ISNUMBER(M70), $B78 * N70, "")</f>
        <v>13167.259786476867</v>
      </c>
      <c r="Q70" s="229"/>
      <c r="R70" s="230"/>
    </row>
    <row r="71" spans="1:18" ht="17.25" customHeight="1">
      <c r="A71" t="s">
        <v>126</v>
      </c>
      <c r="B71">
        <v>208</v>
      </c>
      <c r="C71" s="90">
        <v>7.2164948500000006E-2</v>
      </c>
      <c r="D71" s="36">
        <v>231</v>
      </c>
      <c r="E71" s="5">
        <f t="shared" si="22"/>
        <v>0.11057692307692307</v>
      </c>
      <c r="F71" s="44">
        <f>IF(ISNUMBER(D71), $B78 * E71, "")</f>
        <v>11057.692307692307</v>
      </c>
      <c r="G71" s="36">
        <v>230</v>
      </c>
      <c r="H71" s="5">
        <f t="shared" si="23"/>
        <v>0.10576923076923077</v>
      </c>
      <c r="I71" s="44">
        <f>IF(ISNUMBER(G71), $B78 * H71, "")</f>
        <v>10576.923076923076</v>
      </c>
      <c r="J71" s="36">
        <v>229</v>
      </c>
      <c r="K71" s="5">
        <f t="shared" si="24"/>
        <v>0.10096153846153846</v>
      </c>
      <c r="L71" s="44">
        <f>IF(ISNUMBER(J71), $B78 * K71, "")</f>
        <v>10096.153846153846</v>
      </c>
      <c r="M71" s="36">
        <v>231</v>
      </c>
      <c r="N71" s="5">
        <f t="shared" si="25"/>
        <v>0.11057692307692307</v>
      </c>
      <c r="O71" s="44">
        <f>IF(ISNUMBER(M71), $B78 * N71, "")</f>
        <v>11057.692307692307</v>
      </c>
      <c r="Q71" s="229"/>
      <c r="R71" s="230"/>
    </row>
    <row r="72" spans="1:18" ht="17.25" customHeight="1">
      <c r="A72" t="s">
        <v>116</v>
      </c>
      <c r="B72">
        <v>294</v>
      </c>
      <c r="C72" s="90">
        <v>3.1578947400000001E-2</v>
      </c>
      <c r="D72" s="37">
        <v>300</v>
      </c>
      <c r="E72" s="24">
        <f t="shared" si="22"/>
        <v>2.0408163265306121E-2</v>
      </c>
      <c r="F72" s="44">
        <f>IF(ISNUMBER(D72), $B78 * E72, "")</f>
        <v>2040.8163265306121</v>
      </c>
      <c r="G72" s="37">
        <v>295</v>
      </c>
      <c r="H72" s="24">
        <f t="shared" si="23"/>
        <v>3.4013605442176869E-3</v>
      </c>
      <c r="I72" s="44">
        <f>IF(ISNUMBER(G72), $B78 * H72, "")</f>
        <v>340.13605442176868</v>
      </c>
      <c r="J72" s="37">
        <v>299</v>
      </c>
      <c r="K72" s="24">
        <f t="shared" si="24"/>
        <v>1.7006802721088437E-2</v>
      </c>
      <c r="L72" s="44">
        <f>IF(ISNUMBER(J72), $B78 * K72, "")</f>
        <v>1700.6802721088436</v>
      </c>
      <c r="M72" s="37">
        <v>305</v>
      </c>
      <c r="N72" s="24">
        <f t="shared" si="25"/>
        <v>3.7414965986394558E-2</v>
      </c>
      <c r="O72" s="44">
        <f>IF(ISNUMBER(M72), $B78 * N72, "")</f>
        <v>3741.4965986394559</v>
      </c>
      <c r="Q72" s="229"/>
      <c r="R72" s="230"/>
    </row>
    <row r="73" spans="1:18" ht="17.25" customHeight="1">
      <c r="A73" t="s">
        <v>117</v>
      </c>
      <c r="B73">
        <v>184</v>
      </c>
      <c r="C73" s="90">
        <v>-3.1578947400000001E-2</v>
      </c>
      <c r="D73" s="36">
        <v>198</v>
      </c>
      <c r="E73" s="5">
        <f t="shared" si="22"/>
        <v>7.6086956521739135E-2</v>
      </c>
      <c r="F73" s="48">
        <f>IF(ISNUMBER(D73), $B78 * E73, "")</f>
        <v>7608.6956521739139</v>
      </c>
      <c r="G73" s="36">
        <v>222</v>
      </c>
      <c r="H73" s="5">
        <f t="shared" si="23"/>
        <v>0.20652173913043478</v>
      </c>
      <c r="I73" s="48">
        <f>IF(ISNUMBER(G73), $B78 * H73, "")</f>
        <v>20652.17391304348</v>
      </c>
      <c r="J73" s="36">
        <v>214</v>
      </c>
      <c r="K73" s="5">
        <f t="shared" si="24"/>
        <v>0.16304347826086957</v>
      </c>
      <c r="L73" s="48">
        <f>IF(ISNUMBER(J73), $B78 * K73, "")</f>
        <v>16304.347826086956</v>
      </c>
      <c r="M73" s="36">
        <v>228</v>
      </c>
      <c r="N73" s="5">
        <f t="shared" si="25"/>
        <v>0.2391304347826087</v>
      </c>
      <c r="O73" s="48">
        <f>IF(ISNUMBER(M73), $B78 * N73, "")</f>
        <v>23913.043478260872</v>
      </c>
      <c r="Q73" s="229"/>
      <c r="R73" s="230"/>
    </row>
    <row r="74" spans="1:18" ht="17.25" customHeight="1">
      <c r="A74" t="s">
        <v>172</v>
      </c>
      <c r="B74">
        <v>784</v>
      </c>
      <c r="C74" s="90">
        <v>-4.1564792199999999E-2</v>
      </c>
      <c r="D74" s="36">
        <v>785</v>
      </c>
      <c r="E74" s="5">
        <f t="shared" si="22"/>
        <v>1.2755102040816326E-3</v>
      </c>
      <c r="F74" s="44">
        <f>IF(ISNUMBER(D74), $B78 * E74, "")</f>
        <v>127.55102040816325</v>
      </c>
      <c r="G74" s="36">
        <v>786</v>
      </c>
      <c r="H74" s="5">
        <f t="shared" si="23"/>
        <v>2.5510204081632651E-3</v>
      </c>
      <c r="I74" s="44">
        <f>IF(ISNUMBER(G74), $B78 * H74, "")</f>
        <v>255.10204081632651</v>
      </c>
      <c r="J74" s="36">
        <v>786</v>
      </c>
      <c r="K74" s="5">
        <f t="shared" si="24"/>
        <v>2.5510204081632651E-3</v>
      </c>
      <c r="L74" s="44">
        <f>IF(ISNUMBER(J74), $B78 * K74, "")</f>
        <v>255.10204081632651</v>
      </c>
      <c r="M74" s="36">
        <v>790</v>
      </c>
      <c r="N74" s="5">
        <f t="shared" si="25"/>
        <v>7.6530612244897957E-3</v>
      </c>
      <c r="O74" s="44">
        <f>IF(ISNUMBER(M74), $B78 * N74, "")</f>
        <v>765.30612244897952</v>
      </c>
      <c r="Q74" s="229"/>
      <c r="R74" s="230"/>
    </row>
    <row r="75" spans="1:18" ht="17.25" customHeight="1">
      <c r="A75" t="s">
        <v>175</v>
      </c>
      <c r="B75">
        <v>517</v>
      </c>
      <c r="C75" s="90">
        <v>-4.4362292099999999E-2</v>
      </c>
      <c r="D75" s="36">
        <v>529</v>
      </c>
      <c r="E75" s="5">
        <f t="shared" si="22"/>
        <v>2.321083172147002E-2</v>
      </c>
      <c r="F75" s="44">
        <f>IF(ISNUMBER(D75), $B78 * E75, "")</f>
        <v>2321.0831721470022</v>
      </c>
      <c r="G75" s="36">
        <v>530</v>
      </c>
      <c r="H75" s="5">
        <f t="shared" si="23"/>
        <v>2.5145067698259187E-2</v>
      </c>
      <c r="I75" s="44">
        <f>IF(ISNUMBER(G75), $B78 * H75, "")</f>
        <v>2514.5067698259186</v>
      </c>
      <c r="J75" s="36">
        <v>529</v>
      </c>
      <c r="K75" s="5">
        <f t="shared" si="24"/>
        <v>2.321083172147002E-2</v>
      </c>
      <c r="L75" s="44">
        <f>IF(ISNUMBER(J75), $B78 * K75, "")</f>
        <v>2321.0831721470022</v>
      </c>
      <c r="M75" s="36">
        <v>540</v>
      </c>
      <c r="N75" s="5">
        <f t="shared" si="25"/>
        <v>4.4487427466150871E-2</v>
      </c>
      <c r="O75" s="44">
        <f>IF(ISNUMBER(M75), $B78 * N75, "")</f>
        <v>4448.7427466150875</v>
      </c>
      <c r="Q75" s="229"/>
      <c r="R75" s="230"/>
    </row>
    <row r="76" spans="1:18" ht="17.25" customHeight="1">
      <c r="A76" t="s">
        <v>150</v>
      </c>
      <c r="B76">
        <v>247</v>
      </c>
      <c r="C76" s="90">
        <v>-6.0836501899999999E-2</v>
      </c>
      <c r="D76" s="36">
        <v>257</v>
      </c>
      <c r="E76" s="5">
        <f t="shared" si="22"/>
        <v>4.048582995951417E-2</v>
      </c>
      <c r="F76" s="44">
        <f>IF(ISNUMBER(D76), $B78 * E76, "")</f>
        <v>4048.5829959514172</v>
      </c>
      <c r="G76" s="36">
        <v>260</v>
      </c>
      <c r="H76" s="5">
        <f t="shared" si="23"/>
        <v>5.2631578947368418E-2</v>
      </c>
      <c r="I76" s="44">
        <f>IF(ISNUMBER(G76), $B78 * H76, "")</f>
        <v>5263.1578947368416</v>
      </c>
      <c r="J76" s="36">
        <v>262</v>
      </c>
      <c r="K76" s="5">
        <f t="shared" si="24"/>
        <v>6.0728744939271252E-2</v>
      </c>
      <c r="L76" s="44">
        <f>IF(ISNUMBER(J76), $B78 * K76, "")</f>
        <v>6072.8744939271255</v>
      </c>
      <c r="M76" s="36">
        <v>260</v>
      </c>
      <c r="N76" s="5">
        <f t="shared" si="25"/>
        <v>5.2631578947368418E-2</v>
      </c>
      <c r="O76" s="44">
        <f>IF(ISNUMBER(M76), $B78 * N76, "")</f>
        <v>5263.1578947368416</v>
      </c>
      <c r="Q76" s="231"/>
      <c r="R76" s="232"/>
    </row>
    <row r="77" spans="1:18" ht="17.25" customHeight="1" thickBot="1">
      <c r="A77" t="s">
        <v>125</v>
      </c>
      <c r="B77">
        <v>618</v>
      </c>
      <c r="C77" s="90">
        <v>-6.5052950100000007E-2</v>
      </c>
      <c r="D77" s="38">
        <v>658</v>
      </c>
      <c r="E77" s="16">
        <f t="shared" si="22"/>
        <v>6.4724919093851127E-2</v>
      </c>
      <c r="F77" s="45">
        <f>IF(ISNUMBER(D77), $B78 * E77, "")</f>
        <v>6472.4919093851131</v>
      </c>
      <c r="G77" s="38">
        <v>663</v>
      </c>
      <c r="H77" s="16">
        <f t="shared" si="23"/>
        <v>7.281553398058252E-2</v>
      </c>
      <c r="I77" s="45">
        <f>IF(ISNUMBER(G77), $B78 * H77, "")</f>
        <v>7281.5533980582522</v>
      </c>
      <c r="J77" s="38">
        <v>698</v>
      </c>
      <c r="K77" s="16">
        <f t="shared" si="24"/>
        <v>0.12944983818770225</v>
      </c>
      <c r="L77" s="45">
        <f>IF(ISNUMBER(J77), $B78 * K77, "")</f>
        <v>12944.983818770226</v>
      </c>
      <c r="M77" s="38">
        <v>715</v>
      </c>
      <c r="N77" s="16">
        <f t="shared" si="25"/>
        <v>0.15695792880258899</v>
      </c>
      <c r="O77" s="45">
        <f>IF(ISNUMBER(M77), $B78 * N77, "")</f>
        <v>15695.792880258899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5.3874258171682857E-2</v>
      </c>
      <c r="F78" s="47">
        <f>SUM(F68:F77)</f>
        <v>53874.258171682857</v>
      </c>
      <c r="G78" s="57" t="s">
        <v>82</v>
      </c>
      <c r="H78" s="46">
        <f>IF(COUNT(H68:H77), SUM(H68:H77) / COUNT(H68:H77), 0)</f>
        <v>5.1412287799719888E-2</v>
      </c>
      <c r="I78" s="47">
        <f>SUM(I68:I77)</f>
        <v>51412.287799719896</v>
      </c>
      <c r="J78" s="57" t="s">
        <v>82</v>
      </c>
      <c r="K78" s="46">
        <f>IF(COUNT(K68:K77), SUM(K68:K77) / COUNT(K68:K77), 0)</f>
        <v>5.5800004801012534E-2</v>
      </c>
      <c r="L78" s="47">
        <f>SUM(L68:L77)</f>
        <v>55800.004801012539</v>
      </c>
      <c r="M78" s="57" t="s">
        <v>82</v>
      </c>
      <c r="N78" s="46">
        <f>IF(COUNT(N68:N77), SUM(N68:N77) / COUNT(N68:N77), 0)</f>
        <v>7.5158519411352973E-2</v>
      </c>
      <c r="O78" s="47">
        <f>SUM(O68:O77)</f>
        <v>75158.519411352987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44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46" t="s">
        <v>70</v>
      </c>
      <c r="M84" s="18" t="s">
        <v>67</v>
      </c>
      <c r="N84" s="4" t="s">
        <v>68</v>
      </c>
      <c r="O84" s="147" t="s">
        <v>70</v>
      </c>
      <c r="Q84" s="231"/>
      <c r="R84" s="232"/>
    </row>
    <row r="85" spans="1:18" ht="17.25" customHeight="1">
      <c r="A85" s="9" t="s">
        <v>138</v>
      </c>
      <c r="B85" s="31">
        <v>195</v>
      </c>
      <c r="C85" s="22">
        <v>-6.6985645900000002E-2</v>
      </c>
      <c r="D85" s="89">
        <v>198</v>
      </c>
      <c r="E85" s="22">
        <f>IF(ISNUMBER(D85), (D85 - $B85) / $B85, "")</f>
        <v>1.5384615384615385E-2</v>
      </c>
      <c r="F85" s="43">
        <f>IF(ISNUMBER(D85), $B95 * E85, "")</f>
        <v>1538.4615384615386</v>
      </c>
      <c r="G85" s="89">
        <v>201</v>
      </c>
      <c r="H85" s="22">
        <f>IF(ISNUMBER(G85), (G85 - $B85) / $B85, "")</f>
        <v>3.0769230769230771E-2</v>
      </c>
      <c r="I85" s="43">
        <f>IF(ISNUMBER(G85), $B95 * H85, "")</f>
        <v>3076.9230769230771</v>
      </c>
      <c r="J85" s="89">
        <v>202</v>
      </c>
      <c r="K85" s="22">
        <f>IF(ISNUMBER(J85), (J85 - $B85) / $B85, "")</f>
        <v>3.5897435897435895E-2</v>
      </c>
      <c r="L85" s="43">
        <f>IF(ISNUMBER(J85), $B95 * K85, "")</f>
        <v>3589.7435897435894</v>
      </c>
      <c r="M85" s="89">
        <v>202</v>
      </c>
      <c r="N85" s="22">
        <f>IF(ISNUMBER(M85), (M85 - $B85) / $B85, "")</f>
        <v>3.5897435897435895E-2</v>
      </c>
      <c r="O85" s="43">
        <f>IF(ISNUMBER(M85), $B95 * N85, "")</f>
        <v>3589.7435897435894</v>
      </c>
      <c r="Q85" s="229"/>
      <c r="R85" s="230"/>
    </row>
    <row r="86" spans="1:18" ht="17.25" customHeight="1">
      <c r="A86" s="11" t="s">
        <v>96</v>
      </c>
      <c r="B86" s="32">
        <v>795</v>
      </c>
      <c r="C86" s="5">
        <v>-6.7995310700000006E-2</v>
      </c>
      <c r="D86" s="36">
        <v>821</v>
      </c>
      <c r="E86" s="5">
        <f t="shared" ref="E86:E94" si="26">IF(ISNUMBER(D86), (D86 - $B86) / $B86, "")</f>
        <v>3.270440251572327E-2</v>
      </c>
      <c r="F86" s="44">
        <f>IF(ISNUMBER(D86), $B95 * E86, "")</f>
        <v>3270.4402515723268</v>
      </c>
      <c r="G86" s="36">
        <v>833</v>
      </c>
      <c r="H86" s="5">
        <f t="shared" ref="H86:H94" si="27">IF(ISNUMBER(G86), (G86 - $B86) / $B86, "")</f>
        <v>4.7798742138364783E-2</v>
      </c>
      <c r="I86" s="44">
        <f>IF(ISNUMBER(G86), $B95 * H86, "")</f>
        <v>4779.8742138364787</v>
      </c>
      <c r="J86" s="36">
        <v>845</v>
      </c>
      <c r="K86" s="5">
        <f t="shared" ref="K86:K94" si="28">IF(ISNUMBER(J86), (J86 - $B86) / $B86, "")</f>
        <v>6.2893081761006289E-2</v>
      </c>
      <c r="L86" s="44">
        <f>IF(ISNUMBER(J86), $B95 * K86, "")</f>
        <v>6289.3081761006288</v>
      </c>
      <c r="M86" s="36">
        <v>853</v>
      </c>
      <c r="N86" s="5">
        <f t="shared" ref="N86:N94" si="29">IF(ISNUMBER(M86), (M86 - $B86) / $B86, "")</f>
        <v>7.2955974842767293E-2</v>
      </c>
      <c r="O86" s="44">
        <f>IF(ISNUMBER(M86), $B95 * N86, "")</f>
        <v>7295.5974842767291</v>
      </c>
      <c r="Q86" s="229"/>
      <c r="R86" s="230"/>
    </row>
    <row r="87" spans="1:18" ht="17.25" customHeight="1">
      <c r="A87" s="11" t="s">
        <v>164</v>
      </c>
      <c r="B87" s="32">
        <v>174</v>
      </c>
      <c r="C87" s="5">
        <v>-6.9518716600000002E-2</v>
      </c>
      <c r="D87" s="36">
        <v>177</v>
      </c>
      <c r="E87" s="5">
        <f t="shared" si="26"/>
        <v>1.7241379310344827E-2</v>
      </c>
      <c r="F87" s="44">
        <f>IF(ISNUMBER(D87), $B95 * E87, "")</f>
        <v>1724.1379310344828</v>
      </c>
      <c r="G87" s="36">
        <v>191</v>
      </c>
      <c r="H87" s="5">
        <f t="shared" si="27"/>
        <v>9.7701149425287362E-2</v>
      </c>
      <c r="I87" s="44">
        <f>IF(ISNUMBER(G87), $B95 * H87, "")</f>
        <v>9770.1149425287367</v>
      </c>
      <c r="J87" s="36">
        <v>186</v>
      </c>
      <c r="K87" s="5">
        <f t="shared" si="28"/>
        <v>6.8965517241379309E-2</v>
      </c>
      <c r="L87" s="44">
        <f>IF(ISNUMBER(J87), $B95 * K87, "")</f>
        <v>6896.5517241379312</v>
      </c>
      <c r="M87" s="36">
        <v>201</v>
      </c>
      <c r="N87" s="5">
        <f t="shared" si="29"/>
        <v>0.15517241379310345</v>
      </c>
      <c r="O87" s="44">
        <f>IF(ISNUMBER(M87), $B95 * N87, "")</f>
        <v>15517.241379310346</v>
      </c>
      <c r="Q87" s="229"/>
      <c r="R87" s="230"/>
    </row>
    <row r="88" spans="1:18" ht="17.25" customHeight="1">
      <c r="A88" s="11" t="s">
        <v>140</v>
      </c>
      <c r="B88" s="32">
        <v>415</v>
      </c>
      <c r="C88" s="5">
        <v>-7.3660714299999999E-2</v>
      </c>
      <c r="D88" s="36">
        <v>431</v>
      </c>
      <c r="E88" s="5">
        <f t="shared" si="26"/>
        <v>3.8554216867469883E-2</v>
      </c>
      <c r="F88" s="44">
        <f>IF(ISNUMBER(D88), $B95 * E88, "")</f>
        <v>3855.4216867469881</v>
      </c>
      <c r="G88" s="36">
        <v>442</v>
      </c>
      <c r="H88" s="5">
        <f t="shared" si="27"/>
        <v>6.5060240963855417E-2</v>
      </c>
      <c r="I88" s="44">
        <f>IF(ISNUMBER(G88), $B95 * H88, "")</f>
        <v>6506.0240963855422</v>
      </c>
      <c r="J88" s="36">
        <v>448</v>
      </c>
      <c r="K88" s="5">
        <f t="shared" si="28"/>
        <v>7.9518072289156624E-2</v>
      </c>
      <c r="L88" s="44">
        <f>IF(ISNUMBER(J88), $B95 * K88, "")</f>
        <v>7951.8072289156626</v>
      </c>
      <c r="M88" s="36">
        <v>465</v>
      </c>
      <c r="N88" s="5">
        <f t="shared" si="29"/>
        <v>0.12048192771084337</v>
      </c>
      <c r="O88" s="44">
        <f>IF(ISNUMBER(M88), $B95 * N88, "")</f>
        <v>12048.192771084337</v>
      </c>
      <c r="Q88" s="229"/>
      <c r="R88" s="230"/>
    </row>
    <row r="89" spans="1:18" ht="17.25" customHeight="1">
      <c r="A89" s="8" t="s">
        <v>104</v>
      </c>
      <c r="B89" s="33">
        <v>672</v>
      </c>
      <c r="C89" s="24">
        <v>-8.1967213100000005E-2</v>
      </c>
      <c r="D89" s="37">
        <v>694</v>
      </c>
      <c r="E89" s="24">
        <f t="shared" si="26"/>
        <v>3.273809523809524E-2</v>
      </c>
      <c r="F89" s="44">
        <f>IF(ISNUMBER(D89), $B95 * E89, "")</f>
        <v>3273.8095238095239</v>
      </c>
      <c r="G89" s="37">
        <v>706</v>
      </c>
      <c r="H89" s="24">
        <f t="shared" si="27"/>
        <v>5.0595238095238096E-2</v>
      </c>
      <c r="I89" s="44">
        <f>IF(ISNUMBER(G89), $B95 * H89, "")</f>
        <v>5059.5238095238092</v>
      </c>
      <c r="J89" s="37">
        <v>704</v>
      </c>
      <c r="K89" s="24">
        <f t="shared" si="28"/>
        <v>4.7619047619047616E-2</v>
      </c>
      <c r="L89" s="44">
        <f>IF(ISNUMBER(J89), $B95 * K89, "")</f>
        <v>4761.9047619047615</v>
      </c>
      <c r="M89" s="37">
        <v>721</v>
      </c>
      <c r="N89" s="24">
        <f t="shared" si="29"/>
        <v>7.2916666666666671E-2</v>
      </c>
      <c r="O89" s="44">
        <f>IF(ISNUMBER(M89), $B95 * N89, "")</f>
        <v>7291.666666666667</v>
      </c>
      <c r="Q89" s="229"/>
      <c r="R89" s="230"/>
    </row>
    <row r="90" spans="1:18" ht="17.25" customHeight="1">
      <c r="A90" s="11" t="s">
        <v>157</v>
      </c>
      <c r="B90" s="32">
        <v>826</v>
      </c>
      <c r="C90" s="5">
        <v>-8.22222222E-2</v>
      </c>
      <c r="D90" s="36">
        <v>825</v>
      </c>
      <c r="E90" s="5">
        <f t="shared" si="26"/>
        <v>-1.2106537530266344E-3</v>
      </c>
      <c r="F90" s="48">
        <f>IF(ISNUMBER(D90), $B95 * E90, "")</f>
        <v>-121.06537530266344</v>
      </c>
      <c r="G90" s="36">
        <v>863</v>
      </c>
      <c r="H90" s="5">
        <f t="shared" si="27"/>
        <v>4.4794188861985475E-2</v>
      </c>
      <c r="I90" s="48">
        <f>IF(ISNUMBER(G90), $B95 * H90, "")</f>
        <v>4479.4188861985476</v>
      </c>
      <c r="J90" s="36">
        <v>872</v>
      </c>
      <c r="K90" s="5">
        <f t="shared" si="28"/>
        <v>5.569007263922518E-2</v>
      </c>
      <c r="L90" s="48">
        <f>IF(ISNUMBER(J90), $B95 * K90, "")</f>
        <v>5569.0072639225182</v>
      </c>
      <c r="M90" s="36">
        <v>895</v>
      </c>
      <c r="N90" s="5">
        <f t="shared" si="29"/>
        <v>8.353510895883777E-2</v>
      </c>
      <c r="O90" s="48">
        <f>IF(ISNUMBER(M90), $B95 * N90, "")</f>
        <v>8353.5108958837773</v>
      </c>
      <c r="Q90" s="229"/>
      <c r="R90" s="230"/>
    </row>
    <row r="91" spans="1:18" ht="17.25" customHeight="1">
      <c r="A91" s="11" t="s">
        <v>168</v>
      </c>
      <c r="B91" s="32">
        <v>662</v>
      </c>
      <c r="C91" s="5">
        <v>-8.9408528200000004E-2</v>
      </c>
      <c r="D91" s="36">
        <v>670</v>
      </c>
      <c r="E91" s="5">
        <f t="shared" si="26"/>
        <v>1.2084592145015106E-2</v>
      </c>
      <c r="F91" s="44">
        <f>IF(ISNUMBER(D91), $B95 * E91, "")</f>
        <v>1208.4592145015106</v>
      </c>
      <c r="G91" s="36">
        <v>676</v>
      </c>
      <c r="H91" s="5">
        <f t="shared" si="27"/>
        <v>2.1148036253776436E-2</v>
      </c>
      <c r="I91" s="44">
        <f>IF(ISNUMBER(G91), $B95 * H91, "")</f>
        <v>2114.8036253776436</v>
      </c>
      <c r="J91" s="36">
        <v>678</v>
      </c>
      <c r="K91" s="5">
        <f t="shared" si="28"/>
        <v>2.4169184290030211E-2</v>
      </c>
      <c r="L91" s="44">
        <f>IF(ISNUMBER(J91), $B95 * K91, "")</f>
        <v>2416.9184290030212</v>
      </c>
      <c r="M91" s="36">
        <v>713</v>
      </c>
      <c r="N91" s="5">
        <f t="shared" si="29"/>
        <v>7.7039274924471296E-2</v>
      </c>
      <c r="O91" s="44">
        <f>IF(ISNUMBER(M91), $B95 * N91, "")</f>
        <v>7703.9274924471292</v>
      </c>
      <c r="Q91" s="229"/>
      <c r="R91" s="230"/>
    </row>
    <row r="92" spans="1:18" ht="17.25" customHeight="1">
      <c r="A92" s="11" t="s">
        <v>121</v>
      </c>
      <c r="B92" s="32">
        <v>734</v>
      </c>
      <c r="C92" s="5">
        <v>-9.1584158400000004E-2</v>
      </c>
      <c r="D92" s="36">
        <v>755</v>
      </c>
      <c r="E92" s="5">
        <f t="shared" si="26"/>
        <v>2.8610354223433242E-2</v>
      </c>
      <c r="F92" s="44">
        <f>IF(ISNUMBER(D92), $B95 * E92, "")</f>
        <v>2861.0354223433242</v>
      </c>
      <c r="G92" s="36">
        <v>764</v>
      </c>
      <c r="H92" s="5">
        <f t="shared" si="27"/>
        <v>4.0871934604904632E-2</v>
      </c>
      <c r="I92" s="44">
        <f>IF(ISNUMBER(G92), $B95 * H92, "")</f>
        <v>4087.1934604904632</v>
      </c>
      <c r="J92" s="36">
        <v>766</v>
      </c>
      <c r="K92" s="5">
        <f t="shared" si="28"/>
        <v>4.3596730245231606E-2</v>
      </c>
      <c r="L92" s="44">
        <f>IF(ISNUMBER(J92), $B95 * K92, "")</f>
        <v>4359.6730245231602</v>
      </c>
      <c r="M92" s="36">
        <v>768</v>
      </c>
      <c r="N92" s="5">
        <f t="shared" si="29"/>
        <v>4.632152588555858E-2</v>
      </c>
      <c r="O92" s="44">
        <f>IF(ISNUMBER(M92), $B95 * N92, "")</f>
        <v>4632.1525885558576</v>
      </c>
      <c r="Q92" s="229"/>
      <c r="R92" s="230"/>
    </row>
    <row r="93" spans="1:18" ht="17.25" customHeight="1">
      <c r="A93" s="11" t="s">
        <v>137</v>
      </c>
      <c r="B93" s="32">
        <v>462</v>
      </c>
      <c r="C93" s="5">
        <v>-9.4117647099999993E-2</v>
      </c>
      <c r="D93" s="36">
        <v>480</v>
      </c>
      <c r="E93" s="5">
        <f t="shared" si="26"/>
        <v>3.896103896103896E-2</v>
      </c>
      <c r="F93" s="44">
        <f>IF(ISNUMBER(D93), $B95 * E93, "")</f>
        <v>3896.1038961038962</v>
      </c>
      <c r="G93" s="36">
        <v>492</v>
      </c>
      <c r="H93" s="5">
        <f t="shared" si="27"/>
        <v>6.4935064935064929E-2</v>
      </c>
      <c r="I93" s="44">
        <f>IF(ISNUMBER(G93), $B95 * H93, "")</f>
        <v>6493.5064935064929</v>
      </c>
      <c r="J93" s="36">
        <v>489</v>
      </c>
      <c r="K93" s="5">
        <f t="shared" si="28"/>
        <v>5.844155844155844E-2</v>
      </c>
      <c r="L93" s="44">
        <f>IF(ISNUMBER(J93), $B95 * K93, "")</f>
        <v>5844.1558441558436</v>
      </c>
      <c r="M93" s="36">
        <v>496</v>
      </c>
      <c r="N93" s="5">
        <f t="shared" si="29"/>
        <v>7.3593073593073599E-2</v>
      </c>
      <c r="O93" s="44">
        <f>IF(ISNUMBER(M93), $B95 * N93, "")</f>
        <v>7359.3073593073595</v>
      </c>
      <c r="Q93" s="231"/>
      <c r="R93" s="232"/>
    </row>
    <row r="94" spans="1:18" ht="17.25" customHeight="1" thickBot="1">
      <c r="A94" s="13" t="s">
        <v>166</v>
      </c>
      <c r="B94" s="34">
        <v>661</v>
      </c>
      <c r="C94" s="16">
        <v>-9.5759233900000004E-2</v>
      </c>
      <c r="D94" s="38">
        <v>667</v>
      </c>
      <c r="E94" s="16">
        <f t="shared" si="26"/>
        <v>9.0771558245083209E-3</v>
      </c>
      <c r="F94" s="45">
        <f>IF(ISNUMBER(D94), $B95 * E94, "")</f>
        <v>907.71558245083213</v>
      </c>
      <c r="G94" s="38">
        <v>675</v>
      </c>
      <c r="H94" s="16">
        <f t="shared" si="27"/>
        <v>2.118003025718608E-2</v>
      </c>
      <c r="I94" s="45">
        <f>IF(ISNUMBER(G94), $B95 * H94, "")</f>
        <v>2118.0030257186081</v>
      </c>
      <c r="J94" s="38">
        <v>677</v>
      </c>
      <c r="K94" s="16">
        <f t="shared" si="28"/>
        <v>2.4205748865355523E-2</v>
      </c>
      <c r="L94" s="45">
        <f>IF(ISNUMBER(J94), $B95 * K94, "")</f>
        <v>2420.5748865355522</v>
      </c>
      <c r="M94" s="38">
        <v>694</v>
      </c>
      <c r="N94" s="16">
        <f t="shared" si="29"/>
        <v>4.9924357034795766E-2</v>
      </c>
      <c r="O94" s="45">
        <f>IF(ISNUMBER(M94), $B95 * N94, "")</f>
        <v>4992.4357034795767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2.2414519671721759E-2</v>
      </c>
      <c r="F95" s="47">
        <f>SUM(F85:F94)</f>
        <v>22414.519671721762</v>
      </c>
      <c r="G95" s="57" t="s">
        <v>82</v>
      </c>
      <c r="H95" s="46">
        <f>IF(COUNT(H85:H94), SUM(H85:H94) / COUNT(H85:H94), 0)</f>
        <v>4.8485385630489396E-2</v>
      </c>
      <c r="I95" s="47">
        <f>SUM(I85:I94)</f>
        <v>48485.3856304894</v>
      </c>
      <c r="J95" s="57" t="s">
        <v>82</v>
      </c>
      <c r="K95" s="46">
        <f>IF(COUNT(K85:K94), SUM(K85:K94) / COUNT(K85:K94), 0)</f>
        <v>5.0099644928942665E-2</v>
      </c>
      <c r="L95" s="47">
        <f>SUM(L85:L94)</f>
        <v>50099.644928942667</v>
      </c>
      <c r="M95" s="57" t="s">
        <v>82</v>
      </c>
      <c r="N95" s="46">
        <f>IF(COUNT(N85:N94), SUM(N85:N94) / COUNT(N85:N94), 0)</f>
        <v>7.878377593075539E-2</v>
      </c>
      <c r="O95" s="47">
        <f>SUM(O85:O94)</f>
        <v>78783.775930755379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44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46" t="s">
        <v>70</v>
      </c>
      <c r="M101" s="18" t="s">
        <v>67</v>
      </c>
      <c r="N101" s="4" t="s">
        <v>68</v>
      </c>
      <c r="O101" s="147" t="s">
        <v>70</v>
      </c>
      <c r="Q101" s="231"/>
      <c r="R101" s="232"/>
    </row>
    <row r="102" spans="1:18" ht="17.25" customHeight="1">
      <c r="A102" s="9" t="s">
        <v>94</v>
      </c>
      <c r="B102" s="31">
        <v>162</v>
      </c>
      <c r="C102" s="22">
        <v>0.33884297520000001</v>
      </c>
      <c r="D102" s="89">
        <v>176</v>
      </c>
      <c r="E102" s="22">
        <f>IF(ISNUMBER(D102), (D102 - $B102) / $B102, "")</f>
        <v>8.6419753086419748E-2</v>
      </c>
      <c r="F102" s="43">
        <f>IF(ISNUMBER(D102), $B112 * E102, "")</f>
        <v>8641.9753086419751</v>
      </c>
      <c r="G102" s="89">
        <v>163</v>
      </c>
      <c r="H102" s="22">
        <f>IF(ISNUMBER(G102), (G102 - $B102) / $B102, "")</f>
        <v>6.1728395061728392E-3</v>
      </c>
      <c r="I102" s="43">
        <f>IF(ISNUMBER(G102), $B112 * H102, "")</f>
        <v>617.28395061728395</v>
      </c>
      <c r="J102" s="89">
        <v>164</v>
      </c>
      <c r="K102" s="22">
        <f>IF(ISNUMBER(J102), (J102 - $B102) / $B102, "")</f>
        <v>1.2345679012345678E-2</v>
      </c>
      <c r="L102" s="43">
        <f>IF(ISNUMBER(J102), $B112 * K102, "")</f>
        <v>1234.5679012345679</v>
      </c>
      <c r="M102" s="89">
        <v>167</v>
      </c>
      <c r="N102" s="22">
        <f>IF(ISNUMBER(M102), (M102 - $B102) / $B102, "")</f>
        <v>3.0864197530864196E-2</v>
      </c>
      <c r="O102" s="43">
        <f>IF(ISNUMBER(M102), $B112 * N102, "")</f>
        <v>3086.4197530864194</v>
      </c>
      <c r="Q102" s="229"/>
      <c r="R102" s="230"/>
    </row>
    <row r="103" spans="1:18" ht="17.25" customHeight="1">
      <c r="A103" s="11" t="s">
        <v>148</v>
      </c>
      <c r="B103" s="32">
        <v>102</v>
      </c>
      <c r="C103" s="5">
        <v>0.21428571430000001</v>
      </c>
      <c r="D103" s="36">
        <v>96</v>
      </c>
      <c r="E103" s="5">
        <f t="shared" ref="E103:E111" si="30">IF(ISNUMBER(D103), (D103 - $B103) / $B103, "")</f>
        <v>-5.8823529411764705E-2</v>
      </c>
      <c r="F103" s="44">
        <f>IF(ISNUMBER(D103), $B112 * E103, "")</f>
        <v>-5882.3529411764703</v>
      </c>
      <c r="G103" s="36">
        <v>95.1</v>
      </c>
      <c r="H103" s="5">
        <f t="shared" ref="H103:H111" si="31">IF(ISNUMBER(G103), (G103 - $B103) / $B103, "")</f>
        <v>-6.7647058823529463E-2</v>
      </c>
      <c r="I103" s="44">
        <f>IF(ISNUMBER(G103), $B112 * H103, "")</f>
        <v>-6764.705882352946</v>
      </c>
      <c r="J103" s="36">
        <v>93.9</v>
      </c>
      <c r="K103" s="5">
        <f t="shared" ref="K103:K111" si="32">IF(ISNUMBER(J103), (J103 - $B103) / $B103, "")</f>
        <v>-7.9411764705882293E-2</v>
      </c>
      <c r="L103" s="44">
        <f>IF(ISNUMBER(J103), $B112 * K103, "")</f>
        <v>-7941.1764705882297</v>
      </c>
      <c r="M103" s="36">
        <v>95.9</v>
      </c>
      <c r="N103" s="5">
        <f t="shared" ref="N103:N111" si="33">IF(ISNUMBER(M103), (M103 - $B103) / $B103, "")</f>
        <v>-5.9803921568627398E-2</v>
      </c>
      <c r="O103" s="44">
        <f>IF(ISNUMBER(M103), $B112 * N103, "")</f>
        <v>-5980.3921568627402</v>
      </c>
      <c r="Q103" s="229"/>
      <c r="R103" s="230"/>
    </row>
    <row r="104" spans="1:18" ht="17.25" customHeight="1">
      <c r="A104" s="11" t="s">
        <v>214</v>
      </c>
      <c r="B104" s="32">
        <v>281</v>
      </c>
      <c r="C104" s="5">
        <v>0.15637860079999999</v>
      </c>
      <c r="D104" s="36">
        <v>330</v>
      </c>
      <c r="E104" s="5">
        <f t="shared" si="30"/>
        <v>0.17437722419928825</v>
      </c>
      <c r="F104" s="44">
        <f>IF(ISNUMBER(D104), $B112 * E104, "")</f>
        <v>17437.722419928825</v>
      </c>
      <c r="G104" s="36">
        <v>311</v>
      </c>
      <c r="H104" s="5">
        <f t="shared" si="31"/>
        <v>0.10676156583629894</v>
      </c>
      <c r="I104" s="44">
        <f>IF(ISNUMBER(G104), $B112 * H104, "")</f>
        <v>10676.156583629894</v>
      </c>
      <c r="J104" s="36">
        <v>317</v>
      </c>
      <c r="K104" s="5">
        <f t="shared" si="32"/>
        <v>0.12811387900355872</v>
      </c>
      <c r="L104" s="44">
        <f>IF(ISNUMBER(J104), $B112 * K104, "")</f>
        <v>12811.387900355872</v>
      </c>
      <c r="M104" s="36">
        <v>318</v>
      </c>
      <c r="N104" s="5">
        <f t="shared" si="33"/>
        <v>0.13167259786476868</v>
      </c>
      <c r="O104" s="44">
        <f>IF(ISNUMBER(M104), $B112 * N104, "")</f>
        <v>13167.259786476867</v>
      </c>
      <c r="Q104" s="229"/>
      <c r="R104" s="230"/>
    </row>
    <row r="105" spans="1:18" ht="17.25" customHeight="1">
      <c r="A105" s="11" t="s">
        <v>163</v>
      </c>
      <c r="B105" s="32">
        <v>38.799999999999997</v>
      </c>
      <c r="C105" s="5">
        <v>8.6834733900000002E-2</v>
      </c>
      <c r="D105" s="36">
        <v>39.5</v>
      </c>
      <c r="E105" s="5">
        <f t="shared" si="30"/>
        <v>1.8041237113402137E-2</v>
      </c>
      <c r="F105" s="44">
        <f>IF(ISNUMBER(D105), $B112 * E105, "")</f>
        <v>1804.1237113402137</v>
      </c>
      <c r="G105" s="36">
        <v>39.6</v>
      </c>
      <c r="H105" s="5">
        <f t="shared" si="31"/>
        <v>2.0618556701031038E-2</v>
      </c>
      <c r="I105" s="44">
        <f>IF(ISNUMBER(G105), $B112 * H105, "")</f>
        <v>2061.8556701031039</v>
      </c>
      <c r="J105" s="36">
        <v>39.299999999999997</v>
      </c>
      <c r="K105" s="5">
        <f t="shared" si="32"/>
        <v>1.2886597938144331E-2</v>
      </c>
      <c r="L105" s="44">
        <f>IF(ISNUMBER(J105), $B112 * K105, "")</f>
        <v>1288.659793814433</v>
      </c>
      <c r="M105" s="36">
        <v>40</v>
      </c>
      <c r="N105" s="5">
        <f t="shared" si="33"/>
        <v>3.0927835051546466E-2</v>
      </c>
      <c r="O105" s="44">
        <f>IF(ISNUMBER(M105), $B112 * N105, "")</f>
        <v>3092.7835051546467</v>
      </c>
      <c r="Q105" s="229"/>
      <c r="R105" s="230"/>
    </row>
    <row r="106" spans="1:18" ht="17.25" customHeight="1">
      <c r="A106" s="8" t="s">
        <v>93</v>
      </c>
      <c r="B106" s="33">
        <v>78270</v>
      </c>
      <c r="C106" s="24">
        <v>8.1226688800000002E-2</v>
      </c>
      <c r="D106" s="37">
        <v>79070</v>
      </c>
      <c r="E106" s="24">
        <f t="shared" si="30"/>
        <v>1.0221029768749201E-2</v>
      </c>
      <c r="F106" s="44">
        <f>IF(ISNUMBER(D106), $B112 * E106, "")</f>
        <v>1022.10297687492</v>
      </c>
      <c r="G106" s="37">
        <v>79630</v>
      </c>
      <c r="H106" s="24">
        <f t="shared" si="31"/>
        <v>1.7375750606873644E-2</v>
      </c>
      <c r="I106" s="44">
        <f>IF(ISNUMBER(G106), $B112 * H106, "")</f>
        <v>1737.5750606873644</v>
      </c>
      <c r="J106" s="37">
        <v>79430</v>
      </c>
      <c r="K106" s="24">
        <f t="shared" si="32"/>
        <v>1.4820493164686342E-2</v>
      </c>
      <c r="L106" s="44">
        <f>IF(ISNUMBER(J106), $B112 * K106, "")</f>
        <v>1482.0493164686341</v>
      </c>
      <c r="M106" s="37">
        <v>80540</v>
      </c>
      <c r="N106" s="24">
        <f t="shared" si="33"/>
        <v>2.900217196882586E-2</v>
      </c>
      <c r="O106" s="44">
        <f>IF(ISNUMBER(M106), $B112 * N106, "")</f>
        <v>2900.217196882586</v>
      </c>
      <c r="Q106" s="229"/>
      <c r="R106" s="230"/>
    </row>
    <row r="107" spans="1:18" ht="17.25" customHeight="1">
      <c r="A107" s="11" t="s">
        <v>126</v>
      </c>
      <c r="B107" s="32">
        <v>208</v>
      </c>
      <c r="C107" s="5">
        <v>7.2164948500000006E-2</v>
      </c>
      <c r="D107" s="36">
        <v>231</v>
      </c>
      <c r="E107" s="5">
        <f t="shared" si="30"/>
        <v>0.11057692307692307</v>
      </c>
      <c r="F107" s="48">
        <f>IF(ISNUMBER(D107), $B112 * E107, "")</f>
        <v>11057.692307692307</v>
      </c>
      <c r="G107" s="36">
        <v>230</v>
      </c>
      <c r="H107" s="5">
        <f t="shared" si="31"/>
        <v>0.10576923076923077</v>
      </c>
      <c r="I107" s="48">
        <f>IF(ISNUMBER(G107), $B112 * H107, "")</f>
        <v>10576.923076923076</v>
      </c>
      <c r="J107" s="36">
        <v>229</v>
      </c>
      <c r="K107" s="5">
        <f t="shared" si="32"/>
        <v>0.10096153846153846</v>
      </c>
      <c r="L107" s="48">
        <f>IF(ISNUMBER(J107), $B112 * K107, "")</f>
        <v>10096.153846153846</v>
      </c>
      <c r="M107" s="36">
        <v>231</v>
      </c>
      <c r="N107" s="5">
        <f t="shared" si="33"/>
        <v>0.11057692307692307</v>
      </c>
      <c r="O107" s="48">
        <f>IF(ISNUMBER(M107), $B112 * N107, "")</f>
        <v>11057.692307692307</v>
      </c>
      <c r="Q107" s="229"/>
      <c r="R107" s="230"/>
    </row>
    <row r="108" spans="1:18" ht="17.25" customHeight="1">
      <c r="A108" s="11" t="s">
        <v>224</v>
      </c>
      <c r="B108" s="32">
        <v>1000000</v>
      </c>
      <c r="C108" s="5">
        <v>5.69707219E-2</v>
      </c>
      <c r="D108" s="36">
        <v>1030000</v>
      </c>
      <c r="E108" s="5">
        <f t="shared" si="30"/>
        <v>0.03</v>
      </c>
      <c r="F108" s="44">
        <f>IF(ISNUMBER(D108), $B112 * E108, "")</f>
        <v>3000</v>
      </c>
      <c r="G108" s="36">
        <v>1028500</v>
      </c>
      <c r="H108" s="5">
        <f t="shared" si="31"/>
        <v>2.8500000000000001E-2</v>
      </c>
      <c r="I108" s="44">
        <f>IF(ISNUMBER(G108), $B112 * H108, "")</f>
        <v>2850</v>
      </c>
      <c r="J108" s="36">
        <v>1030500</v>
      </c>
      <c r="K108" s="5">
        <f t="shared" si="32"/>
        <v>3.0499999999999999E-2</v>
      </c>
      <c r="L108" s="44">
        <f>IF(ISNUMBER(J108), $B112 * K108, "")</f>
        <v>3050</v>
      </c>
      <c r="M108" s="36">
        <v>1079000</v>
      </c>
      <c r="N108" s="5">
        <f t="shared" si="33"/>
        <v>7.9000000000000001E-2</v>
      </c>
      <c r="O108" s="44">
        <f>IF(ISNUMBER(M108), $B112 * N108, "")</f>
        <v>7900</v>
      </c>
      <c r="Q108" s="229"/>
      <c r="R108" s="230"/>
    </row>
    <row r="109" spans="1:18" ht="17.25" customHeight="1">
      <c r="A109" s="11" t="s">
        <v>192</v>
      </c>
      <c r="B109" s="32">
        <v>3240</v>
      </c>
      <c r="C109" s="5">
        <v>3.6799999999999999E-2</v>
      </c>
      <c r="D109" s="36">
        <v>3230</v>
      </c>
      <c r="E109" s="5">
        <f t="shared" si="30"/>
        <v>-3.0864197530864196E-3</v>
      </c>
      <c r="F109" s="44">
        <f>IF(ISNUMBER(D109), $B112 * E109, "")</f>
        <v>-308.64197530864197</v>
      </c>
      <c r="G109" s="36">
        <v>3300</v>
      </c>
      <c r="H109" s="5">
        <f t="shared" si="31"/>
        <v>1.8518518518518517E-2</v>
      </c>
      <c r="I109" s="44">
        <f>IF(ISNUMBER(G109), $B112 * H109, "")</f>
        <v>1851.8518518518517</v>
      </c>
      <c r="J109" s="36">
        <v>3250</v>
      </c>
      <c r="K109" s="5">
        <f t="shared" si="32"/>
        <v>3.0864197530864196E-3</v>
      </c>
      <c r="L109" s="44">
        <f>IF(ISNUMBER(J109), $B112 * K109, "")</f>
        <v>308.64197530864197</v>
      </c>
      <c r="M109" s="36">
        <v>3220</v>
      </c>
      <c r="N109" s="5">
        <f t="shared" si="33"/>
        <v>-6.1728395061728392E-3</v>
      </c>
      <c r="O109" s="44">
        <f>IF(ISNUMBER(M109), $B112 * N109, "")</f>
        <v>-617.28395061728395</v>
      </c>
      <c r="Q109" s="229"/>
      <c r="R109" s="230"/>
    </row>
    <row r="110" spans="1:18" ht="17.25" customHeight="1">
      <c r="A110" s="11" t="s">
        <v>116</v>
      </c>
      <c r="B110" s="32">
        <v>294</v>
      </c>
      <c r="C110" s="5">
        <v>3.1578947400000001E-2</v>
      </c>
      <c r="D110" s="36">
        <v>300</v>
      </c>
      <c r="E110" s="5">
        <f t="shared" si="30"/>
        <v>2.0408163265306121E-2</v>
      </c>
      <c r="F110" s="44">
        <f>IF(ISNUMBER(D110), $B112 * E110, "")</f>
        <v>2040.8163265306121</v>
      </c>
      <c r="G110" s="36">
        <v>295</v>
      </c>
      <c r="H110" s="5">
        <f t="shared" si="31"/>
        <v>3.4013605442176869E-3</v>
      </c>
      <c r="I110" s="44">
        <f>IF(ISNUMBER(G110), $B112 * H110, "")</f>
        <v>340.13605442176868</v>
      </c>
      <c r="J110" s="36">
        <v>299</v>
      </c>
      <c r="K110" s="5">
        <f t="shared" si="32"/>
        <v>1.7006802721088437E-2</v>
      </c>
      <c r="L110" s="44">
        <f>IF(ISNUMBER(J110), $B112 * K110, "")</f>
        <v>1700.6802721088436</v>
      </c>
      <c r="M110" s="36">
        <v>305</v>
      </c>
      <c r="N110" s="5">
        <f t="shared" si="33"/>
        <v>3.7414965986394558E-2</v>
      </c>
      <c r="O110" s="44">
        <f>IF(ISNUMBER(M110), $B112 * N110, "")</f>
        <v>3741.4965986394559</v>
      </c>
      <c r="Q110" s="231"/>
      <c r="R110" s="232"/>
    </row>
    <row r="111" spans="1:18" ht="17.25" customHeight="1" thickBot="1">
      <c r="A111" s="13" t="s">
        <v>221</v>
      </c>
      <c r="B111" s="34">
        <v>2997000</v>
      </c>
      <c r="C111" s="16">
        <v>2.4615384600000002E-2</v>
      </c>
      <c r="D111" s="38">
        <v>3109000</v>
      </c>
      <c r="E111" s="16">
        <f t="shared" si="30"/>
        <v>3.7370704037370701E-2</v>
      </c>
      <c r="F111" s="45">
        <f>IF(ISNUMBER(D111), $B112 * E111, "")</f>
        <v>3737.0704037370701</v>
      </c>
      <c r="G111" s="38">
        <v>3092000</v>
      </c>
      <c r="H111" s="16">
        <f t="shared" si="31"/>
        <v>3.1698365031698365E-2</v>
      </c>
      <c r="I111" s="45">
        <f>IF(ISNUMBER(G111), $B112 * H111, "")</f>
        <v>3169.8365031698368</v>
      </c>
      <c r="J111" s="38">
        <v>3087000</v>
      </c>
      <c r="K111" s="16">
        <f t="shared" si="32"/>
        <v>3.003003003003003E-2</v>
      </c>
      <c r="L111" s="45">
        <f>IF(ISNUMBER(J111), $B112 * K111, "")</f>
        <v>3003.003003003003</v>
      </c>
      <c r="M111" s="38">
        <v>3120000</v>
      </c>
      <c r="N111" s="16">
        <f t="shared" si="33"/>
        <v>4.1041041041041039E-2</v>
      </c>
      <c r="O111" s="45">
        <f>IF(ISNUMBER(M111), $B112 * N111, "")</f>
        <v>4104.1041041041035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4.2550508538260805E-2</v>
      </c>
      <c r="F112" s="47">
        <f>SUM(F102:F111)</f>
        <v>42550.508538260809</v>
      </c>
      <c r="G112" s="57" t="s">
        <v>82</v>
      </c>
      <c r="H112" s="46">
        <f>IF(COUNT(H102:H111), SUM(H102:H111) / COUNT(H102:H111), 0)</f>
        <v>2.7116912869051234E-2</v>
      </c>
      <c r="I112" s="47">
        <f>SUM(I102:I111)</f>
        <v>27116.91286905123</v>
      </c>
      <c r="J112" s="57" t="s">
        <v>82</v>
      </c>
      <c r="K112" s="46">
        <f>IF(COUNT(K102:K111), SUM(K102:K111) / COUNT(K102:K111), 0)</f>
        <v>2.703396753785961E-2</v>
      </c>
      <c r="L112" s="47">
        <f>SUM(L102:L111)</f>
        <v>27033.967537859608</v>
      </c>
      <c r="M112" s="57" t="s">
        <v>82</v>
      </c>
      <c r="N112" s="46">
        <f>IF(COUNT(N102:N111), SUM(N102:N111) / COUNT(N102:N111), 0)</f>
        <v>4.245229714455636E-2</v>
      </c>
      <c r="O112" s="47">
        <f>SUM(O102:O111)</f>
        <v>42452.29714455636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595" priority="89">
      <formula>$E$27&gt;0</formula>
    </cfRule>
    <cfRule type="expression" dxfId="594" priority="90">
      <formula>$E$27&lt;0</formula>
    </cfRule>
  </conditionalFormatting>
  <conditionalFormatting sqref="G15:I16 H27:I27">
    <cfRule type="expression" dxfId="593" priority="87">
      <formula>$H$27&gt;0</formula>
    </cfRule>
    <cfRule type="expression" dxfId="592" priority="88">
      <formula>$H$27&lt;0</formula>
    </cfRule>
  </conditionalFormatting>
  <conditionalFormatting sqref="J15:L16 K27:L27">
    <cfRule type="expression" dxfId="591" priority="85">
      <formula>$K$27&gt;0</formula>
    </cfRule>
    <cfRule type="expression" dxfId="590" priority="86">
      <formula>$K$27&lt;0</formula>
    </cfRule>
  </conditionalFormatting>
  <conditionalFormatting sqref="M15:O16 N27:O27">
    <cfRule type="expression" dxfId="589" priority="83">
      <formula>$N$27&gt;0</formula>
    </cfRule>
    <cfRule type="expression" dxfId="588" priority="84">
      <formula>$N$27&lt;0</formula>
    </cfRule>
  </conditionalFormatting>
  <conditionalFormatting sqref="A17:O26 A34:O43">
    <cfRule type="expression" dxfId="587" priority="91">
      <formula>AND($N17 &gt; 0, ISNUMBER($N17))</formula>
    </cfRule>
    <cfRule type="expression" dxfId="586" priority="92">
      <formula>AND($N17 &lt; 0, ISNUMBER($N17))</formula>
    </cfRule>
    <cfRule type="expression" dxfId="585" priority="93">
      <formula>AND($K17 &gt; 0, ISNUMBER($K17))</formula>
    </cfRule>
    <cfRule type="expression" dxfId="584" priority="94">
      <formula>AND($K17 &lt; 0, ISNUMBER($K17))</formula>
    </cfRule>
    <cfRule type="expression" dxfId="583" priority="95">
      <formula>AND($H17 &gt; 0, ISNUMBER($H17))</formula>
    </cfRule>
    <cfRule type="expression" dxfId="582" priority="96">
      <formula>AND($H17 &lt; 0, ISNUMBER($H17))</formula>
    </cfRule>
    <cfRule type="expression" dxfId="581" priority="97">
      <formula>AND($E17 &gt; 0, ISNUMBER($E17))</formula>
    </cfRule>
    <cfRule type="expression" dxfId="580" priority="98">
      <formula>AND($E17 &lt; 0, ISNUMBER($E17))</formula>
    </cfRule>
  </conditionalFormatting>
  <conditionalFormatting sqref="D32:F33 E44:F44">
    <cfRule type="expression" dxfId="579" priority="81">
      <formula>$E$44&gt;0</formula>
    </cfRule>
    <cfRule type="expression" dxfId="578" priority="82">
      <formula>$E$44&lt;0</formula>
    </cfRule>
  </conditionalFormatting>
  <conditionalFormatting sqref="G32:I33 H44:I44">
    <cfRule type="expression" dxfId="577" priority="79">
      <formula>$H$44&gt;0</formula>
    </cfRule>
    <cfRule type="expression" dxfId="576" priority="80">
      <formula>$H$44&lt;0</formula>
    </cfRule>
  </conditionalFormatting>
  <conditionalFormatting sqref="J32:L33 K44:L44">
    <cfRule type="expression" dxfId="575" priority="77">
      <formula>$K$44&gt;0</formula>
    </cfRule>
    <cfRule type="expression" dxfId="574" priority="78">
      <formula>$K$44&lt;0</formula>
    </cfRule>
  </conditionalFormatting>
  <conditionalFormatting sqref="M32:O33 N44:O44">
    <cfRule type="expression" dxfId="573" priority="75">
      <formula>$N$44&gt;0</formula>
    </cfRule>
    <cfRule type="expression" dxfId="572" priority="76">
      <formula>$N$44&lt;0</formula>
    </cfRule>
  </conditionalFormatting>
  <conditionalFormatting sqref="A51:O60">
    <cfRule type="expression" dxfId="571" priority="67">
      <formula>AND($N51 &gt; 0, ISNUMBER($N51))</formula>
    </cfRule>
    <cfRule type="expression" dxfId="570" priority="68">
      <formula>AND($N51 &lt; 0, ISNUMBER($N51))</formula>
    </cfRule>
    <cfRule type="expression" dxfId="569" priority="69">
      <formula>AND($K51 &gt; 0, ISNUMBER($K51))</formula>
    </cfRule>
    <cfRule type="expression" dxfId="568" priority="70">
      <formula>AND($K51 &lt; 0, ISNUMBER($K51))</formula>
    </cfRule>
    <cfRule type="expression" dxfId="567" priority="71">
      <formula>AND($H51 &gt; 0, ISNUMBER($H51))</formula>
    </cfRule>
    <cfRule type="expression" dxfId="566" priority="72">
      <formula>AND($H51 &lt; 0, ISNUMBER($H51))</formula>
    </cfRule>
    <cfRule type="expression" dxfId="565" priority="73">
      <formula>AND($E51 &gt; 0, ISNUMBER($E51))</formula>
    </cfRule>
    <cfRule type="expression" dxfId="564" priority="74">
      <formula>AND($E51 &lt; 0, ISNUMBER($E51))</formula>
    </cfRule>
  </conditionalFormatting>
  <conditionalFormatting sqref="D49:F50 E61:F61">
    <cfRule type="expression" dxfId="563" priority="65">
      <formula>$E$61&gt;0</formula>
    </cfRule>
    <cfRule type="expression" dxfId="562" priority="66">
      <formula>$E$61&lt;0</formula>
    </cfRule>
  </conditionalFormatting>
  <conditionalFormatting sqref="G49:I50 H61:I61">
    <cfRule type="expression" dxfId="561" priority="63">
      <formula>$H$61&gt;0</formula>
    </cfRule>
    <cfRule type="expression" dxfId="560" priority="64">
      <formula>$H$61&lt;0</formula>
    </cfRule>
  </conditionalFormatting>
  <conditionalFormatting sqref="J49:L50 K61:L61">
    <cfRule type="expression" dxfId="559" priority="61">
      <formula>$K$61&gt;0</formula>
    </cfRule>
    <cfRule type="expression" dxfId="558" priority="62">
      <formula>$K$61&lt;0</formula>
    </cfRule>
  </conditionalFormatting>
  <conditionalFormatting sqref="M49:O50 N61:O61">
    <cfRule type="expression" dxfId="557" priority="59">
      <formula>$N$61&gt;0</formula>
    </cfRule>
    <cfRule type="expression" dxfId="556" priority="60">
      <formula>$N$61&lt;0</formula>
    </cfRule>
  </conditionalFormatting>
  <conditionalFormatting sqref="A68:O77">
    <cfRule type="expression" dxfId="555" priority="51">
      <formula>AND($N68 &gt; 0, ISNUMBER($N68))</formula>
    </cfRule>
    <cfRule type="expression" dxfId="554" priority="52">
      <formula>AND($N68 &lt; 0, ISNUMBER($N68))</formula>
    </cfRule>
    <cfRule type="expression" dxfId="553" priority="53">
      <formula>AND($K68 &gt; 0, ISNUMBER($K68))</formula>
    </cfRule>
    <cfRule type="expression" dxfId="552" priority="54">
      <formula>AND($K68 &lt; 0, ISNUMBER($K68))</formula>
    </cfRule>
    <cfRule type="expression" dxfId="551" priority="55">
      <formula>AND($H68 &gt; 0, ISNUMBER($H68))</formula>
    </cfRule>
    <cfRule type="expression" dxfId="550" priority="56">
      <formula>AND($H68 &lt; 0, ISNUMBER($H68))</formula>
    </cfRule>
    <cfRule type="expression" dxfId="549" priority="57">
      <formula>AND($E68 &gt; 0, ISNUMBER($E68))</formula>
    </cfRule>
    <cfRule type="expression" dxfId="548" priority="58">
      <formula>AND($E68 &lt; 0, ISNUMBER($E68))</formula>
    </cfRule>
  </conditionalFormatting>
  <conditionalFormatting sqref="D66:F67 E78:F78">
    <cfRule type="expression" dxfId="547" priority="49">
      <formula>$E$78&gt;0</formula>
    </cfRule>
    <cfRule type="expression" dxfId="546" priority="50">
      <formula>$E$78&lt;0</formula>
    </cfRule>
  </conditionalFormatting>
  <conditionalFormatting sqref="G66:I67 H78:I78">
    <cfRule type="expression" dxfId="545" priority="47">
      <formula>$H$78&gt;0</formula>
    </cfRule>
    <cfRule type="expression" dxfId="544" priority="48">
      <formula>$H$78&lt;0</formula>
    </cfRule>
  </conditionalFormatting>
  <conditionalFormatting sqref="J66:L67 K78:L78">
    <cfRule type="expression" dxfId="543" priority="45">
      <formula>$K$78&gt;0</formula>
    </cfRule>
    <cfRule type="expression" dxfId="542" priority="46">
      <formula>$K$78&lt;0</formula>
    </cfRule>
  </conditionalFormatting>
  <conditionalFormatting sqref="M66:O67 N78:O78">
    <cfRule type="expression" dxfId="541" priority="43">
      <formula>$N$78&gt;0</formula>
    </cfRule>
    <cfRule type="expression" dxfId="540" priority="44">
      <formula>$N$78&lt;0</formula>
    </cfRule>
  </conditionalFormatting>
  <conditionalFormatting sqref="A85:O94">
    <cfRule type="expression" dxfId="539" priority="35">
      <formula>AND($N85 &gt; 0, ISNUMBER($N85))</formula>
    </cfRule>
    <cfRule type="expression" dxfId="538" priority="36">
      <formula>AND($N85 &lt; 0, ISNUMBER($N85))</formula>
    </cfRule>
    <cfRule type="expression" dxfId="537" priority="37">
      <formula>AND($K85 &gt; 0, ISNUMBER($K85))</formula>
    </cfRule>
    <cfRule type="expression" dxfId="536" priority="38">
      <formula>AND($K85 &lt; 0, ISNUMBER($K85))</formula>
    </cfRule>
    <cfRule type="expression" dxfId="535" priority="39">
      <formula>AND($H85 &gt; 0, ISNUMBER($H85))</formula>
    </cfRule>
    <cfRule type="expression" dxfId="534" priority="40">
      <formula>AND($H85 &lt; 0, ISNUMBER($H85))</formula>
    </cfRule>
    <cfRule type="expression" dxfId="533" priority="41">
      <formula>AND($E85 &gt; 0, ISNUMBER($E85))</formula>
    </cfRule>
    <cfRule type="expression" dxfId="532" priority="42">
      <formula>AND($E85 &lt; 0, ISNUMBER($E85))</formula>
    </cfRule>
  </conditionalFormatting>
  <conditionalFormatting sqref="D83:F84 E95:F95">
    <cfRule type="expression" dxfId="531" priority="33">
      <formula>$E$95&gt;0</formula>
    </cfRule>
    <cfRule type="expression" dxfId="530" priority="34">
      <formula>$E$95&lt;0</formula>
    </cfRule>
  </conditionalFormatting>
  <conditionalFormatting sqref="G83:I84 H95:I95">
    <cfRule type="expression" dxfId="529" priority="31">
      <formula>$H$95&gt;0</formula>
    </cfRule>
    <cfRule type="expression" dxfId="528" priority="32">
      <formula>$H$95&lt;0</formula>
    </cfRule>
  </conditionalFormatting>
  <conditionalFormatting sqref="J83:L84 K95:L95">
    <cfRule type="expression" dxfId="527" priority="29">
      <formula>$K$95&gt;0</formula>
    </cfRule>
    <cfRule type="expression" dxfId="526" priority="30">
      <formula>$K$95&lt;0</formula>
    </cfRule>
  </conditionalFormatting>
  <conditionalFormatting sqref="M83:O84 N95:O95">
    <cfRule type="expression" dxfId="525" priority="27">
      <formula>$N$95&gt;0</formula>
    </cfRule>
    <cfRule type="expression" dxfId="524" priority="28">
      <formula>$N$95&lt;0</formula>
    </cfRule>
  </conditionalFormatting>
  <conditionalFormatting sqref="A102:O111">
    <cfRule type="expression" dxfId="523" priority="19">
      <formula>AND($N102 &gt; 0, ISNUMBER($N102))</formula>
    </cfRule>
    <cfRule type="expression" dxfId="522" priority="20">
      <formula>AND($N102 &lt; 0, ISNUMBER($N102))</formula>
    </cfRule>
    <cfRule type="expression" dxfId="521" priority="21">
      <formula>AND($K102 &gt; 0, ISNUMBER($K102))</formula>
    </cfRule>
    <cfRule type="expression" dxfId="520" priority="22">
      <formula>AND($K102 &lt; 0, ISNUMBER($K102))</formula>
    </cfRule>
    <cfRule type="expression" dxfId="519" priority="23">
      <formula>AND($H102 &gt; 0, ISNUMBER($H102))</formula>
    </cfRule>
    <cfRule type="expression" dxfId="518" priority="24">
      <formula>AND($H102 &lt; 0, ISNUMBER($H102))</formula>
    </cfRule>
    <cfRule type="expression" dxfId="517" priority="25">
      <formula>AND($E102 &gt; 0, ISNUMBER($E102))</formula>
    </cfRule>
    <cfRule type="expression" dxfId="516" priority="26">
      <formula>AND($E102 &lt; 0, ISNUMBER($E102))</formula>
    </cfRule>
  </conditionalFormatting>
  <conditionalFormatting sqref="D100:F101 E112:F112">
    <cfRule type="expression" dxfId="515" priority="17">
      <formula>$E$112&gt;0</formula>
    </cfRule>
    <cfRule type="expression" dxfId="514" priority="18">
      <formula>$E$112&lt;0</formula>
    </cfRule>
  </conditionalFormatting>
  <conditionalFormatting sqref="G100:I101 H112:I112">
    <cfRule type="expression" dxfId="513" priority="15">
      <formula>$H$112&gt;0</formula>
    </cfRule>
    <cfRule type="expression" dxfId="512" priority="16">
      <formula>$H$112&lt;0</formula>
    </cfRule>
  </conditionalFormatting>
  <conditionalFormatting sqref="J100:L101 K112:L112">
    <cfRule type="expression" dxfId="511" priority="13">
      <formula>$K$112&gt;0</formula>
    </cfRule>
    <cfRule type="expression" dxfId="510" priority="14">
      <formula>$K$112&lt;0</formula>
    </cfRule>
  </conditionalFormatting>
  <conditionalFormatting sqref="M100:O101 N112:O112">
    <cfRule type="expression" dxfId="509" priority="11">
      <formula>$N$112&gt;0</formula>
    </cfRule>
    <cfRule type="expression" dxfId="508" priority="12">
      <formula>$N$112&lt;0</formula>
    </cfRule>
  </conditionalFormatting>
  <conditionalFormatting sqref="G2:I3">
    <cfRule type="expression" dxfId="5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5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5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5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5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5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5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504BD-40F4-4012-A38D-EBD9FE164AB6}">
  <sheetPr codeName="Sheet19"/>
  <dimension ref="A1:R112"/>
  <sheetViews>
    <sheetView topLeftCell="A88" zoomScaleNormal="100" workbookViewId="0">
      <selection activeCell="A98" sqref="A98:O112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44302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-58,253 KRW (-5.83%)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52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8,927 KRW (1.49%)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153,347 KRW (15.33%)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-49,652 KRW (-4.97%)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>
        <v>98</v>
      </c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195,393 KRW (19.54%)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52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51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55" t="s">
        <v>67</v>
      </c>
      <c r="H16" s="156" t="s">
        <v>68</v>
      </c>
      <c r="I16" s="157" t="s">
        <v>70</v>
      </c>
      <c r="J16" s="4" t="s">
        <v>67</v>
      </c>
      <c r="K16" s="4" t="s">
        <v>68</v>
      </c>
      <c r="L16" s="153" t="s">
        <v>70</v>
      </c>
      <c r="M16" s="18" t="s">
        <v>67</v>
      </c>
      <c r="N16" s="4" t="s">
        <v>68</v>
      </c>
      <c r="O16" s="154" t="s">
        <v>70</v>
      </c>
      <c r="Q16" s="206"/>
      <c r="R16" s="207"/>
    </row>
    <row r="17" spans="1:18" ht="17.25" customHeight="1">
      <c r="A17" s="39" t="s">
        <v>164</v>
      </c>
      <c r="B17" s="89">
        <f>IF(NOT(_xlfn.IFNA(VLOOKUP($A17, $A$30:$O$112, 2, FALSE), "")=0), _xlfn.IFNA(VLOOKUP($A17, $A$30:$O$112, 2, FALSE), ""), "")</f>
        <v>201</v>
      </c>
      <c r="C17" s="22">
        <f>IF(NOT(_xlfn.IFNA(VLOOKUP($A17, $A$30:$O$112, 3, FALSE), "")=0), _xlfn.IFNA(VLOOKUP($A17, $A$30:$O$112, 3, FALSE), ""), "")</f>
        <v>0.1166666667</v>
      </c>
      <c r="D17" s="89">
        <f>IF(NOT(_xlfn.IFNA(VLOOKUP($A17, $A$30:$O$112, 4, FALSE), "")=0), _xlfn.IFNA(VLOOKUP($A17, $A$30:$O$112, 4, FALSE), ""), "")</f>
        <v>193</v>
      </c>
      <c r="E17" s="22">
        <f>IF(NOT(_xlfn.IFNA(VLOOKUP($A17, $A$30:$O$112, 5, FALSE), "")=0), _xlfn.IFNA(VLOOKUP($A17, $A$30:$O$112, 5, FALSE), ""), "")</f>
        <v>-3.9800995024875621E-2</v>
      </c>
      <c r="F17" s="58">
        <f>IF(NOT(_xlfn.IFNA(VLOOKUP($A17, $A$30:$O$112, 6, FALSE), "")=0), _xlfn.IFNA(VLOOKUP($A17, $A$30:$O$112, 6, FALSE), ""), "")</f>
        <v>-3980.0995024875619</v>
      </c>
      <c r="G17" s="36">
        <f t="shared" ref="G17:G26" si="0">IF(NOT(_xlfn.IFNA(VLOOKUP($A17, $A$30:$O$112, 7, FALSE), "")=0), _xlfn.IFNA(VLOOKUP($A17, $A$30:$O$112, 7, FALSE), ""), "")</f>
        <v>194</v>
      </c>
      <c r="H17" s="5">
        <f>IF(NOT(_xlfn.IFNA(VLOOKUP($A17, $A$30:$O$112, 8, FALSE), "")=0), _xlfn.IFNA(VLOOKUP($A17, $A$30:$O$112, 8, FALSE), ""), "")</f>
        <v>-3.482587064676617E-2</v>
      </c>
      <c r="I17" s="59">
        <f>IF(NOT(_xlfn.IFNA(VLOOKUP($A17, $A$30:$O$112, 9, FALSE), "")=0), _xlfn.IFNA(VLOOKUP($A17, $A$30:$O$112, 9, FALSE), ""), "")</f>
        <v>-3482.587064676617</v>
      </c>
      <c r="J17" s="89">
        <f>IF(NOT(_xlfn.IFNA(VLOOKUP($A17, $A$30:$O$112, 10, FALSE), "")=0), _xlfn.IFNA(VLOOKUP($A17, $A$30:$O$112, 10, FALSE), ""), "")</f>
        <v>193</v>
      </c>
      <c r="K17" s="22">
        <f>IF(NOT(_xlfn.IFNA(VLOOKUP($A17, $A$30:$O$112, 11, FALSE), "")=0), _xlfn.IFNA(VLOOKUP($A17, $A$30:$O$112, 11, FALSE), ""), "")</f>
        <v>-3.9800995024875621E-2</v>
      </c>
      <c r="L17" s="58">
        <f>IF(NOT(_xlfn.IFNA(VLOOKUP($A17, $A$30:$O$112, 12, FALSE), "")=0), _xlfn.IFNA(VLOOKUP($A17, $A$30:$O$112, 12, FALSE), ""), "")</f>
        <v>-3980.0995024875619</v>
      </c>
      <c r="M17" s="89">
        <f>IF(NOT(_xlfn.IFNA(VLOOKUP($A17, $A$30:$O$112, 13, FALSE), "")=0), _xlfn.IFNA(VLOOKUP($A17, $A$30:$O$112, 13, FALSE), ""), "")</f>
        <v>193</v>
      </c>
      <c r="N17" s="22">
        <f>IF(NOT(_xlfn.IFNA(VLOOKUP($A17, $A$30:$O$112, 14, FALSE), "")=0), _xlfn.IFNA(VLOOKUP($A17, $A$30:$O$112, 14, FALSE), ""), "")</f>
        <v>-3.9800995024875621E-2</v>
      </c>
      <c r="O17" s="43">
        <f>IF(NOT(_xlfn.IFNA(VLOOKUP($A17, $A$30:$O$112, 15, FALSE), "")=0), _xlfn.IFNA(VLOOKUP($A17, $A$30:$O$112, 15, FALSE), ""), "")</f>
        <v>-3980.0995024875619</v>
      </c>
      <c r="Q17" s="204"/>
      <c r="R17" s="205"/>
    </row>
    <row r="18" spans="1:18" ht="17.25" customHeight="1">
      <c r="A18" s="40" t="s">
        <v>125</v>
      </c>
      <c r="B18" s="36">
        <f t="shared" ref="B18:B26" si="1">IF(NOT(_xlfn.IFNA(VLOOKUP($A18, $A$30:$O$112, 2, FALSE), "")=0), _xlfn.IFNA(VLOOKUP($A18, $A$30:$O$112, 2, FALSE), ""), "")</f>
        <v>715</v>
      </c>
      <c r="C18" s="5">
        <f t="shared" ref="C18:C26" si="2">IF(NOT(_xlfn.IFNA(VLOOKUP($A18, $A$30:$O$112, 3, FALSE), "")=0), _xlfn.IFNA(VLOOKUP($A18, $A$30:$O$112, 3, FALSE), ""), "")</f>
        <v>0.11370716509999999</v>
      </c>
      <c r="D18" s="36">
        <f t="shared" ref="D18:D26" si="3">IF(NOT(_xlfn.IFNA(VLOOKUP($A18, $A$30:$O$112, 4, FALSE), "")=0), _xlfn.IFNA(VLOOKUP($A18, $A$30:$O$112, 4, FALSE), ""), "")</f>
        <v>744</v>
      </c>
      <c r="E18" s="5">
        <f t="shared" ref="E18:E26" si="4">IF(NOT(_xlfn.IFNA(VLOOKUP($A18, $A$30:$O$112, 5, FALSE), "")=0), _xlfn.IFNA(VLOOKUP($A18, $A$30:$O$112, 5, FALSE), ""), "")</f>
        <v>4.0559440559440559E-2</v>
      </c>
      <c r="F18" s="59">
        <f t="shared" ref="F18:F26" si="5">IF(NOT(_xlfn.IFNA(VLOOKUP($A18, $A$30:$O$112, 6, FALSE), "")=0), _xlfn.IFNA(VLOOKUP($A18, $A$30:$O$112, 6, FALSE), ""), "")</f>
        <v>4055.9440559440559</v>
      </c>
      <c r="G18" s="36">
        <f t="shared" si="0"/>
        <v>794</v>
      </c>
      <c r="H18" s="5">
        <f t="shared" ref="H18:H26" si="6">IF(NOT(_xlfn.IFNA(VLOOKUP($A18, $A$30:$O$112, 8, FALSE), "")=0), _xlfn.IFNA(VLOOKUP($A18, $A$30:$O$112, 8, FALSE), ""), "")</f>
        <v>0.11048951048951049</v>
      </c>
      <c r="I18" s="59">
        <f t="shared" ref="I18:I26" si="7">IF(NOT(_xlfn.IFNA(VLOOKUP($A18, $A$30:$O$112, 9, FALSE), "")=0), _xlfn.IFNA(VLOOKUP($A18, $A$30:$O$112, 9, FALSE), ""), "")</f>
        <v>11048.951048951049</v>
      </c>
      <c r="J18" s="36">
        <f t="shared" ref="J18:J26" si="8">IF(NOT(_xlfn.IFNA(VLOOKUP($A18, $A$30:$O$112, 10, FALSE), "")=0), _xlfn.IFNA(VLOOKUP($A18, $A$30:$O$112, 10, FALSE), ""), "")</f>
        <v>804</v>
      </c>
      <c r="K18" s="5">
        <f t="shared" ref="K18:K26" si="9">IF(NOT(_xlfn.IFNA(VLOOKUP($A18, $A$30:$O$112, 11, FALSE), "")=0), _xlfn.IFNA(VLOOKUP($A18, $A$30:$O$112, 11, FALSE), ""), "")</f>
        <v>0.12447552447552447</v>
      </c>
      <c r="L18" s="59">
        <f t="shared" ref="L18:L26" si="10">IF(NOT(_xlfn.IFNA(VLOOKUP($A18, $A$30:$O$112, 12, FALSE), "")=0), _xlfn.IFNA(VLOOKUP($A18, $A$30:$O$112, 12, FALSE), ""), "")</f>
        <v>12447.552447552447</v>
      </c>
      <c r="M18" s="36">
        <f t="shared" ref="M18:M26" si="11">IF(NOT(_xlfn.IFNA(VLOOKUP($A18, $A$30:$O$112, 13, FALSE), "")=0), _xlfn.IFNA(VLOOKUP($A18, $A$30:$O$112, 13, FALSE), ""), "")</f>
        <v>809</v>
      </c>
      <c r="N18" s="5">
        <f t="shared" ref="N18:N26" si="12">IF(NOT(_xlfn.IFNA(VLOOKUP($A18, $A$30:$O$112, 14, FALSE), "")=0), _xlfn.IFNA(VLOOKUP($A18, $A$30:$O$112, 14, FALSE), ""), "")</f>
        <v>0.13146853146853146</v>
      </c>
      <c r="O18" s="44">
        <f t="shared" ref="O18:O26" si="13">IF(NOT(_xlfn.IFNA(VLOOKUP($A18, $A$30:$O$112, 15, FALSE), "")=0), _xlfn.IFNA(VLOOKUP($A18, $A$30:$O$112, 15, FALSE), ""), "")</f>
        <v>13146.853146853146</v>
      </c>
      <c r="Q18" s="204"/>
      <c r="R18" s="205"/>
    </row>
    <row r="19" spans="1:18" ht="17.25" customHeight="1">
      <c r="A19" s="40" t="s">
        <v>212</v>
      </c>
      <c r="B19" s="36">
        <f t="shared" si="1"/>
        <v>31140</v>
      </c>
      <c r="C19" s="5">
        <f t="shared" si="2"/>
        <v>0.11055634809999999</v>
      </c>
      <c r="D19" s="36">
        <f t="shared" si="3"/>
        <v>38820</v>
      </c>
      <c r="E19" s="5">
        <f t="shared" si="4"/>
        <v>0.2466281310211946</v>
      </c>
      <c r="F19" s="59">
        <f t="shared" si="5"/>
        <v>24662.81310211946</v>
      </c>
      <c r="G19" s="36">
        <f t="shared" si="0"/>
        <v>39730</v>
      </c>
      <c r="H19" s="5">
        <f t="shared" si="6"/>
        <v>0.27585099550417469</v>
      </c>
      <c r="I19" s="59">
        <f t="shared" si="7"/>
        <v>27585.099550417468</v>
      </c>
      <c r="J19" s="36">
        <f t="shared" si="8"/>
        <v>38920</v>
      </c>
      <c r="K19" s="5">
        <f t="shared" si="9"/>
        <v>0.24983943481053308</v>
      </c>
      <c r="L19" s="59">
        <f t="shared" si="10"/>
        <v>24983.943481053309</v>
      </c>
      <c r="M19" s="36">
        <f t="shared" si="11"/>
        <v>41540</v>
      </c>
      <c r="N19" s="5">
        <f t="shared" si="12"/>
        <v>0.33397559409120103</v>
      </c>
      <c r="O19" s="44">
        <f t="shared" si="13"/>
        <v>33397.559409120106</v>
      </c>
      <c r="Q19" s="204"/>
      <c r="R19" s="205"/>
    </row>
    <row r="20" spans="1:18" ht="17.25" customHeight="1">
      <c r="A20" s="40" t="s">
        <v>158</v>
      </c>
      <c r="B20" s="36">
        <f t="shared" si="1"/>
        <v>31.5</v>
      </c>
      <c r="C20" s="5">
        <f t="shared" si="2"/>
        <v>9.375E-2</v>
      </c>
      <c r="D20" s="36">
        <f t="shared" si="3"/>
        <v>29.5</v>
      </c>
      <c r="E20" s="5">
        <f t="shared" si="4"/>
        <v>-6.3492063492063489E-2</v>
      </c>
      <c r="F20" s="59">
        <f t="shared" si="5"/>
        <v>-6349.2063492063489</v>
      </c>
      <c r="G20" s="36">
        <f t="shared" si="0"/>
        <v>29.7</v>
      </c>
      <c r="H20" s="5">
        <f t="shared" si="6"/>
        <v>-5.7142857142857169E-2</v>
      </c>
      <c r="I20" s="59">
        <f t="shared" si="7"/>
        <v>-5714.2857142857165</v>
      </c>
      <c r="J20" s="36">
        <f t="shared" si="8"/>
        <v>29.6</v>
      </c>
      <c r="K20" s="5">
        <f t="shared" si="9"/>
        <v>-6.031746031746027E-2</v>
      </c>
      <c r="L20" s="59">
        <f t="shared" si="10"/>
        <v>-6031.7460317460273</v>
      </c>
      <c r="M20" s="36">
        <f t="shared" si="11"/>
        <v>29.4</v>
      </c>
      <c r="N20" s="5">
        <f t="shared" si="12"/>
        <v>-6.6666666666666707E-2</v>
      </c>
      <c r="O20" s="44">
        <f t="shared" si="13"/>
        <v>-6666.6666666666706</v>
      </c>
      <c r="Q20" s="204"/>
      <c r="R20" s="205"/>
    </row>
    <row r="21" spans="1:18" ht="17.25" customHeight="1">
      <c r="A21" s="41" t="s">
        <v>140</v>
      </c>
      <c r="B21" s="37">
        <f t="shared" si="1"/>
        <v>465</v>
      </c>
      <c r="C21" s="24">
        <f t="shared" si="2"/>
        <v>8.8992974200000005E-2</v>
      </c>
      <c r="D21" s="37">
        <f t="shared" si="3"/>
        <v>439</v>
      </c>
      <c r="E21" s="24">
        <f t="shared" si="4"/>
        <v>-5.5913978494623658E-2</v>
      </c>
      <c r="F21" s="60">
        <f t="shared" si="5"/>
        <v>-5591.3978494623661</v>
      </c>
      <c r="G21" s="37">
        <f t="shared" si="0"/>
        <v>470</v>
      </c>
      <c r="H21" s="24">
        <f t="shared" si="6"/>
        <v>1.0752688172043012E-2</v>
      </c>
      <c r="I21" s="60">
        <f t="shared" si="7"/>
        <v>1075.2688172043011</v>
      </c>
      <c r="J21" s="37">
        <f t="shared" si="8"/>
        <v>512</v>
      </c>
      <c r="K21" s="24">
        <f t="shared" si="9"/>
        <v>0.1010752688172043</v>
      </c>
      <c r="L21" s="60">
        <f t="shared" si="10"/>
        <v>10107.526881720431</v>
      </c>
      <c r="M21" s="37">
        <f t="shared" si="11"/>
        <v>493</v>
      </c>
      <c r="N21" s="24">
        <f t="shared" si="12"/>
        <v>6.0215053763440864E-2</v>
      </c>
      <c r="O21" s="62">
        <f t="shared" si="13"/>
        <v>6021.5053763440865</v>
      </c>
      <c r="Q21" s="204"/>
      <c r="R21" s="205"/>
    </row>
    <row r="22" spans="1:18" ht="17.25" customHeight="1">
      <c r="A22" s="40" t="s">
        <v>126</v>
      </c>
      <c r="B22" s="36">
        <f t="shared" si="1"/>
        <v>231</v>
      </c>
      <c r="C22" s="5">
        <f t="shared" si="2"/>
        <v>8.4507042300000002E-2</v>
      </c>
      <c r="D22" s="36">
        <f t="shared" si="3"/>
        <v>220</v>
      </c>
      <c r="E22" s="5">
        <f t="shared" si="4"/>
        <v>-4.7619047619047616E-2</v>
      </c>
      <c r="F22" s="59">
        <f t="shared" si="5"/>
        <v>-4761.9047619047615</v>
      </c>
      <c r="G22" s="36">
        <f t="shared" si="0"/>
        <v>225</v>
      </c>
      <c r="H22" s="5">
        <f t="shared" si="6"/>
        <v>-2.5974025974025976E-2</v>
      </c>
      <c r="I22" s="59">
        <f t="shared" si="7"/>
        <v>-2597.4025974025976</v>
      </c>
      <c r="J22" s="36">
        <f t="shared" si="8"/>
        <v>224</v>
      </c>
      <c r="K22" s="5">
        <f t="shared" si="9"/>
        <v>-3.0303030303030304E-2</v>
      </c>
      <c r="L22" s="59">
        <f t="shared" si="10"/>
        <v>-3030.3030303030305</v>
      </c>
      <c r="M22" s="36">
        <f t="shared" si="11"/>
        <v>225</v>
      </c>
      <c r="N22" s="5">
        <f t="shared" si="12"/>
        <v>-2.5974025974025976E-2</v>
      </c>
      <c r="O22" s="44">
        <f t="shared" si="13"/>
        <v>-2597.4025974025976</v>
      </c>
      <c r="Q22" s="204"/>
      <c r="R22" s="205"/>
    </row>
    <row r="23" spans="1:18" ht="17.25" customHeight="1">
      <c r="A23" s="40" t="s">
        <v>95</v>
      </c>
      <c r="B23" s="36">
        <f t="shared" si="1"/>
        <v>30.8</v>
      </c>
      <c r="C23" s="5">
        <f t="shared" si="2"/>
        <v>8.0701754400000006E-2</v>
      </c>
      <c r="D23" s="36">
        <f t="shared" si="3"/>
        <v>28.1</v>
      </c>
      <c r="E23" s="5">
        <f t="shared" si="4"/>
        <v>-8.7662337662337636E-2</v>
      </c>
      <c r="F23" s="59">
        <f t="shared" si="5"/>
        <v>-8766.2337662337632</v>
      </c>
      <c r="G23" s="36">
        <f t="shared" si="0"/>
        <v>28.4</v>
      </c>
      <c r="H23" s="5">
        <f t="shared" si="6"/>
        <v>-7.792207792207799E-2</v>
      </c>
      <c r="I23" s="59">
        <f t="shared" si="7"/>
        <v>-7792.2077922077988</v>
      </c>
      <c r="J23" s="36">
        <f t="shared" si="8"/>
        <v>28.3</v>
      </c>
      <c r="K23" s="5">
        <f t="shared" si="9"/>
        <v>-8.1168831168831168E-2</v>
      </c>
      <c r="L23" s="59">
        <f t="shared" si="10"/>
        <v>-8116.8831168831166</v>
      </c>
      <c r="M23" s="36">
        <f t="shared" si="11"/>
        <v>29.4</v>
      </c>
      <c r="N23" s="5">
        <f t="shared" si="12"/>
        <v>-4.5454545454545525E-2</v>
      </c>
      <c r="O23" s="44">
        <f t="shared" si="13"/>
        <v>-4545.4545454545523</v>
      </c>
      <c r="Q23" s="204"/>
      <c r="R23" s="205"/>
    </row>
    <row r="24" spans="1:18" ht="17.25" customHeight="1">
      <c r="A24" s="40" t="s">
        <v>94</v>
      </c>
      <c r="B24" s="36">
        <f t="shared" si="1"/>
        <v>167</v>
      </c>
      <c r="C24" s="5">
        <f t="shared" si="2"/>
        <v>7.7419354800000006E-2</v>
      </c>
      <c r="D24" s="36">
        <f t="shared" si="3"/>
        <v>305</v>
      </c>
      <c r="E24" s="5">
        <f t="shared" si="4"/>
        <v>0.82634730538922152</v>
      </c>
      <c r="F24" s="59">
        <f t="shared" si="5"/>
        <v>82634.730538922158</v>
      </c>
      <c r="G24" s="36">
        <f t="shared" si="0"/>
        <v>342</v>
      </c>
      <c r="H24" s="5">
        <f t="shared" si="6"/>
        <v>1.0479041916167664</v>
      </c>
      <c r="I24" s="59">
        <f t="shared" si="7"/>
        <v>104790.41916167663</v>
      </c>
      <c r="J24" s="36">
        <f t="shared" si="8"/>
        <v>385</v>
      </c>
      <c r="K24" s="5">
        <f t="shared" si="9"/>
        <v>1.3053892215568863</v>
      </c>
      <c r="L24" s="59">
        <f t="shared" si="10"/>
        <v>130538.92215568863</v>
      </c>
      <c r="M24" s="36">
        <f t="shared" si="11"/>
        <v>467</v>
      </c>
      <c r="N24" s="5">
        <f t="shared" si="12"/>
        <v>1.7964071856287425</v>
      </c>
      <c r="O24" s="44">
        <f t="shared" si="13"/>
        <v>179640.71856287424</v>
      </c>
      <c r="Q24" s="204"/>
      <c r="R24" s="205"/>
    </row>
    <row r="25" spans="1:18" ht="17.25" customHeight="1">
      <c r="A25" s="40" t="s">
        <v>119</v>
      </c>
      <c r="B25" s="36">
        <f t="shared" si="1"/>
        <v>25.2</v>
      </c>
      <c r="C25" s="5">
        <f t="shared" si="2"/>
        <v>7.6923076899999998E-2</v>
      </c>
      <c r="D25" s="36">
        <f t="shared" si="3"/>
        <v>23</v>
      </c>
      <c r="E25" s="5">
        <f t="shared" si="4"/>
        <v>-8.7301587301587269E-2</v>
      </c>
      <c r="F25" s="59">
        <f t="shared" si="5"/>
        <v>-8730.158730158726</v>
      </c>
      <c r="G25" s="36">
        <f t="shared" si="0"/>
        <v>23.5</v>
      </c>
      <c r="H25" s="5">
        <f t="shared" si="6"/>
        <v>-6.7460317460317429E-2</v>
      </c>
      <c r="I25" s="59">
        <f t="shared" si="7"/>
        <v>-6746.0317460317428</v>
      </c>
      <c r="J25" s="36">
        <f t="shared" si="8"/>
        <v>23.1</v>
      </c>
      <c r="K25" s="5">
        <f t="shared" si="9"/>
        <v>-8.3333333333333245E-2</v>
      </c>
      <c r="L25" s="59">
        <f t="shared" si="10"/>
        <v>-8333.3333333333248</v>
      </c>
      <c r="M25" s="36">
        <f t="shared" si="11"/>
        <v>23.1</v>
      </c>
      <c r="N25" s="5">
        <f t="shared" si="12"/>
        <v>-8.3333333333333245E-2</v>
      </c>
      <c r="O25" s="44">
        <f t="shared" si="13"/>
        <v>-8333.3333333333248</v>
      </c>
      <c r="Q25" s="206"/>
      <c r="R25" s="207"/>
    </row>
    <row r="26" spans="1:18" ht="17.25" customHeight="1" thickBot="1">
      <c r="A26" s="42" t="s">
        <v>143</v>
      </c>
      <c r="B26" s="38">
        <f t="shared" si="1"/>
        <v>10.5</v>
      </c>
      <c r="C26" s="16">
        <f t="shared" si="2"/>
        <v>7.3619631899999996E-2</v>
      </c>
      <c r="D26" s="38">
        <f t="shared" si="3"/>
        <v>9.9600000000000009</v>
      </c>
      <c r="E26" s="16">
        <f t="shared" si="4"/>
        <v>-5.1428571428571344E-2</v>
      </c>
      <c r="F26" s="61">
        <f t="shared" si="5"/>
        <v>-5142.857142857134</v>
      </c>
      <c r="G26" s="38">
        <f t="shared" si="0"/>
        <v>10.1</v>
      </c>
      <c r="H26" s="16">
        <f t="shared" si="6"/>
        <v>-3.8095238095238126E-2</v>
      </c>
      <c r="I26" s="61">
        <f t="shared" si="7"/>
        <v>-3809.5238095238128</v>
      </c>
      <c r="J26" s="38">
        <f t="shared" si="8"/>
        <v>10</v>
      </c>
      <c r="K26" s="16">
        <f t="shared" si="9"/>
        <v>-4.7619047619047616E-2</v>
      </c>
      <c r="L26" s="61">
        <f t="shared" si="10"/>
        <v>-4761.9047619047615</v>
      </c>
      <c r="M26" s="38">
        <f t="shared" si="11"/>
        <v>10.1</v>
      </c>
      <c r="N26" s="16">
        <f t="shared" si="12"/>
        <v>-3.8095238095238126E-2</v>
      </c>
      <c r="O26" s="45">
        <f t="shared" si="13"/>
        <v>-3809.5238095238128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6.8031629594675014E-2</v>
      </c>
      <c r="F27" s="47">
        <f>SUM(F17:F26)</f>
        <v>68031.629594675018</v>
      </c>
      <c r="G27" s="57" t="s">
        <v>82</v>
      </c>
      <c r="H27" s="46">
        <f>IF(COUNT(H17:H26), SUM(H17:H26) / COUNT(H17:H26), 0)</f>
        <v>0.11435769985412117</v>
      </c>
      <c r="I27" s="47">
        <f>SUM(I17:I26)</f>
        <v>114357.69985412117</v>
      </c>
      <c r="J27" s="57" t="s">
        <v>82</v>
      </c>
      <c r="K27" s="46">
        <f>IF(COUNT(K17:K26), SUM(K17:K26) / COUNT(K17:K26), 0)</f>
        <v>0.14382367518935699</v>
      </c>
      <c r="L27" s="47">
        <f>SUM(L17:L26)</f>
        <v>143823.67518935699</v>
      </c>
      <c r="M27" s="57" t="s">
        <v>82</v>
      </c>
      <c r="N27" s="46">
        <f>IF(COUNT(N17:N26), SUM(N17:N26) / COUNT(N17:N26), 0)</f>
        <v>0.20227415604032309</v>
      </c>
      <c r="O27" s="47">
        <f>SUM(O17:O26)</f>
        <v>202274.15604032305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51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53" t="s">
        <v>70</v>
      </c>
      <c r="M33" s="18" t="s">
        <v>67</v>
      </c>
      <c r="N33" s="4" t="s">
        <v>68</v>
      </c>
      <c r="O33" s="154" t="s">
        <v>70</v>
      </c>
      <c r="Q33" s="231"/>
      <c r="R33" s="232"/>
    </row>
    <row r="34" spans="1:18" ht="17.25" customHeight="1">
      <c r="A34" s="9" t="s">
        <v>158</v>
      </c>
      <c r="B34" s="31">
        <v>31.5</v>
      </c>
      <c r="C34" s="22">
        <v>9.375E-2</v>
      </c>
      <c r="D34" s="89">
        <v>29.5</v>
      </c>
      <c r="E34" s="22">
        <f>IF(ISNUMBER(D34), (D34 - $B34) / $B34, "")</f>
        <v>-6.3492063492063489E-2</v>
      </c>
      <c r="F34" s="43">
        <f>IF(ISNUMBER(D34), $B44 * E34, "")</f>
        <v>-6349.2063492063489</v>
      </c>
      <c r="G34" s="89">
        <v>29.7</v>
      </c>
      <c r="H34" s="22">
        <f>IF(ISNUMBER(G34), (G34 - $B34) / $B34, "")</f>
        <v>-5.7142857142857169E-2</v>
      </c>
      <c r="I34" s="43">
        <f>IF(ISNUMBER(G34), $B44 * H34, "")</f>
        <v>-5714.2857142857165</v>
      </c>
      <c r="J34" s="89">
        <v>29.6</v>
      </c>
      <c r="K34" s="22">
        <f>IF(ISNUMBER(J34), (J34 - $B34) / $B34, "")</f>
        <v>-6.031746031746027E-2</v>
      </c>
      <c r="L34" s="43">
        <f>IF(ISNUMBER(J34), $B44 * K34, "")</f>
        <v>-6031.7460317460273</v>
      </c>
      <c r="M34" s="89">
        <v>29.4</v>
      </c>
      <c r="N34" s="22">
        <f>IF(ISNUMBER(M34), (M34 - $B34) / $B34, "")</f>
        <v>-6.6666666666666707E-2</v>
      </c>
      <c r="O34" s="43">
        <f>IF(ISNUMBER(M34), $B44 * N34, "")</f>
        <v>-6666.6666666666706</v>
      </c>
      <c r="Q34" s="229"/>
      <c r="R34" s="230"/>
    </row>
    <row r="35" spans="1:18" ht="17.25" customHeight="1">
      <c r="A35" s="11" t="s">
        <v>95</v>
      </c>
      <c r="B35" s="32">
        <v>30.8</v>
      </c>
      <c r="C35" s="5">
        <v>8.0701754400000006E-2</v>
      </c>
      <c r="D35" s="36">
        <v>28.1</v>
      </c>
      <c r="E35" s="5">
        <f t="shared" ref="E35:E43" si="14">IF(ISNUMBER(D35), (D35 - $B35) / $B35, "")</f>
        <v>-8.7662337662337636E-2</v>
      </c>
      <c r="F35" s="44">
        <f>IF(ISNUMBER(D35), $B44 * E35, "")</f>
        <v>-8766.2337662337632</v>
      </c>
      <c r="G35" s="36">
        <v>28.4</v>
      </c>
      <c r="H35" s="5">
        <f t="shared" ref="H35:H43" si="15">IF(ISNUMBER(G35), (G35 - $B35) / $B35, "")</f>
        <v>-7.792207792207799E-2</v>
      </c>
      <c r="I35" s="44">
        <f>IF(ISNUMBER(G35), $B44 * H35, "")</f>
        <v>-7792.2077922077988</v>
      </c>
      <c r="J35" s="36">
        <v>28.3</v>
      </c>
      <c r="K35" s="5">
        <f t="shared" ref="K35:K43" si="16">IF(ISNUMBER(J35), (J35 - $B35) / $B35, "")</f>
        <v>-8.1168831168831168E-2</v>
      </c>
      <c r="L35" s="44">
        <f>IF(ISNUMBER(J35), $B44 * K35, "")</f>
        <v>-8116.8831168831166</v>
      </c>
      <c r="M35" s="36">
        <v>29.4</v>
      </c>
      <c r="N35" s="5">
        <f t="shared" ref="N35:N43" si="17">IF(ISNUMBER(M35), (M35 - $B35) / $B35, "")</f>
        <v>-4.5454545454545525E-2</v>
      </c>
      <c r="O35" s="44">
        <f>IF(ISNUMBER(M35), $B44 * N35, "")</f>
        <v>-4545.4545454545523</v>
      </c>
      <c r="Q35" s="229"/>
      <c r="R35" s="230"/>
    </row>
    <row r="36" spans="1:18" ht="17.25" customHeight="1">
      <c r="A36" s="11" t="s">
        <v>119</v>
      </c>
      <c r="B36" s="32">
        <v>25.2</v>
      </c>
      <c r="C36" s="5">
        <v>7.6923076899999998E-2</v>
      </c>
      <c r="D36" s="36">
        <v>23</v>
      </c>
      <c r="E36" s="5">
        <f t="shared" si="14"/>
        <v>-8.7301587301587269E-2</v>
      </c>
      <c r="F36" s="44">
        <f>IF(ISNUMBER(D36), $B44 * E36, "")</f>
        <v>-8730.158730158726</v>
      </c>
      <c r="G36" s="36">
        <v>23.5</v>
      </c>
      <c r="H36" s="5">
        <f t="shared" si="15"/>
        <v>-6.7460317460317429E-2</v>
      </c>
      <c r="I36" s="44">
        <f>IF(ISNUMBER(G36), $B44 * H36, "")</f>
        <v>-6746.0317460317428</v>
      </c>
      <c r="J36" s="36">
        <v>23.1</v>
      </c>
      <c r="K36" s="5">
        <f t="shared" si="16"/>
        <v>-8.3333333333333245E-2</v>
      </c>
      <c r="L36" s="44">
        <f>IF(ISNUMBER(J36), $B44 * K36, "")</f>
        <v>-8333.3333333333248</v>
      </c>
      <c r="M36" s="36">
        <v>23.1</v>
      </c>
      <c r="N36" s="5">
        <f t="shared" si="17"/>
        <v>-8.3333333333333245E-2</v>
      </c>
      <c r="O36" s="44">
        <f>IF(ISNUMBER(M36), $B44 * N36, "")</f>
        <v>-8333.3333333333248</v>
      </c>
      <c r="Q36" s="229"/>
      <c r="R36" s="230"/>
    </row>
    <row r="37" spans="1:18" ht="17.25" customHeight="1">
      <c r="A37" s="11" t="s">
        <v>143</v>
      </c>
      <c r="B37" s="32">
        <v>10.5</v>
      </c>
      <c r="C37" s="5">
        <v>7.3619631899999996E-2</v>
      </c>
      <c r="D37" s="36">
        <v>9.9600000000000009</v>
      </c>
      <c r="E37" s="5">
        <f t="shared" si="14"/>
        <v>-5.1428571428571344E-2</v>
      </c>
      <c r="F37" s="44">
        <f>IF(ISNUMBER(D37), $B44 * E37, "")</f>
        <v>-5142.857142857134</v>
      </c>
      <c r="G37" s="36">
        <v>10.1</v>
      </c>
      <c r="H37" s="5">
        <f t="shared" si="15"/>
        <v>-3.8095238095238126E-2</v>
      </c>
      <c r="I37" s="44">
        <f>IF(ISNUMBER(G37), $B44 * H37, "")</f>
        <v>-3809.5238095238128</v>
      </c>
      <c r="J37" s="36">
        <v>10</v>
      </c>
      <c r="K37" s="5">
        <f t="shared" si="16"/>
        <v>-4.7619047619047616E-2</v>
      </c>
      <c r="L37" s="44">
        <f>IF(ISNUMBER(J37), $B44 * K37, "")</f>
        <v>-4761.9047619047615</v>
      </c>
      <c r="M37" s="36">
        <v>10.1</v>
      </c>
      <c r="N37" s="5">
        <f t="shared" si="17"/>
        <v>-3.8095238095238126E-2</v>
      </c>
      <c r="O37" s="44">
        <f>IF(ISNUMBER(M37), $B44 * N37, "")</f>
        <v>-3809.5238095238128</v>
      </c>
      <c r="Q37" s="229"/>
      <c r="R37" s="230"/>
    </row>
    <row r="38" spans="1:18" ht="17.25" customHeight="1">
      <c r="A38" s="8" t="s">
        <v>132</v>
      </c>
      <c r="B38" s="33">
        <v>34.700000000000003</v>
      </c>
      <c r="C38" s="24">
        <v>7.0987654299999994E-2</v>
      </c>
      <c r="D38" s="37">
        <v>31.9</v>
      </c>
      <c r="E38" s="24">
        <f t="shared" si="14"/>
        <v>-8.0691642651296941E-2</v>
      </c>
      <c r="F38" s="44">
        <f>IF(ISNUMBER(D38), $B44 * E38, "")</f>
        <v>-8069.1642651296943</v>
      </c>
      <c r="G38" s="37">
        <v>32.299999999999997</v>
      </c>
      <c r="H38" s="24">
        <f t="shared" si="15"/>
        <v>-6.9164265129683156E-2</v>
      </c>
      <c r="I38" s="44">
        <f>IF(ISNUMBER(G38), $B44 * H38, "")</f>
        <v>-6916.4265129683154</v>
      </c>
      <c r="J38" s="37">
        <v>32.4</v>
      </c>
      <c r="K38" s="24">
        <f t="shared" si="16"/>
        <v>-6.6282420749279661E-2</v>
      </c>
      <c r="L38" s="44">
        <f>IF(ISNUMBER(J38), $B44 * K38, "")</f>
        <v>-6628.2420749279663</v>
      </c>
      <c r="M38" s="37">
        <v>32.1</v>
      </c>
      <c r="N38" s="24">
        <f t="shared" si="17"/>
        <v>-7.4927953890489951E-2</v>
      </c>
      <c r="O38" s="44">
        <f>IF(ISNUMBER(M38), $B44 * N38, "")</f>
        <v>-7492.7953890489953</v>
      </c>
      <c r="Q38" s="229"/>
      <c r="R38" s="230"/>
    </row>
    <row r="39" spans="1:18" ht="17.25" customHeight="1">
      <c r="A39" s="11" t="s">
        <v>107</v>
      </c>
      <c r="B39" s="32">
        <v>42.4</v>
      </c>
      <c r="C39" s="5">
        <v>6.2656641599999993E-2</v>
      </c>
      <c r="D39" s="36">
        <v>39.1</v>
      </c>
      <c r="E39" s="5">
        <f t="shared" si="14"/>
        <v>-7.7830188679245224E-2</v>
      </c>
      <c r="F39" s="48">
        <f>IF(ISNUMBER(D39), $B44 * E39, "")</f>
        <v>-7783.0188679245221</v>
      </c>
      <c r="G39" s="36">
        <v>39.5</v>
      </c>
      <c r="H39" s="5">
        <f t="shared" si="15"/>
        <v>-6.8396226415094311E-2</v>
      </c>
      <c r="I39" s="48">
        <f>IF(ISNUMBER(G39), $B44 * H39, "")</f>
        <v>-6839.6226415094307</v>
      </c>
      <c r="J39" s="36">
        <v>39.6</v>
      </c>
      <c r="K39" s="5">
        <f t="shared" si="16"/>
        <v>-6.6037735849056534E-2</v>
      </c>
      <c r="L39" s="48">
        <f>IF(ISNUMBER(J39), $B44 * K39, "")</f>
        <v>-6603.7735849056535</v>
      </c>
      <c r="M39" s="36">
        <v>39.299999999999997</v>
      </c>
      <c r="N39" s="5">
        <f t="shared" si="17"/>
        <v>-7.3113207547169851E-2</v>
      </c>
      <c r="O39" s="48">
        <f>IF(ISNUMBER(M39), $B44 * N39, "")</f>
        <v>-7311.320754716985</v>
      </c>
      <c r="Q39" s="229"/>
      <c r="R39" s="230"/>
    </row>
    <row r="40" spans="1:18" ht="17.25" customHeight="1">
      <c r="A40" s="11" t="s">
        <v>100</v>
      </c>
      <c r="B40" s="32">
        <v>37.799999999999997</v>
      </c>
      <c r="C40" s="5">
        <v>6.1797752800000001E-2</v>
      </c>
      <c r="D40" s="36">
        <v>36.5</v>
      </c>
      <c r="E40" s="5">
        <f t="shared" si="14"/>
        <v>-3.439153439153432E-2</v>
      </c>
      <c r="F40" s="44">
        <f>IF(ISNUMBER(D40), $B44 * E40, "")</f>
        <v>-3439.1534391534319</v>
      </c>
      <c r="G40" s="36">
        <v>37.200000000000003</v>
      </c>
      <c r="H40" s="5">
        <f t="shared" si="15"/>
        <v>-1.5873015873015723E-2</v>
      </c>
      <c r="I40" s="44">
        <f>IF(ISNUMBER(G40), $B44 * H40, "")</f>
        <v>-1587.3015873015722</v>
      </c>
      <c r="J40" s="36">
        <v>36.9</v>
      </c>
      <c r="K40" s="5">
        <f t="shared" si="16"/>
        <v>-2.3809523809523774E-2</v>
      </c>
      <c r="L40" s="44">
        <f>IF(ISNUMBER(J40), $B44 * K40, "")</f>
        <v>-2380.9523809523776</v>
      </c>
      <c r="M40" s="36">
        <v>36.799999999999997</v>
      </c>
      <c r="N40" s="5">
        <f t="shared" si="17"/>
        <v>-2.6455026455026457E-2</v>
      </c>
      <c r="O40" s="44">
        <f>IF(ISNUMBER(M40), $B44 * N40, "")</f>
        <v>-2645.5026455026459</v>
      </c>
      <c r="Q40" s="229"/>
      <c r="R40" s="230"/>
    </row>
    <row r="41" spans="1:18" ht="17.25" customHeight="1">
      <c r="A41" s="11" t="s">
        <v>135</v>
      </c>
      <c r="B41" s="32">
        <v>29.9</v>
      </c>
      <c r="C41" s="5">
        <v>5.2816901399999998E-2</v>
      </c>
      <c r="D41" s="36">
        <v>27.6</v>
      </c>
      <c r="E41" s="5">
        <f t="shared" si="14"/>
        <v>-7.692307692307683E-2</v>
      </c>
      <c r="F41" s="44">
        <f>IF(ISNUMBER(D41), $B44 * E41, "")</f>
        <v>-7692.3076923076833</v>
      </c>
      <c r="G41" s="36">
        <v>27.9</v>
      </c>
      <c r="H41" s="5">
        <f t="shared" si="15"/>
        <v>-6.6889632107023408E-2</v>
      </c>
      <c r="I41" s="44">
        <f>IF(ISNUMBER(G41), $B44 * H41, "")</f>
        <v>-6688.9632107023408</v>
      </c>
      <c r="J41" s="36">
        <v>27.5</v>
      </c>
      <c r="K41" s="5">
        <f t="shared" si="16"/>
        <v>-8.0267558528428054E-2</v>
      </c>
      <c r="L41" s="44">
        <f>IF(ISNUMBER(J41), $B44 * K41, "")</f>
        <v>-8026.7558528428053</v>
      </c>
      <c r="M41" s="36">
        <v>27.7</v>
      </c>
      <c r="N41" s="5">
        <f t="shared" si="17"/>
        <v>-7.3578595317725731E-2</v>
      </c>
      <c r="O41" s="44">
        <f>IF(ISNUMBER(M41), $B44 * N41, "")</f>
        <v>-7357.8595317725731</v>
      </c>
      <c r="Q41" s="229"/>
      <c r="R41" s="230"/>
    </row>
    <row r="42" spans="1:18" ht="17.25" customHeight="1">
      <c r="A42" s="11" t="s">
        <v>145</v>
      </c>
      <c r="B42" s="32">
        <v>49.3</v>
      </c>
      <c r="C42" s="5">
        <v>4.8936170199999997E-2</v>
      </c>
      <c r="D42" s="36">
        <v>46.5</v>
      </c>
      <c r="E42" s="5">
        <f t="shared" si="14"/>
        <v>-5.6795131845841729E-2</v>
      </c>
      <c r="F42" s="44">
        <f>IF(ISNUMBER(D42), $B44 * E42, "")</f>
        <v>-5679.5131845841724</v>
      </c>
      <c r="G42" s="36">
        <v>45.8</v>
      </c>
      <c r="H42" s="5">
        <f t="shared" si="15"/>
        <v>-7.099391480730223E-2</v>
      </c>
      <c r="I42" s="44">
        <f>IF(ISNUMBER(G42), $B44 * H42, "")</f>
        <v>-7099.3914807302226</v>
      </c>
      <c r="J42" s="36">
        <v>45.9</v>
      </c>
      <c r="K42" s="5">
        <f t="shared" si="16"/>
        <v>-6.8965517241379282E-2</v>
      </c>
      <c r="L42" s="44">
        <f>IF(ISNUMBER(J42), $B44 * K42, "")</f>
        <v>-6896.5517241379284</v>
      </c>
      <c r="M42" s="36">
        <v>47.5</v>
      </c>
      <c r="N42" s="5">
        <f t="shared" si="17"/>
        <v>-3.651115618661252E-2</v>
      </c>
      <c r="O42" s="44">
        <f>IF(ISNUMBER(M42), $B44 * N42, "")</f>
        <v>-3651.115618661252</v>
      </c>
      <c r="P42" s="17"/>
      <c r="Q42" s="231"/>
      <c r="R42" s="232"/>
    </row>
    <row r="43" spans="1:18" ht="17.25" customHeight="1" thickBot="1">
      <c r="A43" s="13" t="s">
        <v>133</v>
      </c>
      <c r="B43" s="34">
        <v>26.4</v>
      </c>
      <c r="C43" s="16">
        <v>4.7619047599999999E-2</v>
      </c>
      <c r="D43" s="38">
        <v>24.4</v>
      </c>
      <c r="E43" s="16">
        <f t="shared" si="14"/>
        <v>-7.575757575757576E-2</v>
      </c>
      <c r="F43" s="45">
        <f>IF(ISNUMBER(D43), $B44 * E43, "")</f>
        <v>-7575.757575757576</v>
      </c>
      <c r="G43" s="38">
        <v>24.8</v>
      </c>
      <c r="H43" s="16">
        <f t="shared" si="15"/>
        <v>-6.0606060606060531E-2</v>
      </c>
      <c r="I43" s="45">
        <f>IF(ISNUMBER(G43), $B44 * H43, "")</f>
        <v>-6060.6060606060528</v>
      </c>
      <c r="J43" s="38">
        <v>24.9</v>
      </c>
      <c r="K43" s="16">
        <f t="shared" si="16"/>
        <v>-5.6818181818181823E-2</v>
      </c>
      <c r="L43" s="45">
        <f>IF(ISNUMBER(J43), $B44 * K43, "")</f>
        <v>-5681.818181818182</v>
      </c>
      <c r="M43" s="38">
        <v>24.7</v>
      </c>
      <c r="N43" s="16">
        <f t="shared" si="17"/>
        <v>-6.4393939393939365E-2</v>
      </c>
      <c r="O43" s="45">
        <f>IF(ISNUMBER(M43), $B44 * N43, "")</f>
        <v>-6439.3939393939363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-6.9227371013313055E-2</v>
      </c>
      <c r="F44" s="47">
        <f>SUM(F34:F43)</f>
        <v>-69227.371013313052</v>
      </c>
      <c r="G44" s="57" t="s">
        <v>82</v>
      </c>
      <c r="H44" s="46">
        <f>IF(COUNT(H34:H43), SUM(H34:H43) / COUNT(H34:H43), 0)</f>
        <v>-5.9254360555867011E-2</v>
      </c>
      <c r="I44" s="47">
        <f>SUM(I34:I43)</f>
        <v>-59254.36055586701</v>
      </c>
      <c r="J44" s="57" t="s">
        <v>82</v>
      </c>
      <c r="K44" s="46">
        <f>IF(COUNT(K34:K43), SUM(K34:K43) / COUNT(K34:K43), 0)</f>
        <v>-6.3461961043452142E-2</v>
      </c>
      <c r="L44" s="47">
        <f>SUM(L34:L43)</f>
        <v>-63461.961043452138</v>
      </c>
      <c r="M44" s="57" t="s">
        <v>82</v>
      </c>
      <c r="N44" s="46">
        <f>IF(COUNT(N34:N43), SUM(N34:N43) / COUNT(N34:N43), 0)</f>
        <v>-5.8252966234074742E-2</v>
      </c>
      <c r="O44" s="47">
        <f>SUM(O34:O43)</f>
        <v>-58252.966234074745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51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53" t="s">
        <v>70</v>
      </c>
      <c r="M50" s="18" t="s">
        <v>67</v>
      </c>
      <c r="N50" s="4" t="s">
        <v>68</v>
      </c>
      <c r="O50" s="154" t="s">
        <v>70</v>
      </c>
      <c r="Q50" s="231"/>
      <c r="R50" s="232"/>
    </row>
    <row r="51" spans="1:18" ht="17.25" customHeight="1">
      <c r="A51" s="9" t="s">
        <v>155</v>
      </c>
      <c r="B51" s="31">
        <v>27.2</v>
      </c>
      <c r="C51" s="22">
        <v>3.8167938899999997E-2</v>
      </c>
      <c r="D51" s="89">
        <v>25.6</v>
      </c>
      <c r="E51" s="22">
        <f>IF(ISNUMBER(D51), (D51 - $B51) / $B51, "")</f>
        <v>-5.8823529411764629E-2</v>
      </c>
      <c r="F51" s="43">
        <f>IF(ISNUMBER(D51), $B61 * E51, "")</f>
        <v>-5882.352941176463</v>
      </c>
      <c r="G51" s="77">
        <v>25.8</v>
      </c>
      <c r="H51" s="22">
        <f>IF(ISNUMBER(G51), (G51 - $B51) / $B51, "")</f>
        <v>-5.1470588235294067E-2</v>
      </c>
      <c r="I51" s="43">
        <f>IF(ISNUMBER(G51), $B61 * H51, "")</f>
        <v>-5147.0588235294063</v>
      </c>
      <c r="J51" s="89">
        <v>25.9</v>
      </c>
      <c r="K51" s="22">
        <f>IF(ISNUMBER(J51), (J51 - $B51) / $B51, "")</f>
        <v>-4.7794117647058848E-2</v>
      </c>
      <c r="L51" s="43">
        <f>IF(ISNUMBER(J51), $B61 * K51, "")</f>
        <v>-4779.4117647058847</v>
      </c>
      <c r="M51" s="89">
        <v>25.8</v>
      </c>
      <c r="N51" s="22">
        <f>IF(ISNUMBER(M51), (M51 - $B51) / $B51, "")</f>
        <v>-5.1470588235294067E-2</v>
      </c>
      <c r="O51" s="43">
        <f>IF(ISNUMBER(M51), $B61 * N51, "")</f>
        <v>-5147.0588235294063</v>
      </c>
      <c r="Q51" s="229"/>
      <c r="R51" s="230"/>
    </row>
    <row r="52" spans="1:18" ht="17.25" customHeight="1">
      <c r="A52" s="11" t="s">
        <v>146</v>
      </c>
      <c r="B52" s="32">
        <v>99.7</v>
      </c>
      <c r="C52" s="5">
        <v>2.25641026E-2</v>
      </c>
      <c r="D52" s="36">
        <v>91.8</v>
      </c>
      <c r="E52" s="5">
        <f t="shared" ref="E52:E60" si="18">IF(ISNUMBER(D52), (D52 - $B52) / $B52, "")</f>
        <v>-7.9237713139418312E-2</v>
      </c>
      <c r="F52" s="44">
        <f>IF(ISNUMBER(D52), $B61 * E52, "")</f>
        <v>-7923.7713139418311</v>
      </c>
      <c r="G52" s="77">
        <v>92.9</v>
      </c>
      <c r="H52" s="5">
        <f t="shared" ref="H52:H60" si="19">IF(ISNUMBER(G52), (G52 - $B52) / $B52, "")</f>
        <v>-6.8204613841524542E-2</v>
      </c>
      <c r="I52" s="44">
        <f>IF(ISNUMBER(G52), $B61 * H52, "")</f>
        <v>-6820.4613841524542</v>
      </c>
      <c r="J52" s="36">
        <v>92.1</v>
      </c>
      <c r="K52" s="5">
        <f t="shared" ref="K52:K60" si="20">IF(ISNUMBER(J52), (J52 - $B52) / $B52, "")</f>
        <v>-7.6228686058174608E-2</v>
      </c>
      <c r="L52" s="44">
        <f>IF(ISNUMBER(J52), $B61 * K52, "")</f>
        <v>-7622.8686058174608</v>
      </c>
      <c r="M52" s="36">
        <v>92</v>
      </c>
      <c r="N52" s="5">
        <f t="shared" ref="N52:N60" si="21">IF(ISNUMBER(M52), (M52 - $B52) / $B52, "")</f>
        <v>-7.7231695085255792E-2</v>
      </c>
      <c r="O52" s="44">
        <f>IF(ISNUMBER(M52), $B61 * N52, "")</f>
        <v>-7723.1695085255787</v>
      </c>
      <c r="Q52" s="229"/>
      <c r="R52" s="230"/>
    </row>
    <row r="53" spans="1:18" ht="17.25" customHeight="1">
      <c r="A53" s="11" t="s">
        <v>123</v>
      </c>
      <c r="B53" s="32">
        <v>81.599999999999994</v>
      </c>
      <c r="C53" s="5">
        <v>1.11524164E-2</v>
      </c>
      <c r="D53" s="36">
        <v>77.5</v>
      </c>
      <c r="E53" s="5">
        <f t="shared" si="18"/>
        <v>-5.0245098039215619E-2</v>
      </c>
      <c r="F53" s="44">
        <f>IF(ISNUMBER(D53), $B61 * E53, "")</f>
        <v>-5024.5098039215618</v>
      </c>
      <c r="G53" s="77">
        <v>78.099999999999994</v>
      </c>
      <c r="H53" s="5">
        <f t="shared" si="19"/>
        <v>-4.2892156862745098E-2</v>
      </c>
      <c r="I53" s="44">
        <f>IF(ISNUMBER(G53), $B61 * H53, "")</f>
        <v>-4289.2156862745096</v>
      </c>
      <c r="J53" s="36">
        <v>77.7</v>
      </c>
      <c r="K53" s="5">
        <f t="shared" si="20"/>
        <v>-4.7794117647058723E-2</v>
      </c>
      <c r="L53" s="44">
        <f>IF(ISNUMBER(J53), $B61 * K53, "")</f>
        <v>-4779.411764705872</v>
      </c>
      <c r="M53" s="36">
        <v>77</v>
      </c>
      <c r="N53" s="5">
        <f t="shared" si="21"/>
        <v>-5.6372549019607775E-2</v>
      </c>
      <c r="O53" s="44">
        <f>IF(ISNUMBER(M53), $B61 * N53, "")</f>
        <v>-5637.2549019607777</v>
      </c>
      <c r="Q53" s="229"/>
      <c r="R53" s="230"/>
    </row>
    <row r="54" spans="1:18" ht="17.25" customHeight="1">
      <c r="A54" s="11" t="s">
        <v>148</v>
      </c>
      <c r="B54" s="32">
        <v>95.9</v>
      </c>
      <c r="C54" s="5">
        <v>5.2410900999999999E-3</v>
      </c>
      <c r="D54" s="36">
        <v>93.4</v>
      </c>
      <c r="E54" s="5">
        <f t="shared" si="18"/>
        <v>-2.6068821689259645E-2</v>
      </c>
      <c r="F54" s="44">
        <f>IF(ISNUMBER(D54), $B61 * E54, "")</f>
        <v>-2606.8821689259644</v>
      </c>
      <c r="G54" s="77">
        <v>93.4</v>
      </c>
      <c r="H54" s="5">
        <f t="shared" si="19"/>
        <v>-2.6068821689259645E-2</v>
      </c>
      <c r="I54" s="44">
        <f>IF(ISNUMBER(G54), $B61 * H54, "")</f>
        <v>-2606.8821689259644</v>
      </c>
      <c r="J54" s="36">
        <v>92.5</v>
      </c>
      <c r="K54" s="5">
        <f t="shared" si="20"/>
        <v>-3.5453597497393172E-2</v>
      </c>
      <c r="L54" s="44">
        <f>IF(ISNUMBER(J54), $B61 * K54, "")</f>
        <v>-3545.3597497393171</v>
      </c>
      <c r="M54" s="36">
        <v>91.9</v>
      </c>
      <c r="N54" s="5">
        <f t="shared" si="21"/>
        <v>-4.171011470281543E-2</v>
      </c>
      <c r="O54" s="44">
        <f>IF(ISNUMBER(M54), $B61 * N54, "")</f>
        <v>-4171.0114702815426</v>
      </c>
      <c r="Q54" s="229"/>
      <c r="R54" s="230"/>
    </row>
    <row r="55" spans="1:18" ht="17.25" customHeight="1">
      <c r="A55" s="8" t="s">
        <v>136</v>
      </c>
      <c r="B55" s="33">
        <v>30.1</v>
      </c>
      <c r="C55" s="24">
        <v>-1.63398693E-2</v>
      </c>
      <c r="D55" s="37">
        <v>28</v>
      </c>
      <c r="E55" s="24">
        <f t="shared" si="18"/>
        <v>-6.9767441860465157E-2</v>
      </c>
      <c r="F55" s="44">
        <f>IF(ISNUMBER(D55), $B61 * E55, "")</f>
        <v>-6976.744186046516</v>
      </c>
      <c r="G55" s="77">
        <v>28.3</v>
      </c>
      <c r="H55" s="24">
        <f t="shared" si="19"/>
        <v>-5.9800664451827266E-2</v>
      </c>
      <c r="I55" s="44">
        <f>IF(ISNUMBER(G55), $B61 * H55, "")</f>
        <v>-5980.066445182727</v>
      </c>
      <c r="J55" s="37">
        <v>28.2</v>
      </c>
      <c r="K55" s="24">
        <f t="shared" si="20"/>
        <v>-6.3122923588039934E-2</v>
      </c>
      <c r="L55" s="44">
        <f>IF(ISNUMBER(J55), $B61 * K55, "")</f>
        <v>-6312.292358803993</v>
      </c>
      <c r="M55" s="37">
        <v>28.1</v>
      </c>
      <c r="N55" s="24">
        <f t="shared" si="21"/>
        <v>-6.6445182724252483E-2</v>
      </c>
      <c r="O55" s="44">
        <f>IF(ISNUMBER(M55), $B61 * N55, "")</f>
        <v>-6644.5182724252481</v>
      </c>
      <c r="Q55" s="229"/>
      <c r="R55" s="230"/>
    </row>
    <row r="56" spans="1:18" ht="17.25" customHeight="1">
      <c r="A56" s="11" t="s">
        <v>163</v>
      </c>
      <c r="B56" s="32">
        <v>40</v>
      </c>
      <c r="C56" s="5">
        <v>-6.1032863800000003E-2</v>
      </c>
      <c r="D56" s="36">
        <v>39.4</v>
      </c>
      <c r="E56" s="5">
        <f t="shared" si="18"/>
        <v>-1.5000000000000036E-2</v>
      </c>
      <c r="F56" s="48">
        <f>IF(ISNUMBER(D56), $B61 * E56, "")</f>
        <v>-1500.0000000000036</v>
      </c>
      <c r="G56" s="77">
        <v>41.1</v>
      </c>
      <c r="H56" s="5">
        <f t="shared" si="19"/>
        <v>2.7500000000000035E-2</v>
      </c>
      <c r="I56" s="48">
        <f>IF(ISNUMBER(G56), $B61 * H56, "")</f>
        <v>2750.0000000000036</v>
      </c>
      <c r="J56" s="36">
        <v>40.9</v>
      </c>
      <c r="K56" s="5">
        <f t="shared" si="20"/>
        <v>2.2499999999999964E-2</v>
      </c>
      <c r="L56" s="48">
        <f>IF(ISNUMBER(J56), $B61 * K56, "")</f>
        <v>2249.9999999999964</v>
      </c>
      <c r="M56" s="36">
        <v>55.3</v>
      </c>
      <c r="N56" s="5">
        <f t="shared" si="21"/>
        <v>0.38249999999999995</v>
      </c>
      <c r="O56" s="48">
        <f>IF(ISNUMBER(M56), $B61 * N56, "")</f>
        <v>38249.999999999993</v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-4.9857100690020563E-2</v>
      </c>
      <c r="F61" s="47">
        <f>SUM(F51:F60)</f>
        <v>-29914.26041401234</v>
      </c>
      <c r="G61" s="57" t="s">
        <v>82</v>
      </c>
      <c r="H61" s="46">
        <f>IF(COUNT(H51:H60), SUM(H51:H60) / COUNT(H51:H60), 0)</f>
        <v>-3.6822807513441767E-2</v>
      </c>
      <c r="I61" s="47">
        <f>SUM(I51:I60)</f>
        <v>-22093.684508065056</v>
      </c>
      <c r="J61" s="57" t="s">
        <v>82</v>
      </c>
      <c r="K61" s="46">
        <f>IF(COUNT(K51:K60), SUM(K51:K60) / COUNT(K51:K60), 0)</f>
        <v>-4.1315573739620887E-2</v>
      </c>
      <c r="L61" s="47">
        <f>SUM(L51:L60)</f>
        <v>-24789.344243772532</v>
      </c>
      <c r="M61" s="57" t="s">
        <v>82</v>
      </c>
      <c r="N61" s="46">
        <f>IF(COUNT(N51:N60), SUM(N51:N60) / COUNT(N51:N60), 0)</f>
        <v>1.4878311705462397E-2</v>
      </c>
      <c r="O61" s="47">
        <f>SUM(O51:O60)</f>
        <v>8926.9870232774374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51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53" t="s">
        <v>70</v>
      </c>
      <c r="M67" s="18" t="s">
        <v>67</v>
      </c>
      <c r="N67" s="4" t="s">
        <v>68</v>
      </c>
      <c r="O67" s="154" t="s">
        <v>70</v>
      </c>
      <c r="Q67" s="231"/>
      <c r="R67" s="232"/>
    </row>
    <row r="68" spans="1:18" ht="17.25" customHeight="1">
      <c r="A68" s="9" t="s">
        <v>117</v>
      </c>
      <c r="B68" s="31">
        <v>228</v>
      </c>
      <c r="C68" s="22">
        <v>0.2</v>
      </c>
      <c r="D68" s="89">
        <v>205</v>
      </c>
      <c r="E68" s="22">
        <f>IF(ISNUMBER(D68), (D68 - $B68) / $B68, "")</f>
        <v>-0.10087719298245613</v>
      </c>
      <c r="F68" s="43">
        <f>IF(ISNUMBER(D68), $B78 * E68, "")</f>
        <v>-10087.719298245613</v>
      </c>
      <c r="G68" s="89">
        <v>207</v>
      </c>
      <c r="H68" s="22">
        <f>IF(ISNUMBER(G68), (G68 - $B68) / $B68, "")</f>
        <v>-9.2105263157894732E-2</v>
      </c>
      <c r="I68" s="43">
        <f>IF(ISNUMBER(G68), $B78 * H68, "")</f>
        <v>-9210.5263157894733</v>
      </c>
      <c r="J68" s="89">
        <v>205</v>
      </c>
      <c r="K68" s="22">
        <f>IF(ISNUMBER(J68), (J68 - $B68) / $B68, "")</f>
        <v>-0.10087719298245613</v>
      </c>
      <c r="L68" s="43">
        <f>IF(ISNUMBER(J68), $B78 * K68, "")</f>
        <v>-10087.719298245613</v>
      </c>
      <c r="M68" s="89">
        <v>206</v>
      </c>
      <c r="N68" s="22">
        <f>IF(ISNUMBER(M68), (M68 - $B68) / $B68, "")</f>
        <v>-9.6491228070175433E-2</v>
      </c>
      <c r="O68" s="43">
        <f>IF(ISNUMBER(M68), $B78 * N68, "")</f>
        <v>-9649.1228070175439</v>
      </c>
      <c r="Q68" s="229"/>
      <c r="R68" s="230"/>
    </row>
    <row r="69" spans="1:18" ht="17.25" customHeight="1">
      <c r="A69" s="11" t="s">
        <v>227</v>
      </c>
      <c r="B69" s="32">
        <v>256</v>
      </c>
      <c r="C69" s="5">
        <v>0.14798206280000001</v>
      </c>
      <c r="D69" s="36">
        <v>237</v>
      </c>
      <c r="E69" s="5">
        <f t="shared" ref="E69:E77" si="22">IF(ISNUMBER(D69), (D69 - $B69) / $B69, "")</f>
        <v>-7.421875E-2</v>
      </c>
      <c r="F69" s="44">
        <f>IF(ISNUMBER(D69), $B78 * E69, "")</f>
        <v>-7421.875</v>
      </c>
      <c r="G69" s="36">
        <v>238</v>
      </c>
      <c r="H69" s="5">
        <f t="shared" ref="H69:H77" si="23">IF(ISNUMBER(G69), (G69 - $B69) / $B69, "")</f>
        <v>-7.03125E-2</v>
      </c>
      <c r="I69" s="44">
        <f>IF(ISNUMBER(G69), $B78 * H69, "")</f>
        <v>-7031.25</v>
      </c>
      <c r="J69" s="36">
        <v>234</v>
      </c>
      <c r="K69" s="5">
        <f t="shared" ref="K69:K77" si="24">IF(ISNUMBER(J69), (J69 - $B69) / $B69, "")</f>
        <v>-8.59375E-2</v>
      </c>
      <c r="L69" s="44">
        <f>IF(ISNUMBER(J69), $B78 * K69, "")</f>
        <v>-8593.75</v>
      </c>
      <c r="M69" s="36">
        <v>232</v>
      </c>
      <c r="N69" s="5">
        <f t="shared" ref="N69:N77" si="25">IF(ISNUMBER(M69), (M69 - $B69) / $B69, "")</f>
        <v>-9.375E-2</v>
      </c>
      <c r="O69" s="44">
        <f>IF(ISNUMBER(M69), $B78 * N69, "")</f>
        <v>-9375</v>
      </c>
      <c r="Q69" s="229"/>
      <c r="R69" s="230"/>
    </row>
    <row r="70" spans="1:18" ht="17.25" customHeight="1">
      <c r="A70" s="11" t="s">
        <v>164</v>
      </c>
      <c r="B70" s="32">
        <v>201</v>
      </c>
      <c r="C70" s="5">
        <v>0.1166666667</v>
      </c>
      <c r="D70" s="36">
        <v>193</v>
      </c>
      <c r="E70" s="5">
        <f t="shared" si="22"/>
        <v>-3.9800995024875621E-2</v>
      </c>
      <c r="F70" s="44">
        <f>IF(ISNUMBER(D70), $B78 * E70, "")</f>
        <v>-3980.0995024875619</v>
      </c>
      <c r="G70" s="36">
        <v>194</v>
      </c>
      <c r="H70" s="5">
        <f t="shared" si="23"/>
        <v>-3.482587064676617E-2</v>
      </c>
      <c r="I70" s="44">
        <f>IF(ISNUMBER(G70), $B78 * H70, "")</f>
        <v>-3482.587064676617</v>
      </c>
      <c r="J70" s="36">
        <v>193</v>
      </c>
      <c r="K70" s="5">
        <f t="shared" si="24"/>
        <v>-3.9800995024875621E-2</v>
      </c>
      <c r="L70" s="44">
        <f>IF(ISNUMBER(J70), $B78 * K70, "")</f>
        <v>-3980.0995024875619</v>
      </c>
      <c r="M70" s="36">
        <v>193</v>
      </c>
      <c r="N70" s="5">
        <f t="shared" si="25"/>
        <v>-3.9800995024875621E-2</v>
      </c>
      <c r="O70" s="44">
        <f>IF(ISNUMBER(M70), $B78 * N70, "")</f>
        <v>-3980.0995024875619</v>
      </c>
      <c r="Q70" s="229"/>
      <c r="R70" s="230"/>
    </row>
    <row r="71" spans="1:18" ht="17.25" customHeight="1">
      <c r="A71" s="11" t="s">
        <v>125</v>
      </c>
      <c r="B71" s="32">
        <v>715</v>
      </c>
      <c r="C71" s="5">
        <v>0.11370716509999999</v>
      </c>
      <c r="D71" s="36">
        <v>744</v>
      </c>
      <c r="E71" s="5">
        <f t="shared" si="22"/>
        <v>4.0559440559440559E-2</v>
      </c>
      <c r="F71" s="44">
        <f>IF(ISNUMBER(D71), $B78 * E71, "")</f>
        <v>4055.9440559440559</v>
      </c>
      <c r="G71" s="36">
        <v>794</v>
      </c>
      <c r="H71" s="5">
        <f t="shared" si="23"/>
        <v>0.11048951048951049</v>
      </c>
      <c r="I71" s="44">
        <f>IF(ISNUMBER(G71), $B78 * H71, "")</f>
        <v>11048.951048951049</v>
      </c>
      <c r="J71" s="36">
        <v>804</v>
      </c>
      <c r="K71" s="5">
        <f t="shared" si="24"/>
        <v>0.12447552447552447</v>
      </c>
      <c r="L71" s="44">
        <f>IF(ISNUMBER(J71), $B78 * K71, "")</f>
        <v>12447.552447552447</v>
      </c>
      <c r="M71" s="36">
        <v>809</v>
      </c>
      <c r="N71" s="5">
        <f t="shared" si="25"/>
        <v>0.13146853146853146</v>
      </c>
      <c r="O71" s="44">
        <f>IF(ISNUMBER(M71), $B78 * N71, "")</f>
        <v>13146.853146853146</v>
      </c>
      <c r="Q71" s="229"/>
      <c r="R71" s="230"/>
    </row>
    <row r="72" spans="1:18" ht="17.25" customHeight="1">
      <c r="A72" s="8" t="s">
        <v>140</v>
      </c>
      <c r="B72" s="33">
        <v>465</v>
      </c>
      <c r="C72" s="24">
        <v>8.8992974200000005E-2</v>
      </c>
      <c r="D72" s="37">
        <v>439</v>
      </c>
      <c r="E72" s="24">
        <f t="shared" si="22"/>
        <v>-5.5913978494623658E-2</v>
      </c>
      <c r="F72" s="44">
        <f>IF(ISNUMBER(D72), $B78 * E72, "")</f>
        <v>-5591.3978494623661</v>
      </c>
      <c r="G72" s="37">
        <v>470</v>
      </c>
      <c r="H72" s="24">
        <f t="shared" si="23"/>
        <v>1.0752688172043012E-2</v>
      </c>
      <c r="I72" s="44">
        <f>IF(ISNUMBER(G72), $B78 * H72, "")</f>
        <v>1075.2688172043011</v>
      </c>
      <c r="J72" s="37">
        <v>512</v>
      </c>
      <c r="K72" s="24">
        <f t="shared" si="24"/>
        <v>0.1010752688172043</v>
      </c>
      <c r="L72" s="44">
        <f>IF(ISNUMBER(J72), $B78 * K72, "")</f>
        <v>10107.526881720431</v>
      </c>
      <c r="M72" s="37">
        <v>493</v>
      </c>
      <c r="N72" s="24">
        <f t="shared" si="25"/>
        <v>6.0215053763440864E-2</v>
      </c>
      <c r="O72" s="44">
        <f>IF(ISNUMBER(M72), $B78 * N72, "")</f>
        <v>6021.5053763440865</v>
      </c>
      <c r="Q72" s="229"/>
      <c r="R72" s="230"/>
    </row>
    <row r="73" spans="1:18" ht="17.25" customHeight="1">
      <c r="A73" s="11" t="s">
        <v>126</v>
      </c>
      <c r="B73" s="32">
        <v>231</v>
      </c>
      <c r="C73" s="5">
        <v>8.4507042300000002E-2</v>
      </c>
      <c r="D73" s="36">
        <v>220</v>
      </c>
      <c r="E73" s="5">
        <f t="shared" si="22"/>
        <v>-4.7619047619047616E-2</v>
      </c>
      <c r="F73" s="48">
        <f>IF(ISNUMBER(D73), $B78 * E73, "")</f>
        <v>-4761.9047619047615</v>
      </c>
      <c r="G73" s="36">
        <v>225</v>
      </c>
      <c r="H73" s="5">
        <f t="shared" si="23"/>
        <v>-2.5974025974025976E-2</v>
      </c>
      <c r="I73" s="48">
        <f>IF(ISNUMBER(G73), $B78 * H73, "")</f>
        <v>-2597.4025974025976</v>
      </c>
      <c r="J73" s="36">
        <v>224</v>
      </c>
      <c r="K73" s="5">
        <f t="shared" si="24"/>
        <v>-3.0303030303030304E-2</v>
      </c>
      <c r="L73" s="48">
        <f>IF(ISNUMBER(J73), $B78 * K73, "")</f>
        <v>-3030.3030303030305</v>
      </c>
      <c r="M73" s="36">
        <v>225</v>
      </c>
      <c r="N73" s="5">
        <f t="shared" si="25"/>
        <v>-2.5974025974025976E-2</v>
      </c>
      <c r="O73" s="48">
        <f>IF(ISNUMBER(M73), $B78 * N73, "")</f>
        <v>-2597.4025974025976</v>
      </c>
      <c r="Q73" s="229"/>
      <c r="R73" s="230"/>
    </row>
    <row r="74" spans="1:18" ht="17.25" customHeight="1">
      <c r="A74" s="11" t="s">
        <v>94</v>
      </c>
      <c r="B74" s="32">
        <v>167</v>
      </c>
      <c r="C74" s="5">
        <v>7.7419354800000006E-2</v>
      </c>
      <c r="D74" s="36">
        <v>305</v>
      </c>
      <c r="E74" s="5">
        <f t="shared" si="22"/>
        <v>0.82634730538922152</v>
      </c>
      <c r="F74" s="44">
        <f>IF(ISNUMBER(D74), $B78 * E74, "")</f>
        <v>82634.730538922158</v>
      </c>
      <c r="G74" s="36">
        <v>342</v>
      </c>
      <c r="H74" s="5">
        <f t="shared" si="23"/>
        <v>1.0479041916167664</v>
      </c>
      <c r="I74" s="44">
        <f>IF(ISNUMBER(G74), $B78 * H74, "")</f>
        <v>104790.41916167663</v>
      </c>
      <c r="J74" s="36">
        <v>385</v>
      </c>
      <c r="K74" s="5">
        <f t="shared" si="24"/>
        <v>1.3053892215568863</v>
      </c>
      <c r="L74" s="44">
        <f>IF(ISNUMBER(J74), $B78 * K74, "")</f>
        <v>130538.92215568863</v>
      </c>
      <c r="M74" s="36">
        <v>467</v>
      </c>
      <c r="N74" s="5">
        <f t="shared" si="25"/>
        <v>1.7964071856287425</v>
      </c>
      <c r="O74" s="44">
        <f>IF(ISNUMBER(M74), $B78 * N74, "")</f>
        <v>179640.71856287424</v>
      </c>
      <c r="Q74" s="229"/>
      <c r="R74" s="230"/>
    </row>
    <row r="75" spans="1:18" ht="17.25" customHeight="1">
      <c r="A75" s="11" t="s">
        <v>153</v>
      </c>
      <c r="B75" s="32">
        <v>253</v>
      </c>
      <c r="C75" s="5">
        <v>7.6595744699999996E-2</v>
      </c>
      <c r="D75" s="36">
        <v>237</v>
      </c>
      <c r="E75" s="5">
        <f t="shared" si="22"/>
        <v>-6.3241106719367585E-2</v>
      </c>
      <c r="F75" s="44">
        <f>IF(ISNUMBER(D75), $B78 * E75, "")</f>
        <v>-6324.1106719367581</v>
      </c>
      <c r="G75" s="36">
        <v>237</v>
      </c>
      <c r="H75" s="5">
        <f t="shared" si="23"/>
        <v>-6.3241106719367585E-2</v>
      </c>
      <c r="I75" s="44">
        <f>IF(ISNUMBER(G75), $B78 * H75, "")</f>
        <v>-6324.1106719367581</v>
      </c>
      <c r="J75" s="36">
        <v>235</v>
      </c>
      <c r="K75" s="5">
        <f t="shared" si="24"/>
        <v>-7.1146245059288543E-2</v>
      </c>
      <c r="L75" s="44">
        <f>IF(ISNUMBER(J75), $B78 * K75, "")</f>
        <v>-7114.624505928854</v>
      </c>
      <c r="M75" s="36">
        <v>236</v>
      </c>
      <c r="N75" s="5">
        <f t="shared" si="25"/>
        <v>-6.7193675889328064E-2</v>
      </c>
      <c r="O75" s="44">
        <f>IF(ISNUMBER(M75), $B78 * N75, "")</f>
        <v>-6719.367588932806</v>
      </c>
      <c r="Q75" s="229"/>
      <c r="R75" s="230"/>
    </row>
    <row r="76" spans="1:18" ht="17.25" customHeight="1">
      <c r="A76" s="11" t="s">
        <v>110</v>
      </c>
      <c r="B76" s="32">
        <v>693</v>
      </c>
      <c r="C76" s="5">
        <v>7.4418604700000002E-2</v>
      </c>
      <c r="D76" s="36">
        <v>661</v>
      </c>
      <c r="E76" s="5">
        <f t="shared" si="22"/>
        <v>-4.6176046176046176E-2</v>
      </c>
      <c r="F76" s="44">
        <f>IF(ISNUMBER(D76), $B78 * E76, "")</f>
        <v>-4617.6046176046175</v>
      </c>
      <c r="G76" s="36">
        <v>659</v>
      </c>
      <c r="H76" s="5">
        <f t="shared" si="23"/>
        <v>-4.9062049062049064E-2</v>
      </c>
      <c r="I76" s="44">
        <f>IF(ISNUMBER(G76), $B78 * H76, "")</f>
        <v>-4906.2049062049064</v>
      </c>
      <c r="J76" s="36">
        <v>651</v>
      </c>
      <c r="K76" s="5">
        <f t="shared" si="24"/>
        <v>-6.0606060606060608E-2</v>
      </c>
      <c r="L76" s="44">
        <f>IF(ISNUMBER(J76), $B78 * K76, "")</f>
        <v>-6060.606060606061</v>
      </c>
      <c r="M76" s="36">
        <v>636</v>
      </c>
      <c r="N76" s="5">
        <f t="shared" si="25"/>
        <v>-8.2251082251082255E-2</v>
      </c>
      <c r="O76" s="44">
        <f>IF(ISNUMBER(M76), $B78 * N76, "")</f>
        <v>-8225.1082251082262</v>
      </c>
      <c r="Q76" s="231"/>
      <c r="R76" s="232"/>
    </row>
    <row r="77" spans="1:18" ht="17.25" customHeight="1" thickBot="1">
      <c r="A77" s="13" t="s">
        <v>157</v>
      </c>
      <c r="B77" s="34">
        <v>895</v>
      </c>
      <c r="C77" s="16">
        <v>6.5476190500000003E-2</v>
      </c>
      <c r="D77" s="38">
        <v>855</v>
      </c>
      <c r="E77" s="16">
        <f t="shared" si="22"/>
        <v>-4.4692737430167599E-2</v>
      </c>
      <c r="F77" s="45">
        <f>IF(ISNUMBER(D77), $B78 * E77, "")</f>
        <v>-4469.2737430167599</v>
      </c>
      <c r="G77" s="38">
        <v>851</v>
      </c>
      <c r="H77" s="16">
        <f t="shared" si="23"/>
        <v>-4.9162011173184354E-2</v>
      </c>
      <c r="I77" s="45">
        <f>IF(ISNUMBER(G77), $B78 * H77, "")</f>
        <v>-4916.2011173184355</v>
      </c>
      <c r="J77" s="38">
        <v>853</v>
      </c>
      <c r="K77" s="16">
        <f t="shared" si="24"/>
        <v>-4.6927374301675977E-2</v>
      </c>
      <c r="L77" s="45">
        <f>IF(ISNUMBER(J77), $B78 * K77, "")</f>
        <v>-4692.7374301675973</v>
      </c>
      <c r="M77" s="38">
        <v>851</v>
      </c>
      <c r="N77" s="16">
        <f t="shared" si="25"/>
        <v>-4.9162011173184354E-2</v>
      </c>
      <c r="O77" s="45">
        <f>IF(ISNUMBER(M77), $B78 * N77, "")</f>
        <v>-4916.2011173184355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3.9436689150207767E-2</v>
      </c>
      <c r="F78" s="47">
        <f>SUM(F68:F77)</f>
        <v>39436.689150207778</v>
      </c>
      <c r="G78" s="57" t="s">
        <v>82</v>
      </c>
      <c r="H78" s="46">
        <f>IF(COUNT(H68:H77), SUM(H68:H77) / COUNT(H68:H77), 0)</f>
        <v>7.8446356354503213E-2</v>
      </c>
      <c r="I78" s="47">
        <f>SUM(I68:I77)</f>
        <v>78446.356354503208</v>
      </c>
      <c r="J78" s="57" t="s">
        <v>82</v>
      </c>
      <c r="K78" s="46">
        <f>IF(COUNT(K68:K77), SUM(K68:K77) / COUNT(K68:K77), 0)</f>
        <v>0.10953416165722278</v>
      </c>
      <c r="L78" s="47">
        <f>SUM(L68:L77)</f>
        <v>109534.16165722279</v>
      </c>
      <c r="M78" s="57" t="s">
        <v>82</v>
      </c>
      <c r="N78" s="46">
        <f>IF(COUNT(N68:N77), SUM(N68:N77) / COUNT(N68:N77), 0)</f>
        <v>0.15334677524780432</v>
      </c>
      <c r="O78" s="47">
        <f>SUM(O68:O77)</f>
        <v>153346.77524780433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51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53" t="s">
        <v>70</v>
      </c>
      <c r="M84" s="18" t="s">
        <v>67</v>
      </c>
      <c r="N84" s="4" t="s">
        <v>68</v>
      </c>
      <c r="O84" s="154" t="s">
        <v>70</v>
      </c>
      <c r="Q84" s="231"/>
      <c r="R84" s="232"/>
    </row>
    <row r="85" spans="1:18" ht="17.25" customHeight="1">
      <c r="A85" s="9" t="s">
        <v>103</v>
      </c>
      <c r="B85" s="31">
        <v>110</v>
      </c>
      <c r="C85" s="22">
        <v>5.7692307700000001E-2</v>
      </c>
      <c r="D85" s="89">
        <v>107</v>
      </c>
      <c r="E85" s="22">
        <f>IF(ISNUMBER(D85), (D85 - $B85) / $B85, "")</f>
        <v>-2.7272727272727271E-2</v>
      </c>
      <c r="F85" s="43">
        <f>IF(ISNUMBER(D85), $B95 * E85, "")</f>
        <v>-2727.272727272727</v>
      </c>
      <c r="G85" s="89">
        <v>108</v>
      </c>
      <c r="H85" s="22">
        <f>IF(ISNUMBER(G85), (G85 - $B85) / $B85, "")</f>
        <v>-1.8181818181818181E-2</v>
      </c>
      <c r="I85" s="43">
        <f>IF(ISNUMBER(G85), $B95 * H85, "")</f>
        <v>-1818.181818181818</v>
      </c>
      <c r="J85" s="89">
        <v>108</v>
      </c>
      <c r="K85" s="22">
        <f>IF(ISNUMBER(J85), (J85 - $B85) / $B85, "")</f>
        <v>-1.8181818181818181E-2</v>
      </c>
      <c r="L85" s="43">
        <f>IF(ISNUMBER(J85), $B95 * K85, "")</f>
        <v>-1818.181818181818</v>
      </c>
      <c r="M85" s="89">
        <v>107</v>
      </c>
      <c r="N85" s="22">
        <f>IF(ISNUMBER(M85), (M85 - $B85) / $B85, "")</f>
        <v>-2.7272727272727271E-2</v>
      </c>
      <c r="O85" s="43">
        <f>IF(ISNUMBER(M85), $B95 * N85, "")</f>
        <v>-2727.272727272727</v>
      </c>
      <c r="Q85" s="229"/>
      <c r="R85" s="230"/>
    </row>
    <row r="86" spans="1:18" ht="17.25" customHeight="1">
      <c r="A86" s="11" t="s">
        <v>142</v>
      </c>
      <c r="B86" s="32">
        <v>242</v>
      </c>
      <c r="C86" s="5">
        <v>5.6768559000000003E-2</v>
      </c>
      <c r="D86" s="36">
        <v>223</v>
      </c>
      <c r="E86" s="5">
        <f t="shared" ref="E86:E94" si="26">IF(ISNUMBER(D86), (D86 - $B86) / $B86, "")</f>
        <v>-7.8512396694214878E-2</v>
      </c>
      <c r="F86" s="44">
        <f>IF(ISNUMBER(D86), $B95 * E86, "")</f>
        <v>-7851.2396694214876</v>
      </c>
      <c r="G86" s="36">
        <v>225</v>
      </c>
      <c r="H86" s="5">
        <f t="shared" ref="H86:H94" si="27">IF(ISNUMBER(G86), (G86 - $B86) / $B86, "")</f>
        <v>-7.0247933884297523E-2</v>
      </c>
      <c r="I86" s="44">
        <f>IF(ISNUMBER(G86), $B95 * H86, "")</f>
        <v>-7024.7933884297527</v>
      </c>
      <c r="J86" s="36">
        <v>221</v>
      </c>
      <c r="K86" s="5">
        <f t="shared" ref="K86:K94" si="28">IF(ISNUMBER(J86), (J86 - $B86) / $B86, "")</f>
        <v>-8.6776859504132234E-2</v>
      </c>
      <c r="L86" s="44">
        <f>IF(ISNUMBER(J86), $B95 * K86, "")</f>
        <v>-8677.6859504132226</v>
      </c>
      <c r="M86" s="36">
        <v>219</v>
      </c>
      <c r="N86" s="5">
        <f t="shared" ref="N86:N94" si="29">IF(ISNUMBER(M86), (M86 - $B86) / $B86, "")</f>
        <v>-9.5041322314049589E-2</v>
      </c>
      <c r="O86" s="44">
        <f>IF(ISNUMBER(M86), $B95 * N86, "")</f>
        <v>-9504.1322314049594</v>
      </c>
      <c r="Q86" s="229"/>
      <c r="R86" s="230"/>
    </row>
    <row r="87" spans="1:18" ht="17.25" customHeight="1">
      <c r="A87" s="11" t="s">
        <v>102</v>
      </c>
      <c r="B87" s="32">
        <v>179</v>
      </c>
      <c r="C87" s="5">
        <v>5.2941176499999999E-2</v>
      </c>
      <c r="D87" s="36">
        <v>165</v>
      </c>
      <c r="E87" s="5">
        <f t="shared" si="26"/>
        <v>-7.8212290502793297E-2</v>
      </c>
      <c r="F87" s="44">
        <f>IF(ISNUMBER(D87), $B95 * E87, "")</f>
        <v>-7821.2290502793294</v>
      </c>
      <c r="G87" s="36">
        <v>167</v>
      </c>
      <c r="H87" s="5">
        <f t="shared" si="27"/>
        <v>-6.7039106145251395E-2</v>
      </c>
      <c r="I87" s="44">
        <f>IF(ISNUMBER(G87), $B95 * H87, "")</f>
        <v>-6703.9106145251399</v>
      </c>
      <c r="J87" s="36">
        <v>164</v>
      </c>
      <c r="K87" s="5">
        <f t="shared" si="28"/>
        <v>-8.3798882681564241E-2</v>
      </c>
      <c r="L87" s="44">
        <f>IF(ISNUMBER(J87), $B95 * K87, "")</f>
        <v>-8379.8882681564246</v>
      </c>
      <c r="M87" s="36">
        <v>162</v>
      </c>
      <c r="N87" s="5">
        <f t="shared" si="29"/>
        <v>-9.4972067039106142E-2</v>
      </c>
      <c r="O87" s="44">
        <f>IF(ISNUMBER(M87), $B95 * N87, "")</f>
        <v>-9497.206703910615</v>
      </c>
      <c r="Q87" s="229"/>
      <c r="R87" s="230"/>
    </row>
    <row r="88" spans="1:18" ht="17.25" customHeight="1">
      <c r="A88" s="11" t="s">
        <v>112</v>
      </c>
      <c r="B88" s="32">
        <v>553</v>
      </c>
      <c r="C88" s="5">
        <v>5.1330798499999997E-2</v>
      </c>
      <c r="D88" s="36">
        <v>535</v>
      </c>
      <c r="E88" s="5">
        <f t="shared" si="26"/>
        <v>-3.25497287522604E-2</v>
      </c>
      <c r="F88" s="44">
        <f>IF(ISNUMBER(D88), $B95 * E88, "")</f>
        <v>-3254.9728752260398</v>
      </c>
      <c r="G88" s="36">
        <v>546</v>
      </c>
      <c r="H88" s="5">
        <f t="shared" si="27"/>
        <v>-1.2658227848101266E-2</v>
      </c>
      <c r="I88" s="44">
        <f>IF(ISNUMBER(G88), $B95 * H88, "")</f>
        <v>-1265.8227848101264</v>
      </c>
      <c r="J88" s="36">
        <v>541</v>
      </c>
      <c r="K88" s="5">
        <f t="shared" si="28"/>
        <v>-2.1699819168173599E-2</v>
      </c>
      <c r="L88" s="44">
        <f>IF(ISNUMBER(J88), $B95 * K88, "")</f>
        <v>-2169.9819168173599</v>
      </c>
      <c r="M88" s="36">
        <v>536</v>
      </c>
      <c r="N88" s="5">
        <f t="shared" si="29"/>
        <v>-3.074141048824593E-2</v>
      </c>
      <c r="O88" s="44">
        <f>IF(ISNUMBER(M88), $B95 * N88, "")</f>
        <v>-3074.1410488245929</v>
      </c>
      <c r="Q88" s="229"/>
      <c r="R88" s="230"/>
    </row>
    <row r="89" spans="1:18" ht="17.25" customHeight="1">
      <c r="A89" s="8" t="s">
        <v>99</v>
      </c>
      <c r="B89" s="33">
        <v>269</v>
      </c>
      <c r="C89" s="24">
        <v>4.2635658899999998E-2</v>
      </c>
      <c r="D89" s="37">
        <v>250</v>
      </c>
      <c r="E89" s="24">
        <f t="shared" si="26"/>
        <v>-7.0631970260223054E-2</v>
      </c>
      <c r="F89" s="44">
        <f>IF(ISNUMBER(D89), $B95 * E89, "")</f>
        <v>-7063.1970260223052</v>
      </c>
      <c r="G89" s="37">
        <v>252</v>
      </c>
      <c r="H89" s="24">
        <f t="shared" si="27"/>
        <v>-6.3197026022304828E-2</v>
      </c>
      <c r="I89" s="44">
        <f>IF(ISNUMBER(G89), $B95 * H89, "")</f>
        <v>-6319.7026022304826</v>
      </c>
      <c r="J89" s="37">
        <v>249</v>
      </c>
      <c r="K89" s="24">
        <f t="shared" si="28"/>
        <v>-7.434944237918216E-2</v>
      </c>
      <c r="L89" s="44">
        <f>IF(ISNUMBER(J89), $B95 * K89, "")</f>
        <v>-7434.9442379182155</v>
      </c>
      <c r="M89" s="37">
        <v>249</v>
      </c>
      <c r="N89" s="24">
        <f t="shared" si="29"/>
        <v>-7.434944237918216E-2</v>
      </c>
      <c r="O89" s="44">
        <f>IF(ISNUMBER(M89), $B95 * N89, "")</f>
        <v>-7434.9442379182155</v>
      </c>
      <c r="Q89" s="229"/>
      <c r="R89" s="230"/>
    </row>
    <row r="90" spans="1:18" ht="17.25" customHeight="1">
      <c r="A90" s="11" t="s">
        <v>134</v>
      </c>
      <c r="B90" s="32">
        <v>411</v>
      </c>
      <c r="C90" s="5">
        <v>4.0506329100000002E-2</v>
      </c>
      <c r="D90" s="36">
        <v>383</v>
      </c>
      <c r="E90" s="5">
        <f t="shared" si="26"/>
        <v>-6.8126520681265207E-2</v>
      </c>
      <c r="F90" s="48">
        <f>IF(ISNUMBER(D90), $B95 * E90, "")</f>
        <v>-6812.652068126521</v>
      </c>
      <c r="G90" s="36">
        <v>467</v>
      </c>
      <c r="H90" s="5">
        <f t="shared" si="27"/>
        <v>0.13625304136253041</v>
      </c>
      <c r="I90" s="48">
        <f>IF(ISNUMBER(G90), $B95 * H90, "")</f>
        <v>13625.304136253042</v>
      </c>
      <c r="J90" s="36">
        <v>465</v>
      </c>
      <c r="K90" s="5">
        <f t="shared" si="28"/>
        <v>0.13138686131386862</v>
      </c>
      <c r="L90" s="48">
        <f>IF(ISNUMBER(J90), $B95 * K90, "")</f>
        <v>13138.686131386861</v>
      </c>
      <c r="M90" s="36">
        <v>418</v>
      </c>
      <c r="N90" s="5">
        <f t="shared" si="29"/>
        <v>1.7031630170316302E-2</v>
      </c>
      <c r="O90" s="48">
        <f>IF(ISNUMBER(M90), $B95 * N90, "")</f>
        <v>1703.1630170316303</v>
      </c>
      <c r="Q90" s="229"/>
      <c r="R90" s="230"/>
    </row>
    <row r="91" spans="1:18" ht="17.25" customHeight="1">
      <c r="A91" s="11" t="s">
        <v>113</v>
      </c>
      <c r="B91" s="32">
        <v>132</v>
      </c>
      <c r="C91" s="5">
        <v>3.9370078699999998E-2</v>
      </c>
      <c r="D91" s="36">
        <v>123</v>
      </c>
      <c r="E91" s="5">
        <f t="shared" si="26"/>
        <v>-6.8181818181818177E-2</v>
      </c>
      <c r="F91" s="44">
        <f>IF(ISNUMBER(D91), $B95 * E91, "")</f>
        <v>-6818.181818181818</v>
      </c>
      <c r="G91" s="36">
        <v>123</v>
      </c>
      <c r="H91" s="5">
        <f t="shared" si="27"/>
        <v>-6.8181818181818177E-2</v>
      </c>
      <c r="I91" s="44">
        <f>IF(ISNUMBER(G91), $B95 * H91, "")</f>
        <v>-6818.181818181818</v>
      </c>
      <c r="J91" s="36">
        <v>124</v>
      </c>
      <c r="K91" s="5">
        <f t="shared" si="28"/>
        <v>-6.0606060606060608E-2</v>
      </c>
      <c r="L91" s="44">
        <f>IF(ISNUMBER(J91), $B95 * K91, "")</f>
        <v>-6060.606060606061</v>
      </c>
      <c r="M91" s="36">
        <v>123</v>
      </c>
      <c r="N91" s="5">
        <f t="shared" si="29"/>
        <v>-6.8181818181818177E-2</v>
      </c>
      <c r="O91" s="44">
        <f>IF(ISNUMBER(M91), $B95 * N91, "")</f>
        <v>-6818.181818181818</v>
      </c>
      <c r="Q91" s="229"/>
      <c r="R91" s="230"/>
    </row>
    <row r="92" spans="1:18" ht="17.25" customHeight="1">
      <c r="A92" s="11" t="s">
        <v>128</v>
      </c>
      <c r="B92" s="32">
        <v>106</v>
      </c>
      <c r="C92" s="5">
        <v>3.9215686299999997E-2</v>
      </c>
      <c r="D92" s="36">
        <v>101</v>
      </c>
      <c r="E92" s="5">
        <f t="shared" si="26"/>
        <v>-4.716981132075472E-2</v>
      </c>
      <c r="F92" s="44">
        <f>IF(ISNUMBER(D92), $B95 * E92, "")</f>
        <v>-4716.9811320754725</v>
      </c>
      <c r="G92" s="36">
        <v>101</v>
      </c>
      <c r="H92" s="5">
        <f t="shared" si="27"/>
        <v>-4.716981132075472E-2</v>
      </c>
      <c r="I92" s="44">
        <f>IF(ISNUMBER(G92), $B95 * H92, "")</f>
        <v>-4716.9811320754725</v>
      </c>
      <c r="J92" s="36">
        <v>101</v>
      </c>
      <c r="K92" s="5">
        <f t="shared" si="28"/>
        <v>-4.716981132075472E-2</v>
      </c>
      <c r="L92" s="44">
        <f>IF(ISNUMBER(J92), $B95 * K92, "")</f>
        <v>-4716.9811320754725</v>
      </c>
      <c r="M92" s="36">
        <v>99</v>
      </c>
      <c r="N92" s="5">
        <f t="shared" si="29"/>
        <v>-6.6037735849056603E-2</v>
      </c>
      <c r="O92" s="44">
        <f>IF(ISNUMBER(M92), $B95 * N92, "")</f>
        <v>-6603.7735849056598</v>
      </c>
      <c r="Q92" s="229"/>
      <c r="R92" s="230"/>
    </row>
    <row r="93" spans="1:18" ht="17.25" customHeight="1">
      <c r="A93" s="11" t="s">
        <v>96</v>
      </c>
      <c r="B93" s="32">
        <v>853</v>
      </c>
      <c r="C93" s="5">
        <v>3.6452004900000001E-2</v>
      </c>
      <c r="D93" s="36">
        <v>827</v>
      </c>
      <c r="E93" s="5">
        <f t="shared" si="26"/>
        <v>-3.048065650644783E-2</v>
      </c>
      <c r="F93" s="44">
        <f>IF(ISNUMBER(D93), $B95 * E93, "")</f>
        <v>-3048.0656506447831</v>
      </c>
      <c r="G93" s="36">
        <v>857</v>
      </c>
      <c r="H93" s="5">
        <f t="shared" si="27"/>
        <v>4.6893317702227429E-3</v>
      </c>
      <c r="I93" s="44">
        <f>IF(ISNUMBER(G93), $B95 * H93, "")</f>
        <v>468.93317702227426</v>
      </c>
      <c r="J93" s="36">
        <v>843</v>
      </c>
      <c r="K93" s="5">
        <f t="shared" si="28"/>
        <v>-1.1723329425556858E-2</v>
      </c>
      <c r="L93" s="44">
        <f>IF(ISNUMBER(J93), $B95 * K93, "")</f>
        <v>-1172.3329425556858</v>
      </c>
      <c r="M93" s="36">
        <v>851</v>
      </c>
      <c r="N93" s="5">
        <f t="shared" si="29"/>
        <v>-2.3446658851113715E-3</v>
      </c>
      <c r="O93" s="44">
        <f>IF(ISNUMBER(M93), $B95 * N93, "")</f>
        <v>-234.46658851113713</v>
      </c>
      <c r="Q93" s="231"/>
      <c r="R93" s="232"/>
    </row>
    <row r="94" spans="1:18" ht="17.25" customHeight="1" thickBot="1">
      <c r="A94" s="13" t="s">
        <v>98</v>
      </c>
      <c r="B94" s="34">
        <v>293</v>
      </c>
      <c r="C94" s="16">
        <v>3.1690140800000002E-2</v>
      </c>
      <c r="D94" s="38">
        <v>280</v>
      </c>
      <c r="E94" s="16">
        <f t="shared" si="26"/>
        <v>-4.4368600682593858E-2</v>
      </c>
      <c r="F94" s="45">
        <f>IF(ISNUMBER(D94), $B95 * E94, "")</f>
        <v>-4436.860068259386</v>
      </c>
      <c r="G94" s="38">
        <v>286</v>
      </c>
      <c r="H94" s="16">
        <f t="shared" si="27"/>
        <v>-2.3890784982935155E-2</v>
      </c>
      <c r="I94" s="45">
        <f>IF(ISNUMBER(G94), $B95 * H94, "")</f>
        <v>-2389.0784982935156</v>
      </c>
      <c r="J94" s="38">
        <v>279</v>
      </c>
      <c r="K94" s="16">
        <f t="shared" si="28"/>
        <v>-4.778156996587031E-2</v>
      </c>
      <c r="L94" s="45">
        <f>IF(ISNUMBER(J94), $B95 * K94, "")</f>
        <v>-4778.1569965870312</v>
      </c>
      <c r="M94" s="38">
        <v>277</v>
      </c>
      <c r="N94" s="16">
        <f t="shared" si="29"/>
        <v>-5.4607508532423209E-2</v>
      </c>
      <c r="O94" s="45">
        <f>IF(ISNUMBER(M94), $B95 * N94, "")</f>
        <v>-5460.7508532423208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-5.4550652085509875E-2</v>
      </c>
      <c r="F95" s="47">
        <f>SUM(F85:F94)</f>
        <v>-54550.652085509879</v>
      </c>
      <c r="G95" s="57" t="s">
        <v>82</v>
      </c>
      <c r="H95" s="46">
        <f>IF(COUNT(H85:H94), SUM(H85:H94) / COUNT(H85:H94), 0)</f>
        <v>-2.2962415343452804E-2</v>
      </c>
      <c r="I95" s="47">
        <f>SUM(I85:I94)</f>
        <v>-22962.415343452809</v>
      </c>
      <c r="J95" s="57" t="s">
        <v>82</v>
      </c>
      <c r="K95" s="46">
        <f>IF(COUNT(K85:K94), SUM(K85:K94) / COUNT(K85:K94), 0)</f>
        <v>-3.2070073191924425E-2</v>
      </c>
      <c r="L95" s="47">
        <f>SUM(L85:L94)</f>
        <v>-32070.073191924428</v>
      </c>
      <c r="M95" s="57" t="s">
        <v>82</v>
      </c>
      <c r="N95" s="46">
        <f>IF(COUNT(N85:N94), SUM(N85:N94) / COUNT(N85:N94), 0)</f>
        <v>-4.9651706777140411E-2</v>
      </c>
      <c r="O95" s="47">
        <f>SUM(O85:O94)</f>
        <v>-49651.706777140418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51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53" t="s">
        <v>70</v>
      </c>
      <c r="M101" s="18" t="s">
        <v>67</v>
      </c>
      <c r="N101" s="4" t="s">
        <v>68</v>
      </c>
      <c r="O101" s="154" t="s">
        <v>70</v>
      </c>
      <c r="Q101" s="231"/>
      <c r="R101" s="232"/>
    </row>
    <row r="102" spans="1:18" ht="17.25" customHeight="1">
      <c r="A102" s="9" t="s">
        <v>117</v>
      </c>
      <c r="B102" s="31">
        <v>228</v>
      </c>
      <c r="C102" s="22">
        <v>0.2</v>
      </c>
      <c r="D102" s="89">
        <v>205</v>
      </c>
      <c r="E102" s="22">
        <f>IF(ISNUMBER(D102), (D102 - $B102) / $B102, "")</f>
        <v>-0.10087719298245613</v>
      </c>
      <c r="F102" s="43">
        <f>IF(ISNUMBER(D102), $B112 * E102, "")</f>
        <v>-10087.719298245613</v>
      </c>
      <c r="G102" s="89">
        <v>207</v>
      </c>
      <c r="H102" s="22">
        <f>IF(ISNUMBER(G102), (G102 - $B102) / $B102, "")</f>
        <v>-9.2105263157894732E-2</v>
      </c>
      <c r="I102" s="43">
        <f>IF(ISNUMBER(G102), $B112 * H102, "")</f>
        <v>-9210.5263157894733</v>
      </c>
      <c r="J102" s="89">
        <v>205</v>
      </c>
      <c r="K102" s="22">
        <f>IF(ISNUMBER(J102), (J102 - $B102) / $B102, "")</f>
        <v>-0.10087719298245613</v>
      </c>
      <c r="L102" s="43">
        <f>IF(ISNUMBER(J102), $B112 * K102, "")</f>
        <v>-10087.719298245613</v>
      </c>
      <c r="M102" s="89">
        <v>206</v>
      </c>
      <c r="N102" s="22">
        <f>IF(ISNUMBER(M102), (M102 - $B102) / $B102, "")</f>
        <v>-9.6491228070175433E-2</v>
      </c>
      <c r="O102" s="43">
        <f>IF(ISNUMBER(M102), $B112 * N102, "")</f>
        <v>-9649.1228070175439</v>
      </c>
      <c r="Q102" s="229"/>
      <c r="R102" s="230"/>
    </row>
    <row r="103" spans="1:18" ht="17.25" customHeight="1">
      <c r="A103" s="11" t="s">
        <v>227</v>
      </c>
      <c r="B103" s="32">
        <v>256</v>
      </c>
      <c r="C103" s="5">
        <v>0.14798206280000001</v>
      </c>
      <c r="D103" s="36">
        <v>237</v>
      </c>
      <c r="E103" s="5">
        <f t="shared" ref="E103:E111" si="30">IF(ISNUMBER(D103), (D103 - $B103) / $B103, "")</f>
        <v>-7.421875E-2</v>
      </c>
      <c r="F103" s="44">
        <f>IF(ISNUMBER(D103), $B112 * E103, "")</f>
        <v>-7421.875</v>
      </c>
      <c r="G103" s="36">
        <v>238</v>
      </c>
      <c r="H103" s="5">
        <f t="shared" ref="H103:H111" si="31">IF(ISNUMBER(G103), (G103 - $B103) / $B103, "")</f>
        <v>-7.03125E-2</v>
      </c>
      <c r="I103" s="44">
        <f>IF(ISNUMBER(G103), $B112 * H103, "")</f>
        <v>-7031.25</v>
      </c>
      <c r="J103" s="36">
        <v>234</v>
      </c>
      <c r="K103" s="5">
        <f t="shared" ref="K103:K111" si="32">IF(ISNUMBER(J103), (J103 - $B103) / $B103, "")</f>
        <v>-8.59375E-2</v>
      </c>
      <c r="L103" s="44">
        <f>IF(ISNUMBER(J103), $B112 * K103, "")</f>
        <v>-8593.75</v>
      </c>
      <c r="M103" s="36">
        <v>232</v>
      </c>
      <c r="N103" s="5">
        <f t="shared" ref="N103:N111" si="33">IF(ISNUMBER(M103), (M103 - $B103) / $B103, "")</f>
        <v>-9.375E-2</v>
      </c>
      <c r="O103" s="44">
        <f>IF(ISNUMBER(M103), $B112 * N103, "")</f>
        <v>-9375</v>
      </c>
      <c r="Q103" s="229"/>
      <c r="R103" s="230"/>
    </row>
    <row r="104" spans="1:18" ht="17.25" customHeight="1">
      <c r="A104" s="11" t="s">
        <v>164</v>
      </c>
      <c r="B104" s="32">
        <v>201</v>
      </c>
      <c r="C104" s="5">
        <v>0.1166666667</v>
      </c>
      <c r="D104" s="36">
        <v>193</v>
      </c>
      <c r="E104" s="5">
        <f t="shared" si="30"/>
        <v>-3.9800995024875621E-2</v>
      </c>
      <c r="F104" s="44">
        <f>IF(ISNUMBER(D104), $B112 * E104, "")</f>
        <v>-3980.0995024875619</v>
      </c>
      <c r="G104" s="36">
        <v>194</v>
      </c>
      <c r="H104" s="5">
        <f t="shared" si="31"/>
        <v>-3.482587064676617E-2</v>
      </c>
      <c r="I104" s="44">
        <f>IF(ISNUMBER(G104), $B112 * H104, "")</f>
        <v>-3482.587064676617</v>
      </c>
      <c r="J104" s="36">
        <v>193</v>
      </c>
      <c r="K104" s="5">
        <f t="shared" si="32"/>
        <v>-3.9800995024875621E-2</v>
      </c>
      <c r="L104" s="44">
        <f>IF(ISNUMBER(J104), $B112 * K104, "")</f>
        <v>-3980.0995024875619</v>
      </c>
      <c r="M104" s="36">
        <v>193</v>
      </c>
      <c r="N104" s="5">
        <f t="shared" si="33"/>
        <v>-3.9800995024875621E-2</v>
      </c>
      <c r="O104" s="44">
        <f>IF(ISNUMBER(M104), $B112 * N104, "")</f>
        <v>-3980.0995024875619</v>
      </c>
      <c r="Q104" s="229"/>
      <c r="R104" s="230"/>
    </row>
    <row r="105" spans="1:18" ht="17.25" customHeight="1">
      <c r="A105" s="11" t="s">
        <v>125</v>
      </c>
      <c r="B105" s="32">
        <v>715</v>
      </c>
      <c r="C105" s="5">
        <v>0.11370716509999999</v>
      </c>
      <c r="D105" s="36">
        <v>744</v>
      </c>
      <c r="E105" s="5">
        <f t="shared" si="30"/>
        <v>4.0559440559440559E-2</v>
      </c>
      <c r="F105" s="44">
        <f>IF(ISNUMBER(D105), $B112 * E105, "")</f>
        <v>4055.9440559440559</v>
      </c>
      <c r="G105" s="36">
        <v>794</v>
      </c>
      <c r="H105" s="5">
        <f t="shared" si="31"/>
        <v>0.11048951048951049</v>
      </c>
      <c r="I105" s="44">
        <f>IF(ISNUMBER(G105), $B112 * H105, "")</f>
        <v>11048.951048951049</v>
      </c>
      <c r="J105" s="36">
        <v>804</v>
      </c>
      <c r="K105" s="5">
        <f t="shared" si="32"/>
        <v>0.12447552447552447</v>
      </c>
      <c r="L105" s="44">
        <f>IF(ISNUMBER(J105), $B112 * K105, "")</f>
        <v>12447.552447552447</v>
      </c>
      <c r="M105" s="36">
        <v>809</v>
      </c>
      <c r="N105" s="5">
        <f t="shared" si="33"/>
        <v>0.13146853146853146</v>
      </c>
      <c r="O105" s="44">
        <f>IF(ISNUMBER(M105), $B112 * N105, "")</f>
        <v>13146.853146853146</v>
      </c>
      <c r="Q105" s="229"/>
      <c r="R105" s="230"/>
    </row>
    <row r="106" spans="1:18" ht="17.25" customHeight="1">
      <c r="A106" s="8" t="s">
        <v>212</v>
      </c>
      <c r="B106" s="33">
        <v>31140</v>
      </c>
      <c r="C106" s="24">
        <v>0.11055634809999999</v>
      </c>
      <c r="D106" s="37">
        <v>38820</v>
      </c>
      <c r="E106" s="24">
        <f t="shared" si="30"/>
        <v>0.2466281310211946</v>
      </c>
      <c r="F106" s="44">
        <f>IF(ISNUMBER(D106), $B112 * E106, "")</f>
        <v>24662.81310211946</v>
      </c>
      <c r="G106" s="37">
        <v>39730</v>
      </c>
      <c r="H106" s="24">
        <f t="shared" si="31"/>
        <v>0.27585099550417469</v>
      </c>
      <c r="I106" s="44">
        <f>IF(ISNUMBER(G106), $B112 * H106, "")</f>
        <v>27585.099550417468</v>
      </c>
      <c r="J106" s="37">
        <v>38920</v>
      </c>
      <c r="K106" s="24">
        <f t="shared" si="32"/>
        <v>0.24983943481053308</v>
      </c>
      <c r="L106" s="44">
        <f>IF(ISNUMBER(J106), $B112 * K106, "")</f>
        <v>24983.943481053309</v>
      </c>
      <c r="M106" s="37">
        <v>41540</v>
      </c>
      <c r="N106" s="24">
        <f t="shared" si="33"/>
        <v>0.33397559409120103</v>
      </c>
      <c r="O106" s="44">
        <f>IF(ISNUMBER(M106), $B112 * N106, "")</f>
        <v>33397.559409120106</v>
      </c>
      <c r="Q106" s="229"/>
      <c r="R106" s="230"/>
    </row>
    <row r="107" spans="1:18" ht="17.25" customHeight="1">
      <c r="A107" s="11" t="s">
        <v>158</v>
      </c>
      <c r="B107" s="32">
        <v>31.5</v>
      </c>
      <c r="C107" s="5">
        <v>9.375E-2</v>
      </c>
      <c r="D107" s="36">
        <v>29.5</v>
      </c>
      <c r="E107" s="5">
        <f t="shared" si="30"/>
        <v>-6.3492063492063489E-2</v>
      </c>
      <c r="F107" s="48">
        <f>IF(ISNUMBER(D107), $B112 * E107, "")</f>
        <v>-6349.2063492063489</v>
      </c>
      <c r="G107" s="36">
        <v>29.7</v>
      </c>
      <c r="H107" s="5">
        <f t="shared" si="31"/>
        <v>-5.7142857142857169E-2</v>
      </c>
      <c r="I107" s="48">
        <f>IF(ISNUMBER(G107), $B112 * H107, "")</f>
        <v>-5714.2857142857165</v>
      </c>
      <c r="J107" s="36">
        <v>29.6</v>
      </c>
      <c r="K107" s="5">
        <f t="shared" si="32"/>
        <v>-6.031746031746027E-2</v>
      </c>
      <c r="L107" s="48">
        <f>IF(ISNUMBER(J107), $B112 * K107, "")</f>
        <v>-6031.7460317460273</v>
      </c>
      <c r="M107" s="36">
        <v>29.4</v>
      </c>
      <c r="N107" s="5">
        <f t="shared" si="33"/>
        <v>-6.6666666666666707E-2</v>
      </c>
      <c r="O107" s="48">
        <f>IF(ISNUMBER(M107), $B112 * N107, "")</f>
        <v>-6666.6666666666706</v>
      </c>
      <c r="Q107" s="229"/>
      <c r="R107" s="230"/>
    </row>
    <row r="108" spans="1:18" ht="17.25" customHeight="1">
      <c r="A108" s="11" t="s">
        <v>140</v>
      </c>
      <c r="B108" s="32">
        <v>465</v>
      </c>
      <c r="C108" s="5">
        <v>8.8992974200000005E-2</v>
      </c>
      <c r="D108" s="36">
        <v>439</v>
      </c>
      <c r="E108" s="5">
        <f t="shared" si="30"/>
        <v>-5.5913978494623658E-2</v>
      </c>
      <c r="F108" s="44">
        <f>IF(ISNUMBER(D108), $B112 * E108, "")</f>
        <v>-5591.3978494623661</v>
      </c>
      <c r="G108" s="36">
        <v>470</v>
      </c>
      <c r="H108" s="5">
        <f t="shared" si="31"/>
        <v>1.0752688172043012E-2</v>
      </c>
      <c r="I108" s="44">
        <f>IF(ISNUMBER(G108), $B112 * H108, "")</f>
        <v>1075.2688172043011</v>
      </c>
      <c r="J108" s="36">
        <v>512</v>
      </c>
      <c r="K108" s="5">
        <f t="shared" si="32"/>
        <v>0.1010752688172043</v>
      </c>
      <c r="L108" s="44">
        <f>IF(ISNUMBER(J108), $B112 * K108, "")</f>
        <v>10107.526881720431</v>
      </c>
      <c r="M108" s="36">
        <v>493</v>
      </c>
      <c r="N108" s="5">
        <f t="shared" si="33"/>
        <v>6.0215053763440864E-2</v>
      </c>
      <c r="O108" s="44">
        <f>IF(ISNUMBER(M108), $B112 * N108, "")</f>
        <v>6021.5053763440865</v>
      </c>
      <c r="Q108" s="229"/>
      <c r="R108" s="230"/>
    </row>
    <row r="109" spans="1:18" ht="17.25" customHeight="1">
      <c r="A109" s="11" t="s">
        <v>126</v>
      </c>
      <c r="B109" s="32">
        <v>231</v>
      </c>
      <c r="C109" s="5">
        <v>8.4507042300000002E-2</v>
      </c>
      <c r="D109" s="36">
        <v>220</v>
      </c>
      <c r="E109" s="5">
        <f t="shared" si="30"/>
        <v>-4.7619047619047616E-2</v>
      </c>
      <c r="F109" s="44">
        <f>IF(ISNUMBER(D109), $B112 * E109, "")</f>
        <v>-4761.9047619047615</v>
      </c>
      <c r="G109" s="36">
        <v>225</v>
      </c>
      <c r="H109" s="5">
        <f t="shared" si="31"/>
        <v>-2.5974025974025976E-2</v>
      </c>
      <c r="I109" s="44">
        <f>IF(ISNUMBER(G109), $B112 * H109, "")</f>
        <v>-2597.4025974025976</v>
      </c>
      <c r="J109" s="36">
        <v>224</v>
      </c>
      <c r="K109" s="5">
        <f t="shared" si="32"/>
        <v>-3.0303030303030304E-2</v>
      </c>
      <c r="L109" s="44">
        <f>IF(ISNUMBER(J109), $B112 * K109, "")</f>
        <v>-3030.3030303030305</v>
      </c>
      <c r="M109" s="36">
        <v>225</v>
      </c>
      <c r="N109" s="5">
        <f t="shared" si="33"/>
        <v>-2.5974025974025976E-2</v>
      </c>
      <c r="O109" s="44">
        <f>IF(ISNUMBER(M109), $B112 * N109, "")</f>
        <v>-2597.4025974025976</v>
      </c>
      <c r="Q109" s="229"/>
      <c r="R109" s="230"/>
    </row>
    <row r="110" spans="1:18" ht="17.25" customHeight="1">
      <c r="A110" s="11" t="s">
        <v>95</v>
      </c>
      <c r="B110" s="32">
        <v>30.8</v>
      </c>
      <c r="C110" s="5">
        <v>8.0701754400000006E-2</v>
      </c>
      <c r="D110" s="36">
        <v>28.1</v>
      </c>
      <c r="E110" s="5">
        <f t="shared" si="30"/>
        <v>-8.7662337662337636E-2</v>
      </c>
      <c r="F110" s="44">
        <f>IF(ISNUMBER(D110), $B112 * E110, "")</f>
        <v>-8766.2337662337632</v>
      </c>
      <c r="G110" s="36">
        <v>28.4</v>
      </c>
      <c r="H110" s="5">
        <f t="shared" si="31"/>
        <v>-7.792207792207799E-2</v>
      </c>
      <c r="I110" s="44">
        <f>IF(ISNUMBER(G110), $B112 * H110, "")</f>
        <v>-7792.2077922077988</v>
      </c>
      <c r="J110" s="36">
        <v>28.3</v>
      </c>
      <c r="K110" s="5">
        <f t="shared" si="32"/>
        <v>-8.1168831168831168E-2</v>
      </c>
      <c r="L110" s="44">
        <f>IF(ISNUMBER(J110), $B112 * K110, "")</f>
        <v>-8116.8831168831166</v>
      </c>
      <c r="M110" s="36">
        <v>29.4</v>
      </c>
      <c r="N110" s="5">
        <f t="shared" si="33"/>
        <v>-4.5454545454545525E-2</v>
      </c>
      <c r="O110" s="44">
        <f>IF(ISNUMBER(M110), $B112 * N110, "")</f>
        <v>-4545.4545454545523</v>
      </c>
      <c r="Q110" s="231"/>
      <c r="R110" s="232"/>
    </row>
    <row r="111" spans="1:18" ht="17.25" customHeight="1" thickBot="1">
      <c r="A111" s="13" t="s">
        <v>94</v>
      </c>
      <c r="B111" s="34">
        <v>167</v>
      </c>
      <c r="C111" s="16">
        <v>7.7419354800000006E-2</v>
      </c>
      <c r="D111" s="38">
        <v>305</v>
      </c>
      <c r="E111" s="16">
        <f t="shared" si="30"/>
        <v>0.82634730538922152</v>
      </c>
      <c r="F111" s="45">
        <f>IF(ISNUMBER(D111), $B112 * E111, "")</f>
        <v>82634.730538922158</v>
      </c>
      <c r="G111" s="38">
        <v>342</v>
      </c>
      <c r="H111" s="16">
        <f t="shared" si="31"/>
        <v>1.0479041916167664</v>
      </c>
      <c r="I111" s="45">
        <f>IF(ISNUMBER(G111), $B112 * H111, "")</f>
        <v>104790.41916167663</v>
      </c>
      <c r="J111" s="38">
        <v>385</v>
      </c>
      <c r="K111" s="16">
        <f t="shared" si="32"/>
        <v>1.3053892215568863</v>
      </c>
      <c r="L111" s="45">
        <f>IF(ISNUMBER(J111), $B112 * K111, "")</f>
        <v>130538.92215568863</v>
      </c>
      <c r="M111" s="38">
        <v>467</v>
      </c>
      <c r="N111" s="16">
        <f t="shared" si="33"/>
        <v>1.7964071856287425</v>
      </c>
      <c r="O111" s="45">
        <f>IF(ISNUMBER(M111), $B112 * N111, "")</f>
        <v>179640.71856287424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6.4395051169445258E-2</v>
      </c>
      <c r="F112" s="47">
        <f>SUM(F102:F111)</f>
        <v>64395.051169445258</v>
      </c>
      <c r="G112" s="57" t="s">
        <v>82</v>
      </c>
      <c r="H112" s="46">
        <f>IF(COUNT(H102:H111), SUM(H102:H111) / COUNT(H102:H111), 0)</f>
        <v>0.10867147909388726</v>
      </c>
      <c r="I112" s="47">
        <f>SUM(I102:I111)</f>
        <v>108671.47909388725</v>
      </c>
      <c r="J112" s="57" t="s">
        <v>82</v>
      </c>
      <c r="K112" s="46">
        <f>IF(COUNT(K102:K111), SUM(K102:K111) / COUNT(K102:K111), 0)</f>
        <v>0.13823744398634946</v>
      </c>
      <c r="L112" s="47">
        <f>SUM(L102:L111)</f>
        <v>138237.44398634948</v>
      </c>
      <c r="M112" s="57" t="s">
        <v>82</v>
      </c>
      <c r="N112" s="46">
        <f>IF(COUNT(N102:N111), SUM(N102:N111) / COUNT(N102:N111), 0)</f>
        <v>0.19539289037616264</v>
      </c>
      <c r="O112" s="47">
        <f>SUM(O102:O111)</f>
        <v>195392.89037616266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497" priority="89">
      <formula>$E$27&gt;0</formula>
    </cfRule>
    <cfRule type="expression" dxfId="496" priority="90">
      <formula>$E$27&lt;0</formula>
    </cfRule>
  </conditionalFormatting>
  <conditionalFormatting sqref="G15:I16 H27:I27">
    <cfRule type="expression" dxfId="495" priority="87">
      <formula>$H$27&gt;0</formula>
    </cfRule>
    <cfRule type="expression" dxfId="494" priority="88">
      <formula>$H$27&lt;0</formula>
    </cfRule>
  </conditionalFormatting>
  <conditionalFormatting sqref="J15:L16 K27:L27">
    <cfRule type="expression" dxfId="493" priority="85">
      <formula>$K$27&gt;0</formula>
    </cfRule>
    <cfRule type="expression" dxfId="492" priority="86">
      <formula>$K$27&lt;0</formula>
    </cfRule>
  </conditionalFormatting>
  <conditionalFormatting sqref="M15:O16 N27:O27">
    <cfRule type="expression" dxfId="491" priority="83">
      <formula>$N$27&gt;0</formula>
    </cfRule>
    <cfRule type="expression" dxfId="490" priority="84">
      <formula>$N$27&lt;0</formula>
    </cfRule>
  </conditionalFormatting>
  <conditionalFormatting sqref="A17:O26 A34:O43">
    <cfRule type="expression" dxfId="489" priority="91">
      <formula>AND($N17 &gt; 0, ISNUMBER($N17))</formula>
    </cfRule>
    <cfRule type="expression" dxfId="488" priority="92">
      <formula>AND($N17 &lt; 0, ISNUMBER($N17))</formula>
    </cfRule>
    <cfRule type="expression" dxfId="487" priority="93">
      <formula>AND($K17 &gt; 0, ISNUMBER($K17))</formula>
    </cfRule>
    <cfRule type="expression" dxfId="486" priority="94">
      <formula>AND($K17 &lt; 0, ISNUMBER($K17))</formula>
    </cfRule>
    <cfRule type="expression" dxfId="485" priority="95">
      <formula>AND($H17 &gt; 0, ISNUMBER($H17))</formula>
    </cfRule>
    <cfRule type="expression" dxfId="484" priority="96">
      <formula>AND($H17 &lt; 0, ISNUMBER($H17))</formula>
    </cfRule>
    <cfRule type="expression" dxfId="483" priority="97">
      <formula>AND($E17 &gt; 0, ISNUMBER($E17))</formula>
    </cfRule>
    <cfRule type="expression" dxfId="482" priority="98">
      <formula>AND($E17 &lt; 0, ISNUMBER($E17))</formula>
    </cfRule>
  </conditionalFormatting>
  <conditionalFormatting sqref="D32:F33 E44:F44">
    <cfRule type="expression" dxfId="481" priority="81">
      <formula>$E$44&gt;0</formula>
    </cfRule>
    <cfRule type="expression" dxfId="480" priority="82">
      <formula>$E$44&lt;0</formula>
    </cfRule>
  </conditionalFormatting>
  <conditionalFormatting sqref="G32:I33 H44:I44">
    <cfRule type="expression" dxfId="479" priority="79">
      <formula>$H$44&gt;0</formula>
    </cfRule>
    <cfRule type="expression" dxfId="478" priority="80">
      <formula>$H$44&lt;0</formula>
    </cfRule>
  </conditionalFormatting>
  <conditionalFormatting sqref="J32:L33 K44:L44">
    <cfRule type="expression" dxfId="477" priority="77">
      <formula>$K$44&gt;0</formula>
    </cfRule>
    <cfRule type="expression" dxfId="476" priority="78">
      <formula>$K$44&lt;0</formula>
    </cfRule>
  </conditionalFormatting>
  <conditionalFormatting sqref="M32:O33 N44:O44">
    <cfRule type="expression" dxfId="475" priority="75">
      <formula>$N$44&gt;0</formula>
    </cfRule>
    <cfRule type="expression" dxfId="474" priority="76">
      <formula>$N$44&lt;0</formula>
    </cfRule>
  </conditionalFormatting>
  <conditionalFormatting sqref="A51:O60">
    <cfRule type="expression" dxfId="473" priority="67">
      <formula>AND($N51 &gt; 0, ISNUMBER($N51))</formula>
    </cfRule>
    <cfRule type="expression" dxfId="472" priority="68">
      <formula>AND($N51 &lt; 0, ISNUMBER($N51))</formula>
    </cfRule>
    <cfRule type="expression" dxfId="471" priority="69">
      <formula>AND($K51 &gt; 0, ISNUMBER($K51))</formula>
    </cfRule>
    <cfRule type="expression" dxfId="470" priority="70">
      <formula>AND($K51 &lt; 0, ISNUMBER($K51))</formula>
    </cfRule>
    <cfRule type="expression" dxfId="469" priority="71">
      <formula>AND($H51 &gt; 0, ISNUMBER($H51))</formula>
    </cfRule>
    <cfRule type="expression" dxfId="468" priority="72">
      <formula>AND($H51 &lt; 0, ISNUMBER($H51))</formula>
    </cfRule>
    <cfRule type="expression" dxfId="467" priority="73">
      <formula>AND($E51 &gt; 0, ISNUMBER($E51))</formula>
    </cfRule>
    <cfRule type="expression" dxfId="466" priority="74">
      <formula>AND($E51 &lt; 0, ISNUMBER($E51))</formula>
    </cfRule>
  </conditionalFormatting>
  <conditionalFormatting sqref="D49:F50 E61:F61">
    <cfRule type="expression" dxfId="465" priority="65">
      <formula>$E$61&gt;0</formula>
    </cfRule>
    <cfRule type="expression" dxfId="464" priority="66">
      <formula>$E$61&lt;0</formula>
    </cfRule>
  </conditionalFormatting>
  <conditionalFormatting sqref="G49:I50 H61:I61">
    <cfRule type="expression" dxfId="463" priority="63">
      <formula>$H$61&gt;0</formula>
    </cfRule>
    <cfRule type="expression" dxfId="462" priority="64">
      <formula>$H$61&lt;0</formula>
    </cfRule>
  </conditionalFormatting>
  <conditionalFormatting sqref="J49:L50 K61:L61">
    <cfRule type="expression" dxfId="461" priority="61">
      <formula>$K$61&gt;0</formula>
    </cfRule>
    <cfRule type="expression" dxfId="460" priority="62">
      <formula>$K$61&lt;0</formula>
    </cfRule>
  </conditionalFormatting>
  <conditionalFormatting sqref="M49:O50 N61:O61">
    <cfRule type="expression" dxfId="459" priority="59">
      <formula>$N$61&gt;0</formula>
    </cfRule>
    <cfRule type="expression" dxfId="458" priority="60">
      <formula>$N$61&lt;0</formula>
    </cfRule>
  </conditionalFormatting>
  <conditionalFormatting sqref="A68:O77">
    <cfRule type="expression" dxfId="457" priority="51">
      <formula>AND($N68 &gt; 0, ISNUMBER($N68))</formula>
    </cfRule>
    <cfRule type="expression" dxfId="456" priority="52">
      <formula>AND($N68 &lt; 0, ISNUMBER($N68))</formula>
    </cfRule>
    <cfRule type="expression" dxfId="455" priority="53">
      <formula>AND($K68 &gt; 0, ISNUMBER($K68))</formula>
    </cfRule>
    <cfRule type="expression" dxfId="454" priority="54">
      <formula>AND($K68 &lt; 0, ISNUMBER($K68))</formula>
    </cfRule>
    <cfRule type="expression" dxfId="453" priority="55">
      <formula>AND($H68 &gt; 0, ISNUMBER($H68))</formula>
    </cfRule>
    <cfRule type="expression" dxfId="452" priority="56">
      <formula>AND($H68 &lt; 0, ISNUMBER($H68))</formula>
    </cfRule>
    <cfRule type="expression" dxfId="451" priority="57">
      <formula>AND($E68 &gt; 0, ISNUMBER($E68))</formula>
    </cfRule>
    <cfRule type="expression" dxfId="450" priority="58">
      <formula>AND($E68 &lt; 0, ISNUMBER($E68))</formula>
    </cfRule>
  </conditionalFormatting>
  <conditionalFormatting sqref="D66:F67 E78:F78">
    <cfRule type="expression" dxfId="449" priority="49">
      <formula>$E$78&gt;0</formula>
    </cfRule>
    <cfRule type="expression" dxfId="448" priority="50">
      <formula>$E$78&lt;0</formula>
    </cfRule>
  </conditionalFormatting>
  <conditionalFormatting sqref="G66:I67 H78:I78">
    <cfRule type="expression" dxfId="447" priority="47">
      <formula>$H$78&gt;0</formula>
    </cfRule>
    <cfRule type="expression" dxfId="446" priority="48">
      <formula>$H$78&lt;0</formula>
    </cfRule>
  </conditionalFormatting>
  <conditionalFormatting sqref="J66:L67 K78:L78">
    <cfRule type="expression" dxfId="445" priority="45">
      <formula>$K$78&gt;0</formula>
    </cfRule>
    <cfRule type="expression" dxfId="444" priority="46">
      <formula>$K$78&lt;0</formula>
    </cfRule>
  </conditionalFormatting>
  <conditionalFormatting sqref="M66:O67 N78:O78">
    <cfRule type="expression" dxfId="443" priority="43">
      <formula>$N$78&gt;0</formula>
    </cfRule>
    <cfRule type="expression" dxfId="442" priority="44">
      <formula>$N$78&lt;0</formula>
    </cfRule>
  </conditionalFormatting>
  <conditionalFormatting sqref="A85:O94">
    <cfRule type="expression" dxfId="441" priority="35">
      <formula>AND($N85 &gt; 0, ISNUMBER($N85))</formula>
    </cfRule>
    <cfRule type="expression" dxfId="440" priority="36">
      <formula>AND($N85 &lt; 0, ISNUMBER($N85))</formula>
    </cfRule>
    <cfRule type="expression" dxfId="439" priority="37">
      <formula>AND($K85 &gt; 0, ISNUMBER($K85))</formula>
    </cfRule>
    <cfRule type="expression" dxfId="438" priority="38">
      <formula>AND($K85 &lt; 0, ISNUMBER($K85))</formula>
    </cfRule>
    <cfRule type="expression" dxfId="437" priority="39">
      <formula>AND($H85 &gt; 0, ISNUMBER($H85))</formula>
    </cfRule>
    <cfRule type="expression" dxfId="436" priority="40">
      <formula>AND($H85 &lt; 0, ISNUMBER($H85))</formula>
    </cfRule>
    <cfRule type="expression" dxfId="435" priority="41">
      <formula>AND($E85 &gt; 0, ISNUMBER($E85))</formula>
    </cfRule>
    <cfRule type="expression" dxfId="434" priority="42">
      <formula>AND($E85 &lt; 0, ISNUMBER($E85))</formula>
    </cfRule>
  </conditionalFormatting>
  <conditionalFormatting sqref="D83:F84 E95:F95">
    <cfRule type="expression" dxfId="433" priority="33">
      <formula>$E$95&gt;0</formula>
    </cfRule>
    <cfRule type="expression" dxfId="432" priority="34">
      <formula>$E$95&lt;0</formula>
    </cfRule>
  </conditionalFormatting>
  <conditionalFormatting sqref="G83:I84 H95:I95">
    <cfRule type="expression" dxfId="431" priority="31">
      <formula>$H$95&gt;0</formula>
    </cfRule>
    <cfRule type="expression" dxfId="430" priority="32">
      <formula>$H$95&lt;0</formula>
    </cfRule>
  </conditionalFormatting>
  <conditionalFormatting sqref="J83:L84 K95:L95">
    <cfRule type="expression" dxfId="429" priority="29">
      <formula>$K$95&gt;0</formula>
    </cfRule>
    <cfRule type="expression" dxfId="428" priority="30">
      <formula>$K$95&lt;0</formula>
    </cfRule>
  </conditionalFormatting>
  <conditionalFormatting sqref="M83:O84 N95:O95">
    <cfRule type="expression" dxfId="427" priority="27">
      <formula>$N$95&gt;0</formula>
    </cfRule>
    <cfRule type="expression" dxfId="426" priority="28">
      <formula>$N$95&lt;0</formula>
    </cfRule>
  </conditionalFormatting>
  <conditionalFormatting sqref="A102:O111">
    <cfRule type="expression" dxfId="425" priority="19">
      <formula>AND($N102 &gt; 0, ISNUMBER($N102))</formula>
    </cfRule>
    <cfRule type="expression" dxfId="424" priority="20">
      <formula>AND($N102 &lt; 0, ISNUMBER($N102))</formula>
    </cfRule>
    <cfRule type="expression" dxfId="423" priority="21">
      <formula>AND($K102 &gt; 0, ISNUMBER($K102))</formula>
    </cfRule>
    <cfRule type="expression" dxfId="422" priority="22">
      <formula>AND($K102 &lt; 0, ISNUMBER($K102))</formula>
    </cfRule>
    <cfRule type="expression" dxfId="421" priority="23">
      <formula>AND($H102 &gt; 0, ISNUMBER($H102))</formula>
    </cfRule>
    <cfRule type="expression" dxfId="420" priority="24">
      <formula>AND($H102 &lt; 0, ISNUMBER($H102))</formula>
    </cfRule>
    <cfRule type="expression" dxfId="419" priority="25">
      <formula>AND($E102 &gt; 0, ISNUMBER($E102))</formula>
    </cfRule>
    <cfRule type="expression" dxfId="418" priority="26">
      <formula>AND($E102 &lt; 0, ISNUMBER($E102))</formula>
    </cfRule>
  </conditionalFormatting>
  <conditionalFormatting sqref="D100:F101 E112:F112">
    <cfRule type="expression" dxfId="417" priority="17">
      <formula>$E$112&gt;0</formula>
    </cfRule>
    <cfRule type="expression" dxfId="416" priority="18">
      <formula>$E$112&lt;0</formula>
    </cfRule>
  </conditionalFormatting>
  <conditionalFormatting sqref="G100:I101 H112:I112">
    <cfRule type="expression" dxfId="415" priority="15">
      <formula>$H$112&gt;0</formula>
    </cfRule>
    <cfRule type="expression" dxfId="414" priority="16">
      <formula>$H$112&lt;0</formula>
    </cfRule>
  </conditionalFormatting>
  <conditionalFormatting sqref="J100:L101 K112:L112">
    <cfRule type="expression" dxfId="413" priority="13">
      <formula>$K$112&gt;0</formula>
    </cfRule>
    <cfRule type="expression" dxfId="412" priority="14">
      <formula>$K$112&lt;0</formula>
    </cfRule>
  </conditionalFormatting>
  <conditionalFormatting sqref="M100:O101 N112:O112">
    <cfRule type="expression" dxfId="411" priority="11">
      <formula>$N$112&gt;0</formula>
    </cfRule>
    <cfRule type="expression" dxfId="410" priority="12">
      <formula>$N$112&lt;0</formula>
    </cfRule>
  </conditionalFormatting>
  <conditionalFormatting sqref="G2:I3">
    <cfRule type="expression" dxfId="40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40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40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40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40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0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40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40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40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40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13533-D96B-4983-9F3B-B33967DA0CEF}">
  <sheetPr codeName="Sheet18"/>
  <dimension ref="A1:R112"/>
  <sheetViews>
    <sheetView zoomScaleNormal="100" workbookViewId="0">
      <selection activeCell="M85" sqref="M85:M94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107,730 KRW (10.77%)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59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48,698 KRW (6.96%)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-3,352 KRW (-0.34%)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30,070 KRW (3.01%)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-875 KRW (-0.09%)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59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58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2" t="s">
        <v>67</v>
      </c>
      <c r="H16" s="163" t="s">
        <v>68</v>
      </c>
      <c r="I16" s="164" t="s">
        <v>70</v>
      </c>
      <c r="J16" s="4" t="s">
        <v>67</v>
      </c>
      <c r="K16" s="4" t="s">
        <v>68</v>
      </c>
      <c r="L16" s="160" t="s">
        <v>70</v>
      </c>
      <c r="M16" s="18" t="s">
        <v>67</v>
      </c>
      <c r="N16" s="4" t="s">
        <v>68</v>
      </c>
      <c r="O16" s="161" t="s">
        <v>70</v>
      </c>
      <c r="Q16" s="206"/>
      <c r="R16" s="207"/>
    </row>
    <row r="17" spans="1:18" ht="17.25" customHeight="1">
      <c r="A17" s="39" t="s">
        <v>147</v>
      </c>
      <c r="B17" s="89">
        <f>IF(NOT(_xlfn.IFNA(VLOOKUP($A17, $A$30:$O$112, 2, FALSE), "")=0), _xlfn.IFNA(VLOOKUP($A17, $A$30:$O$112, 2, FALSE), ""), "")</f>
        <v>18500</v>
      </c>
      <c r="C17" s="22">
        <f>IF(NOT(_xlfn.IFNA(VLOOKUP($A17, $A$30:$O$112, 3, FALSE), "")=0), _xlfn.IFNA(VLOOKUP($A17, $A$30:$O$112, 3, FALSE), ""), "")</f>
        <v>0.167192429</v>
      </c>
      <c r="D17" s="89">
        <f>IF(NOT(_xlfn.IFNA(VLOOKUP($A17, $A$30:$O$112, 4, FALSE), "")=0), _xlfn.IFNA(VLOOKUP($A17, $A$30:$O$112, 4, FALSE), ""), "")</f>
        <v>17330</v>
      </c>
      <c r="E17" s="22">
        <f>IF(NOT(_xlfn.IFNA(VLOOKUP($A17, $A$30:$O$112, 5, FALSE), "")=0), _xlfn.IFNA(VLOOKUP($A17, $A$30:$O$112, 5, FALSE), ""), "")</f>
        <v>-6.324324324324325E-2</v>
      </c>
      <c r="F17" s="58">
        <f>IF(NOT(_xlfn.IFNA(VLOOKUP($A17, $A$30:$O$112, 6, FALSE), "")=0), _xlfn.IFNA(VLOOKUP($A17, $A$30:$O$112, 6, FALSE), ""), "")</f>
        <v>-6324.3243243243251</v>
      </c>
      <c r="G17" s="36">
        <f t="shared" ref="G17:G26" si="0">IF(NOT(_xlfn.IFNA(VLOOKUP($A17, $A$30:$O$112, 7, FALSE), "")=0), _xlfn.IFNA(VLOOKUP($A17, $A$30:$O$112, 7, FALSE), ""), "")</f>
        <v>17170</v>
      </c>
      <c r="H17" s="5">
        <f>IF(NOT(_xlfn.IFNA(VLOOKUP($A17, $A$30:$O$112, 8, FALSE), "")=0), _xlfn.IFNA(VLOOKUP($A17, $A$30:$O$112, 8, FALSE), ""), "")</f>
        <v>-7.1891891891891893E-2</v>
      </c>
      <c r="I17" s="59">
        <f>IF(NOT(_xlfn.IFNA(VLOOKUP($A17, $A$30:$O$112, 9, FALSE), "")=0), _xlfn.IFNA(VLOOKUP($A17, $A$30:$O$112, 9, FALSE), ""), "")</f>
        <v>-7189.1891891891892</v>
      </c>
      <c r="J17" s="89">
        <f>IF(NOT(_xlfn.IFNA(VLOOKUP($A17, $A$30:$O$112, 10, FALSE), "")=0), _xlfn.IFNA(VLOOKUP($A17, $A$30:$O$112, 10, FALSE), ""), "")</f>
        <v>16940</v>
      </c>
      <c r="K17" s="22">
        <f>IF(NOT(_xlfn.IFNA(VLOOKUP($A17, $A$30:$O$112, 11, FALSE), "")=0), _xlfn.IFNA(VLOOKUP($A17, $A$30:$O$112, 11, FALSE), ""), "")</f>
        <v>-8.4324324324324323E-2</v>
      </c>
      <c r="L17" s="58">
        <f>IF(NOT(_xlfn.IFNA(VLOOKUP($A17, $A$30:$O$112, 12, FALSE), "")=0), _xlfn.IFNA(VLOOKUP($A17, $A$30:$O$112, 12, FALSE), ""), "")</f>
        <v>-8432.4324324324316</v>
      </c>
      <c r="M17" s="89">
        <f>IF(NOT(_xlfn.IFNA(VLOOKUP($A17, $A$30:$O$112, 13, FALSE), "")=0), _xlfn.IFNA(VLOOKUP($A17, $A$30:$O$112, 13, FALSE), ""), "")</f>
        <v>17240</v>
      </c>
      <c r="N17" s="22">
        <f>IF(NOT(_xlfn.IFNA(VLOOKUP($A17, $A$30:$O$112, 14, FALSE), "")=0), _xlfn.IFNA(VLOOKUP($A17, $A$30:$O$112, 14, FALSE), ""), "")</f>
        <v>-6.8108108108108106E-2</v>
      </c>
      <c r="O17" s="43">
        <f>IF(NOT(_xlfn.IFNA(VLOOKUP($A17, $A$30:$O$112, 15, FALSE), "")=0), _xlfn.IFNA(VLOOKUP($A17, $A$30:$O$112, 15, FALSE), ""), "")</f>
        <v>-6810.8108108108108</v>
      </c>
      <c r="Q17" s="204"/>
      <c r="R17" s="205"/>
    </row>
    <row r="18" spans="1:18" ht="17.25" customHeight="1">
      <c r="A18" s="40" t="s">
        <v>154</v>
      </c>
      <c r="B18" s="36">
        <f t="shared" ref="B18:B26" si="1">IF(NOT(_xlfn.IFNA(VLOOKUP($A18, $A$30:$O$112, 2, FALSE), "")=0), _xlfn.IFNA(VLOOKUP($A18, $A$30:$O$112, 2, FALSE), ""), "")</f>
        <v>1735</v>
      </c>
      <c r="C18" s="5">
        <f t="shared" ref="C18:C26" si="2">IF(NOT(_xlfn.IFNA(VLOOKUP($A18, $A$30:$O$112, 3, FALSE), "")=0), _xlfn.IFNA(VLOOKUP($A18, $A$30:$O$112, 3, FALSE), ""), "")</f>
        <v>9.4637224000000006E-2</v>
      </c>
      <c r="D18" s="36">
        <f t="shared" ref="D18:D26" si="3">IF(NOT(_xlfn.IFNA(VLOOKUP($A18, $A$30:$O$112, 4, FALSE), "")=0), _xlfn.IFNA(VLOOKUP($A18, $A$30:$O$112, 4, FALSE), ""), "")</f>
        <v>1595</v>
      </c>
      <c r="E18" s="5">
        <f t="shared" ref="E18:E26" si="4">IF(NOT(_xlfn.IFNA(VLOOKUP($A18, $A$30:$O$112, 5, FALSE), "")=0), _xlfn.IFNA(VLOOKUP($A18, $A$30:$O$112, 5, FALSE), ""), "")</f>
        <v>-8.069164265129683E-2</v>
      </c>
      <c r="F18" s="59">
        <f t="shared" ref="F18:F26" si="5">IF(NOT(_xlfn.IFNA(VLOOKUP($A18, $A$30:$O$112, 6, FALSE), "")=0), _xlfn.IFNA(VLOOKUP($A18, $A$30:$O$112, 6, FALSE), ""), "")</f>
        <v>-8069.1642651296834</v>
      </c>
      <c r="G18" s="36">
        <f t="shared" si="0"/>
        <v>1715</v>
      </c>
      <c r="H18" s="5">
        <f t="shared" ref="H18:H26" si="6">IF(NOT(_xlfn.IFNA(VLOOKUP($A18, $A$30:$O$112, 8, FALSE), "")=0), _xlfn.IFNA(VLOOKUP($A18, $A$30:$O$112, 8, FALSE), ""), "")</f>
        <v>-1.1527377521613832E-2</v>
      </c>
      <c r="I18" s="59">
        <f t="shared" ref="I18:I26" si="7">IF(NOT(_xlfn.IFNA(VLOOKUP($A18, $A$30:$O$112, 9, FALSE), "")=0), _xlfn.IFNA(VLOOKUP($A18, $A$30:$O$112, 9, FALSE), ""), "")</f>
        <v>-1152.7377521613832</v>
      </c>
      <c r="J18" s="36">
        <f t="shared" ref="J18:J26" si="8">IF(NOT(_xlfn.IFNA(VLOOKUP($A18, $A$30:$O$112, 10, FALSE), "")=0), _xlfn.IFNA(VLOOKUP($A18, $A$30:$O$112, 10, FALSE), ""), "")</f>
        <v>1675</v>
      </c>
      <c r="K18" s="5">
        <f t="shared" ref="K18:K26" si="9">IF(NOT(_xlfn.IFNA(VLOOKUP($A18, $A$30:$O$112, 11, FALSE), "")=0), _xlfn.IFNA(VLOOKUP($A18, $A$30:$O$112, 11, FALSE), ""), "")</f>
        <v>-3.4582132564841501E-2</v>
      </c>
      <c r="L18" s="59">
        <f t="shared" ref="L18:L26" si="10">IF(NOT(_xlfn.IFNA(VLOOKUP($A18, $A$30:$O$112, 12, FALSE), "")=0), _xlfn.IFNA(VLOOKUP($A18, $A$30:$O$112, 12, FALSE), ""), "")</f>
        <v>-3458.21325648415</v>
      </c>
      <c r="M18" s="36">
        <f t="shared" ref="M18:M26" si="11">IF(NOT(_xlfn.IFNA(VLOOKUP($A18, $A$30:$O$112, 13, FALSE), "")=0), _xlfn.IFNA(VLOOKUP($A18, $A$30:$O$112, 13, FALSE), ""), "")</f>
        <v>1695</v>
      </c>
      <c r="N18" s="5">
        <f t="shared" ref="N18:N26" si="12">IF(NOT(_xlfn.IFNA(VLOOKUP($A18, $A$30:$O$112, 14, FALSE), "")=0), _xlfn.IFNA(VLOOKUP($A18, $A$30:$O$112, 14, FALSE), ""), "")</f>
        <v>-2.3054755043227664E-2</v>
      </c>
      <c r="O18" s="44">
        <f t="shared" ref="O18:O26" si="13">IF(NOT(_xlfn.IFNA(VLOOKUP($A18, $A$30:$O$112, 15, FALSE), "")=0), _xlfn.IFNA(VLOOKUP($A18, $A$30:$O$112, 15, FALSE), ""), "")</f>
        <v>-2305.4755043227665</v>
      </c>
      <c r="Q18" s="204"/>
      <c r="R18" s="205"/>
    </row>
    <row r="19" spans="1:18" ht="17.25" customHeight="1">
      <c r="A19" s="40" t="s">
        <v>156</v>
      </c>
      <c r="B19" s="36">
        <f t="shared" si="1"/>
        <v>3470</v>
      </c>
      <c r="C19" s="5">
        <f t="shared" si="2"/>
        <v>8.7774294700000005E-2</v>
      </c>
      <c r="D19" s="36">
        <f t="shared" si="3"/>
        <v>3415</v>
      </c>
      <c r="E19" s="5">
        <f t="shared" si="4"/>
        <v>-1.5850144092219021E-2</v>
      </c>
      <c r="F19" s="59">
        <f t="shared" si="5"/>
        <v>-1585.014409221902</v>
      </c>
      <c r="G19" s="36">
        <f t="shared" si="0"/>
        <v>3410</v>
      </c>
      <c r="H19" s="5">
        <f t="shared" si="6"/>
        <v>-1.7291066282420751E-2</v>
      </c>
      <c r="I19" s="59">
        <f t="shared" si="7"/>
        <v>-1729.106628242075</v>
      </c>
      <c r="J19" s="36">
        <f t="shared" si="8"/>
        <v>3395</v>
      </c>
      <c r="K19" s="5">
        <f t="shared" si="9"/>
        <v>-2.1613832853025938E-2</v>
      </c>
      <c r="L19" s="59">
        <f t="shared" si="10"/>
        <v>-2161.3832853025938</v>
      </c>
      <c r="M19" s="36">
        <f t="shared" si="11"/>
        <v>3410</v>
      </c>
      <c r="N19" s="5">
        <f t="shared" si="12"/>
        <v>-1.7291066282420751E-2</v>
      </c>
      <c r="O19" s="44">
        <f t="shared" si="13"/>
        <v>-1729.106628242075</v>
      </c>
      <c r="Q19" s="204"/>
      <c r="R19" s="205"/>
    </row>
    <row r="20" spans="1:18" ht="17.25" customHeight="1">
      <c r="A20" s="40" t="s">
        <v>138</v>
      </c>
      <c r="B20" s="36">
        <f t="shared" si="1"/>
        <v>237</v>
      </c>
      <c r="C20" s="5">
        <f t="shared" si="2"/>
        <v>8.71559633E-2</v>
      </c>
      <c r="D20" s="36">
        <f t="shared" si="3"/>
        <v>256</v>
      </c>
      <c r="E20" s="5">
        <f t="shared" si="4"/>
        <v>8.0168776371308023E-2</v>
      </c>
      <c r="F20" s="59">
        <f t="shared" si="5"/>
        <v>8016.8776371308022</v>
      </c>
      <c r="G20" s="36">
        <f t="shared" si="0"/>
        <v>240</v>
      </c>
      <c r="H20" s="5">
        <f t="shared" si="6"/>
        <v>1.2658227848101266E-2</v>
      </c>
      <c r="I20" s="59">
        <f t="shared" si="7"/>
        <v>1265.8227848101264</v>
      </c>
      <c r="J20" s="36">
        <f t="shared" si="8"/>
        <v>242</v>
      </c>
      <c r="K20" s="5">
        <f t="shared" si="9"/>
        <v>2.1097046413502109E-2</v>
      </c>
      <c r="L20" s="59">
        <f t="shared" si="10"/>
        <v>2109.7046413502107</v>
      </c>
      <c r="M20" s="36">
        <f t="shared" si="11"/>
        <v>241</v>
      </c>
      <c r="N20" s="5">
        <f t="shared" si="12"/>
        <v>1.6877637130801686E-2</v>
      </c>
      <c r="O20" s="44">
        <f t="shared" si="13"/>
        <v>1687.7637130801686</v>
      </c>
      <c r="Q20" s="204"/>
      <c r="R20" s="205"/>
    </row>
    <row r="21" spans="1:18" ht="17.25" customHeight="1">
      <c r="A21" s="41" t="s">
        <v>119</v>
      </c>
      <c r="B21" s="37">
        <f t="shared" si="1"/>
        <v>23.1</v>
      </c>
      <c r="C21" s="24">
        <f t="shared" si="2"/>
        <v>-9.4117647099999993E-2</v>
      </c>
      <c r="D21" s="37">
        <f t="shared" si="3"/>
        <v>24.6</v>
      </c>
      <c r="E21" s="24">
        <f t="shared" si="4"/>
        <v>6.4935064935064929E-2</v>
      </c>
      <c r="F21" s="60">
        <f t="shared" si="5"/>
        <v>6493.5064935064929</v>
      </c>
      <c r="G21" s="37">
        <f t="shared" si="0"/>
        <v>25</v>
      </c>
      <c r="H21" s="24">
        <f t="shared" si="6"/>
        <v>8.2251082251082186E-2</v>
      </c>
      <c r="I21" s="60">
        <f t="shared" si="7"/>
        <v>8225.1082251082189</v>
      </c>
      <c r="J21" s="37">
        <f t="shared" si="8"/>
        <v>25.3</v>
      </c>
      <c r="K21" s="24">
        <f t="shared" si="9"/>
        <v>9.5238095238095205E-2</v>
      </c>
      <c r="L21" s="60">
        <f t="shared" si="10"/>
        <v>9523.8095238095211</v>
      </c>
      <c r="M21" s="37">
        <f t="shared" si="11"/>
        <v>26.6</v>
      </c>
      <c r="N21" s="24">
        <f t="shared" si="12"/>
        <v>0.15151515151515152</v>
      </c>
      <c r="O21" s="62">
        <f t="shared" si="13"/>
        <v>15151.515151515152</v>
      </c>
      <c r="Q21" s="204"/>
      <c r="R21" s="205"/>
    </row>
    <row r="22" spans="1:18" ht="17.25" customHeight="1">
      <c r="A22" s="40" t="s">
        <v>146</v>
      </c>
      <c r="B22" s="36">
        <f t="shared" si="1"/>
        <v>92</v>
      </c>
      <c r="C22" s="5">
        <f t="shared" si="2"/>
        <v>-9.8039215700000001E-2</v>
      </c>
      <c r="D22" s="36">
        <f t="shared" si="3"/>
        <v>89.9</v>
      </c>
      <c r="E22" s="5">
        <f t="shared" si="4"/>
        <v>-2.2826086956521677E-2</v>
      </c>
      <c r="F22" s="59">
        <f t="shared" si="5"/>
        <v>-2282.6086956521676</v>
      </c>
      <c r="G22" s="36">
        <f t="shared" si="0"/>
        <v>90.1</v>
      </c>
      <c r="H22" s="5">
        <f t="shared" si="6"/>
        <v>-2.0652173913043539E-2</v>
      </c>
      <c r="I22" s="59">
        <f t="shared" si="7"/>
        <v>-2065.2173913043539</v>
      </c>
      <c r="J22" s="36">
        <f t="shared" si="8"/>
        <v>90.2</v>
      </c>
      <c r="K22" s="5">
        <f t="shared" si="9"/>
        <v>-1.9565217391304318E-2</v>
      </c>
      <c r="L22" s="59">
        <f t="shared" si="10"/>
        <v>-1956.5217391304318</v>
      </c>
      <c r="M22" s="36">
        <f t="shared" si="11"/>
        <v>93.4</v>
      </c>
      <c r="N22" s="5">
        <f t="shared" si="12"/>
        <v>1.5217391304347887E-2</v>
      </c>
      <c r="O22" s="44">
        <f t="shared" si="13"/>
        <v>1521.7391304347886</v>
      </c>
      <c r="Q22" s="204"/>
      <c r="R22" s="205"/>
    </row>
    <row r="23" spans="1:18" ht="17.25" customHeight="1">
      <c r="A23" s="40" t="s">
        <v>136</v>
      </c>
      <c r="B23" s="36">
        <f t="shared" si="1"/>
        <v>28.1</v>
      </c>
      <c r="C23" s="5">
        <f t="shared" si="2"/>
        <v>-9.9358974399999994E-2</v>
      </c>
      <c r="D23" s="36">
        <f t="shared" si="3"/>
        <v>27.9</v>
      </c>
      <c r="E23" s="5">
        <f t="shared" si="4"/>
        <v>-7.1174377224200299E-3</v>
      </c>
      <c r="F23" s="59">
        <f t="shared" si="5"/>
        <v>-711.74377224200305</v>
      </c>
      <c r="G23" s="36">
        <f t="shared" si="0"/>
        <v>27.8</v>
      </c>
      <c r="H23" s="5">
        <f t="shared" si="6"/>
        <v>-1.0676156583629918E-2</v>
      </c>
      <c r="I23" s="59">
        <f t="shared" si="7"/>
        <v>-1067.6156583629918</v>
      </c>
      <c r="J23" s="36">
        <f t="shared" si="8"/>
        <v>27.8</v>
      </c>
      <c r="K23" s="5">
        <f t="shared" si="9"/>
        <v>-1.0676156583629918E-2</v>
      </c>
      <c r="L23" s="59">
        <f t="shared" si="10"/>
        <v>-1067.6156583629918</v>
      </c>
      <c r="M23" s="36">
        <f t="shared" si="11"/>
        <v>28.7</v>
      </c>
      <c r="N23" s="5">
        <f t="shared" si="12"/>
        <v>2.1352313167259711E-2</v>
      </c>
      <c r="O23" s="44">
        <f t="shared" si="13"/>
        <v>2135.2313167259713</v>
      </c>
      <c r="Q23" s="204"/>
      <c r="R23" s="205"/>
    </row>
    <row r="24" spans="1:18" ht="17.25" customHeight="1">
      <c r="A24" s="40" t="s">
        <v>100</v>
      </c>
      <c r="B24" s="36">
        <f t="shared" si="1"/>
        <v>36.799999999999997</v>
      </c>
      <c r="C24" s="5">
        <f t="shared" si="2"/>
        <v>-0.1002444988</v>
      </c>
      <c r="D24" s="36">
        <f t="shared" si="3"/>
        <v>35.700000000000003</v>
      </c>
      <c r="E24" s="5">
        <f t="shared" si="4"/>
        <v>-2.9891304347825935E-2</v>
      </c>
      <c r="F24" s="59">
        <f t="shared" si="5"/>
        <v>-2989.1304347825935</v>
      </c>
      <c r="G24" s="36">
        <f t="shared" si="0"/>
        <v>35.5</v>
      </c>
      <c r="H24" s="5">
        <f t="shared" si="6"/>
        <v>-3.5326086956521667E-2</v>
      </c>
      <c r="I24" s="59">
        <f t="shared" si="7"/>
        <v>-3532.6086956521667</v>
      </c>
      <c r="J24" s="36">
        <f t="shared" si="8"/>
        <v>35.9</v>
      </c>
      <c r="K24" s="5">
        <f t="shared" si="9"/>
        <v>-2.4456521739130398E-2</v>
      </c>
      <c r="L24" s="59">
        <f t="shared" si="10"/>
        <v>-2445.6521739130399</v>
      </c>
      <c r="M24" s="36">
        <f t="shared" si="11"/>
        <v>37.4</v>
      </c>
      <c r="N24" s="5">
        <f t="shared" si="12"/>
        <v>1.6304347826086998E-2</v>
      </c>
      <c r="O24" s="44">
        <f t="shared" si="13"/>
        <v>1630.4347826086998</v>
      </c>
      <c r="Q24" s="204"/>
      <c r="R24" s="205"/>
    </row>
    <row r="25" spans="1:18" ht="17.25" customHeight="1">
      <c r="A25" s="40" t="s">
        <v>132</v>
      </c>
      <c r="B25" s="36">
        <f t="shared" si="1"/>
        <v>32.1</v>
      </c>
      <c r="C25" s="5">
        <f t="shared" si="2"/>
        <v>-0.10335195530000001</v>
      </c>
      <c r="D25" s="36">
        <f t="shared" si="3"/>
        <v>35</v>
      </c>
      <c r="E25" s="5">
        <f t="shared" si="4"/>
        <v>9.0342679127725811E-2</v>
      </c>
      <c r="F25" s="59">
        <f t="shared" si="5"/>
        <v>9034.2679127725805</v>
      </c>
      <c r="G25" s="36">
        <f t="shared" si="0"/>
        <v>35</v>
      </c>
      <c r="H25" s="5">
        <f t="shared" si="6"/>
        <v>9.0342679127725811E-2</v>
      </c>
      <c r="I25" s="59">
        <f t="shared" si="7"/>
        <v>9034.2679127725805</v>
      </c>
      <c r="J25" s="36">
        <f t="shared" si="8"/>
        <v>34.9</v>
      </c>
      <c r="K25" s="5">
        <f t="shared" si="9"/>
        <v>8.7227414330217981E-2</v>
      </c>
      <c r="L25" s="59">
        <f t="shared" si="10"/>
        <v>8722.741433021798</v>
      </c>
      <c r="M25" s="36">
        <f t="shared" si="11"/>
        <v>35.6</v>
      </c>
      <c r="N25" s="5">
        <f t="shared" si="12"/>
        <v>0.10903426791277258</v>
      </c>
      <c r="O25" s="44">
        <f t="shared" si="13"/>
        <v>10903.426791277258</v>
      </c>
      <c r="Q25" s="206"/>
      <c r="R25" s="207"/>
    </row>
    <row r="26" spans="1:18" ht="17.25" customHeight="1" thickBot="1">
      <c r="A26" s="42" t="s">
        <v>158</v>
      </c>
      <c r="B26" s="38">
        <f t="shared" si="1"/>
        <v>29.4</v>
      </c>
      <c r="C26" s="16">
        <f t="shared" si="2"/>
        <v>-0.1036585366</v>
      </c>
      <c r="D26" s="38">
        <f t="shared" si="3"/>
        <v>30.2</v>
      </c>
      <c r="E26" s="16">
        <f t="shared" si="4"/>
        <v>2.7210884353741523E-2</v>
      </c>
      <c r="F26" s="61">
        <f t="shared" si="5"/>
        <v>2721.0884353741521</v>
      </c>
      <c r="G26" s="38">
        <f t="shared" si="0"/>
        <v>29.8</v>
      </c>
      <c r="H26" s="16">
        <f t="shared" si="6"/>
        <v>1.3605442176870821E-2</v>
      </c>
      <c r="I26" s="61">
        <f t="shared" si="7"/>
        <v>1360.544217687082</v>
      </c>
      <c r="J26" s="38">
        <f t="shared" si="8"/>
        <v>29.9</v>
      </c>
      <c r="K26" s="16">
        <f t="shared" si="9"/>
        <v>1.7006802721088437E-2</v>
      </c>
      <c r="L26" s="61">
        <f t="shared" si="10"/>
        <v>1700.6802721088436</v>
      </c>
      <c r="M26" s="38">
        <f t="shared" si="11"/>
        <v>31</v>
      </c>
      <c r="N26" s="16">
        <f t="shared" si="12"/>
        <v>5.4421768707483047E-2</v>
      </c>
      <c r="O26" s="45">
        <f t="shared" si="13"/>
        <v>5442.1768707483043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4.303754577431357E-3</v>
      </c>
      <c r="F27" s="47">
        <f>SUM(F17:F26)</f>
        <v>4303.754577431353</v>
      </c>
      <c r="G27" s="57" t="s">
        <v>82</v>
      </c>
      <c r="H27" s="46">
        <f>IF(COUNT(H17:H26), SUM(H17:H26) / COUNT(H17:H26), 0)</f>
        <v>3.1492678254658483E-3</v>
      </c>
      <c r="I27" s="47">
        <f>SUM(I17:I26)</f>
        <v>3149.2678254658495</v>
      </c>
      <c r="J27" s="57" t="s">
        <v>82</v>
      </c>
      <c r="K27" s="46">
        <f>IF(COUNT(K17:K26), SUM(K17:K26) / COUNT(K17:K26), 0)</f>
        <v>2.5351173246647343E-3</v>
      </c>
      <c r="L27" s="47">
        <f>SUM(L17:L26)</f>
        <v>2535.1173246647331</v>
      </c>
      <c r="M27" s="57" t="s">
        <v>82</v>
      </c>
      <c r="N27" s="46">
        <f>IF(COUNT(N17:N26), SUM(N17:N26) / COUNT(N17:N26), 0)</f>
        <v>2.7626894813014689E-2</v>
      </c>
      <c r="O27" s="47">
        <f>SUM(O17:O26)</f>
        <v>27626.894813014689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58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0" t="s">
        <v>70</v>
      </c>
      <c r="M33" s="18" t="s">
        <v>67</v>
      </c>
      <c r="N33" s="4" t="s">
        <v>68</v>
      </c>
      <c r="O33" s="161" t="s">
        <v>70</v>
      </c>
      <c r="Q33" s="231"/>
      <c r="R33" s="232"/>
    </row>
    <row r="34" spans="1:18" ht="17.25" customHeight="1">
      <c r="A34" s="9" t="s">
        <v>163</v>
      </c>
      <c r="B34" s="31">
        <v>55.3</v>
      </c>
      <c r="C34" s="22">
        <v>0.3104265403</v>
      </c>
      <c r="D34" s="89">
        <v>73.900000000000006</v>
      </c>
      <c r="E34" s="22">
        <f>IF(ISNUMBER(D34), (D34 - $B34) / $B34, "")</f>
        <v>0.33634719710669098</v>
      </c>
      <c r="F34" s="43">
        <f>IF(ISNUMBER(D34), $B44 * E34, "")</f>
        <v>33634.719710669095</v>
      </c>
      <c r="G34" s="89">
        <v>71.599999999999994</v>
      </c>
      <c r="H34" s="22">
        <f>IF(ISNUMBER(G34), (G34 - $B34) / $B34, "")</f>
        <v>0.29475587703435802</v>
      </c>
      <c r="I34" s="43">
        <f>IF(ISNUMBER(G34), $B44 * H34, "")</f>
        <v>29475.587703435802</v>
      </c>
      <c r="J34" s="89">
        <v>68.900000000000006</v>
      </c>
      <c r="K34" s="22">
        <f>IF(ISNUMBER(J34), (J34 - $B34) / $B34, "")</f>
        <v>0.24593128390596761</v>
      </c>
      <c r="L34" s="43">
        <f>IF(ISNUMBER(J34), $B44 * K34, "")</f>
        <v>24593.128390596761</v>
      </c>
      <c r="M34" s="89">
        <v>62.8</v>
      </c>
      <c r="N34" s="22">
        <f>IF(ISNUMBER(M34), (M34 - $B34) / $B34, "")</f>
        <v>0.13562386980108498</v>
      </c>
      <c r="O34" s="43">
        <f>IF(ISNUMBER(M34), $B44 * N34, "")</f>
        <v>13562.386980108498</v>
      </c>
      <c r="Q34" s="229"/>
      <c r="R34" s="230"/>
    </row>
    <row r="35" spans="1:18" ht="17.25" customHeight="1">
      <c r="A35" s="11" t="s">
        <v>143</v>
      </c>
      <c r="B35" s="32">
        <v>10.1</v>
      </c>
      <c r="C35" s="5">
        <v>-1.9417475699999999E-2</v>
      </c>
      <c r="D35" s="36">
        <v>11.5</v>
      </c>
      <c r="E35" s="5">
        <f t="shared" ref="E35:E43" si="14">IF(ISNUMBER(D35), (D35 - $B35) / $B35, "")</f>
        <v>0.13861386138613865</v>
      </c>
      <c r="F35" s="44">
        <f>IF(ISNUMBER(D35), $B44 * E35, "")</f>
        <v>13861.386138613865</v>
      </c>
      <c r="G35" s="36">
        <v>11.8</v>
      </c>
      <c r="H35" s="5">
        <f t="shared" ref="H35:H43" si="15">IF(ISNUMBER(G35), (G35 - $B35) / $B35, "")</f>
        <v>0.16831683168316844</v>
      </c>
      <c r="I35" s="44">
        <f>IF(ISNUMBER(G35), $B44 * H35, "")</f>
        <v>16831.683168316842</v>
      </c>
      <c r="J35" s="36">
        <v>12.1</v>
      </c>
      <c r="K35" s="5">
        <f t="shared" ref="K35:K43" si="16">IF(ISNUMBER(J35), (J35 - $B35) / $B35, "")</f>
        <v>0.19801980198019803</v>
      </c>
      <c r="L35" s="44">
        <f>IF(ISNUMBER(J35), $B44 * K35, "")</f>
        <v>19801.980198019803</v>
      </c>
      <c r="M35" s="36">
        <v>11.7</v>
      </c>
      <c r="N35" s="5">
        <f t="shared" ref="N35:N43" si="17">IF(ISNUMBER(M35), (M35 - $B35) / $B35, "")</f>
        <v>0.15841584158415839</v>
      </c>
      <c r="O35" s="44">
        <f>IF(ISNUMBER(M35), $B44 * N35, "")</f>
        <v>15841.584158415839</v>
      </c>
      <c r="Q35" s="229"/>
      <c r="R35" s="230"/>
    </row>
    <row r="36" spans="1:18" ht="17.25" customHeight="1">
      <c r="A36" s="11" t="s">
        <v>145</v>
      </c>
      <c r="B36" s="32">
        <v>47.5</v>
      </c>
      <c r="C36" s="5">
        <v>-4.42655936E-2</v>
      </c>
      <c r="D36" s="36">
        <v>52.1</v>
      </c>
      <c r="E36" s="5">
        <f t="shared" si="14"/>
        <v>9.6842105263157924E-2</v>
      </c>
      <c r="F36" s="44">
        <f>IF(ISNUMBER(D36), $B44 * E36, "")</f>
        <v>9684.2105263157919</v>
      </c>
      <c r="G36" s="36">
        <v>51.1</v>
      </c>
      <c r="H36" s="5">
        <f t="shared" si="15"/>
        <v>7.5789473684210559E-2</v>
      </c>
      <c r="I36" s="44">
        <f>IF(ISNUMBER(G36), $B44 * H36, "")</f>
        <v>7578.9473684210561</v>
      </c>
      <c r="J36" s="36">
        <v>50.4</v>
      </c>
      <c r="K36" s="5">
        <f t="shared" si="16"/>
        <v>6.1052631578947338E-2</v>
      </c>
      <c r="L36" s="44">
        <f>IF(ISNUMBER(J36), $B44 * K36, "")</f>
        <v>6105.2631578947339</v>
      </c>
      <c r="M36" s="36">
        <v>51.2</v>
      </c>
      <c r="N36" s="5">
        <f t="shared" si="17"/>
        <v>7.7894736842105322E-2</v>
      </c>
      <c r="O36" s="44">
        <f>IF(ISNUMBER(M36), $B44 * N36, "")</f>
        <v>7789.4736842105322</v>
      </c>
      <c r="Q36" s="229"/>
      <c r="R36" s="230"/>
    </row>
    <row r="37" spans="1:18" ht="17.25" customHeight="1">
      <c r="A37" s="11" t="s">
        <v>95</v>
      </c>
      <c r="B37" s="32">
        <v>29.4</v>
      </c>
      <c r="C37" s="5">
        <v>-5.1612903199999997E-2</v>
      </c>
      <c r="D37" s="36">
        <v>35.9</v>
      </c>
      <c r="E37" s="5">
        <f t="shared" si="14"/>
        <v>0.22108843537414968</v>
      </c>
      <c r="F37" s="44">
        <f>IF(ISNUMBER(D37), $B44 * E37, "")</f>
        <v>22108.843537414967</v>
      </c>
      <c r="G37" s="36">
        <v>34.9</v>
      </c>
      <c r="H37" s="5">
        <f t="shared" si="15"/>
        <v>0.1870748299319728</v>
      </c>
      <c r="I37" s="44">
        <f>IF(ISNUMBER(G37), $B44 * H37, "")</f>
        <v>18707.482993197282</v>
      </c>
      <c r="J37" s="36">
        <v>38.700000000000003</v>
      </c>
      <c r="K37" s="5">
        <f t="shared" si="16"/>
        <v>0.31632653061224508</v>
      </c>
      <c r="L37" s="44">
        <f>IF(ISNUMBER(J37), $B44 * K37, "")</f>
        <v>31632.653061224508</v>
      </c>
      <c r="M37" s="36">
        <v>39.5</v>
      </c>
      <c r="N37" s="5">
        <f t="shared" si="17"/>
        <v>0.34353741496598644</v>
      </c>
      <c r="O37" s="44">
        <f>IF(ISNUMBER(M37), $B44 * N37, "")</f>
        <v>34353.741496598646</v>
      </c>
      <c r="Q37" s="229"/>
      <c r="R37" s="230"/>
    </row>
    <row r="38" spans="1:18" ht="17.25" customHeight="1">
      <c r="A38" s="8" t="s">
        <v>155</v>
      </c>
      <c r="B38" s="33">
        <v>25.8</v>
      </c>
      <c r="C38" s="24">
        <v>-6.8592057799999995E-2</v>
      </c>
      <c r="D38" s="37">
        <v>26.5</v>
      </c>
      <c r="E38" s="24">
        <f t="shared" si="14"/>
        <v>2.7131782945736406E-2</v>
      </c>
      <c r="F38" s="44">
        <f>IF(ISNUMBER(D38), $B44 * E38, "")</f>
        <v>2713.1782945736404</v>
      </c>
      <c r="G38" s="37">
        <v>26.2</v>
      </c>
      <c r="H38" s="24">
        <f t="shared" si="15"/>
        <v>1.5503875968992192E-2</v>
      </c>
      <c r="I38" s="44">
        <f>IF(ISNUMBER(G38), $B44 * H38, "")</f>
        <v>1550.3875968992193</v>
      </c>
      <c r="J38" s="37">
        <v>26.1</v>
      </c>
      <c r="K38" s="24">
        <f t="shared" si="16"/>
        <v>1.1627906976744214E-2</v>
      </c>
      <c r="L38" s="44">
        <f>IF(ISNUMBER(J38), $B44 * K38, "")</f>
        <v>1162.7906976744214</v>
      </c>
      <c r="M38" s="37">
        <v>27.2</v>
      </c>
      <c r="N38" s="24">
        <f t="shared" si="17"/>
        <v>5.4263565891472812E-2</v>
      </c>
      <c r="O38" s="44">
        <f>IF(ISNUMBER(M38), $B44 * N38, "")</f>
        <v>5426.3565891472808</v>
      </c>
      <c r="Q38" s="229"/>
      <c r="R38" s="230"/>
    </row>
    <row r="39" spans="1:18" ht="17.25" customHeight="1">
      <c r="A39" s="11" t="s">
        <v>123</v>
      </c>
      <c r="B39" s="32">
        <v>77</v>
      </c>
      <c r="C39" s="5">
        <v>-7.4519230800000003E-2</v>
      </c>
      <c r="D39" s="36">
        <v>83.3</v>
      </c>
      <c r="E39" s="5">
        <f t="shared" si="14"/>
        <v>8.1818181818181776E-2</v>
      </c>
      <c r="F39" s="48">
        <f>IF(ISNUMBER(D39), $B44 * E39, "")</f>
        <v>8181.8181818181774</v>
      </c>
      <c r="G39" s="36">
        <v>84</v>
      </c>
      <c r="H39" s="5">
        <f t="shared" si="15"/>
        <v>9.0909090909090912E-2</v>
      </c>
      <c r="I39" s="48">
        <f>IF(ISNUMBER(G39), $B44 * H39, "")</f>
        <v>9090.9090909090919</v>
      </c>
      <c r="J39" s="36">
        <v>83.3</v>
      </c>
      <c r="K39" s="5">
        <f t="shared" si="16"/>
        <v>8.1818181818181776E-2</v>
      </c>
      <c r="L39" s="48">
        <f>IF(ISNUMBER(J39), $B44 * K39, "")</f>
        <v>8181.8181818181774</v>
      </c>
      <c r="M39" s="36">
        <v>83.6</v>
      </c>
      <c r="N39" s="5">
        <f t="shared" si="17"/>
        <v>8.5714285714285646E-2</v>
      </c>
      <c r="O39" s="48">
        <f>IF(ISNUMBER(M39), $B44 * N39, "")</f>
        <v>8571.4285714285652</v>
      </c>
      <c r="Q39" s="229"/>
      <c r="R39" s="230"/>
    </row>
    <row r="40" spans="1:18" ht="17.25" customHeight="1">
      <c r="A40" s="11" t="s">
        <v>148</v>
      </c>
      <c r="B40" s="32">
        <v>91.9</v>
      </c>
      <c r="C40" s="5">
        <v>-8.1000000000000003E-2</v>
      </c>
      <c r="D40" s="36">
        <v>99.5</v>
      </c>
      <c r="E40" s="5">
        <f t="shared" si="14"/>
        <v>8.269858541893356E-2</v>
      </c>
      <c r="F40" s="44">
        <f>IF(ISNUMBER(D40), $B44 * E40, "")</f>
        <v>8269.8585418933562</v>
      </c>
      <c r="G40" s="36">
        <v>105</v>
      </c>
      <c r="H40" s="5">
        <f t="shared" si="15"/>
        <v>0.14254624591947762</v>
      </c>
      <c r="I40" s="44">
        <f>IF(ISNUMBER(G40), $B44 * H40, "")</f>
        <v>14254.624591947762</v>
      </c>
      <c r="J40" s="36">
        <v>106</v>
      </c>
      <c r="K40" s="5">
        <f t="shared" si="16"/>
        <v>0.15342763873775836</v>
      </c>
      <c r="L40" s="44">
        <f>IF(ISNUMBER(J40), $B44 * K40, "")</f>
        <v>15342.763873775835</v>
      </c>
      <c r="M40" s="36">
        <v>104</v>
      </c>
      <c r="N40" s="5">
        <f t="shared" si="17"/>
        <v>0.13166485310119688</v>
      </c>
      <c r="O40" s="44">
        <f>IF(ISNUMBER(M40), $B44 * N40, "")</f>
        <v>13166.485310119688</v>
      </c>
      <c r="Q40" s="229"/>
      <c r="R40" s="230"/>
    </row>
    <row r="41" spans="1:18" ht="17.25" customHeight="1">
      <c r="A41" s="11" t="s">
        <v>133</v>
      </c>
      <c r="B41" s="32">
        <v>24.7</v>
      </c>
      <c r="C41" s="5">
        <v>-8.1784386599999995E-2</v>
      </c>
      <c r="D41" s="36">
        <v>25</v>
      </c>
      <c r="E41" s="5">
        <f t="shared" si="14"/>
        <v>1.2145748987854281E-2</v>
      </c>
      <c r="F41" s="44">
        <f>IF(ISNUMBER(D41), $B44 * E41, "")</f>
        <v>1214.5748987854281</v>
      </c>
      <c r="G41" s="36">
        <v>24.9</v>
      </c>
      <c r="H41" s="5">
        <f t="shared" si="15"/>
        <v>8.0971659919028063E-3</v>
      </c>
      <c r="I41" s="44">
        <f>IF(ISNUMBER(G41), $B44 * H41, "")</f>
        <v>809.71659919028059</v>
      </c>
      <c r="J41" s="36">
        <v>25</v>
      </c>
      <c r="K41" s="5">
        <f t="shared" si="16"/>
        <v>1.2145748987854281E-2</v>
      </c>
      <c r="L41" s="44">
        <f>IF(ISNUMBER(J41), $B44 * K41, "")</f>
        <v>1214.5748987854281</v>
      </c>
      <c r="M41" s="36">
        <v>25.8</v>
      </c>
      <c r="N41" s="5">
        <f t="shared" si="17"/>
        <v>4.4534412955465646E-2</v>
      </c>
      <c r="O41" s="44">
        <f>IF(ISNUMBER(M41), $B44 * N41, "")</f>
        <v>4453.441295546565</v>
      </c>
      <c r="Q41" s="229"/>
      <c r="R41" s="230"/>
    </row>
    <row r="42" spans="1:18" ht="17.25" customHeight="1">
      <c r="A42" s="11" t="s">
        <v>128</v>
      </c>
      <c r="B42" s="32">
        <v>99</v>
      </c>
      <c r="C42" s="5">
        <v>-8.3333333300000006E-2</v>
      </c>
      <c r="D42" s="36">
        <v>99.6</v>
      </c>
      <c r="E42" s="5">
        <f t="shared" si="14"/>
        <v>6.0606060606060034E-3</v>
      </c>
      <c r="F42" s="44">
        <f>IF(ISNUMBER(D42), $B44 * E42, "")</f>
        <v>606.06060606060032</v>
      </c>
      <c r="G42" s="36">
        <v>100</v>
      </c>
      <c r="H42" s="5">
        <f t="shared" si="15"/>
        <v>1.0101010101010102E-2</v>
      </c>
      <c r="I42" s="44">
        <f>IF(ISNUMBER(G42), $B44 * H42, "")</f>
        <v>1010.1010101010102</v>
      </c>
      <c r="J42" s="36">
        <v>101</v>
      </c>
      <c r="K42" s="5">
        <f t="shared" si="16"/>
        <v>2.0202020202020204E-2</v>
      </c>
      <c r="L42" s="44">
        <f>IF(ISNUMBER(J42), $B44 * K42, "")</f>
        <v>2020.2020202020203</v>
      </c>
      <c r="M42" s="36">
        <v>101</v>
      </c>
      <c r="N42" s="5">
        <f t="shared" si="17"/>
        <v>2.0202020202020204E-2</v>
      </c>
      <c r="O42" s="44">
        <f>IF(ISNUMBER(M42), $B44 * N42, "")</f>
        <v>2020.2020202020203</v>
      </c>
      <c r="P42" s="17"/>
      <c r="Q42" s="231"/>
      <c r="R42" s="232"/>
    </row>
    <row r="43" spans="1:18" ht="17.25" customHeight="1" thickBot="1">
      <c r="A43" s="13" t="s">
        <v>107</v>
      </c>
      <c r="B43" s="34">
        <v>39.299999999999997</v>
      </c>
      <c r="C43" s="16">
        <v>-8.60465116E-2</v>
      </c>
      <c r="D43" s="38">
        <v>38.799999999999997</v>
      </c>
      <c r="E43" s="16">
        <f t="shared" si="14"/>
        <v>-1.2722646310432571E-2</v>
      </c>
      <c r="F43" s="45">
        <f>IF(ISNUMBER(D43), $B44 * E43, "")</f>
        <v>-1272.2646310432572</v>
      </c>
      <c r="G43" s="38">
        <v>38.700000000000003</v>
      </c>
      <c r="H43" s="16">
        <f t="shared" si="15"/>
        <v>-1.5267175572518941E-2</v>
      </c>
      <c r="I43" s="45">
        <f>IF(ISNUMBER(G43), $B44 * H43, "")</f>
        <v>-1526.717557251894</v>
      </c>
      <c r="J43" s="38">
        <v>39</v>
      </c>
      <c r="K43" s="16">
        <f t="shared" si="16"/>
        <v>-7.6335877862594706E-3</v>
      </c>
      <c r="L43" s="45">
        <f>IF(ISNUMBER(J43), $B44 * K43, "")</f>
        <v>-763.35877862594702</v>
      </c>
      <c r="M43" s="38">
        <v>40.299999999999997</v>
      </c>
      <c r="N43" s="16">
        <f t="shared" si="17"/>
        <v>2.5445292620865142E-2</v>
      </c>
      <c r="O43" s="45">
        <f>IF(ISNUMBER(M43), $B44 * N43, "")</f>
        <v>2544.5292620865143</v>
      </c>
      <c r="P43" s="17"/>
      <c r="Q43" s="231"/>
      <c r="R43" s="232"/>
    </row>
    <row r="44" spans="1:18" ht="17.25" customHeight="1" thickBot="1">
      <c r="A44" s="57" t="s">
        <v>32</v>
      </c>
      <c r="B44" s="235">
        <v>100000</v>
      </c>
      <c r="C44" s="236"/>
      <c r="D44" s="57" t="s">
        <v>82</v>
      </c>
      <c r="E44" s="46">
        <f>IF(COUNT(E34:E43), SUM(E34:E43) / COUNT(E34:E43), 0)</f>
        <v>9.9002385805101692E-2</v>
      </c>
      <c r="F44" s="47">
        <f>SUM(F34:F43)</f>
        <v>99002.385805101643</v>
      </c>
      <c r="G44" s="57" t="s">
        <v>82</v>
      </c>
      <c r="H44" s="46">
        <f>IF(COUNT(H34:H43), SUM(H34:H43) / COUNT(H34:H43), 0)</f>
        <v>9.7782722565166444E-2</v>
      </c>
      <c r="I44" s="47">
        <f>SUM(I34:I43)</f>
        <v>97782.722565166448</v>
      </c>
      <c r="J44" s="57" t="s">
        <v>82</v>
      </c>
      <c r="K44" s="46">
        <f>IF(COUNT(K34:K43), SUM(K34:K43) / COUNT(K34:K43), 0)</f>
        <v>0.10929181570136574</v>
      </c>
      <c r="L44" s="47">
        <f>SUM(L34:L43)</f>
        <v>109291.81570136576</v>
      </c>
      <c r="M44" s="57" t="s">
        <v>82</v>
      </c>
      <c r="N44" s="46">
        <f>IF(COUNT(N34:N43), SUM(N34:N43) / COUNT(N34:N43), 0)</f>
        <v>0.10772962936786412</v>
      </c>
      <c r="O44" s="47">
        <f>SUM(O34:O43)</f>
        <v>107729.62936786415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58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0" t="s">
        <v>70</v>
      </c>
      <c r="M50" s="18" t="s">
        <v>67</v>
      </c>
      <c r="N50" s="4" t="s">
        <v>68</v>
      </c>
      <c r="O50" s="161" t="s">
        <v>70</v>
      </c>
      <c r="Q50" s="231"/>
      <c r="R50" s="232"/>
    </row>
    <row r="51" spans="1:18" ht="17.25" customHeight="1">
      <c r="A51" s="9" t="s">
        <v>135</v>
      </c>
      <c r="B51" s="31">
        <v>27.7</v>
      </c>
      <c r="C51" s="22">
        <v>-8.8815789500000006E-2</v>
      </c>
      <c r="D51" s="89">
        <v>30</v>
      </c>
      <c r="E51" s="22">
        <f>IF(ISNUMBER(D51), (D51 - $B51) / $B51, "")</f>
        <v>8.303249097472927E-2</v>
      </c>
      <c r="F51" s="43">
        <f>IF(ISNUMBER(D51), $B61 * E51, "")</f>
        <v>8303.2490974729262</v>
      </c>
      <c r="G51" s="89">
        <v>29.7</v>
      </c>
      <c r="H51" s="22">
        <f>IF(ISNUMBER(G51), (G51 - $B51) / $B51, "")</f>
        <v>7.2202166064981949E-2</v>
      </c>
      <c r="I51" s="43">
        <f>IF(ISNUMBER(G51), $B61 * H51, "")</f>
        <v>7220.2166064981948</v>
      </c>
      <c r="J51" s="89">
        <v>30.2</v>
      </c>
      <c r="K51" s="22">
        <f>IF(ISNUMBER(J51), (J51 - $B51) / $B51, "")</f>
        <v>9.0252707581227443E-2</v>
      </c>
      <c r="L51" s="43">
        <f>IF(ISNUMBER(J51), $B61 * K51, "")</f>
        <v>9025.2707581227442</v>
      </c>
      <c r="M51" s="89">
        <v>31</v>
      </c>
      <c r="N51" s="22">
        <f>IF(ISNUMBER(M51), (M51 - $B51) / $B51, "")</f>
        <v>0.11913357400722024</v>
      </c>
      <c r="O51" s="43">
        <f>IF(ISNUMBER(M51), $B61 * N51, "")</f>
        <v>11913.357400722025</v>
      </c>
      <c r="Q51" s="229"/>
      <c r="R51" s="230"/>
    </row>
    <row r="52" spans="1:18" ht="17.25" customHeight="1">
      <c r="A52" s="11" t="s">
        <v>119</v>
      </c>
      <c r="B52" s="32">
        <v>23.1</v>
      </c>
      <c r="C52" s="5">
        <v>-9.4117647099999993E-2</v>
      </c>
      <c r="D52" s="36">
        <v>24.6</v>
      </c>
      <c r="E52" s="5">
        <f t="shared" ref="E52:E60" si="18">IF(ISNUMBER(D52), (D52 - $B52) / $B52, "")</f>
        <v>6.4935064935064929E-2</v>
      </c>
      <c r="F52" s="44">
        <f>IF(ISNUMBER(D52), $B61 * E52, "")</f>
        <v>6493.5064935064929</v>
      </c>
      <c r="G52" s="36">
        <v>25</v>
      </c>
      <c r="H52" s="5">
        <f t="shared" ref="H52:H60" si="19">IF(ISNUMBER(G52), (G52 - $B52) / $B52, "")</f>
        <v>8.2251082251082186E-2</v>
      </c>
      <c r="I52" s="44">
        <f>IF(ISNUMBER(G52), $B61 * H52, "")</f>
        <v>8225.1082251082189</v>
      </c>
      <c r="J52" s="36">
        <v>25.3</v>
      </c>
      <c r="K52" s="5">
        <f t="shared" ref="K52:K60" si="20">IF(ISNUMBER(J52), (J52 - $B52) / $B52, "")</f>
        <v>9.5238095238095205E-2</v>
      </c>
      <c r="L52" s="44">
        <f>IF(ISNUMBER(J52), $B61 * K52, "")</f>
        <v>9523.8095238095211</v>
      </c>
      <c r="M52" s="36">
        <v>26.6</v>
      </c>
      <c r="N52" s="5">
        <f t="shared" ref="N52:N60" si="21">IF(ISNUMBER(M52), (M52 - $B52) / $B52, "")</f>
        <v>0.15151515151515152</v>
      </c>
      <c r="O52" s="44">
        <f>IF(ISNUMBER(M52), $B61 * N52, "")</f>
        <v>15151.515151515152</v>
      </c>
      <c r="Q52" s="229"/>
      <c r="R52" s="230"/>
    </row>
    <row r="53" spans="1:18" ht="17.25" customHeight="1">
      <c r="A53" s="11" t="s">
        <v>146</v>
      </c>
      <c r="B53" s="32">
        <v>92</v>
      </c>
      <c r="C53" s="5">
        <v>-9.8039215700000001E-2</v>
      </c>
      <c r="D53" s="36">
        <v>89.9</v>
      </c>
      <c r="E53" s="5">
        <f t="shared" si="18"/>
        <v>-2.2826086956521677E-2</v>
      </c>
      <c r="F53" s="44">
        <f>IF(ISNUMBER(D53), $B61 * E53, "")</f>
        <v>-2282.6086956521676</v>
      </c>
      <c r="G53" s="36">
        <v>90.1</v>
      </c>
      <c r="H53" s="5">
        <f t="shared" si="19"/>
        <v>-2.0652173913043539E-2</v>
      </c>
      <c r="I53" s="44">
        <f>IF(ISNUMBER(G53), $B61 * H53, "")</f>
        <v>-2065.2173913043539</v>
      </c>
      <c r="J53" s="36">
        <v>90.2</v>
      </c>
      <c r="K53" s="5">
        <f t="shared" si="20"/>
        <v>-1.9565217391304318E-2</v>
      </c>
      <c r="L53" s="44">
        <f>IF(ISNUMBER(J53), $B61 * K53, "")</f>
        <v>-1956.5217391304318</v>
      </c>
      <c r="M53" s="36">
        <v>93.4</v>
      </c>
      <c r="N53" s="5">
        <f t="shared" si="21"/>
        <v>1.5217391304347887E-2</v>
      </c>
      <c r="O53" s="44">
        <f>IF(ISNUMBER(M53), $B61 * N53, "")</f>
        <v>1521.7391304347886</v>
      </c>
      <c r="Q53" s="229"/>
      <c r="R53" s="230"/>
    </row>
    <row r="54" spans="1:18" ht="17.25" customHeight="1">
      <c r="A54" s="11" t="s">
        <v>136</v>
      </c>
      <c r="B54" s="32">
        <v>28.1</v>
      </c>
      <c r="C54" s="5">
        <v>-9.9358974399999994E-2</v>
      </c>
      <c r="D54" s="36">
        <v>27.9</v>
      </c>
      <c r="E54" s="5">
        <f t="shared" si="18"/>
        <v>-7.1174377224200299E-3</v>
      </c>
      <c r="F54" s="44">
        <f>IF(ISNUMBER(D54), $B61 * E54, "")</f>
        <v>-711.74377224200305</v>
      </c>
      <c r="G54" s="36">
        <v>27.8</v>
      </c>
      <c r="H54" s="5">
        <f t="shared" si="19"/>
        <v>-1.0676156583629918E-2</v>
      </c>
      <c r="I54" s="44">
        <f>IF(ISNUMBER(G54), $B61 * H54, "")</f>
        <v>-1067.6156583629918</v>
      </c>
      <c r="J54" s="36">
        <v>27.8</v>
      </c>
      <c r="K54" s="5">
        <f t="shared" si="20"/>
        <v>-1.0676156583629918E-2</v>
      </c>
      <c r="L54" s="44">
        <f>IF(ISNUMBER(J54), $B61 * K54, "")</f>
        <v>-1067.6156583629918</v>
      </c>
      <c r="M54" s="36">
        <v>28.7</v>
      </c>
      <c r="N54" s="5">
        <f t="shared" si="21"/>
        <v>2.1352313167259711E-2</v>
      </c>
      <c r="O54" s="44">
        <f>IF(ISNUMBER(M54), $B61 * N54, "")</f>
        <v>2135.2313167259713</v>
      </c>
      <c r="Q54" s="229"/>
      <c r="R54" s="230"/>
    </row>
    <row r="55" spans="1:18" ht="17.25" customHeight="1">
      <c r="A55" s="8" t="s">
        <v>100</v>
      </c>
      <c r="B55" s="33">
        <v>36.799999999999997</v>
      </c>
      <c r="C55" s="24">
        <v>-0.1002444988</v>
      </c>
      <c r="D55" s="37">
        <v>35.700000000000003</v>
      </c>
      <c r="E55" s="24">
        <f t="shared" si="18"/>
        <v>-2.9891304347825935E-2</v>
      </c>
      <c r="F55" s="44">
        <f>IF(ISNUMBER(D55), $B61 * E55, "")</f>
        <v>-2989.1304347825935</v>
      </c>
      <c r="G55" s="37">
        <v>35.5</v>
      </c>
      <c r="H55" s="24">
        <f t="shared" si="19"/>
        <v>-3.5326086956521667E-2</v>
      </c>
      <c r="I55" s="44">
        <f>IF(ISNUMBER(G55), $B61 * H55, "")</f>
        <v>-3532.6086956521667</v>
      </c>
      <c r="J55" s="37">
        <v>35.9</v>
      </c>
      <c r="K55" s="24">
        <f t="shared" si="20"/>
        <v>-2.4456521739130398E-2</v>
      </c>
      <c r="L55" s="44">
        <f>IF(ISNUMBER(J55), $B61 * K55, "")</f>
        <v>-2445.6521739130399</v>
      </c>
      <c r="M55" s="37">
        <v>37.4</v>
      </c>
      <c r="N55" s="24">
        <f t="shared" si="21"/>
        <v>1.6304347826086998E-2</v>
      </c>
      <c r="O55" s="44">
        <f>IF(ISNUMBER(M55), $B61 * N55, "")</f>
        <v>1630.4347826086998</v>
      </c>
      <c r="Q55" s="229"/>
      <c r="R55" s="230"/>
    </row>
    <row r="56" spans="1:18" ht="17.25" customHeight="1">
      <c r="A56" s="11" t="s">
        <v>132</v>
      </c>
      <c r="B56" s="32">
        <v>32.1</v>
      </c>
      <c r="C56" s="5">
        <v>-0.10335195530000001</v>
      </c>
      <c r="D56" s="36">
        <v>35</v>
      </c>
      <c r="E56" s="5">
        <f t="shared" si="18"/>
        <v>9.0342679127725811E-2</v>
      </c>
      <c r="F56" s="48">
        <f>IF(ISNUMBER(D56), $B61 * E56, "")</f>
        <v>9034.2679127725805</v>
      </c>
      <c r="G56" s="36">
        <v>35</v>
      </c>
      <c r="H56" s="5">
        <f t="shared" si="19"/>
        <v>9.0342679127725811E-2</v>
      </c>
      <c r="I56" s="48">
        <f>IF(ISNUMBER(G56), $B61 * H56, "")</f>
        <v>9034.2679127725805</v>
      </c>
      <c r="J56" s="36">
        <v>34.9</v>
      </c>
      <c r="K56" s="5">
        <f t="shared" si="20"/>
        <v>8.7227414330217981E-2</v>
      </c>
      <c r="L56" s="48">
        <f>IF(ISNUMBER(J56), $B61 * K56, "")</f>
        <v>8722.741433021798</v>
      </c>
      <c r="M56" s="36">
        <v>35.6</v>
      </c>
      <c r="N56" s="5">
        <f t="shared" si="21"/>
        <v>0.10903426791277258</v>
      </c>
      <c r="O56" s="48">
        <f>IF(ISNUMBER(M56), $B61 * N56, "")</f>
        <v>10903.426791277258</v>
      </c>
      <c r="Q56" s="229"/>
      <c r="R56" s="230"/>
    </row>
    <row r="57" spans="1:18" ht="17.25" customHeight="1">
      <c r="A57" s="11" t="s">
        <v>158</v>
      </c>
      <c r="B57" s="32">
        <v>29.4</v>
      </c>
      <c r="C57" s="5">
        <v>-0.1036585366</v>
      </c>
      <c r="D57" s="36">
        <v>30.2</v>
      </c>
      <c r="E57" s="5">
        <f t="shared" si="18"/>
        <v>2.7210884353741523E-2</v>
      </c>
      <c r="F57" s="44">
        <f>IF(ISNUMBER(D57), $B61 * E57, "")</f>
        <v>2721.0884353741521</v>
      </c>
      <c r="G57" s="36">
        <v>29.8</v>
      </c>
      <c r="H57" s="5">
        <f t="shared" si="19"/>
        <v>1.3605442176870821E-2</v>
      </c>
      <c r="I57" s="44">
        <f>IF(ISNUMBER(G57), $B61 * H57, "")</f>
        <v>1360.544217687082</v>
      </c>
      <c r="J57" s="36">
        <v>29.9</v>
      </c>
      <c r="K57" s="5">
        <f t="shared" si="20"/>
        <v>1.7006802721088437E-2</v>
      </c>
      <c r="L57" s="44">
        <f>IF(ISNUMBER(J57), $B61 * K57, "")</f>
        <v>1700.6802721088436</v>
      </c>
      <c r="M57" s="36">
        <v>31</v>
      </c>
      <c r="N57" s="5">
        <f t="shared" si="21"/>
        <v>5.4421768707483047E-2</v>
      </c>
      <c r="O57" s="44">
        <f>IF(ISNUMBER(M57), $B61 * N57, "")</f>
        <v>5442.1768707483043</v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100000</v>
      </c>
      <c r="C61" s="236"/>
      <c r="D61" s="57" t="s">
        <v>82</v>
      </c>
      <c r="E61" s="46">
        <f>IF(COUNT(E51:E60), SUM(E51:E60) / COUNT(E51:E60), 0)</f>
        <v>2.9383755766356275E-2</v>
      </c>
      <c r="F61" s="47">
        <f>SUM(F51:F60)</f>
        <v>20568.629036449387</v>
      </c>
      <c r="G61" s="57" t="s">
        <v>82</v>
      </c>
      <c r="H61" s="46">
        <f>IF(COUNT(H51:H60), SUM(H51:H60) / COUNT(H51:H60), 0)</f>
        <v>2.7392421738209376E-2</v>
      </c>
      <c r="I61" s="47">
        <f>SUM(I51:I60)</f>
        <v>19174.695216746564</v>
      </c>
      <c r="J61" s="57" t="s">
        <v>82</v>
      </c>
      <c r="K61" s="46">
        <f>IF(COUNT(K51:K60), SUM(K51:K60) / COUNT(K51:K60), 0)</f>
        <v>3.3575303450937774E-2</v>
      </c>
      <c r="L61" s="47">
        <f>SUM(L51:L60)</f>
        <v>23502.712415656439</v>
      </c>
      <c r="M61" s="57" t="s">
        <v>82</v>
      </c>
      <c r="N61" s="46">
        <f>IF(COUNT(N51:N60), SUM(N51:N60) / COUNT(N51:N60), 0)</f>
        <v>6.9568402062903142E-2</v>
      </c>
      <c r="O61" s="47">
        <f>SUM(O51:O60)</f>
        <v>48697.881444032195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58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0" t="s">
        <v>70</v>
      </c>
      <c r="M67" s="18" t="s">
        <v>67</v>
      </c>
      <c r="N67" s="4" t="s">
        <v>68</v>
      </c>
      <c r="O67" s="161" t="s">
        <v>70</v>
      </c>
      <c r="Q67" s="231"/>
      <c r="R67" s="232"/>
    </row>
    <row r="68" spans="1:18" ht="17.25" customHeight="1">
      <c r="A68" s="9" t="s">
        <v>94</v>
      </c>
      <c r="B68" s="31">
        <v>467</v>
      </c>
      <c r="C68" s="22">
        <v>1.048245614</v>
      </c>
      <c r="D68" s="89">
        <v>346</v>
      </c>
      <c r="E68" s="22">
        <f>IF(ISNUMBER(D68), (D68 - $B68) / $B68, "")</f>
        <v>-0.25910064239828695</v>
      </c>
      <c r="F68" s="43">
        <f>IF(ISNUMBER(D68), $B78 * E68, "")</f>
        <v>-25910.064239828695</v>
      </c>
      <c r="G68" s="89">
        <v>382</v>
      </c>
      <c r="H68" s="22">
        <f>IF(ISNUMBER(G68), (G68 - $B68) / $B68, "")</f>
        <v>-0.18201284796573874</v>
      </c>
      <c r="I68" s="43">
        <f>IF(ISNUMBER(G68), $B78 * H68, "")</f>
        <v>-18201.284796573873</v>
      </c>
      <c r="J68" s="89">
        <v>347</v>
      </c>
      <c r="K68" s="22">
        <f>IF(ISNUMBER(J68), (J68 - $B68) / $B68, "")</f>
        <v>-0.2569593147751606</v>
      </c>
      <c r="L68" s="43">
        <f>IF(ISNUMBER(J68), $B78 * K68, "")</f>
        <v>-25695.93147751606</v>
      </c>
      <c r="M68" s="89">
        <v>337</v>
      </c>
      <c r="N68" s="22">
        <f>IF(ISNUMBER(M68), (M68 - $B68) / $B68, "")</f>
        <v>-0.27837259100642398</v>
      </c>
      <c r="O68" s="43">
        <f>IF(ISNUMBER(M68), $B78 * N68, "")</f>
        <v>-27837.259100642397</v>
      </c>
      <c r="Q68" s="229"/>
      <c r="R68" s="230"/>
    </row>
    <row r="69" spans="1:18" ht="17.25" customHeight="1">
      <c r="A69" s="11" t="s">
        <v>125</v>
      </c>
      <c r="B69" s="32">
        <v>809</v>
      </c>
      <c r="C69" s="5">
        <v>0.20029673589999999</v>
      </c>
      <c r="D69" s="36">
        <v>792</v>
      </c>
      <c r="E69" s="5">
        <f t="shared" ref="E69:E77" si="22">IF(ISNUMBER(D69), (D69 - $B69) / $B69, "")</f>
        <v>-2.1013597033374538E-2</v>
      </c>
      <c r="F69" s="44">
        <f>IF(ISNUMBER(D69), $B78 * E69, "")</f>
        <v>-2101.359703337454</v>
      </c>
      <c r="G69" s="36">
        <v>813</v>
      </c>
      <c r="H69" s="5">
        <f t="shared" ref="H69:H77" si="23">IF(ISNUMBER(G69), (G69 - $B69) / $B69, "")</f>
        <v>4.944375772558714E-3</v>
      </c>
      <c r="I69" s="44">
        <f>IF(ISNUMBER(G69), $B78 * H69, "")</f>
        <v>494.43757725587142</v>
      </c>
      <c r="J69" s="36">
        <v>784</v>
      </c>
      <c r="K69" s="5">
        <f t="shared" ref="K69:K77" si="24">IF(ISNUMBER(J69), (J69 - $B69) / $B69, "")</f>
        <v>-3.0902348578491966E-2</v>
      </c>
      <c r="L69" s="44">
        <f>IF(ISNUMBER(J69), $B78 * K69, "")</f>
        <v>-3090.2348578491965</v>
      </c>
      <c r="M69" s="36">
        <v>788</v>
      </c>
      <c r="N69" s="5">
        <f t="shared" ref="N69:N77" si="25">IF(ISNUMBER(M69), (M69 - $B69) / $B69, "")</f>
        <v>-2.595797280593325E-2</v>
      </c>
      <c r="O69" s="44">
        <f>IF(ISNUMBER(M69), $B78 * N69, "")</f>
        <v>-2595.797280593325</v>
      </c>
      <c r="Q69" s="229"/>
      <c r="R69" s="230"/>
    </row>
    <row r="70" spans="1:18" ht="17.25" customHeight="1">
      <c r="A70" s="11" t="s">
        <v>138</v>
      </c>
      <c r="B70" s="32">
        <v>237</v>
      </c>
      <c r="C70" s="5">
        <v>8.71559633E-2</v>
      </c>
      <c r="D70" s="36">
        <v>256</v>
      </c>
      <c r="E70" s="5">
        <f t="shared" si="22"/>
        <v>8.0168776371308023E-2</v>
      </c>
      <c r="F70" s="44">
        <f>IF(ISNUMBER(D70), $B78 * E70, "")</f>
        <v>8016.8776371308022</v>
      </c>
      <c r="G70" s="36">
        <v>240</v>
      </c>
      <c r="H70" s="5">
        <f t="shared" si="23"/>
        <v>1.2658227848101266E-2</v>
      </c>
      <c r="I70" s="44">
        <f>IF(ISNUMBER(G70), $B78 * H70, "")</f>
        <v>1265.8227848101264</v>
      </c>
      <c r="J70" s="36">
        <v>242</v>
      </c>
      <c r="K70" s="5">
        <f t="shared" si="24"/>
        <v>2.1097046413502109E-2</v>
      </c>
      <c r="L70" s="44">
        <f>IF(ISNUMBER(J70), $B78 * K70, "")</f>
        <v>2109.7046413502107</v>
      </c>
      <c r="M70" s="36">
        <v>241</v>
      </c>
      <c r="N70" s="5">
        <f t="shared" si="25"/>
        <v>1.6877637130801686E-2</v>
      </c>
      <c r="O70" s="44">
        <f>IF(ISNUMBER(M70), $B78 * N70, "")</f>
        <v>1687.7637130801686</v>
      </c>
      <c r="Q70" s="229"/>
      <c r="R70" s="230"/>
    </row>
    <row r="71" spans="1:18" ht="17.25" customHeight="1">
      <c r="A71" s="11" t="s">
        <v>140</v>
      </c>
      <c r="B71" s="32">
        <v>493</v>
      </c>
      <c r="C71" s="5">
        <v>7.4074074099999998E-2</v>
      </c>
      <c r="D71" s="36">
        <v>477</v>
      </c>
      <c r="E71" s="5">
        <f t="shared" si="22"/>
        <v>-3.2454361054766734E-2</v>
      </c>
      <c r="F71" s="44">
        <f>IF(ISNUMBER(D71), $B78 * E71, "")</f>
        <v>-3245.4361054766732</v>
      </c>
      <c r="G71" s="36">
        <v>474</v>
      </c>
      <c r="H71" s="5">
        <f t="shared" si="23"/>
        <v>-3.8539553752535496E-2</v>
      </c>
      <c r="I71" s="44">
        <f>IF(ISNUMBER(G71), $B78 * H71, "")</f>
        <v>-3853.9553752535498</v>
      </c>
      <c r="J71" s="36">
        <v>471</v>
      </c>
      <c r="K71" s="5">
        <f t="shared" si="24"/>
        <v>-4.4624746450304259E-2</v>
      </c>
      <c r="L71" s="44">
        <f>IF(ISNUMBER(J71), $B78 * K71, "")</f>
        <v>-4462.4746450304256</v>
      </c>
      <c r="M71" s="36">
        <v>467</v>
      </c>
      <c r="N71" s="5">
        <f t="shared" si="25"/>
        <v>-5.2738336713995942E-2</v>
      </c>
      <c r="O71" s="44">
        <f>IF(ISNUMBER(M71), $B78 * N71, "")</f>
        <v>-5273.8336713995941</v>
      </c>
      <c r="Q71" s="229"/>
      <c r="R71" s="230"/>
    </row>
    <row r="72" spans="1:18" ht="17.25" customHeight="1">
      <c r="A72" s="8" t="s">
        <v>144</v>
      </c>
      <c r="B72" s="33">
        <v>670</v>
      </c>
      <c r="C72" s="24">
        <v>2.7607362E-2</v>
      </c>
      <c r="D72" s="37">
        <v>644</v>
      </c>
      <c r="E72" s="24">
        <f t="shared" si="22"/>
        <v>-3.880597014925373E-2</v>
      </c>
      <c r="F72" s="44">
        <f>IF(ISNUMBER(D72), $B78 * E72, "")</f>
        <v>-3880.5970149253731</v>
      </c>
      <c r="G72" s="37">
        <v>658</v>
      </c>
      <c r="H72" s="24">
        <f t="shared" si="23"/>
        <v>-1.7910447761194031E-2</v>
      </c>
      <c r="I72" s="44">
        <f>IF(ISNUMBER(G72), $B78 * H72, "")</f>
        <v>-1791.0447761194032</v>
      </c>
      <c r="J72" s="37">
        <v>654</v>
      </c>
      <c r="K72" s="24">
        <f t="shared" si="24"/>
        <v>-2.3880597014925373E-2</v>
      </c>
      <c r="L72" s="44">
        <f>IF(ISNUMBER(J72), $B78 * K72, "")</f>
        <v>-2388.0597014925374</v>
      </c>
      <c r="M72" s="37">
        <v>650</v>
      </c>
      <c r="N72" s="24">
        <f t="shared" si="25"/>
        <v>-2.9850746268656716E-2</v>
      </c>
      <c r="O72" s="44">
        <f>IF(ISNUMBER(M72), $B78 * N72, "")</f>
        <v>-2985.0746268656717</v>
      </c>
      <c r="Q72" s="229"/>
      <c r="R72" s="230"/>
    </row>
    <row r="73" spans="1:18" ht="17.25" customHeight="1">
      <c r="A73" s="11" t="s">
        <v>126</v>
      </c>
      <c r="B73" s="32">
        <v>225</v>
      </c>
      <c r="C73" s="5">
        <v>8.9686099000000005E-3</v>
      </c>
      <c r="D73" s="36">
        <v>299</v>
      </c>
      <c r="E73" s="5">
        <f t="shared" si="22"/>
        <v>0.3288888888888889</v>
      </c>
      <c r="F73" s="48">
        <f>IF(ISNUMBER(D73), $B78 * E73, "")</f>
        <v>32888.888888888891</v>
      </c>
      <c r="G73" s="36">
        <v>297</v>
      </c>
      <c r="H73" s="5">
        <f t="shared" si="23"/>
        <v>0.32</v>
      </c>
      <c r="I73" s="48">
        <f>IF(ISNUMBER(G73), $B78 * H73, "")</f>
        <v>32000</v>
      </c>
      <c r="J73" s="36">
        <v>286</v>
      </c>
      <c r="K73" s="5">
        <f t="shared" si="24"/>
        <v>0.27111111111111114</v>
      </c>
      <c r="L73" s="48">
        <f>IF(ISNUMBER(J73), $B78 * K73, "")</f>
        <v>27111.111111111113</v>
      </c>
      <c r="M73" s="36">
        <v>291</v>
      </c>
      <c r="N73" s="5">
        <f t="shared" si="25"/>
        <v>0.29333333333333333</v>
      </c>
      <c r="O73" s="48">
        <f>IF(ISNUMBER(M73), $B78 * N73, "")</f>
        <v>29333.333333333332</v>
      </c>
      <c r="Q73" s="229"/>
      <c r="R73" s="230"/>
    </row>
    <row r="74" spans="1:18" ht="17.25" customHeight="1">
      <c r="A74" s="11" t="s">
        <v>134</v>
      </c>
      <c r="B74" s="32">
        <v>418</v>
      </c>
      <c r="C74" s="5">
        <v>4.8076923000000002E-3</v>
      </c>
      <c r="D74" s="36">
        <v>376</v>
      </c>
      <c r="E74" s="5">
        <f t="shared" si="22"/>
        <v>-0.10047846889952153</v>
      </c>
      <c r="F74" s="44">
        <f>IF(ISNUMBER(D74), $B78 * E74, "")</f>
        <v>-10047.846889952152</v>
      </c>
      <c r="G74" s="36">
        <v>385</v>
      </c>
      <c r="H74" s="5">
        <f t="shared" si="23"/>
        <v>-7.8947368421052627E-2</v>
      </c>
      <c r="I74" s="44">
        <f>IF(ISNUMBER(G74), $B78 * H74, "")</f>
        <v>-7894.7368421052624</v>
      </c>
      <c r="J74" s="36">
        <v>386</v>
      </c>
      <c r="K74" s="5">
        <f t="shared" si="24"/>
        <v>-7.6555023923444973E-2</v>
      </c>
      <c r="L74" s="44">
        <f>IF(ISNUMBER(J74), $B78 * K74, "")</f>
        <v>-7655.5023923444969</v>
      </c>
      <c r="M74" s="36">
        <v>389</v>
      </c>
      <c r="N74" s="5">
        <f t="shared" si="25"/>
        <v>-6.9377990430622011E-2</v>
      </c>
      <c r="O74" s="44">
        <f>IF(ISNUMBER(M74), $B78 * N74, "")</f>
        <v>-6937.7990430622012</v>
      </c>
      <c r="Q74" s="229"/>
      <c r="R74" s="230"/>
    </row>
    <row r="75" spans="1:18" ht="17.25" customHeight="1">
      <c r="A75" s="11" t="s">
        <v>127</v>
      </c>
      <c r="B75" s="32">
        <v>221</v>
      </c>
      <c r="C75" s="5">
        <v>0</v>
      </c>
      <c r="D75" s="36">
        <v>215</v>
      </c>
      <c r="E75" s="5">
        <f t="shared" si="22"/>
        <v>-2.7149321266968326E-2</v>
      </c>
      <c r="F75" s="44">
        <f>IF(ISNUMBER(D75), $B78 * E75, "")</f>
        <v>-2714.9321266968327</v>
      </c>
      <c r="G75" s="36">
        <v>215</v>
      </c>
      <c r="H75" s="5">
        <f t="shared" si="23"/>
        <v>-2.7149321266968326E-2</v>
      </c>
      <c r="I75" s="44">
        <f>IF(ISNUMBER(G75), $B78 * H75, "")</f>
        <v>-2714.9321266968327</v>
      </c>
      <c r="J75" s="36">
        <v>215</v>
      </c>
      <c r="K75" s="5">
        <f t="shared" si="24"/>
        <v>-2.7149321266968326E-2</v>
      </c>
      <c r="L75" s="44">
        <f>IF(ISNUMBER(J75), $B78 * K75, "")</f>
        <v>-2714.9321266968327</v>
      </c>
      <c r="M75" s="36">
        <v>217</v>
      </c>
      <c r="N75" s="5">
        <f t="shared" si="25"/>
        <v>-1.8099547511312219E-2</v>
      </c>
      <c r="O75" s="44">
        <f>IF(ISNUMBER(M75), $B78 * N75, "")</f>
        <v>-1809.9547511312219</v>
      </c>
      <c r="Q75" s="229"/>
      <c r="R75" s="230"/>
    </row>
    <row r="76" spans="1:18" ht="17.25" customHeight="1">
      <c r="A76" s="11" t="s">
        <v>96</v>
      </c>
      <c r="B76" s="32">
        <v>851</v>
      </c>
      <c r="C76" s="5">
        <v>-1.16144019E-2</v>
      </c>
      <c r="D76" s="36">
        <v>854</v>
      </c>
      <c r="E76" s="5">
        <f t="shared" si="22"/>
        <v>3.5252643948296123E-3</v>
      </c>
      <c r="F76" s="44">
        <f>IF(ISNUMBER(D76), $B78 * E76, "")</f>
        <v>352.52643948296122</v>
      </c>
      <c r="G76" s="36">
        <v>878</v>
      </c>
      <c r="H76" s="5">
        <f t="shared" si="23"/>
        <v>3.1727379553466509E-2</v>
      </c>
      <c r="I76" s="44">
        <f>IF(ISNUMBER(G76), $B78 * H76, "")</f>
        <v>3172.7379553466508</v>
      </c>
      <c r="J76" s="36">
        <v>848</v>
      </c>
      <c r="K76" s="5">
        <f t="shared" si="24"/>
        <v>-3.5252643948296123E-3</v>
      </c>
      <c r="L76" s="44">
        <f>IF(ISNUMBER(J76), $B78 * K76, "")</f>
        <v>-352.52643948296122</v>
      </c>
      <c r="M76" s="36">
        <v>868</v>
      </c>
      <c r="N76" s="5">
        <f t="shared" si="25"/>
        <v>1.9976498237367801E-2</v>
      </c>
      <c r="O76" s="44">
        <f>IF(ISNUMBER(M76), $B78 * N76, "")</f>
        <v>1997.64982373678</v>
      </c>
      <c r="Q76" s="231"/>
      <c r="R76" s="232"/>
    </row>
    <row r="77" spans="1:18" ht="17.25" customHeight="1" thickBot="1">
      <c r="A77" s="13" t="s">
        <v>150</v>
      </c>
      <c r="B77" s="34">
        <v>262</v>
      </c>
      <c r="C77" s="16">
        <v>-3.67647059E-2</v>
      </c>
      <c r="D77" s="38">
        <v>297</v>
      </c>
      <c r="E77" s="16">
        <f t="shared" si="22"/>
        <v>0.13358778625954199</v>
      </c>
      <c r="F77" s="45">
        <f>IF(ISNUMBER(D77), $B78 * E77, "")</f>
        <v>13358.778625954199</v>
      </c>
      <c r="G77" s="38">
        <v>298</v>
      </c>
      <c r="H77" s="16">
        <f t="shared" si="23"/>
        <v>0.13740458015267176</v>
      </c>
      <c r="I77" s="45">
        <f>IF(ISNUMBER(G77), $B78 * H77, "")</f>
        <v>13740.458015267177</v>
      </c>
      <c r="J77" s="38">
        <v>294</v>
      </c>
      <c r="K77" s="16">
        <f t="shared" si="24"/>
        <v>0.12213740458015267</v>
      </c>
      <c r="L77" s="45">
        <f>IF(ISNUMBER(J77), $B78 * K77, "")</f>
        <v>12213.740458015267</v>
      </c>
      <c r="M77" s="38">
        <v>291</v>
      </c>
      <c r="N77" s="16">
        <f t="shared" si="25"/>
        <v>0.11068702290076336</v>
      </c>
      <c r="O77" s="45">
        <f>IF(ISNUMBER(M77), $B78 * N77, "")</f>
        <v>11068.702290076337</v>
      </c>
      <c r="Q77" s="231"/>
      <c r="R77" s="232"/>
    </row>
    <row r="78" spans="1:18" ht="17.25" customHeight="1" thickBot="1">
      <c r="A78" s="57" t="s">
        <v>32</v>
      </c>
      <c r="B78" s="235">
        <v>100000</v>
      </c>
      <c r="C78" s="236"/>
      <c r="D78" s="57" t="s">
        <v>82</v>
      </c>
      <c r="E78" s="46">
        <f>IF(COUNT(E68:E77), SUM(E68:E77) / COUNT(E68:E77), 0)</f>
        <v>6.716835511239673E-3</v>
      </c>
      <c r="F78" s="47">
        <f>SUM(F68:F77)</f>
        <v>6716.8355112396712</v>
      </c>
      <c r="G78" s="57" t="s">
        <v>82</v>
      </c>
      <c r="H78" s="46">
        <f>IF(COUNT(H68:H77), SUM(H68:H77) / COUNT(H68:H77), 0)</f>
        <v>1.6217502415930903E-2</v>
      </c>
      <c r="I78" s="47">
        <f>SUM(I68:I77)</f>
        <v>16217.502415930903</v>
      </c>
      <c r="J78" s="57" t="s">
        <v>82</v>
      </c>
      <c r="K78" s="46">
        <f>IF(COUNT(K68:K77), SUM(K68:K77) / COUNT(K68:K77), 0)</f>
        <v>-4.9251054299359175E-3</v>
      </c>
      <c r="L78" s="47">
        <f>SUM(L68:L77)</f>
        <v>-4925.1054299359221</v>
      </c>
      <c r="M78" s="57" t="s">
        <v>82</v>
      </c>
      <c r="N78" s="46">
        <f>IF(COUNT(N68:N77), SUM(N68:N77) / COUNT(N68:N77), 0)</f>
        <v>-3.3522693134677914E-3</v>
      </c>
      <c r="O78" s="47">
        <f>SUM(O68:O77)</f>
        <v>-3352.2693134677993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58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0" t="s">
        <v>70</v>
      </c>
      <c r="M84" s="18" t="s">
        <v>67</v>
      </c>
      <c r="N84" s="4" t="s">
        <v>68</v>
      </c>
      <c r="O84" s="161" t="s">
        <v>70</v>
      </c>
      <c r="Q84" s="231"/>
      <c r="R84" s="232"/>
    </row>
    <row r="85" spans="1:18" ht="17.25" customHeight="1">
      <c r="A85" s="9" t="s">
        <v>175</v>
      </c>
      <c r="B85" s="31">
        <v>531</v>
      </c>
      <c r="C85" s="22">
        <v>-3.8043478300000003E-2</v>
      </c>
      <c r="D85" s="89">
        <v>574</v>
      </c>
      <c r="E85" s="22">
        <f>IF(ISNUMBER(D85), (D85 - $B85) / $B85, "")</f>
        <v>8.0979284369114876E-2</v>
      </c>
      <c r="F85" s="43">
        <f>IF(ISNUMBER(D85), $B95 * E85, "")</f>
        <v>8097.9284369114876</v>
      </c>
      <c r="G85" s="89">
        <v>628</v>
      </c>
      <c r="H85" s="22">
        <f>IF(ISNUMBER(G85), (G85 - $B85) / $B85, "")</f>
        <v>0.18267419962335216</v>
      </c>
      <c r="I85" s="43">
        <f>IF(ISNUMBER(G85), $B95 * H85, "")</f>
        <v>18267.419962335214</v>
      </c>
      <c r="J85" s="89">
        <v>602</v>
      </c>
      <c r="K85" s="22">
        <f>IF(ISNUMBER(J85), (J85 - $B85) / $B85, "")</f>
        <v>0.13370998116760829</v>
      </c>
      <c r="L85" s="43">
        <f>IF(ISNUMBER(J85), $B95 * K85, "")</f>
        <v>13370.998116760829</v>
      </c>
      <c r="M85" s="89">
        <v>620</v>
      </c>
      <c r="N85" s="22">
        <f>IF(ISNUMBER(M85), (M85 - $B85) / $B85, "")</f>
        <v>0.16760828625235405</v>
      </c>
      <c r="O85" s="43">
        <f>IF(ISNUMBER(M85), $B95 * N85, "")</f>
        <v>16760.828625235405</v>
      </c>
      <c r="Q85" s="229"/>
      <c r="R85" s="230"/>
    </row>
    <row r="86" spans="1:18" ht="17.25" customHeight="1">
      <c r="A86" s="11" t="s">
        <v>116</v>
      </c>
      <c r="B86" s="32">
        <v>299</v>
      </c>
      <c r="C86" s="5">
        <v>-3.8585209000000002E-2</v>
      </c>
      <c r="D86" s="36">
        <v>313</v>
      </c>
      <c r="E86" s="5">
        <f t="shared" ref="E86:E94" si="26">IF(ISNUMBER(D86), (D86 - $B86) / $B86, "")</f>
        <v>4.6822742474916385E-2</v>
      </c>
      <c r="F86" s="44">
        <f>IF(ISNUMBER(D86), $B95 * E86, "")</f>
        <v>4682.2742474916386</v>
      </c>
      <c r="G86" s="36">
        <v>315</v>
      </c>
      <c r="H86" s="5">
        <f t="shared" ref="H86:H94" si="27">IF(ISNUMBER(G86), (G86 - $B86) / $B86, "")</f>
        <v>5.3511705685618728E-2</v>
      </c>
      <c r="I86" s="44">
        <f>IF(ISNUMBER(G86), $B95 * H86, "")</f>
        <v>5351.1705685618726</v>
      </c>
      <c r="J86" s="36">
        <v>312</v>
      </c>
      <c r="K86" s="5">
        <f t="shared" ref="K86:K94" si="28">IF(ISNUMBER(J86), (J86 - $B86) / $B86, "")</f>
        <v>4.3478260869565216E-2</v>
      </c>
      <c r="L86" s="44">
        <f>IF(ISNUMBER(J86), $B95 * K86, "")</f>
        <v>4347.826086956522</v>
      </c>
      <c r="M86" s="36">
        <v>307</v>
      </c>
      <c r="N86" s="5">
        <f t="shared" ref="N86:N94" si="29">IF(ISNUMBER(M86), (M86 - $B86) / $B86, "")</f>
        <v>2.6755852842809364E-2</v>
      </c>
      <c r="O86" s="44">
        <f>IF(ISNUMBER(M86), $B95 * N86, "")</f>
        <v>2675.5852842809363</v>
      </c>
      <c r="Q86" s="229"/>
      <c r="R86" s="230"/>
    </row>
    <row r="87" spans="1:18" ht="17.25" customHeight="1">
      <c r="A87" s="11" t="s">
        <v>172</v>
      </c>
      <c r="B87" s="32">
        <v>769</v>
      </c>
      <c r="C87" s="5">
        <v>-4.59057072E-2</v>
      </c>
      <c r="D87" s="36">
        <v>783</v>
      </c>
      <c r="E87" s="5">
        <f t="shared" si="26"/>
        <v>1.8205461638491547E-2</v>
      </c>
      <c r="F87" s="44">
        <f>IF(ISNUMBER(D87), $B95 * E87, "")</f>
        <v>1820.5461638491547</v>
      </c>
      <c r="G87" s="36">
        <v>788</v>
      </c>
      <c r="H87" s="5">
        <f t="shared" si="27"/>
        <v>2.47074122236671E-2</v>
      </c>
      <c r="I87" s="44">
        <f>IF(ISNUMBER(G87), $B95 * H87, "")</f>
        <v>2470.7412223667102</v>
      </c>
      <c r="J87" s="36">
        <v>781</v>
      </c>
      <c r="K87" s="5">
        <f t="shared" si="28"/>
        <v>1.5604681404421327E-2</v>
      </c>
      <c r="L87" s="44">
        <f>IF(ISNUMBER(J87), $B95 * K87, "")</f>
        <v>1560.4681404421326</v>
      </c>
      <c r="M87" s="36">
        <v>780</v>
      </c>
      <c r="N87" s="5">
        <f t="shared" si="29"/>
        <v>1.4304291287386216E-2</v>
      </c>
      <c r="O87" s="44">
        <f>IF(ISNUMBER(M87), $B95 * N87, "")</f>
        <v>1430.4291287386216</v>
      </c>
      <c r="Q87" s="229"/>
      <c r="R87" s="230"/>
    </row>
    <row r="88" spans="1:18" ht="17.25" customHeight="1">
      <c r="A88" s="11" t="s">
        <v>104</v>
      </c>
      <c r="B88" s="32">
        <v>693</v>
      </c>
      <c r="C88" s="5">
        <v>-5.1983584100000001E-2</v>
      </c>
      <c r="D88" s="36">
        <v>673</v>
      </c>
      <c r="E88" s="5">
        <f t="shared" si="26"/>
        <v>-2.886002886002886E-2</v>
      </c>
      <c r="F88" s="44">
        <f>IF(ISNUMBER(D88), $B95 * E88, "")</f>
        <v>-2886.002886002886</v>
      </c>
      <c r="G88" s="36">
        <v>683</v>
      </c>
      <c r="H88" s="5">
        <f t="shared" si="27"/>
        <v>-1.443001443001443E-2</v>
      </c>
      <c r="I88" s="44">
        <f>IF(ISNUMBER(G88), $B95 * H88, "")</f>
        <v>-1443.001443001443</v>
      </c>
      <c r="J88" s="36">
        <v>685</v>
      </c>
      <c r="K88" s="5">
        <f t="shared" si="28"/>
        <v>-1.1544011544011544E-2</v>
      </c>
      <c r="L88" s="44">
        <f>IF(ISNUMBER(J88), $B95 * K88, "")</f>
        <v>-1154.4011544011544</v>
      </c>
      <c r="M88" s="36">
        <v>684</v>
      </c>
      <c r="N88" s="5">
        <f t="shared" si="29"/>
        <v>-1.2987012987012988E-2</v>
      </c>
      <c r="O88" s="44">
        <f>IF(ISNUMBER(M88), $B95 * N88, "")</f>
        <v>-1298.7012987012988</v>
      </c>
      <c r="Q88" s="229"/>
      <c r="R88" s="230"/>
    </row>
    <row r="89" spans="1:18" ht="17.25" customHeight="1">
      <c r="A89" s="8" t="s">
        <v>131</v>
      </c>
      <c r="B89" s="33">
        <v>300</v>
      </c>
      <c r="C89" s="24">
        <v>-5.6603773599999997E-2</v>
      </c>
      <c r="D89" s="37">
        <v>296</v>
      </c>
      <c r="E89" s="24">
        <f t="shared" si="26"/>
        <v>-1.3333333333333334E-2</v>
      </c>
      <c r="F89" s="44">
        <f>IF(ISNUMBER(D89), $B95 * E89, "")</f>
        <v>-1333.3333333333335</v>
      </c>
      <c r="G89" s="37">
        <v>301</v>
      </c>
      <c r="H89" s="24">
        <f t="shared" si="27"/>
        <v>3.3333333333333335E-3</v>
      </c>
      <c r="I89" s="44">
        <f>IF(ISNUMBER(G89), $B95 * H89, "")</f>
        <v>333.33333333333337</v>
      </c>
      <c r="J89" s="37">
        <v>299</v>
      </c>
      <c r="K89" s="24">
        <f t="shared" si="28"/>
        <v>-3.3333333333333335E-3</v>
      </c>
      <c r="L89" s="44">
        <f>IF(ISNUMBER(J89), $B95 * K89, "")</f>
        <v>-333.33333333333337</v>
      </c>
      <c r="M89" s="37">
        <v>300</v>
      </c>
      <c r="N89" s="24">
        <f t="shared" si="29"/>
        <v>0</v>
      </c>
      <c r="O89" s="44">
        <f>IF(ISNUMBER(M89), $B95 * N89, "")</f>
        <v>0</v>
      </c>
      <c r="Q89" s="229"/>
      <c r="R89" s="230"/>
    </row>
    <row r="90" spans="1:18" ht="17.25" customHeight="1">
      <c r="A90" s="11" t="s">
        <v>122</v>
      </c>
      <c r="B90" s="32">
        <v>299</v>
      </c>
      <c r="C90" s="5">
        <v>-5.9748427700000002E-2</v>
      </c>
      <c r="D90" s="36">
        <v>298</v>
      </c>
      <c r="E90" s="5">
        <f t="shared" si="26"/>
        <v>-3.3444816053511705E-3</v>
      </c>
      <c r="F90" s="48">
        <f>IF(ISNUMBER(D90), $B95 * E90, "")</f>
        <v>-334.44816053511704</v>
      </c>
      <c r="G90" s="36">
        <v>301</v>
      </c>
      <c r="H90" s="5">
        <f t="shared" si="27"/>
        <v>6.688963210702341E-3</v>
      </c>
      <c r="I90" s="48">
        <f>IF(ISNUMBER(G90), $B95 * H90, "")</f>
        <v>668.89632107023408</v>
      </c>
      <c r="J90" s="36">
        <v>307</v>
      </c>
      <c r="K90" s="5">
        <f t="shared" si="28"/>
        <v>2.6755852842809364E-2</v>
      </c>
      <c r="L90" s="48">
        <f>IF(ISNUMBER(J90), $B95 * K90, "")</f>
        <v>2675.5852842809363</v>
      </c>
      <c r="M90" s="36">
        <v>315</v>
      </c>
      <c r="N90" s="5">
        <f t="shared" si="29"/>
        <v>5.3511705685618728E-2</v>
      </c>
      <c r="O90" s="48">
        <f>IF(ISNUMBER(M90), $B95 * N90, "")</f>
        <v>5351.1705685618726</v>
      </c>
      <c r="Q90" s="229"/>
      <c r="R90" s="230"/>
    </row>
    <row r="91" spans="1:18" ht="17.25" customHeight="1">
      <c r="A91" s="11" t="s">
        <v>166</v>
      </c>
      <c r="B91" s="32">
        <v>658</v>
      </c>
      <c r="C91" s="5">
        <v>-0.06</v>
      </c>
      <c r="D91" s="36">
        <v>642</v>
      </c>
      <c r="E91" s="5">
        <f t="shared" si="26"/>
        <v>-2.4316109422492401E-2</v>
      </c>
      <c r="F91" s="44">
        <f>IF(ISNUMBER(D91), $B95 * E91, "")</f>
        <v>-2431.61094224924</v>
      </c>
      <c r="G91" s="36">
        <v>664</v>
      </c>
      <c r="H91" s="5">
        <f t="shared" si="27"/>
        <v>9.11854103343465E-3</v>
      </c>
      <c r="I91" s="44">
        <f>IF(ISNUMBER(G91), $B95 * H91, "")</f>
        <v>911.854103343465</v>
      </c>
      <c r="J91" s="36">
        <v>660</v>
      </c>
      <c r="K91" s="5">
        <f t="shared" si="28"/>
        <v>3.0395136778115501E-3</v>
      </c>
      <c r="L91" s="44">
        <f>IF(ISNUMBER(J91), $B95 * K91, "")</f>
        <v>303.951367781155</v>
      </c>
      <c r="M91" s="36">
        <v>660</v>
      </c>
      <c r="N91" s="5">
        <f t="shared" si="29"/>
        <v>3.0395136778115501E-3</v>
      </c>
      <c r="O91" s="44">
        <f>IF(ISNUMBER(M91), $B95 * N91, "")</f>
        <v>303.951367781155</v>
      </c>
      <c r="Q91" s="229"/>
      <c r="R91" s="230"/>
    </row>
    <row r="92" spans="1:18" ht="17.25" customHeight="1">
      <c r="A92" s="11" t="s">
        <v>157</v>
      </c>
      <c r="B92" s="32">
        <v>851</v>
      </c>
      <c r="C92" s="5">
        <v>-6.4835164799999997E-2</v>
      </c>
      <c r="D92" s="36">
        <v>840</v>
      </c>
      <c r="E92" s="5">
        <f t="shared" si="26"/>
        <v>-1.2925969447708578E-2</v>
      </c>
      <c r="F92" s="44">
        <f>IF(ISNUMBER(D92), $B95 * E92, "")</f>
        <v>-1292.5969447708578</v>
      </c>
      <c r="G92" s="36">
        <v>838</v>
      </c>
      <c r="H92" s="5">
        <f t="shared" si="27"/>
        <v>-1.5276145710928319E-2</v>
      </c>
      <c r="I92" s="44">
        <f>IF(ISNUMBER(G92), $B95 * H92, "")</f>
        <v>-1527.614571092832</v>
      </c>
      <c r="J92" s="36">
        <v>826</v>
      </c>
      <c r="K92" s="5">
        <f t="shared" si="28"/>
        <v>-2.9377203290246769E-2</v>
      </c>
      <c r="L92" s="44">
        <f>IF(ISNUMBER(J92), $B95 * K92, "")</f>
        <v>-2937.7203290246771</v>
      </c>
      <c r="M92" s="36">
        <v>828</v>
      </c>
      <c r="N92" s="5">
        <f t="shared" si="29"/>
        <v>-2.7027027027027029E-2</v>
      </c>
      <c r="O92" s="44">
        <f>IF(ISNUMBER(M92), $B95 * N92, "")</f>
        <v>-2702.7027027027029</v>
      </c>
      <c r="Q92" s="229"/>
      <c r="R92" s="230"/>
    </row>
    <row r="93" spans="1:18" ht="17.25" customHeight="1">
      <c r="A93" s="11" t="s">
        <v>130</v>
      </c>
      <c r="B93" s="32">
        <v>449</v>
      </c>
      <c r="C93" s="5">
        <v>-6.6528066499999997E-2</v>
      </c>
      <c r="D93" s="36">
        <v>441</v>
      </c>
      <c r="E93" s="5">
        <f t="shared" si="26"/>
        <v>-1.7817371937639197E-2</v>
      </c>
      <c r="F93" s="44">
        <f>IF(ISNUMBER(D93), $B95 * E93, "")</f>
        <v>-1781.7371937639198</v>
      </c>
      <c r="G93" s="36">
        <v>463</v>
      </c>
      <c r="H93" s="5">
        <f t="shared" si="27"/>
        <v>3.1180400890868598E-2</v>
      </c>
      <c r="I93" s="44">
        <f>IF(ISNUMBER(G93), $B95 * H93, "")</f>
        <v>3118.04008908686</v>
      </c>
      <c r="J93" s="36">
        <v>450</v>
      </c>
      <c r="K93" s="5">
        <f t="shared" si="28"/>
        <v>2.2271714922048997E-3</v>
      </c>
      <c r="L93" s="44">
        <f>IF(ISNUMBER(J93), $B95 * K93, "")</f>
        <v>222.71714922048997</v>
      </c>
      <c r="M93" s="36">
        <v>448</v>
      </c>
      <c r="N93" s="5">
        <f t="shared" si="29"/>
        <v>-2.2271714922048997E-3</v>
      </c>
      <c r="O93" s="44">
        <f>IF(ISNUMBER(M93), $B95 * N93, "")</f>
        <v>-222.71714922048997</v>
      </c>
      <c r="Q93" s="231"/>
      <c r="R93" s="232"/>
    </row>
    <row r="94" spans="1:18" ht="17.25" customHeight="1" thickBot="1">
      <c r="A94" s="13" t="s">
        <v>164</v>
      </c>
      <c r="B94" s="34">
        <v>193</v>
      </c>
      <c r="C94" s="16">
        <v>-6.7632850199999997E-2</v>
      </c>
      <c r="D94" s="38">
        <v>214</v>
      </c>
      <c r="E94" s="16">
        <f t="shared" si="26"/>
        <v>0.10880829015544041</v>
      </c>
      <c r="F94" s="45">
        <f>IF(ISNUMBER(D94), $B95 * E94, "")</f>
        <v>10880.829015544041</v>
      </c>
      <c r="G94" s="38">
        <v>212</v>
      </c>
      <c r="H94" s="16">
        <f t="shared" si="27"/>
        <v>9.8445595854922283E-2</v>
      </c>
      <c r="I94" s="45">
        <f>IF(ISNUMBER(G94), $B95 * H94, "")</f>
        <v>9844.5595854922285</v>
      </c>
      <c r="J94" s="38">
        <v>209</v>
      </c>
      <c r="K94" s="16">
        <f t="shared" si="28"/>
        <v>8.2901554404145081E-2</v>
      </c>
      <c r="L94" s="45">
        <f>IF(ISNUMBER(J94), $B95 * K94, "")</f>
        <v>8290.1554404145081</v>
      </c>
      <c r="M94" s="38">
        <v>208</v>
      </c>
      <c r="N94" s="16">
        <f t="shared" si="29"/>
        <v>7.7720207253886009E-2</v>
      </c>
      <c r="O94" s="45">
        <f>IF(ISNUMBER(M94), $B95 * N94, "")</f>
        <v>7772.020725388601</v>
      </c>
      <c r="Q94" s="231"/>
      <c r="R94" s="232"/>
    </row>
    <row r="95" spans="1:18" ht="17.25" customHeight="1" thickBot="1">
      <c r="A95" s="57" t="s">
        <v>32</v>
      </c>
      <c r="B95" s="235">
        <v>100000</v>
      </c>
      <c r="C95" s="236"/>
      <c r="D95" s="57" t="s">
        <v>82</v>
      </c>
      <c r="E95" s="46">
        <f>IF(COUNT(E85:E94), SUM(E85:E94) / COUNT(E85:E94), 0)</f>
        <v>1.5421848403140963E-2</v>
      </c>
      <c r="F95" s="47">
        <f>SUM(F85:F94)</f>
        <v>15421.848403140968</v>
      </c>
      <c r="G95" s="57" t="s">
        <v>82</v>
      </c>
      <c r="H95" s="46">
        <f>IF(COUNT(H85:H94), SUM(H85:H94) / COUNT(H85:H94), 0)</f>
        <v>3.7995399171495643E-2</v>
      </c>
      <c r="I95" s="47">
        <f>SUM(I85:I94)</f>
        <v>37995.399171495643</v>
      </c>
      <c r="J95" s="57" t="s">
        <v>82</v>
      </c>
      <c r="K95" s="46">
        <f>IF(COUNT(K85:K94), SUM(K85:K94) / COUNT(K85:K94), 0)</f>
        <v>2.6346246769097408E-2</v>
      </c>
      <c r="L95" s="47">
        <f>SUM(L85:L94)</f>
        <v>26346.246769097408</v>
      </c>
      <c r="M95" s="57" t="s">
        <v>82</v>
      </c>
      <c r="N95" s="46">
        <f>IF(COUNT(N85:N94), SUM(N85:N94) / COUNT(N85:N94), 0)</f>
        <v>3.0069864549362103E-2</v>
      </c>
      <c r="O95" s="47">
        <f>SUM(O85:O94)</f>
        <v>30069.864549362097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58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0" t="s">
        <v>70</v>
      </c>
      <c r="M101" s="18" t="s">
        <v>67</v>
      </c>
      <c r="N101" s="4" t="s">
        <v>68</v>
      </c>
      <c r="O101" s="161" t="s">
        <v>70</v>
      </c>
      <c r="Q101" s="231"/>
      <c r="R101" s="232"/>
    </row>
    <row r="102" spans="1:18" ht="17.25" customHeight="1">
      <c r="A102" s="9" t="s">
        <v>94</v>
      </c>
      <c r="B102" s="31">
        <v>467</v>
      </c>
      <c r="C102" s="22">
        <v>1.048245614</v>
      </c>
      <c r="D102" s="89">
        <v>346</v>
      </c>
      <c r="E102" s="22">
        <f>IF(ISNUMBER(D102), (D102 - $B102) / $B102, "")</f>
        <v>-0.25910064239828695</v>
      </c>
      <c r="F102" s="43">
        <f>IF(ISNUMBER(D102), $B112 * E102, "")</f>
        <v>-25910.064239828695</v>
      </c>
      <c r="G102" s="89">
        <v>382</v>
      </c>
      <c r="H102" s="22">
        <f>IF(ISNUMBER(G102), (G102 - $B102) / $B102, "")</f>
        <v>-0.18201284796573874</v>
      </c>
      <c r="I102" s="43">
        <f>IF(ISNUMBER(G102), $B112 * H102, "")</f>
        <v>-18201.284796573873</v>
      </c>
      <c r="J102" s="89">
        <v>347</v>
      </c>
      <c r="K102" s="22">
        <f>IF(ISNUMBER(J102), (J102 - $B102) / $B102, "")</f>
        <v>-0.2569593147751606</v>
      </c>
      <c r="L102" s="43">
        <f>IF(ISNUMBER(J102), $B112 * K102, "")</f>
        <v>-25695.93147751606</v>
      </c>
      <c r="M102" s="89">
        <v>337</v>
      </c>
      <c r="N102" s="22">
        <f>IF(ISNUMBER(M102), (M102 - $B102) / $B102, "")</f>
        <v>-0.27837259100642398</v>
      </c>
      <c r="O102" s="43">
        <f>IF(ISNUMBER(M102), $B112 * N102, "")</f>
        <v>-27837.259100642397</v>
      </c>
      <c r="Q102" s="229"/>
      <c r="R102" s="230"/>
    </row>
    <row r="103" spans="1:18" ht="17.25" customHeight="1">
      <c r="A103" s="11" t="s">
        <v>243</v>
      </c>
      <c r="B103" s="32">
        <v>25470</v>
      </c>
      <c r="C103" s="5">
        <v>0.42769058300000001</v>
      </c>
      <c r="D103" s="36">
        <v>20710</v>
      </c>
      <c r="E103" s="5">
        <f t="shared" ref="E103:E111" si="30">IF(ISNUMBER(D103), (D103 - $B103) / $B103, "")</f>
        <v>-0.18688653317628581</v>
      </c>
      <c r="F103" s="44">
        <f>IF(ISNUMBER(D103), $B112 * E103, "")</f>
        <v>-18688.653317628581</v>
      </c>
      <c r="G103" s="36">
        <v>24950</v>
      </c>
      <c r="H103" s="5">
        <f t="shared" ref="H103:H111" si="31">IF(ISNUMBER(G103), (G103 - $B103) / $B103, "")</f>
        <v>-2.0416175893207697E-2</v>
      </c>
      <c r="I103" s="44">
        <f>IF(ISNUMBER(G103), $B112 * H103, "")</f>
        <v>-2041.6175893207696</v>
      </c>
      <c r="J103" s="36">
        <v>23600</v>
      </c>
      <c r="K103" s="5">
        <f t="shared" ref="K103:K111" si="32">IF(ISNUMBER(J103), (J103 - $B103) / $B103, "")</f>
        <v>-7.3419709462112293E-2</v>
      </c>
      <c r="L103" s="44">
        <f>IF(ISNUMBER(J103), $B112 * K103, "")</f>
        <v>-7341.9709462112296</v>
      </c>
      <c r="M103" s="36">
        <v>22770</v>
      </c>
      <c r="N103" s="5">
        <f t="shared" ref="N103:N111" si="33">IF(ISNUMBER(M103), (M103 - $B103) / $B103, "")</f>
        <v>-0.10600706713780919</v>
      </c>
      <c r="O103" s="44">
        <f>IF(ISNUMBER(M103), $B112 * N103, "")</f>
        <v>-10600.706713780919</v>
      </c>
      <c r="Q103" s="229"/>
      <c r="R103" s="230"/>
    </row>
    <row r="104" spans="1:18" ht="17.25" customHeight="1">
      <c r="A104" s="11" t="s">
        <v>163</v>
      </c>
      <c r="B104" s="32">
        <v>55.3</v>
      </c>
      <c r="C104" s="5">
        <v>0.3104265403</v>
      </c>
      <c r="D104" s="36">
        <v>73.900000000000006</v>
      </c>
      <c r="E104" s="5">
        <f t="shared" si="30"/>
        <v>0.33634719710669098</v>
      </c>
      <c r="F104" s="44">
        <f>IF(ISNUMBER(D104), $B112 * E104, "")</f>
        <v>33634.719710669095</v>
      </c>
      <c r="G104" s="36">
        <v>71.599999999999994</v>
      </c>
      <c r="H104" s="5">
        <f t="shared" si="31"/>
        <v>0.29475587703435802</v>
      </c>
      <c r="I104" s="44">
        <f>IF(ISNUMBER(G104), $B112 * H104, "")</f>
        <v>29475.587703435802</v>
      </c>
      <c r="J104" s="36">
        <v>68.900000000000006</v>
      </c>
      <c r="K104" s="5">
        <f t="shared" si="32"/>
        <v>0.24593128390596761</v>
      </c>
      <c r="L104" s="44">
        <f>IF(ISNUMBER(J104), $B112 * K104, "")</f>
        <v>24593.128390596761</v>
      </c>
      <c r="M104" s="36">
        <v>62.8</v>
      </c>
      <c r="N104" s="5">
        <f t="shared" si="33"/>
        <v>0.13562386980108498</v>
      </c>
      <c r="O104" s="44">
        <f>IF(ISNUMBER(M104), $B112 * N104, "")</f>
        <v>13562.386980108498</v>
      </c>
      <c r="Q104" s="229"/>
      <c r="R104" s="230"/>
    </row>
    <row r="105" spans="1:18" ht="17.25" customHeight="1">
      <c r="A105" s="11" t="s">
        <v>125</v>
      </c>
      <c r="B105" s="32">
        <v>809</v>
      </c>
      <c r="C105" s="5">
        <v>0.20029673589999999</v>
      </c>
      <c r="D105" s="36">
        <v>792</v>
      </c>
      <c r="E105" s="5">
        <f t="shared" si="30"/>
        <v>-2.1013597033374538E-2</v>
      </c>
      <c r="F105" s="44">
        <f>IF(ISNUMBER(D105), $B112 * E105, "")</f>
        <v>-2101.359703337454</v>
      </c>
      <c r="G105" s="36">
        <v>813</v>
      </c>
      <c r="H105" s="5">
        <f t="shared" si="31"/>
        <v>4.944375772558714E-3</v>
      </c>
      <c r="I105" s="44">
        <f>IF(ISNUMBER(G105), $B112 * H105, "")</f>
        <v>494.43757725587142</v>
      </c>
      <c r="J105" s="36">
        <v>784</v>
      </c>
      <c r="K105" s="5">
        <f t="shared" si="32"/>
        <v>-3.0902348578491966E-2</v>
      </c>
      <c r="L105" s="44">
        <f>IF(ISNUMBER(J105), $B112 * K105, "")</f>
        <v>-3090.2348578491965</v>
      </c>
      <c r="M105" s="36">
        <v>788</v>
      </c>
      <c r="N105" s="5">
        <f t="shared" si="33"/>
        <v>-2.595797280593325E-2</v>
      </c>
      <c r="O105" s="44">
        <f>IF(ISNUMBER(M105), $B112 * N105, "")</f>
        <v>-2595.797280593325</v>
      </c>
      <c r="Q105" s="229"/>
      <c r="R105" s="230"/>
    </row>
    <row r="106" spans="1:18" ht="17.25" customHeight="1">
      <c r="A106" s="8" t="s">
        <v>209</v>
      </c>
      <c r="B106" s="33">
        <v>111500</v>
      </c>
      <c r="C106" s="24">
        <v>0.1780243001</v>
      </c>
      <c r="D106" s="37">
        <v>119800</v>
      </c>
      <c r="E106" s="24">
        <f t="shared" si="30"/>
        <v>7.4439461883408067E-2</v>
      </c>
      <c r="F106" s="44">
        <f>IF(ISNUMBER(D106), $B112 * E106, "")</f>
        <v>7443.9461883408067</v>
      </c>
      <c r="G106" s="37">
        <v>123100</v>
      </c>
      <c r="H106" s="24">
        <f t="shared" si="31"/>
        <v>0.10403587443946188</v>
      </c>
      <c r="I106" s="44">
        <f>IF(ISNUMBER(G106), $B112 * H106, "")</f>
        <v>10403.587443946188</v>
      </c>
      <c r="J106" s="37">
        <v>119350</v>
      </c>
      <c r="K106" s="24">
        <f t="shared" si="32"/>
        <v>7.0403587443946189E-2</v>
      </c>
      <c r="L106" s="44">
        <f>IF(ISNUMBER(J106), $B112 * K106, "")</f>
        <v>7040.358744394619</v>
      </c>
      <c r="M106" s="37">
        <v>119800</v>
      </c>
      <c r="N106" s="24">
        <f t="shared" si="33"/>
        <v>7.4439461883408067E-2</v>
      </c>
      <c r="O106" s="44">
        <f>IF(ISNUMBER(M106), $B112 * N106, "")</f>
        <v>7443.9461883408067</v>
      </c>
      <c r="Q106" s="229"/>
      <c r="R106" s="230"/>
    </row>
    <row r="107" spans="1:18" ht="17.25" customHeight="1">
      <c r="A107" s="11" t="s">
        <v>147</v>
      </c>
      <c r="B107" s="32">
        <v>18500</v>
      </c>
      <c r="C107" s="5">
        <v>0.167192429</v>
      </c>
      <c r="D107" s="36">
        <v>17330</v>
      </c>
      <c r="E107" s="5">
        <f t="shared" si="30"/>
        <v>-6.324324324324325E-2</v>
      </c>
      <c r="F107" s="48">
        <f>IF(ISNUMBER(D107), $B112 * E107, "")</f>
        <v>-6324.3243243243251</v>
      </c>
      <c r="G107" s="36">
        <v>17170</v>
      </c>
      <c r="H107" s="5">
        <f t="shared" si="31"/>
        <v>-7.1891891891891893E-2</v>
      </c>
      <c r="I107" s="48">
        <f>IF(ISNUMBER(G107), $B112 * H107, "")</f>
        <v>-7189.1891891891892</v>
      </c>
      <c r="J107" s="36">
        <v>16940</v>
      </c>
      <c r="K107" s="5">
        <f t="shared" si="32"/>
        <v>-8.4324324324324323E-2</v>
      </c>
      <c r="L107" s="48">
        <f>IF(ISNUMBER(J107), $B112 * K107, "")</f>
        <v>-8432.4324324324316</v>
      </c>
      <c r="M107" s="36">
        <v>17240</v>
      </c>
      <c r="N107" s="5">
        <f t="shared" si="33"/>
        <v>-6.8108108108108106E-2</v>
      </c>
      <c r="O107" s="48">
        <f>IF(ISNUMBER(M107), $B112 * N107, "")</f>
        <v>-6810.8108108108108</v>
      </c>
      <c r="Q107" s="229"/>
      <c r="R107" s="230"/>
    </row>
    <row r="108" spans="1:18" ht="17.25" customHeight="1">
      <c r="A108" s="11" t="s">
        <v>212</v>
      </c>
      <c r="B108" s="32">
        <v>41540</v>
      </c>
      <c r="C108" s="5">
        <v>0.14624724059999999</v>
      </c>
      <c r="D108" s="36">
        <v>58790</v>
      </c>
      <c r="E108" s="5">
        <f t="shared" si="30"/>
        <v>0.41526239768897449</v>
      </c>
      <c r="F108" s="44">
        <f>IF(ISNUMBER(D108), $B112 * E108, "")</f>
        <v>41526.239768897452</v>
      </c>
      <c r="G108" s="36">
        <v>55290</v>
      </c>
      <c r="H108" s="5">
        <f t="shared" si="31"/>
        <v>0.33100625902744341</v>
      </c>
      <c r="I108" s="44">
        <f>IF(ISNUMBER(G108), $B112 * H108, "")</f>
        <v>33100.625902744338</v>
      </c>
      <c r="J108" s="36">
        <v>52650</v>
      </c>
      <c r="K108" s="5">
        <f t="shared" si="32"/>
        <v>0.26745305729417429</v>
      </c>
      <c r="L108" s="44">
        <f>IF(ISNUMBER(J108), $B112 * K108, "")</f>
        <v>26745.305729417429</v>
      </c>
      <c r="M108" s="36">
        <v>53300</v>
      </c>
      <c r="N108" s="5">
        <f t="shared" si="33"/>
        <v>0.28310062590274432</v>
      </c>
      <c r="O108" s="44">
        <f>IF(ISNUMBER(M108), $B112 * N108, "")</f>
        <v>28310.062590274432</v>
      </c>
      <c r="Q108" s="229"/>
      <c r="R108" s="230"/>
    </row>
    <row r="109" spans="1:18" ht="17.25" customHeight="1">
      <c r="A109" s="11" t="s">
        <v>154</v>
      </c>
      <c r="B109" s="32">
        <v>1735</v>
      </c>
      <c r="C109" s="5">
        <v>9.4637224000000006E-2</v>
      </c>
      <c r="D109" s="36">
        <v>1595</v>
      </c>
      <c r="E109" s="5">
        <f t="shared" si="30"/>
        <v>-8.069164265129683E-2</v>
      </c>
      <c r="F109" s="44">
        <f>IF(ISNUMBER(D109), $B112 * E109, "")</f>
        <v>-8069.1642651296834</v>
      </c>
      <c r="G109" s="36">
        <v>1715</v>
      </c>
      <c r="H109" s="5">
        <f t="shared" si="31"/>
        <v>-1.1527377521613832E-2</v>
      </c>
      <c r="I109" s="44">
        <f>IF(ISNUMBER(G109), $B112 * H109, "")</f>
        <v>-1152.7377521613832</v>
      </c>
      <c r="J109" s="36">
        <v>1675</v>
      </c>
      <c r="K109" s="5">
        <f t="shared" si="32"/>
        <v>-3.4582132564841501E-2</v>
      </c>
      <c r="L109" s="44">
        <f>IF(ISNUMBER(J109), $B112 * K109, "")</f>
        <v>-3458.21325648415</v>
      </c>
      <c r="M109" s="36">
        <v>1695</v>
      </c>
      <c r="N109" s="5">
        <f t="shared" si="33"/>
        <v>-2.3054755043227664E-2</v>
      </c>
      <c r="O109" s="44">
        <f>IF(ISNUMBER(M109), $B112 * N109, "")</f>
        <v>-2305.4755043227665</v>
      </c>
      <c r="Q109" s="229"/>
      <c r="R109" s="230"/>
    </row>
    <row r="110" spans="1:18" ht="17.25" customHeight="1">
      <c r="A110" s="11" t="s">
        <v>156</v>
      </c>
      <c r="B110" s="32">
        <v>3470</v>
      </c>
      <c r="C110" s="5">
        <v>8.7774294700000005E-2</v>
      </c>
      <c r="D110" s="36">
        <v>3415</v>
      </c>
      <c r="E110" s="5">
        <f t="shared" si="30"/>
        <v>-1.5850144092219021E-2</v>
      </c>
      <c r="F110" s="44">
        <f>IF(ISNUMBER(D110), $B112 * E110, "")</f>
        <v>-1585.014409221902</v>
      </c>
      <c r="G110" s="36">
        <v>3410</v>
      </c>
      <c r="H110" s="5">
        <f t="shared" si="31"/>
        <v>-1.7291066282420751E-2</v>
      </c>
      <c r="I110" s="44">
        <f>IF(ISNUMBER(G110), $B112 * H110, "")</f>
        <v>-1729.106628242075</v>
      </c>
      <c r="J110" s="36">
        <v>3395</v>
      </c>
      <c r="K110" s="5">
        <f t="shared" si="32"/>
        <v>-2.1613832853025938E-2</v>
      </c>
      <c r="L110" s="44">
        <f>IF(ISNUMBER(J110), $B112 * K110, "")</f>
        <v>-2161.3832853025938</v>
      </c>
      <c r="M110" s="36">
        <v>3410</v>
      </c>
      <c r="N110" s="5">
        <f t="shared" si="33"/>
        <v>-1.7291066282420751E-2</v>
      </c>
      <c r="O110" s="44">
        <f>IF(ISNUMBER(M110), $B112 * N110, "")</f>
        <v>-1729.106628242075</v>
      </c>
      <c r="Q110" s="231"/>
      <c r="R110" s="232"/>
    </row>
    <row r="111" spans="1:18" ht="17.25" customHeight="1" thickBot="1">
      <c r="A111" s="13" t="s">
        <v>138</v>
      </c>
      <c r="B111" s="34">
        <v>237</v>
      </c>
      <c r="C111" s="16">
        <v>8.71559633E-2</v>
      </c>
      <c r="D111" s="38">
        <v>256</v>
      </c>
      <c r="E111" s="16">
        <f t="shared" si="30"/>
        <v>8.0168776371308023E-2</v>
      </c>
      <c r="F111" s="45">
        <f>IF(ISNUMBER(D111), $B112 * E111, "")</f>
        <v>8016.8776371308022</v>
      </c>
      <c r="G111" s="38">
        <v>240</v>
      </c>
      <c r="H111" s="16">
        <f t="shared" si="31"/>
        <v>1.2658227848101266E-2</v>
      </c>
      <c r="I111" s="45">
        <f>IF(ISNUMBER(G111), $B112 * H111, "")</f>
        <v>1265.8227848101264</v>
      </c>
      <c r="J111" s="38">
        <v>242</v>
      </c>
      <c r="K111" s="16">
        <f t="shared" si="32"/>
        <v>2.1097046413502109E-2</v>
      </c>
      <c r="L111" s="45">
        <f>IF(ISNUMBER(J111), $B112 * K111, "")</f>
        <v>2109.7046413502107</v>
      </c>
      <c r="M111" s="38">
        <v>241</v>
      </c>
      <c r="N111" s="16">
        <f t="shared" si="33"/>
        <v>1.6877637130801686E-2</v>
      </c>
      <c r="O111" s="45">
        <f>IF(ISNUMBER(M111), $B112 * N111, "")</f>
        <v>1687.7637130801686</v>
      </c>
      <c r="Q111" s="231"/>
      <c r="R111" s="232"/>
    </row>
    <row r="112" spans="1:18" ht="17.25" customHeight="1" thickBot="1">
      <c r="A112" s="57" t="s">
        <v>32</v>
      </c>
      <c r="B112" s="235">
        <v>100000</v>
      </c>
      <c r="C112" s="236"/>
      <c r="D112" s="57" t="s">
        <v>82</v>
      </c>
      <c r="E112" s="46">
        <f>IF(COUNT(E102:E111), SUM(E102:E111) / COUNT(E102:E111), 0)</f>
        <v>2.7943203045567511E-2</v>
      </c>
      <c r="F112" s="47">
        <f>SUM(F102:F111)</f>
        <v>27943.203045567516</v>
      </c>
      <c r="G112" s="57" t="s">
        <v>82</v>
      </c>
      <c r="H112" s="46">
        <f>IF(COUNT(H102:H111), SUM(H102:H111) / COUNT(H102:H111), 0)</f>
        <v>4.4426125456705032E-2</v>
      </c>
      <c r="I112" s="47">
        <f>SUM(I102:I111)</f>
        <v>44426.125456705035</v>
      </c>
      <c r="J112" s="57" t="s">
        <v>82</v>
      </c>
      <c r="K112" s="46">
        <f>IF(COUNT(K102:K111), SUM(K102:K111) / COUNT(K102:K111), 0)</f>
        <v>1.0308331249963356E-2</v>
      </c>
      <c r="L112" s="47">
        <f>SUM(L102:L111)</f>
        <v>10308.331249963358</v>
      </c>
      <c r="M112" s="57" t="s">
        <v>82</v>
      </c>
      <c r="N112" s="46">
        <f>IF(COUNT(N102:N111), SUM(N102:N111) / COUNT(N102:N111), 0)</f>
        <v>-8.7499656658839053E-4</v>
      </c>
      <c r="O112" s="47">
        <f>SUM(O102:O111)</f>
        <v>-874.99656658838649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99" priority="89">
      <formula>$E$27&gt;0</formula>
    </cfRule>
    <cfRule type="expression" dxfId="398" priority="90">
      <formula>$E$27&lt;0</formula>
    </cfRule>
  </conditionalFormatting>
  <conditionalFormatting sqref="G15:I16 H27:I27">
    <cfRule type="expression" dxfId="397" priority="87">
      <formula>$H$27&gt;0</formula>
    </cfRule>
    <cfRule type="expression" dxfId="396" priority="88">
      <formula>$H$27&lt;0</formula>
    </cfRule>
  </conditionalFormatting>
  <conditionalFormatting sqref="J15:L16 K27:L27">
    <cfRule type="expression" dxfId="395" priority="85">
      <formula>$K$27&gt;0</formula>
    </cfRule>
    <cfRule type="expression" dxfId="394" priority="86">
      <formula>$K$27&lt;0</formula>
    </cfRule>
  </conditionalFormatting>
  <conditionalFormatting sqref="M15:O16 N27:O27">
    <cfRule type="expression" dxfId="393" priority="83">
      <formula>$N$27&gt;0</formula>
    </cfRule>
    <cfRule type="expression" dxfId="392" priority="84">
      <formula>$N$27&lt;0</formula>
    </cfRule>
  </conditionalFormatting>
  <conditionalFormatting sqref="A17:O26 A34:O43">
    <cfRule type="expression" dxfId="391" priority="91">
      <formula>AND($N17 &gt; 0, ISNUMBER($N17))</formula>
    </cfRule>
    <cfRule type="expression" dxfId="390" priority="92">
      <formula>AND($N17 &lt; 0, ISNUMBER($N17))</formula>
    </cfRule>
    <cfRule type="expression" dxfId="389" priority="93">
      <formula>AND($K17 &gt; 0, ISNUMBER($K17))</formula>
    </cfRule>
    <cfRule type="expression" dxfId="388" priority="94">
      <formula>AND($K17 &lt; 0, ISNUMBER($K17))</formula>
    </cfRule>
    <cfRule type="expression" dxfId="387" priority="95">
      <formula>AND($H17 &gt; 0, ISNUMBER($H17))</formula>
    </cfRule>
    <cfRule type="expression" dxfId="386" priority="96">
      <formula>AND($H17 &lt; 0, ISNUMBER($H17))</formula>
    </cfRule>
    <cfRule type="expression" dxfId="385" priority="97">
      <formula>AND($E17 &gt; 0, ISNUMBER($E17))</formula>
    </cfRule>
    <cfRule type="expression" dxfId="384" priority="98">
      <formula>AND($E17 &lt; 0, ISNUMBER($E17))</formula>
    </cfRule>
  </conditionalFormatting>
  <conditionalFormatting sqref="D32:F33 E44:F44">
    <cfRule type="expression" dxfId="383" priority="81">
      <formula>$E$44&gt;0</formula>
    </cfRule>
    <cfRule type="expression" dxfId="382" priority="82">
      <formula>$E$44&lt;0</formula>
    </cfRule>
  </conditionalFormatting>
  <conditionalFormatting sqref="G32:I33 H44:I44">
    <cfRule type="expression" dxfId="381" priority="79">
      <formula>$H$44&gt;0</formula>
    </cfRule>
    <cfRule type="expression" dxfId="380" priority="80">
      <formula>$H$44&lt;0</formula>
    </cfRule>
  </conditionalFormatting>
  <conditionalFormatting sqref="J32:L33 K44:L44">
    <cfRule type="expression" dxfId="379" priority="77">
      <formula>$K$44&gt;0</formula>
    </cfRule>
    <cfRule type="expression" dxfId="378" priority="78">
      <formula>$K$44&lt;0</formula>
    </cfRule>
  </conditionalFormatting>
  <conditionalFormatting sqref="M32:O33 N44:O44">
    <cfRule type="expression" dxfId="377" priority="75">
      <formula>$N$44&gt;0</formula>
    </cfRule>
    <cfRule type="expression" dxfId="376" priority="76">
      <formula>$N$44&lt;0</formula>
    </cfRule>
  </conditionalFormatting>
  <conditionalFormatting sqref="A51:O60">
    <cfRule type="expression" dxfId="375" priority="67">
      <formula>AND($N51 &gt; 0, ISNUMBER($N51))</formula>
    </cfRule>
    <cfRule type="expression" dxfId="374" priority="68">
      <formula>AND($N51 &lt; 0, ISNUMBER($N51))</formula>
    </cfRule>
    <cfRule type="expression" dxfId="373" priority="69">
      <formula>AND($K51 &gt; 0, ISNUMBER($K51))</formula>
    </cfRule>
    <cfRule type="expression" dxfId="372" priority="70">
      <formula>AND($K51 &lt; 0, ISNUMBER($K51))</formula>
    </cfRule>
    <cfRule type="expression" dxfId="371" priority="71">
      <formula>AND($H51 &gt; 0, ISNUMBER($H51))</formula>
    </cfRule>
    <cfRule type="expression" dxfId="370" priority="72">
      <formula>AND($H51 &lt; 0, ISNUMBER($H51))</formula>
    </cfRule>
    <cfRule type="expression" dxfId="369" priority="73">
      <formula>AND($E51 &gt; 0, ISNUMBER($E51))</formula>
    </cfRule>
    <cfRule type="expression" dxfId="368" priority="74">
      <formula>AND($E51 &lt; 0, ISNUMBER($E51))</formula>
    </cfRule>
  </conditionalFormatting>
  <conditionalFormatting sqref="D49:F50 E61:F61">
    <cfRule type="expression" dxfId="367" priority="65">
      <formula>$E$61&gt;0</formula>
    </cfRule>
    <cfRule type="expression" dxfId="366" priority="66">
      <formula>$E$61&lt;0</formula>
    </cfRule>
  </conditionalFormatting>
  <conditionalFormatting sqref="G49:I50 H61:I61">
    <cfRule type="expression" dxfId="365" priority="63">
      <formula>$H$61&gt;0</formula>
    </cfRule>
    <cfRule type="expression" dxfId="364" priority="64">
      <formula>$H$61&lt;0</formula>
    </cfRule>
  </conditionalFormatting>
  <conditionalFormatting sqref="J49:L50 K61:L61">
    <cfRule type="expression" dxfId="363" priority="61">
      <formula>$K$61&gt;0</formula>
    </cfRule>
    <cfRule type="expression" dxfId="362" priority="62">
      <formula>$K$61&lt;0</formula>
    </cfRule>
  </conditionalFormatting>
  <conditionalFormatting sqref="M49:O50 N61:O61">
    <cfRule type="expression" dxfId="361" priority="59">
      <formula>$N$61&gt;0</formula>
    </cfRule>
    <cfRule type="expression" dxfId="360" priority="60">
      <formula>$N$61&lt;0</formula>
    </cfRule>
  </conditionalFormatting>
  <conditionalFormatting sqref="A68:O77">
    <cfRule type="expression" dxfId="359" priority="51">
      <formula>AND($N68 &gt; 0, ISNUMBER($N68))</formula>
    </cfRule>
    <cfRule type="expression" dxfId="358" priority="52">
      <formula>AND($N68 &lt; 0, ISNUMBER($N68))</formula>
    </cfRule>
    <cfRule type="expression" dxfId="357" priority="53">
      <formula>AND($K68 &gt; 0, ISNUMBER($K68))</formula>
    </cfRule>
    <cfRule type="expression" dxfId="356" priority="54">
      <formula>AND($K68 &lt; 0, ISNUMBER($K68))</formula>
    </cfRule>
    <cfRule type="expression" dxfId="355" priority="55">
      <formula>AND($H68 &gt; 0, ISNUMBER($H68))</formula>
    </cfRule>
    <cfRule type="expression" dxfId="354" priority="56">
      <formula>AND($H68 &lt; 0, ISNUMBER($H68))</formula>
    </cfRule>
    <cfRule type="expression" dxfId="353" priority="57">
      <formula>AND($E68 &gt; 0, ISNUMBER($E68))</formula>
    </cfRule>
    <cfRule type="expression" dxfId="352" priority="58">
      <formula>AND($E68 &lt; 0, ISNUMBER($E68))</formula>
    </cfRule>
  </conditionalFormatting>
  <conditionalFormatting sqref="D66:F67 E78:F78">
    <cfRule type="expression" dxfId="351" priority="49">
      <formula>$E$78&gt;0</formula>
    </cfRule>
    <cfRule type="expression" dxfId="350" priority="50">
      <formula>$E$78&lt;0</formula>
    </cfRule>
  </conditionalFormatting>
  <conditionalFormatting sqref="G66:I67 H78:I78">
    <cfRule type="expression" dxfId="349" priority="47">
      <formula>$H$78&gt;0</formula>
    </cfRule>
    <cfRule type="expression" dxfId="348" priority="48">
      <formula>$H$78&lt;0</formula>
    </cfRule>
  </conditionalFormatting>
  <conditionalFormatting sqref="J66:L67 K78:L78">
    <cfRule type="expression" dxfId="347" priority="45">
      <formula>$K$78&gt;0</formula>
    </cfRule>
    <cfRule type="expression" dxfId="346" priority="46">
      <formula>$K$78&lt;0</formula>
    </cfRule>
  </conditionalFormatting>
  <conditionalFormatting sqref="M66:O67 N78:O78">
    <cfRule type="expression" dxfId="345" priority="43">
      <formula>$N$78&gt;0</formula>
    </cfRule>
    <cfRule type="expression" dxfId="344" priority="44">
      <formula>$N$78&lt;0</formula>
    </cfRule>
  </conditionalFormatting>
  <conditionalFormatting sqref="A85:O94">
    <cfRule type="expression" dxfId="343" priority="35">
      <formula>AND($N85 &gt; 0, ISNUMBER($N85))</formula>
    </cfRule>
    <cfRule type="expression" dxfId="342" priority="36">
      <formula>AND($N85 &lt; 0, ISNUMBER($N85))</formula>
    </cfRule>
    <cfRule type="expression" dxfId="341" priority="37">
      <formula>AND($K85 &gt; 0, ISNUMBER($K85))</formula>
    </cfRule>
    <cfRule type="expression" dxfId="340" priority="38">
      <formula>AND($K85 &lt; 0, ISNUMBER($K85))</formula>
    </cfRule>
    <cfRule type="expression" dxfId="339" priority="39">
      <formula>AND($H85 &gt; 0, ISNUMBER($H85))</formula>
    </cfRule>
    <cfRule type="expression" dxfId="338" priority="40">
      <formula>AND($H85 &lt; 0, ISNUMBER($H85))</formula>
    </cfRule>
    <cfRule type="expression" dxfId="337" priority="41">
      <formula>AND($E85 &gt; 0, ISNUMBER($E85))</formula>
    </cfRule>
    <cfRule type="expression" dxfId="336" priority="42">
      <formula>AND($E85 &lt; 0, ISNUMBER($E85))</formula>
    </cfRule>
  </conditionalFormatting>
  <conditionalFormatting sqref="D83:F84 E95:F95">
    <cfRule type="expression" dxfId="335" priority="33">
      <formula>$E$95&gt;0</formula>
    </cfRule>
    <cfRule type="expression" dxfId="334" priority="34">
      <formula>$E$95&lt;0</formula>
    </cfRule>
  </conditionalFormatting>
  <conditionalFormatting sqref="G83:I84 H95:I95">
    <cfRule type="expression" dxfId="333" priority="31">
      <formula>$H$95&gt;0</formula>
    </cfRule>
    <cfRule type="expression" dxfId="332" priority="32">
      <formula>$H$95&lt;0</formula>
    </cfRule>
  </conditionalFormatting>
  <conditionalFormatting sqref="J83:L84 K95:L95">
    <cfRule type="expression" dxfId="331" priority="29">
      <formula>$K$95&gt;0</formula>
    </cfRule>
    <cfRule type="expression" dxfId="330" priority="30">
      <formula>$K$95&lt;0</formula>
    </cfRule>
  </conditionalFormatting>
  <conditionalFormatting sqref="M83:O84 N95:O95">
    <cfRule type="expression" dxfId="329" priority="27">
      <formula>$N$95&gt;0</formula>
    </cfRule>
    <cfRule type="expression" dxfId="328" priority="28">
      <formula>$N$95&lt;0</formula>
    </cfRule>
  </conditionalFormatting>
  <conditionalFormatting sqref="A102:O111">
    <cfRule type="expression" dxfId="327" priority="19">
      <formula>AND($N102 &gt; 0, ISNUMBER($N102))</formula>
    </cfRule>
    <cfRule type="expression" dxfId="326" priority="20">
      <formula>AND($N102 &lt; 0, ISNUMBER($N102))</formula>
    </cfRule>
    <cfRule type="expression" dxfId="325" priority="21">
      <formula>AND($K102 &gt; 0, ISNUMBER($K102))</formula>
    </cfRule>
    <cfRule type="expression" dxfId="324" priority="22">
      <formula>AND($K102 &lt; 0, ISNUMBER($K102))</formula>
    </cfRule>
    <cfRule type="expression" dxfId="323" priority="23">
      <formula>AND($H102 &gt; 0, ISNUMBER($H102))</formula>
    </cfRule>
    <cfRule type="expression" dxfId="322" priority="24">
      <formula>AND($H102 &lt; 0, ISNUMBER($H102))</formula>
    </cfRule>
    <cfRule type="expression" dxfId="321" priority="25">
      <formula>AND($E102 &gt; 0, ISNUMBER($E102))</formula>
    </cfRule>
    <cfRule type="expression" dxfId="320" priority="26">
      <formula>AND($E102 &lt; 0, ISNUMBER($E102))</formula>
    </cfRule>
  </conditionalFormatting>
  <conditionalFormatting sqref="D100:F101 E112:F112">
    <cfRule type="expression" dxfId="319" priority="17">
      <formula>$E$112&gt;0</formula>
    </cfRule>
    <cfRule type="expression" dxfId="318" priority="18">
      <formula>$E$112&lt;0</formula>
    </cfRule>
  </conditionalFormatting>
  <conditionalFormatting sqref="G100:I101 H112:I112">
    <cfRule type="expression" dxfId="317" priority="15">
      <formula>$H$112&gt;0</formula>
    </cfRule>
    <cfRule type="expression" dxfId="316" priority="16">
      <formula>$H$112&lt;0</formula>
    </cfRule>
  </conditionalFormatting>
  <conditionalFormatting sqref="J100:L101 K112:L112">
    <cfRule type="expression" dxfId="315" priority="13">
      <formula>$K$112&gt;0</formula>
    </cfRule>
    <cfRule type="expression" dxfId="314" priority="14">
      <formula>$K$112&lt;0</formula>
    </cfRule>
  </conditionalFormatting>
  <conditionalFormatting sqref="M100:O101 N112:O112">
    <cfRule type="expression" dxfId="313" priority="11">
      <formula>$N$112&gt;0</formula>
    </cfRule>
    <cfRule type="expression" dxfId="312" priority="12">
      <formula>$N$112&lt;0</formula>
    </cfRule>
  </conditionalFormatting>
  <conditionalFormatting sqref="G2:I3">
    <cfRule type="expression" dxfId="311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310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309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308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307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306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05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304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303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302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D5BC2-1526-4325-87CA-1F841BEE098E}">
  <sheetPr codeName="Sheet20"/>
  <dimension ref="A1:R112"/>
  <sheetViews>
    <sheetView zoomScaleNormal="100" workbookViewId="0">
      <selection activeCell="M102" sqref="M102:M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-261,782 KRW (-8.73%)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66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-141,946 KRW (-9.46%)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-385,186 KRW (-12.84%)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-343,728 KRW (-11.46%)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-271,008 KRW (-9.03%)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66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65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44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45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69" t="s">
        <v>67</v>
      </c>
      <c r="H16" s="170" t="s">
        <v>68</v>
      </c>
      <c r="I16" s="171" t="s">
        <v>70</v>
      </c>
      <c r="J16" s="4" t="s">
        <v>67</v>
      </c>
      <c r="K16" s="4" t="s">
        <v>68</v>
      </c>
      <c r="L16" s="167" t="s">
        <v>70</v>
      </c>
      <c r="M16" s="18" t="s">
        <v>67</v>
      </c>
      <c r="N16" s="4" t="s">
        <v>68</v>
      </c>
      <c r="O16" s="168" t="s">
        <v>70</v>
      </c>
      <c r="Q16" s="206"/>
      <c r="R16" s="207"/>
    </row>
    <row r="17" spans="1:18" ht="17.25" customHeight="1">
      <c r="A17" s="9" t="s">
        <v>119</v>
      </c>
      <c r="B17" s="89">
        <f>IF(NOT(_xlfn.IFNA(VLOOKUP($A17, $A$30:$O$112, 2, FALSE), "")=0), _xlfn.IFNA(VLOOKUP($A17, $A$30:$O$112, 2, FALSE), ""), "")</f>
        <v>26.6</v>
      </c>
      <c r="C17" s="22">
        <f>IF(NOT(_xlfn.IFNA(VLOOKUP($A17, $A$30:$O$112, 3, FALSE), "")=0), _xlfn.IFNA(VLOOKUP($A17, $A$30:$O$112, 3, FALSE), ""), "")</f>
        <v>0.13675213680000001</v>
      </c>
      <c r="D17" s="89">
        <f>IF(NOT(_xlfn.IFNA(VLOOKUP($A17, $A$30:$O$112, 4, FALSE), "")=0), _xlfn.IFNA(VLOOKUP($A17, $A$30:$O$112, 4, FALSE), ""), "")</f>
        <v>30.5</v>
      </c>
      <c r="E17" s="22">
        <f>IF(NOT(_xlfn.IFNA(VLOOKUP($A17, $A$30:$O$112, 5, FALSE), "")=0), _xlfn.IFNA(VLOOKUP($A17, $A$30:$O$112, 5, FALSE), ""), "")</f>
        <v>0.14661654135338339</v>
      </c>
      <c r="F17" s="58">
        <f>IF(NOT(_xlfn.IFNA(VLOOKUP($A17, $A$30:$O$112, 6, FALSE), "")=0), _xlfn.IFNA(VLOOKUP($A17, $A$30:$O$112, 6, FALSE), ""), "")</f>
        <v>43984.962406015016</v>
      </c>
      <c r="G17" s="36">
        <f t="shared" ref="G17:G26" si="0">IF(NOT(_xlfn.IFNA(VLOOKUP($A17, $A$30:$O$112, 7, FALSE), "")=0), _xlfn.IFNA(VLOOKUP($A17, $A$30:$O$112, 7, FALSE), ""), "")</f>
        <v>30.1</v>
      </c>
      <c r="H17" s="5">
        <f>IF(NOT(_xlfn.IFNA(VLOOKUP($A17, $A$30:$O$112, 8, FALSE), "")=0), _xlfn.IFNA(VLOOKUP($A17, $A$30:$O$112, 8, FALSE), ""), "")</f>
        <v>0.13157894736842105</v>
      </c>
      <c r="I17" s="59">
        <f>IF(NOT(_xlfn.IFNA(VLOOKUP($A17, $A$30:$O$112, 9, FALSE), "")=0), _xlfn.IFNA(VLOOKUP($A17, $A$30:$O$112, 9, FALSE), ""), "")</f>
        <v>39473.684210526313</v>
      </c>
      <c r="J17" s="89">
        <f>IF(NOT(_xlfn.IFNA(VLOOKUP($A17, $A$30:$O$112, 10, FALSE), "")=0), _xlfn.IFNA(VLOOKUP($A17, $A$30:$O$112, 10, FALSE), ""), "")</f>
        <v>27.9</v>
      </c>
      <c r="K17" s="22">
        <f>IF(NOT(_xlfn.IFNA(VLOOKUP($A17, $A$30:$O$112, 11, FALSE), "")=0), _xlfn.IFNA(VLOOKUP($A17, $A$30:$O$112, 11, FALSE), ""), "")</f>
        <v>4.8872180451127713E-2</v>
      </c>
      <c r="L17" s="58">
        <f>IF(NOT(_xlfn.IFNA(VLOOKUP($A17, $A$30:$O$112, 12, FALSE), "")=0), _xlfn.IFNA(VLOOKUP($A17, $A$30:$O$112, 12, FALSE), ""), "")</f>
        <v>14661.654135338315</v>
      </c>
      <c r="M17" s="89">
        <f>IF(NOT(_xlfn.IFNA(VLOOKUP($A17, $A$30:$O$112, 13, FALSE), "")=0), _xlfn.IFNA(VLOOKUP($A17, $A$30:$O$112, 13, FALSE), ""), "")</f>
        <v>28.6</v>
      </c>
      <c r="N17" s="22">
        <f>IF(NOT(_xlfn.IFNA(VLOOKUP($A17, $A$30:$O$112, 14, FALSE), "")=0), _xlfn.IFNA(VLOOKUP($A17, $A$30:$O$112, 14, FALSE), ""), "")</f>
        <v>7.5187969924812026E-2</v>
      </c>
      <c r="O17" s="43">
        <f>IF(NOT(_xlfn.IFNA(VLOOKUP($A17, $A$30:$O$112, 15, FALSE), "")=0), _xlfn.IFNA(VLOOKUP($A17, $A$30:$O$112, 15, FALSE), ""), "")</f>
        <v>22556.390977443607</v>
      </c>
      <c r="Q17" s="204"/>
      <c r="R17" s="205"/>
    </row>
    <row r="18" spans="1:18" ht="17.25" customHeight="1">
      <c r="A18" s="11" t="s">
        <v>163</v>
      </c>
      <c r="B18" s="36">
        <f t="shared" ref="B18:B26" si="1">IF(NOT(_xlfn.IFNA(VLOOKUP($A18, $A$30:$O$112, 2, FALSE), "")=0), _xlfn.IFNA(VLOOKUP($A18, $A$30:$O$112, 2, FALSE), ""), "")</f>
        <v>62.8</v>
      </c>
      <c r="C18" s="5">
        <f t="shared" ref="C18:C26" si="2">IF(NOT(_xlfn.IFNA(VLOOKUP($A18, $A$30:$O$112, 3, FALSE), "")=0), _xlfn.IFNA(VLOOKUP($A18, $A$30:$O$112, 3, FALSE), ""), "")</f>
        <v>0.12544802869999999</v>
      </c>
      <c r="D18" s="36">
        <f t="shared" ref="D18:D26" si="3">IF(NOT(_xlfn.IFNA(VLOOKUP($A18, $A$30:$O$112, 4, FALSE), "")=0), _xlfn.IFNA(VLOOKUP($A18, $A$30:$O$112, 4, FALSE), ""), "")</f>
        <v>57.5</v>
      </c>
      <c r="E18" s="5">
        <f t="shared" ref="E18:E26" si="4">IF(NOT(_xlfn.IFNA(VLOOKUP($A18, $A$30:$O$112, 5, FALSE), "")=0), _xlfn.IFNA(VLOOKUP($A18, $A$30:$O$112, 5, FALSE), ""), "")</f>
        <v>-8.439490445859868E-2</v>
      </c>
      <c r="F18" s="59">
        <f t="shared" ref="F18:F26" si="5">IF(NOT(_xlfn.IFNA(VLOOKUP($A18, $A$30:$O$112, 6, FALSE), "")=0), _xlfn.IFNA(VLOOKUP($A18, $A$30:$O$112, 6, FALSE), ""), "")</f>
        <v>-25318.471337579605</v>
      </c>
      <c r="G18" s="36">
        <f t="shared" si="0"/>
        <v>58</v>
      </c>
      <c r="H18" s="5">
        <f t="shared" ref="H18:H26" si="6">IF(NOT(_xlfn.IFNA(VLOOKUP($A18, $A$30:$O$112, 8, FALSE), "")=0), _xlfn.IFNA(VLOOKUP($A18, $A$30:$O$112, 8, FALSE), ""), "")</f>
        <v>-7.6433121019108236E-2</v>
      </c>
      <c r="I18" s="59">
        <f t="shared" ref="I18:I26" si="7">IF(NOT(_xlfn.IFNA(VLOOKUP($A18, $A$30:$O$112, 9, FALSE), "")=0), _xlfn.IFNA(VLOOKUP($A18, $A$30:$O$112, 9, FALSE), ""), "")</f>
        <v>-22929.93630573247</v>
      </c>
      <c r="J18" s="36">
        <f t="shared" ref="J18:J26" si="8">IF(NOT(_xlfn.IFNA(VLOOKUP($A18, $A$30:$O$112, 10, FALSE), "")=0), _xlfn.IFNA(VLOOKUP($A18, $A$30:$O$112, 10, FALSE), ""), "")</f>
        <v>53.9</v>
      </c>
      <c r="K18" s="5">
        <f t="shared" ref="K18:K26" si="9">IF(NOT(_xlfn.IFNA(VLOOKUP($A18, $A$30:$O$112, 11, FALSE), "")=0), _xlfn.IFNA(VLOOKUP($A18, $A$30:$O$112, 11, FALSE), ""), "")</f>
        <v>-0.14171974522292993</v>
      </c>
      <c r="L18" s="59">
        <f t="shared" ref="L18:L26" si="10">IF(NOT(_xlfn.IFNA(VLOOKUP($A18, $A$30:$O$112, 12, FALSE), "")=0), _xlfn.IFNA(VLOOKUP($A18, $A$30:$O$112, 12, FALSE), ""), "")</f>
        <v>-42515.923566878977</v>
      </c>
      <c r="M18" s="36">
        <f t="shared" ref="M18:M26" si="11">IF(NOT(_xlfn.IFNA(VLOOKUP($A18, $A$30:$O$112, 13, FALSE), "")=0), _xlfn.IFNA(VLOOKUP($A18, $A$30:$O$112, 13, FALSE), ""), "")</f>
        <v>56.4</v>
      </c>
      <c r="N18" s="5">
        <f t="shared" ref="N18:N26" si="12">IF(NOT(_xlfn.IFNA(VLOOKUP($A18, $A$30:$O$112, 14, FALSE), "")=0), _xlfn.IFNA(VLOOKUP($A18, $A$30:$O$112, 14, FALSE), ""), "")</f>
        <v>-0.10191082802547768</v>
      </c>
      <c r="O18" s="44">
        <f t="shared" ref="O18:O26" si="13">IF(NOT(_xlfn.IFNA(VLOOKUP($A18, $A$30:$O$112, 15, FALSE), "")=0), _xlfn.IFNA(VLOOKUP($A18, $A$30:$O$112, 15, FALSE), ""), "")</f>
        <v>-30573.248407643307</v>
      </c>
      <c r="Q18" s="204"/>
      <c r="R18" s="205"/>
    </row>
    <row r="19" spans="1:18" ht="17.25" customHeight="1">
      <c r="A19" s="11" t="s">
        <v>148</v>
      </c>
      <c r="B19" s="36">
        <f t="shared" si="1"/>
        <v>104</v>
      </c>
      <c r="C19" s="5">
        <f t="shared" si="2"/>
        <v>0.1170784103</v>
      </c>
      <c r="D19" s="36">
        <f t="shared" si="3"/>
        <v>103</v>
      </c>
      <c r="E19" s="5">
        <f t="shared" si="4"/>
        <v>-9.6153846153846159E-3</v>
      </c>
      <c r="F19" s="59">
        <f t="shared" si="5"/>
        <v>-2884.6153846153848</v>
      </c>
      <c r="G19" s="36">
        <f t="shared" si="0"/>
        <v>101</v>
      </c>
      <c r="H19" s="5">
        <f t="shared" si="6"/>
        <v>-2.8846153846153848E-2</v>
      </c>
      <c r="I19" s="59">
        <f t="shared" si="7"/>
        <v>-8653.8461538461543</v>
      </c>
      <c r="J19" s="36">
        <f t="shared" si="8"/>
        <v>91.8</v>
      </c>
      <c r="K19" s="5">
        <f t="shared" si="9"/>
        <v>-0.11730769230769234</v>
      </c>
      <c r="L19" s="59">
        <f t="shared" si="10"/>
        <v>-35192.307692307702</v>
      </c>
      <c r="M19" s="36">
        <f t="shared" si="11"/>
        <v>94.8</v>
      </c>
      <c r="N19" s="5">
        <f t="shared" si="12"/>
        <v>-8.8461538461538494E-2</v>
      </c>
      <c r="O19" s="44">
        <f t="shared" si="13"/>
        <v>-26538.46153846155</v>
      </c>
      <c r="Q19" s="204"/>
      <c r="R19" s="205"/>
    </row>
    <row r="20" spans="1:18" ht="17.25" customHeight="1">
      <c r="A20" s="40" t="s">
        <v>139</v>
      </c>
      <c r="B20" s="36">
        <f t="shared" si="1"/>
        <v>1880</v>
      </c>
      <c r="C20" s="5">
        <f t="shared" si="2"/>
        <v>0.11242603549999999</v>
      </c>
      <c r="D20" s="36">
        <f t="shared" si="3"/>
        <v>1700</v>
      </c>
      <c r="E20" s="5">
        <f t="shared" si="4"/>
        <v>-9.5744680851063829E-2</v>
      </c>
      <c r="F20" s="59">
        <f t="shared" si="5"/>
        <v>-28723.40425531915</v>
      </c>
      <c r="G20" s="36">
        <f t="shared" si="0"/>
        <v>1665</v>
      </c>
      <c r="H20" s="5">
        <f t="shared" si="6"/>
        <v>-0.11436170212765957</v>
      </c>
      <c r="I20" s="59">
        <f t="shared" si="7"/>
        <v>-34308.51063829787</v>
      </c>
      <c r="J20" s="36">
        <f t="shared" si="8"/>
        <v>1560</v>
      </c>
      <c r="K20" s="5">
        <f t="shared" si="9"/>
        <v>-0.1702127659574468</v>
      </c>
      <c r="L20" s="59">
        <f t="shared" si="10"/>
        <v>-51063.829787234041</v>
      </c>
      <c r="M20" s="36">
        <f t="shared" si="11"/>
        <v>1645</v>
      </c>
      <c r="N20" s="5">
        <f t="shared" si="12"/>
        <v>-0.125</v>
      </c>
      <c r="O20" s="44">
        <f t="shared" si="13"/>
        <v>-37500</v>
      </c>
      <c r="Q20" s="204"/>
      <c r="R20" s="205"/>
    </row>
    <row r="21" spans="1:18" ht="17.25" customHeight="1">
      <c r="A21" s="41" t="s">
        <v>135</v>
      </c>
      <c r="B21" s="37">
        <f t="shared" si="1"/>
        <v>31</v>
      </c>
      <c r="C21" s="24">
        <f t="shared" si="2"/>
        <v>9.15492958E-2</v>
      </c>
      <c r="D21" s="37">
        <f t="shared" si="3"/>
        <v>28.5</v>
      </c>
      <c r="E21" s="24">
        <f t="shared" si="4"/>
        <v>-8.0645161290322578E-2</v>
      </c>
      <c r="F21" s="60">
        <f t="shared" si="5"/>
        <v>-24193.548387096773</v>
      </c>
      <c r="G21" s="37">
        <f t="shared" si="0"/>
        <v>28.7</v>
      </c>
      <c r="H21" s="24">
        <f t="shared" si="6"/>
        <v>-7.4193548387096797E-2</v>
      </c>
      <c r="I21" s="60">
        <f t="shared" si="7"/>
        <v>-22258.064516129038</v>
      </c>
      <c r="J21" s="37">
        <f t="shared" si="8"/>
        <v>27.3</v>
      </c>
      <c r="K21" s="24">
        <f t="shared" si="9"/>
        <v>-0.11935483870967739</v>
      </c>
      <c r="L21" s="60">
        <f t="shared" si="10"/>
        <v>-35806.45161290322</v>
      </c>
      <c r="M21" s="37">
        <f t="shared" si="11"/>
        <v>28.2</v>
      </c>
      <c r="N21" s="24">
        <f t="shared" si="12"/>
        <v>-9.0322580645161313E-2</v>
      </c>
      <c r="O21" s="62">
        <f t="shared" si="13"/>
        <v>-27096.774193548394</v>
      </c>
      <c r="Q21" s="204"/>
      <c r="R21" s="205"/>
    </row>
    <row r="22" spans="1:18" ht="17.25" customHeight="1">
      <c r="A22" s="40" t="s">
        <v>212</v>
      </c>
      <c r="B22" s="36">
        <f t="shared" si="1"/>
        <v>53300</v>
      </c>
      <c r="C22" s="5">
        <f t="shared" si="2"/>
        <v>8.5318672400000004E-2</v>
      </c>
      <c r="D22" s="36">
        <f t="shared" si="3"/>
        <v>48160</v>
      </c>
      <c r="E22" s="5">
        <f t="shared" si="4"/>
        <v>-9.6435272045028136E-2</v>
      </c>
      <c r="F22" s="59">
        <f t="shared" si="5"/>
        <v>-28930.581613508442</v>
      </c>
      <c r="G22" s="36">
        <f t="shared" si="0"/>
        <v>47180</v>
      </c>
      <c r="H22" s="5">
        <f t="shared" si="6"/>
        <v>-0.11482176360225141</v>
      </c>
      <c r="I22" s="59">
        <f t="shared" si="7"/>
        <v>-34446.52908067542</v>
      </c>
      <c r="J22" s="36">
        <f t="shared" si="8"/>
        <v>44670</v>
      </c>
      <c r="K22" s="5">
        <f t="shared" si="9"/>
        <v>-0.16191369606003753</v>
      </c>
      <c r="L22" s="59">
        <f t="shared" si="10"/>
        <v>-48574.108818011257</v>
      </c>
      <c r="M22" s="36">
        <f t="shared" si="11"/>
        <v>46420</v>
      </c>
      <c r="N22" s="5">
        <f t="shared" si="12"/>
        <v>-0.12908067542213883</v>
      </c>
      <c r="O22" s="44">
        <f t="shared" si="13"/>
        <v>-38724.202626641651</v>
      </c>
      <c r="Q22" s="204"/>
      <c r="R22" s="205"/>
    </row>
    <row r="23" spans="1:18" ht="17.25" customHeight="1">
      <c r="A23" s="40" t="s">
        <v>145</v>
      </c>
      <c r="B23" s="36">
        <f t="shared" si="1"/>
        <v>51.2</v>
      </c>
      <c r="C23" s="5">
        <f t="shared" si="2"/>
        <v>7.1129707099999995E-2</v>
      </c>
      <c r="D23" s="36">
        <f t="shared" si="3"/>
        <v>44.9</v>
      </c>
      <c r="E23" s="5">
        <f t="shared" si="4"/>
        <v>-0.12304687500000008</v>
      </c>
      <c r="F23" s="59">
        <f t="shared" si="5"/>
        <v>-36914.062500000022</v>
      </c>
      <c r="G23" s="36">
        <f t="shared" si="0"/>
        <v>44.6</v>
      </c>
      <c r="H23" s="5">
        <f t="shared" si="6"/>
        <v>-0.12890625000000003</v>
      </c>
      <c r="I23" s="59">
        <f t="shared" si="7"/>
        <v>-38671.875000000007</v>
      </c>
      <c r="J23" s="36">
        <f t="shared" si="8"/>
        <v>42.2</v>
      </c>
      <c r="K23" s="5">
        <f t="shared" si="9"/>
        <v>-0.17578125</v>
      </c>
      <c r="L23" s="59">
        <f t="shared" si="10"/>
        <v>-52734.375</v>
      </c>
      <c r="M23" s="36">
        <f t="shared" si="11"/>
        <v>44</v>
      </c>
      <c r="N23" s="5">
        <f t="shared" si="12"/>
        <v>-0.14062500000000006</v>
      </c>
      <c r="O23" s="44">
        <f t="shared" si="13"/>
        <v>-42187.500000000015</v>
      </c>
      <c r="Q23" s="204"/>
      <c r="R23" s="205"/>
    </row>
    <row r="24" spans="1:18" ht="17.25" customHeight="1">
      <c r="A24" s="40" t="s">
        <v>234</v>
      </c>
      <c r="B24" s="36">
        <f t="shared" si="1"/>
        <v>3570</v>
      </c>
      <c r="C24" s="5">
        <f t="shared" si="2"/>
        <v>5.6213017800000001E-2</v>
      </c>
      <c r="D24" s="36">
        <f t="shared" si="3"/>
        <v>2990</v>
      </c>
      <c r="E24" s="5">
        <f t="shared" si="4"/>
        <v>-0.16246498599439776</v>
      </c>
      <c r="F24" s="59">
        <f t="shared" si="5"/>
        <v>-48739.495798319331</v>
      </c>
      <c r="G24" s="36">
        <f t="shared" si="0"/>
        <v>3020</v>
      </c>
      <c r="H24" s="5">
        <f t="shared" si="6"/>
        <v>-0.15406162464985995</v>
      </c>
      <c r="I24" s="59">
        <f t="shared" si="7"/>
        <v>-46218.487394957985</v>
      </c>
      <c r="J24" s="36">
        <f t="shared" si="8"/>
        <v>2885</v>
      </c>
      <c r="K24" s="5">
        <f t="shared" si="9"/>
        <v>-0.19187675070028012</v>
      </c>
      <c r="L24" s="59">
        <f t="shared" si="10"/>
        <v>-57563.025210084037</v>
      </c>
      <c r="M24" s="36">
        <f t="shared" si="11"/>
        <v>3020</v>
      </c>
      <c r="N24" s="5">
        <f t="shared" si="12"/>
        <v>-0.15406162464985995</v>
      </c>
      <c r="O24" s="44">
        <f t="shared" si="13"/>
        <v>-46218.487394957985</v>
      </c>
      <c r="Q24" s="204"/>
      <c r="R24" s="205"/>
    </row>
    <row r="25" spans="1:18" ht="17.25" customHeight="1">
      <c r="A25" s="11" t="s">
        <v>132</v>
      </c>
      <c r="B25" s="36">
        <f t="shared" si="1"/>
        <v>35.6</v>
      </c>
      <c r="C25" s="5">
        <f t="shared" si="2"/>
        <v>5.32544379E-2</v>
      </c>
      <c r="D25" s="36">
        <f t="shared" si="3"/>
        <v>33.299999999999997</v>
      </c>
      <c r="E25" s="5">
        <f t="shared" si="4"/>
        <v>-6.4606741573033824E-2</v>
      </c>
      <c r="F25" s="59">
        <f t="shared" si="5"/>
        <v>-19382.022471910146</v>
      </c>
      <c r="G25" s="36">
        <f t="shared" si="0"/>
        <v>32.4</v>
      </c>
      <c r="H25" s="5">
        <f t="shared" si="6"/>
        <v>-8.9887640449438283E-2</v>
      </c>
      <c r="I25" s="59">
        <f t="shared" si="7"/>
        <v>-26966.292134831485</v>
      </c>
      <c r="J25" s="36">
        <f t="shared" si="8"/>
        <v>30.2</v>
      </c>
      <c r="K25" s="5">
        <f t="shared" si="9"/>
        <v>-0.15168539325842703</v>
      </c>
      <c r="L25" s="59">
        <f t="shared" si="10"/>
        <v>-45505.617977528113</v>
      </c>
      <c r="M25" s="36">
        <f t="shared" si="11"/>
        <v>31.3</v>
      </c>
      <c r="N25" s="5">
        <f t="shared" si="12"/>
        <v>-0.1207865168539326</v>
      </c>
      <c r="O25" s="44">
        <f t="shared" si="13"/>
        <v>-36235.955056179781</v>
      </c>
      <c r="Q25" s="206"/>
      <c r="R25" s="207"/>
    </row>
    <row r="26" spans="1:18" ht="17.25" customHeight="1" thickBot="1">
      <c r="A26" s="11" t="s">
        <v>175</v>
      </c>
      <c r="B26" s="38">
        <f t="shared" si="1"/>
        <v>620</v>
      </c>
      <c r="C26" s="16">
        <f t="shared" si="2"/>
        <v>4.3771043799999999E-2</v>
      </c>
      <c r="D26" s="38">
        <f t="shared" si="3"/>
        <v>528</v>
      </c>
      <c r="E26" s="16">
        <f t="shared" si="4"/>
        <v>-0.14838709677419354</v>
      </c>
      <c r="F26" s="61">
        <f t="shared" si="5"/>
        <v>-44516.129032258061</v>
      </c>
      <c r="G26" s="38">
        <f t="shared" si="0"/>
        <v>524</v>
      </c>
      <c r="H26" s="16">
        <f t="shared" si="6"/>
        <v>-0.15483870967741936</v>
      </c>
      <c r="I26" s="61">
        <f t="shared" si="7"/>
        <v>-46451.61290322581</v>
      </c>
      <c r="J26" s="38">
        <f t="shared" si="8"/>
        <v>500</v>
      </c>
      <c r="K26" s="16">
        <f t="shared" si="9"/>
        <v>-0.19354838709677419</v>
      </c>
      <c r="L26" s="61">
        <f t="shared" si="10"/>
        <v>-58064.516129032258</v>
      </c>
      <c r="M26" s="38">
        <f t="shared" si="11"/>
        <v>515</v>
      </c>
      <c r="N26" s="16">
        <f t="shared" si="12"/>
        <v>-0.16935483870967741</v>
      </c>
      <c r="O26" s="45">
        <f t="shared" si="13"/>
        <v>-50806.45161290322</v>
      </c>
      <c r="Q26" s="206"/>
      <c r="R26" s="207"/>
    </row>
    <row r="27" spans="1:18" ht="17.25" customHeight="1" thickBot="1">
      <c r="A27" s="57" t="s">
        <v>32</v>
      </c>
      <c r="B27" s="235">
        <v>100000</v>
      </c>
      <c r="C27" s="236"/>
      <c r="D27" s="57" t="s">
        <v>82</v>
      </c>
      <c r="E27" s="46">
        <f>IF(COUNT(E17:E26), SUM(E17:E26) / COUNT(E17:E26), 0)</f>
        <v>-7.1872456124863968E-2</v>
      </c>
      <c r="F27" s="47">
        <f>SUM(F17:F26)</f>
        <v>-215617.3683745919</v>
      </c>
      <c r="G27" s="57" t="s">
        <v>82</v>
      </c>
      <c r="H27" s="46">
        <f>IF(COUNT(H17:H26), SUM(H17:H26) / COUNT(H17:H26), 0)</f>
        <v>-8.0477156639056635E-2</v>
      </c>
      <c r="I27" s="47">
        <f>SUM(I17:I26)</f>
        <v>-241431.46991716992</v>
      </c>
      <c r="J27" s="57" t="s">
        <v>82</v>
      </c>
      <c r="K27" s="46">
        <f>IF(COUNT(K17:K26), SUM(K17:K26) / COUNT(K17:K26), 0)</f>
        <v>-0.13745283388621377</v>
      </c>
      <c r="L27" s="47">
        <f>SUM(L17:L26)</f>
        <v>-412358.50165864133</v>
      </c>
      <c r="M27" s="57" t="s">
        <v>82</v>
      </c>
      <c r="N27" s="46">
        <f>IF(COUNT(N17:N26), SUM(N17:N26) / COUNT(N17:N26), 0)</f>
        <v>-0.10444156328429743</v>
      </c>
      <c r="O27" s="47">
        <f>SUM(O17:O26)</f>
        <v>-313324.68985289225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65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67" t="s">
        <v>70</v>
      </c>
      <c r="M33" s="18" t="s">
        <v>67</v>
      </c>
      <c r="N33" s="4" t="s">
        <v>68</v>
      </c>
      <c r="O33" s="168" t="s">
        <v>70</v>
      </c>
      <c r="Q33" s="231"/>
      <c r="R33" s="232"/>
    </row>
    <row r="34" spans="1:18" ht="17.25" customHeight="1">
      <c r="A34" s="9" t="s">
        <v>95</v>
      </c>
      <c r="B34" s="31">
        <v>39.5</v>
      </c>
      <c r="C34" s="22">
        <v>0.36678200690000001</v>
      </c>
      <c r="D34" s="89">
        <v>38.700000000000003</v>
      </c>
      <c r="E34" s="22">
        <f>IF(ISNUMBER(D34), (D34 - $B34) / $B34, "")</f>
        <v>-2.0253164556961953E-2</v>
      </c>
      <c r="F34" s="43">
        <f>IF(ISNUMBER(D34), $B44 * E34, "")</f>
        <v>-6075.9493670885859</v>
      </c>
      <c r="G34" s="89">
        <v>38.200000000000003</v>
      </c>
      <c r="H34" s="22">
        <f>IF(ISNUMBER(G34), (G34 - $B34) / $B34, "")</f>
        <v>-3.2911392405063217E-2</v>
      </c>
      <c r="I34" s="43">
        <f>IF(ISNUMBER(G34), $B44 * H34, "")</f>
        <v>-9873.4177215189648</v>
      </c>
      <c r="J34" s="89">
        <v>36.4</v>
      </c>
      <c r="K34" s="22">
        <f>IF(ISNUMBER(J34), (J34 - $B34) / $B34, "")</f>
        <v>-7.8481012658227878E-2</v>
      </c>
      <c r="L34" s="43">
        <f>IF(ISNUMBER(J34), $B44 * K34, "")</f>
        <v>-23544.303797468365</v>
      </c>
      <c r="M34" s="89">
        <v>38</v>
      </c>
      <c r="N34" s="22">
        <f>IF(ISNUMBER(M34), (M34 - $B34) / $B34, "")</f>
        <v>-3.7974683544303799E-2</v>
      </c>
      <c r="O34" s="43">
        <f>IF(ISNUMBER(M34), $B44 * N34, "")</f>
        <v>-11392.40506329114</v>
      </c>
      <c r="Q34" s="229"/>
      <c r="R34" s="230"/>
    </row>
    <row r="35" spans="1:18" ht="17.25" customHeight="1">
      <c r="A35" s="11" t="s">
        <v>143</v>
      </c>
      <c r="B35" s="32">
        <v>11.7</v>
      </c>
      <c r="C35" s="5">
        <v>0.1711711712</v>
      </c>
      <c r="D35" s="36">
        <v>10.6</v>
      </c>
      <c r="E35" s="5">
        <f t="shared" ref="E35:E43" si="14">IF(ISNUMBER(D35), (D35 - $B35) / $B35, "")</f>
        <v>-9.4017094017093988E-2</v>
      </c>
      <c r="F35" s="44">
        <f>IF(ISNUMBER(D35), $B44 * E35, "")</f>
        <v>-28205.128205128196</v>
      </c>
      <c r="G35" s="36">
        <v>10.4</v>
      </c>
      <c r="H35" s="5">
        <f t="shared" ref="H35:H43" si="15">IF(ISNUMBER(G35), (G35 - $B35) / $B35, "")</f>
        <v>-0.11111111111111102</v>
      </c>
      <c r="I35" s="44">
        <f>IF(ISNUMBER(G35), $B44 * H35, "")</f>
        <v>-33333.333333333307</v>
      </c>
      <c r="J35" s="36">
        <v>10.1</v>
      </c>
      <c r="K35" s="5">
        <f t="shared" ref="K35:K43" si="16">IF(ISNUMBER(J35), (J35 - $B35) / $B35, "")</f>
        <v>-0.13675213675213674</v>
      </c>
      <c r="L35" s="44">
        <f>IF(ISNUMBER(J35), $B44 * K35, "")</f>
        <v>-41025.641025641024</v>
      </c>
      <c r="M35" s="36">
        <v>10.4</v>
      </c>
      <c r="N35" s="5">
        <f t="shared" ref="N35:N43" si="17">IF(ISNUMBER(M35), (M35 - $B35) / $B35, "")</f>
        <v>-0.11111111111111102</v>
      </c>
      <c r="O35" s="44">
        <f>IF(ISNUMBER(M35), $B44 * N35, "")</f>
        <v>-33333.333333333307</v>
      </c>
      <c r="Q35" s="229"/>
      <c r="R35" s="230"/>
    </row>
    <row r="36" spans="1:18" ht="17.25" customHeight="1">
      <c r="A36" s="11" t="s">
        <v>119</v>
      </c>
      <c r="B36" s="32">
        <v>26.6</v>
      </c>
      <c r="C36" s="5">
        <v>0.13675213680000001</v>
      </c>
      <c r="D36" s="36">
        <v>30.5</v>
      </c>
      <c r="E36" s="5">
        <f t="shared" si="14"/>
        <v>0.14661654135338339</v>
      </c>
      <c r="F36" s="44">
        <f>IF(ISNUMBER(D36), $B44 * E36, "")</f>
        <v>43984.962406015016</v>
      </c>
      <c r="G36" s="36">
        <v>30.1</v>
      </c>
      <c r="H36" s="5">
        <f t="shared" si="15"/>
        <v>0.13157894736842105</v>
      </c>
      <c r="I36" s="44">
        <f>IF(ISNUMBER(G36), $B44 * H36, "")</f>
        <v>39473.684210526313</v>
      </c>
      <c r="J36" s="36">
        <v>27.9</v>
      </c>
      <c r="K36" s="5">
        <f t="shared" si="16"/>
        <v>4.8872180451127713E-2</v>
      </c>
      <c r="L36" s="44">
        <f>IF(ISNUMBER(J36), $B44 * K36, "")</f>
        <v>14661.654135338315</v>
      </c>
      <c r="M36" s="36">
        <v>28.6</v>
      </c>
      <c r="N36" s="5">
        <f t="shared" si="17"/>
        <v>7.5187969924812026E-2</v>
      </c>
      <c r="O36" s="44">
        <f>IF(ISNUMBER(M36), $B44 * N36, "")</f>
        <v>22556.390977443607</v>
      </c>
      <c r="Q36" s="229"/>
      <c r="R36" s="230"/>
    </row>
    <row r="37" spans="1:18" ht="17.25" customHeight="1">
      <c r="A37" s="11" t="s">
        <v>163</v>
      </c>
      <c r="B37" s="32">
        <v>62.8</v>
      </c>
      <c r="C37" s="5">
        <v>0.12544802869999999</v>
      </c>
      <c r="D37" s="36">
        <v>57.5</v>
      </c>
      <c r="E37" s="5">
        <f t="shared" si="14"/>
        <v>-8.439490445859868E-2</v>
      </c>
      <c r="F37" s="44">
        <f>IF(ISNUMBER(D37), $B44 * E37, "")</f>
        <v>-25318.471337579605</v>
      </c>
      <c r="G37" s="36">
        <v>58</v>
      </c>
      <c r="H37" s="5">
        <f t="shared" si="15"/>
        <v>-7.6433121019108236E-2</v>
      </c>
      <c r="I37" s="44">
        <f>IF(ISNUMBER(G37), $B44 * H37, "")</f>
        <v>-22929.93630573247</v>
      </c>
      <c r="J37" s="36">
        <v>53.9</v>
      </c>
      <c r="K37" s="5">
        <f t="shared" si="16"/>
        <v>-0.14171974522292993</v>
      </c>
      <c r="L37" s="44">
        <f>IF(ISNUMBER(J37), $B44 * K37, "")</f>
        <v>-42515.923566878977</v>
      </c>
      <c r="M37" s="36">
        <v>56.4</v>
      </c>
      <c r="N37" s="5">
        <f t="shared" si="17"/>
        <v>-0.10191082802547768</v>
      </c>
      <c r="O37" s="44">
        <f>IF(ISNUMBER(M37), $B44 * N37, "")</f>
        <v>-30573.248407643307</v>
      </c>
      <c r="Q37" s="229"/>
      <c r="R37" s="230"/>
    </row>
    <row r="38" spans="1:18" ht="17.25" customHeight="1">
      <c r="A38" s="8" t="s">
        <v>135</v>
      </c>
      <c r="B38" s="33">
        <v>31</v>
      </c>
      <c r="C38" s="24">
        <v>9.15492958E-2</v>
      </c>
      <c r="D38" s="37">
        <v>28.5</v>
      </c>
      <c r="E38" s="24">
        <f t="shared" si="14"/>
        <v>-8.0645161290322578E-2</v>
      </c>
      <c r="F38" s="44">
        <f>IF(ISNUMBER(D38), $B44 * E38, "")</f>
        <v>-24193.548387096773</v>
      </c>
      <c r="G38" s="37">
        <v>28.7</v>
      </c>
      <c r="H38" s="24">
        <f t="shared" si="15"/>
        <v>-7.4193548387096797E-2</v>
      </c>
      <c r="I38" s="44">
        <f>IF(ISNUMBER(G38), $B44 * H38, "")</f>
        <v>-22258.064516129038</v>
      </c>
      <c r="J38" s="37">
        <v>27.3</v>
      </c>
      <c r="K38" s="24">
        <f t="shared" si="16"/>
        <v>-0.11935483870967739</v>
      </c>
      <c r="L38" s="44">
        <f>IF(ISNUMBER(J38), $B44 * K38, "")</f>
        <v>-35806.45161290322</v>
      </c>
      <c r="M38" s="37">
        <v>28.2</v>
      </c>
      <c r="N38" s="24">
        <f t="shared" si="17"/>
        <v>-9.0322580645161313E-2</v>
      </c>
      <c r="O38" s="44">
        <f>IF(ISNUMBER(M38), $B44 * N38, "")</f>
        <v>-27096.774193548394</v>
      </c>
      <c r="Q38" s="229"/>
      <c r="R38" s="230"/>
    </row>
    <row r="39" spans="1:18" ht="17.25" customHeight="1">
      <c r="A39" s="11" t="s">
        <v>145</v>
      </c>
      <c r="B39" s="32">
        <v>51.2</v>
      </c>
      <c r="C39" s="5">
        <v>7.1129707099999995E-2</v>
      </c>
      <c r="D39" s="36">
        <v>44.9</v>
      </c>
      <c r="E39" s="5">
        <f t="shared" si="14"/>
        <v>-0.12304687500000008</v>
      </c>
      <c r="F39" s="48">
        <f>IF(ISNUMBER(D39), $B44 * E39, "")</f>
        <v>-36914.062500000022</v>
      </c>
      <c r="G39" s="36">
        <v>44.6</v>
      </c>
      <c r="H39" s="5">
        <f t="shared" si="15"/>
        <v>-0.12890625000000003</v>
      </c>
      <c r="I39" s="48">
        <f>IF(ISNUMBER(G39), $B44 * H39, "")</f>
        <v>-38671.875000000007</v>
      </c>
      <c r="J39" s="36">
        <v>42.2</v>
      </c>
      <c r="K39" s="5">
        <f t="shared" si="16"/>
        <v>-0.17578125</v>
      </c>
      <c r="L39" s="48">
        <f>IF(ISNUMBER(J39), $B44 * K39, "")</f>
        <v>-52734.375</v>
      </c>
      <c r="M39" s="36">
        <v>44</v>
      </c>
      <c r="N39" s="5">
        <f t="shared" si="17"/>
        <v>-0.14062500000000006</v>
      </c>
      <c r="O39" s="48">
        <f>IF(ISNUMBER(M39), $B44 * N39, "")</f>
        <v>-42187.500000000015</v>
      </c>
      <c r="Q39" s="229"/>
      <c r="R39" s="230"/>
    </row>
    <row r="40" spans="1:18" ht="17.25" customHeight="1">
      <c r="A40" s="11" t="s">
        <v>132</v>
      </c>
      <c r="B40" s="32">
        <v>35.6</v>
      </c>
      <c r="C40" s="5">
        <v>5.32544379E-2</v>
      </c>
      <c r="D40" s="36">
        <v>33.299999999999997</v>
      </c>
      <c r="E40" s="5">
        <f t="shared" si="14"/>
        <v>-6.4606741573033824E-2</v>
      </c>
      <c r="F40" s="44">
        <f>IF(ISNUMBER(D40), $B44 * E40, "")</f>
        <v>-19382.022471910146</v>
      </c>
      <c r="G40" s="36">
        <v>32.4</v>
      </c>
      <c r="H40" s="5">
        <f t="shared" si="15"/>
        <v>-8.9887640449438283E-2</v>
      </c>
      <c r="I40" s="44">
        <f>IF(ISNUMBER(G40), $B44 * H40, "")</f>
        <v>-26966.292134831485</v>
      </c>
      <c r="J40" s="36">
        <v>30.2</v>
      </c>
      <c r="K40" s="5">
        <f t="shared" si="16"/>
        <v>-0.15168539325842703</v>
      </c>
      <c r="L40" s="44">
        <f>IF(ISNUMBER(J40), $B44 * K40, "")</f>
        <v>-45505.617977528113</v>
      </c>
      <c r="M40" s="36">
        <v>31.3</v>
      </c>
      <c r="N40" s="5">
        <f t="shared" si="17"/>
        <v>-0.1207865168539326</v>
      </c>
      <c r="O40" s="44">
        <f>IF(ISNUMBER(M40), $B44 * N40, "")</f>
        <v>-36235.955056179781</v>
      </c>
      <c r="Q40" s="229"/>
      <c r="R40" s="230"/>
    </row>
    <row r="41" spans="1:18" ht="17.25" customHeight="1">
      <c r="A41" s="11" t="s">
        <v>133</v>
      </c>
      <c r="B41" s="32">
        <v>25.8</v>
      </c>
      <c r="C41" s="5">
        <v>4.4534413000000002E-2</v>
      </c>
      <c r="D41" s="36">
        <v>24.1</v>
      </c>
      <c r="E41" s="5">
        <f t="shared" si="14"/>
        <v>-6.5891472868217019E-2</v>
      </c>
      <c r="F41" s="44">
        <f>IF(ISNUMBER(D41), $B44 * E41, "")</f>
        <v>-19767.441860465107</v>
      </c>
      <c r="G41" s="36">
        <v>23.7</v>
      </c>
      <c r="H41" s="5">
        <f t="shared" si="15"/>
        <v>-8.139534883720935E-2</v>
      </c>
      <c r="I41" s="44">
        <f>IF(ISNUMBER(G41), $B44 * H41, "")</f>
        <v>-24418.604651162805</v>
      </c>
      <c r="J41" s="36">
        <v>22.4</v>
      </c>
      <c r="K41" s="5">
        <f t="shared" si="16"/>
        <v>-0.13178294573643418</v>
      </c>
      <c r="L41" s="44">
        <f>IF(ISNUMBER(J41), $B44 * K41, "")</f>
        <v>-39534.883720930251</v>
      </c>
      <c r="M41" s="36">
        <v>23.1</v>
      </c>
      <c r="N41" s="5">
        <f t="shared" si="17"/>
        <v>-0.10465116279069764</v>
      </c>
      <c r="O41" s="44">
        <f>IF(ISNUMBER(M41), $B44 * N41, "")</f>
        <v>-31395.348837209291</v>
      </c>
      <c r="Q41" s="229"/>
      <c r="R41" s="230"/>
    </row>
    <row r="42" spans="1:18" ht="17.25" customHeight="1">
      <c r="A42" s="11" t="s">
        <v>155</v>
      </c>
      <c r="B42" s="32">
        <v>27.2</v>
      </c>
      <c r="C42" s="5">
        <v>3.4220532300000002E-2</v>
      </c>
      <c r="D42" s="36">
        <v>24.6</v>
      </c>
      <c r="E42" s="5">
        <f t="shared" si="14"/>
        <v>-9.5588235294117571E-2</v>
      </c>
      <c r="F42" s="44">
        <f>IF(ISNUMBER(D42), $B44 * E42, "")</f>
        <v>-28676.470588235272</v>
      </c>
      <c r="G42" s="36">
        <v>24.1</v>
      </c>
      <c r="H42" s="5">
        <f t="shared" si="15"/>
        <v>-0.11397058823529405</v>
      </c>
      <c r="I42" s="44">
        <f>IF(ISNUMBER(G42), $B44 * H42, "")</f>
        <v>-34191.176470588216</v>
      </c>
      <c r="J42" s="36">
        <v>23</v>
      </c>
      <c r="K42" s="5">
        <f t="shared" si="16"/>
        <v>-0.15441176470588233</v>
      </c>
      <c r="L42" s="44">
        <f>IF(ISNUMBER(J42), $B44 * K42, "")</f>
        <v>-46323.529411764699</v>
      </c>
      <c r="M42" s="36">
        <v>24.5</v>
      </c>
      <c r="N42" s="5">
        <f t="shared" si="17"/>
        <v>-9.9264705882352922E-2</v>
      </c>
      <c r="O42" s="44">
        <f>IF(ISNUMBER(M42), $B44 * N42, "")</f>
        <v>-29779.411764705877</v>
      </c>
      <c r="P42" s="17"/>
      <c r="Q42" s="231"/>
      <c r="R42" s="232"/>
    </row>
    <row r="43" spans="1:18" ht="17.25" customHeight="1" thickBot="1">
      <c r="A43" s="13" t="s">
        <v>123</v>
      </c>
      <c r="B43" s="34">
        <v>83.6</v>
      </c>
      <c r="C43" s="16">
        <v>3.3374536500000003E-2</v>
      </c>
      <c r="D43" s="38">
        <v>72.5</v>
      </c>
      <c r="E43" s="16">
        <f t="shared" si="14"/>
        <v>-0.13277511961722482</v>
      </c>
      <c r="F43" s="45">
        <f>IF(ISNUMBER(D43), $B44 * E43, "")</f>
        <v>-39832.535885167446</v>
      </c>
      <c r="G43" s="38">
        <v>72.900000000000006</v>
      </c>
      <c r="H43" s="16">
        <f t="shared" si="15"/>
        <v>-0.12799043062200943</v>
      </c>
      <c r="I43" s="45">
        <f>IF(ISNUMBER(G43), $B44 * H43, "")</f>
        <v>-38397.129186602833</v>
      </c>
      <c r="J43" s="38">
        <v>68.7</v>
      </c>
      <c r="K43" s="16">
        <f t="shared" si="16"/>
        <v>-0.17822966507177024</v>
      </c>
      <c r="L43" s="45">
        <f>IF(ISNUMBER(J43), $B44 * K43, "")</f>
        <v>-53468.899521531072</v>
      </c>
      <c r="M43" s="38">
        <v>71.8</v>
      </c>
      <c r="N43" s="16">
        <f t="shared" si="17"/>
        <v>-0.14114832535885166</v>
      </c>
      <c r="O43" s="45">
        <f>IF(ISNUMBER(M43), $B44 * N43, "")</f>
        <v>-42344.497607655496</v>
      </c>
      <c r="P43" s="17"/>
      <c r="Q43" s="231"/>
      <c r="R43" s="232"/>
    </row>
    <row r="44" spans="1:18" ht="17.25" customHeight="1" thickBot="1">
      <c r="A44" s="57" t="s">
        <v>32</v>
      </c>
      <c r="B44" s="235">
        <v>300000</v>
      </c>
      <c r="C44" s="236"/>
      <c r="D44" s="57" t="s">
        <v>82</v>
      </c>
      <c r="E44" s="46">
        <f>IF(COUNT(E34:E43), SUM(E34:E43) / COUNT(E34:E43), 0)</f>
        <v>-6.1460222732218718E-2</v>
      </c>
      <c r="F44" s="47">
        <f>SUM(F34:F43)</f>
        <v>-184380.66819665613</v>
      </c>
      <c r="G44" s="57" t="s">
        <v>82</v>
      </c>
      <c r="H44" s="46">
        <f>IF(COUNT(H34:H43), SUM(H34:H43) / COUNT(H34:H43), 0)</f>
        <v>-7.0522048369790938E-2</v>
      </c>
      <c r="I44" s="47">
        <f>SUM(I34:I43)</f>
        <v>-211566.14510937282</v>
      </c>
      <c r="J44" s="57" t="s">
        <v>82</v>
      </c>
      <c r="K44" s="46">
        <f>IF(COUNT(K34:K43), SUM(K34:K43) / COUNT(K34:K43), 0)</f>
        <v>-0.1219326571664358</v>
      </c>
      <c r="L44" s="47">
        <f>SUM(L34:L43)</f>
        <v>-365797.97149930737</v>
      </c>
      <c r="M44" s="57" t="s">
        <v>82</v>
      </c>
      <c r="N44" s="46">
        <f>IF(COUNT(N34:N43), SUM(N34:N43) / COUNT(N34:N43), 0)</f>
        <v>-8.7260694428707666E-2</v>
      </c>
      <c r="O44" s="47">
        <f>SUM(O34:O43)</f>
        <v>-261782.083286123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65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67" t="s">
        <v>70</v>
      </c>
      <c r="M50" s="18" t="s">
        <v>67</v>
      </c>
      <c r="N50" s="4" t="s">
        <v>68</v>
      </c>
      <c r="O50" s="168" t="s">
        <v>70</v>
      </c>
      <c r="Q50" s="231"/>
      <c r="R50" s="232"/>
    </row>
    <row r="51" spans="1:18" ht="17.25" customHeight="1">
      <c r="A51" s="9" t="s">
        <v>107</v>
      </c>
      <c r="B51" s="31">
        <v>40.299999999999997</v>
      </c>
      <c r="C51" s="22">
        <v>3.0690537100000002E-2</v>
      </c>
      <c r="D51" s="89">
        <v>37.700000000000003</v>
      </c>
      <c r="E51" s="22">
        <f>IF(ISNUMBER(D51), (D51 - $B51) / $B51, "")</f>
        <v>-6.4516129032257924E-2</v>
      </c>
      <c r="F51" s="43">
        <f>IF(ISNUMBER(D51), $B61 * E51, "")</f>
        <v>-19354.838709677377</v>
      </c>
      <c r="G51" s="89">
        <v>37.6</v>
      </c>
      <c r="H51" s="22">
        <f>IF(ISNUMBER(G51), (G51 - $B51) / $B51, "")</f>
        <v>-6.6997518610421733E-2</v>
      </c>
      <c r="I51" s="43">
        <f>IF(ISNUMBER(G51), $B61 * H51, "")</f>
        <v>-20099.25558312652</v>
      </c>
      <c r="J51" s="89">
        <v>35.299999999999997</v>
      </c>
      <c r="K51" s="22">
        <f>IF(ISNUMBER(J51), (J51 - $B51) / $B51, "")</f>
        <v>-0.12406947890818859</v>
      </c>
      <c r="L51" s="43">
        <f>IF(ISNUMBER(J51), $B61 * K51, "")</f>
        <v>-37220.843672456576</v>
      </c>
      <c r="M51" s="89">
        <v>36.9</v>
      </c>
      <c r="N51" s="22">
        <f>IF(ISNUMBER(M51), (M51 - $B51) / $B51, "")</f>
        <v>-8.4367245657568216E-2</v>
      </c>
      <c r="O51" s="43">
        <f>IF(ISNUMBER(M51), $B61 * N51, "")</f>
        <v>-25310.173697270464</v>
      </c>
      <c r="Q51" s="229"/>
      <c r="R51" s="230"/>
    </row>
    <row r="52" spans="1:18" ht="17.25" customHeight="1">
      <c r="A52" s="11" t="s">
        <v>158</v>
      </c>
      <c r="B52" s="32">
        <v>31</v>
      </c>
      <c r="C52" s="5">
        <v>2.6490066199999999E-2</v>
      </c>
      <c r="D52" s="36">
        <v>28.9</v>
      </c>
      <c r="E52" s="5">
        <f t="shared" ref="E52:E60" si="18">IF(ISNUMBER(D52), (D52 - $B52) / $B52, "")</f>
        <v>-6.7741935483871016E-2</v>
      </c>
      <c r="F52" s="44">
        <f>IF(ISNUMBER(D52), $B61 * E52, "")</f>
        <v>-20322.580645161306</v>
      </c>
      <c r="G52" s="36">
        <v>28.6</v>
      </c>
      <c r="H52" s="5">
        <f t="shared" ref="H52:H60" si="19">IF(ISNUMBER(G52), (G52 - $B52) / $B52, "")</f>
        <v>-7.7419354838709625E-2</v>
      </c>
      <c r="I52" s="44">
        <f>IF(ISNUMBER(G52), $B61 * H52, "")</f>
        <v>-23225.806451612887</v>
      </c>
      <c r="J52" s="36">
        <v>27.3</v>
      </c>
      <c r="K52" s="5">
        <f t="shared" ref="K52:K60" si="20">IF(ISNUMBER(J52), (J52 - $B52) / $B52, "")</f>
        <v>-0.11935483870967739</v>
      </c>
      <c r="L52" s="44">
        <f>IF(ISNUMBER(J52), $B61 * K52, "")</f>
        <v>-35806.45161290322</v>
      </c>
      <c r="M52" s="36">
        <v>28.3</v>
      </c>
      <c r="N52" s="5">
        <f t="shared" ref="N52:N60" si="21">IF(ISNUMBER(M52), (M52 - $B52) / $B52, "")</f>
        <v>-8.709677419354836E-2</v>
      </c>
      <c r="O52" s="44">
        <f>IF(ISNUMBER(M52), $B61 * N52, "")</f>
        <v>-26129.032258064508</v>
      </c>
      <c r="Q52" s="229"/>
      <c r="R52" s="230"/>
    </row>
    <row r="53" spans="1:18" ht="17.25" customHeight="1">
      <c r="A53" s="11" t="s">
        <v>136</v>
      </c>
      <c r="B53" s="32">
        <v>28.7</v>
      </c>
      <c r="C53" s="5">
        <v>1.7730496500000002E-2</v>
      </c>
      <c r="D53" s="36">
        <v>25.7</v>
      </c>
      <c r="E53" s="5">
        <f t="shared" si="18"/>
        <v>-0.10452961672473868</v>
      </c>
      <c r="F53" s="44">
        <f>IF(ISNUMBER(D53), $B61 * E53, "")</f>
        <v>-31358.885017421602</v>
      </c>
      <c r="G53" s="36">
        <v>25.8</v>
      </c>
      <c r="H53" s="5">
        <f t="shared" si="19"/>
        <v>-0.10104529616724733</v>
      </c>
      <c r="I53" s="44">
        <f>IF(ISNUMBER(G53), $B61 * H53, "")</f>
        <v>-30313.588850174201</v>
      </c>
      <c r="J53" s="36">
        <v>23.8</v>
      </c>
      <c r="K53" s="5">
        <f t="shared" si="20"/>
        <v>-0.17073170731707313</v>
      </c>
      <c r="L53" s="44">
        <f>IF(ISNUMBER(J53), $B61 * K53, "")</f>
        <v>-51219.512195121941</v>
      </c>
      <c r="M53" s="36">
        <v>25.4</v>
      </c>
      <c r="N53" s="5">
        <f t="shared" si="21"/>
        <v>-0.11498257839721257</v>
      </c>
      <c r="O53" s="44">
        <f>IF(ISNUMBER(M53), $B61 * N53, "")</f>
        <v>-34494.773519163769</v>
      </c>
      <c r="Q53" s="229"/>
      <c r="R53" s="230"/>
    </row>
    <row r="54" spans="1:18" ht="17.25" customHeight="1">
      <c r="A54" s="11" t="s">
        <v>100</v>
      </c>
      <c r="B54" s="32">
        <v>37.4</v>
      </c>
      <c r="C54" s="5">
        <v>1.3550135499999999E-2</v>
      </c>
      <c r="D54" s="36">
        <v>34</v>
      </c>
      <c r="E54" s="5">
        <f t="shared" si="18"/>
        <v>-9.090909090909087E-2</v>
      </c>
      <c r="F54" s="44">
        <f>IF(ISNUMBER(D54), $B61 * E54, "")</f>
        <v>-27272.727272727261</v>
      </c>
      <c r="G54" s="36">
        <v>33.200000000000003</v>
      </c>
      <c r="H54" s="5">
        <f t="shared" si="19"/>
        <v>-0.1122994652406416</v>
      </c>
      <c r="I54" s="44">
        <f>IF(ISNUMBER(G54), $B61 * H54, "")</f>
        <v>-33689.839572192483</v>
      </c>
      <c r="J54" s="36">
        <v>31.7</v>
      </c>
      <c r="K54" s="5">
        <f t="shared" si="20"/>
        <v>-0.15240641711229946</v>
      </c>
      <c r="L54" s="44">
        <f>IF(ISNUMBER(J54), $B61 * K54, "")</f>
        <v>-45721.925133689838</v>
      </c>
      <c r="M54" s="36">
        <v>33.1</v>
      </c>
      <c r="N54" s="5">
        <f t="shared" si="21"/>
        <v>-0.11497326203208549</v>
      </c>
      <c r="O54" s="44">
        <f>IF(ISNUMBER(M54), $B61 * N54, "")</f>
        <v>-34491.97860962565</v>
      </c>
      <c r="Q54" s="229"/>
      <c r="R54" s="230"/>
    </row>
    <row r="55" spans="1:18" ht="17.25" customHeight="1">
      <c r="A55" s="8" t="s">
        <v>146</v>
      </c>
      <c r="B55" s="33">
        <v>93.4</v>
      </c>
      <c r="C55" s="24">
        <v>1.3015184399999999E-2</v>
      </c>
      <c r="D55" s="37">
        <v>88.2</v>
      </c>
      <c r="E55" s="24">
        <f t="shared" si="18"/>
        <v>-5.5674518201284821E-2</v>
      </c>
      <c r="F55" s="44">
        <f>IF(ISNUMBER(D55), $B61 * E55, "")</f>
        <v>-16702.355460385446</v>
      </c>
      <c r="G55" s="37">
        <v>87.5</v>
      </c>
      <c r="H55" s="24">
        <f t="shared" si="19"/>
        <v>-6.3169164882227041E-2</v>
      </c>
      <c r="I55" s="44">
        <f>IF(ISNUMBER(G55), $B61 * H55, "")</f>
        <v>-18950.749464668112</v>
      </c>
      <c r="J55" s="37">
        <v>83.1</v>
      </c>
      <c r="K55" s="24">
        <f t="shared" si="20"/>
        <v>-0.11027837259100653</v>
      </c>
      <c r="L55" s="44">
        <f>IF(ISNUMBER(J55), $B61 * K55, "")</f>
        <v>-33083.511777301959</v>
      </c>
      <c r="M55" s="37">
        <v>86.7</v>
      </c>
      <c r="N55" s="24">
        <f t="shared" si="21"/>
        <v>-7.1734475374732362E-2</v>
      </c>
      <c r="O55" s="44">
        <f>IF(ISNUMBER(M55), $B61 * N55, "")</f>
        <v>-21520.34261241971</v>
      </c>
      <c r="Q55" s="229"/>
      <c r="R55" s="230"/>
    </row>
    <row r="56" spans="1:18" ht="17.25" customHeight="1">
      <c r="A56" s="11"/>
      <c r="B56" s="32"/>
      <c r="C56" s="5"/>
      <c r="D56" s="36"/>
      <c r="E56" s="5" t="str">
        <f t="shared" si="18"/>
        <v/>
      </c>
      <c r="F56" s="48" t="str">
        <f>IF(ISNUMBER(D56), $B61 * E56, "")</f>
        <v/>
      </c>
      <c r="G56" s="36"/>
      <c r="H56" s="5" t="str">
        <f t="shared" si="19"/>
        <v/>
      </c>
      <c r="I56" s="48" t="str">
        <f>IF(ISNUMBER(G56), $B61 * H56, "")</f>
        <v/>
      </c>
      <c r="J56" s="36"/>
      <c r="K56" s="5" t="str">
        <f t="shared" si="20"/>
        <v/>
      </c>
      <c r="L56" s="48" t="str">
        <f>IF(ISNUMBER(J56), $B61 * K56, "")</f>
        <v/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/>
      <c r="B57" s="32"/>
      <c r="C57" s="5"/>
      <c r="D57" s="36"/>
      <c r="E57" s="5" t="str">
        <f t="shared" si="18"/>
        <v/>
      </c>
      <c r="F57" s="44" t="str">
        <f>IF(ISNUMBER(D57), $B61 * E57, "")</f>
        <v/>
      </c>
      <c r="G57" s="36"/>
      <c r="H57" s="5" t="str">
        <f t="shared" si="19"/>
        <v/>
      </c>
      <c r="I57" s="44" t="str">
        <f>IF(ISNUMBER(G57), $B61 * H57, "")</f>
        <v/>
      </c>
      <c r="J57" s="36"/>
      <c r="K57" s="5" t="str">
        <f t="shared" si="20"/>
        <v/>
      </c>
      <c r="L57" s="44" t="str">
        <f>IF(ISNUMBER(J57), $B61 * K57, "")</f>
        <v/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/>
      <c r="B58" s="32"/>
      <c r="C58" s="5"/>
      <c r="D58" s="36"/>
      <c r="E58" s="5" t="str">
        <f t="shared" si="18"/>
        <v/>
      </c>
      <c r="F58" s="44" t="str">
        <f>IF(ISNUMBER(D58), $B61 * E58, "")</f>
        <v/>
      </c>
      <c r="G58" s="36"/>
      <c r="H58" s="5" t="str">
        <f t="shared" si="19"/>
        <v/>
      </c>
      <c r="I58" s="44" t="str">
        <f>IF(ISNUMBER(G58), $B61 * H58, "")</f>
        <v/>
      </c>
      <c r="J58" s="36"/>
      <c r="K58" s="5" t="str">
        <f t="shared" si="20"/>
        <v/>
      </c>
      <c r="L58" s="44" t="str">
        <f>IF(ISNUMBER(J58), $B61 * K58, "")</f>
        <v/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300000</v>
      </c>
      <c r="C61" s="236"/>
      <c r="D61" s="57" t="s">
        <v>82</v>
      </c>
      <c r="E61" s="46">
        <f>IF(COUNT(E51:E60), SUM(E51:E60) / COUNT(E51:E60), 0)</f>
        <v>-7.6674258070248663E-2</v>
      </c>
      <c r="F61" s="47">
        <f>SUM(F51:F60)</f>
        <v>-115011.387105373</v>
      </c>
      <c r="G61" s="57" t="s">
        <v>82</v>
      </c>
      <c r="H61" s="46">
        <f>IF(COUNT(H51:H60), SUM(H51:H60) / COUNT(H51:H60), 0)</f>
        <v>-8.4186159947849462E-2</v>
      </c>
      <c r="I61" s="47">
        <f>SUM(I51:I60)</f>
        <v>-126279.23992177421</v>
      </c>
      <c r="J61" s="57" t="s">
        <v>82</v>
      </c>
      <c r="K61" s="46">
        <f>IF(COUNT(K51:K60), SUM(K51:K60) / COUNT(K51:K60), 0)</f>
        <v>-0.13536816292764903</v>
      </c>
      <c r="L61" s="47">
        <f>SUM(L51:L60)</f>
        <v>-203052.24439147353</v>
      </c>
      <c r="M61" s="57" t="s">
        <v>82</v>
      </c>
      <c r="N61" s="46">
        <f>IF(COUNT(N51:N60), SUM(N51:N60) / COUNT(N51:N60), 0)</f>
        <v>-9.4630867131029403E-2</v>
      </c>
      <c r="O61" s="47">
        <f>SUM(O51:O60)</f>
        <v>-141946.30069654412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65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67" t="s">
        <v>70</v>
      </c>
      <c r="M67" s="18" t="s">
        <v>67</v>
      </c>
      <c r="N67" s="4" t="s">
        <v>68</v>
      </c>
      <c r="O67" s="168" t="s">
        <v>70</v>
      </c>
      <c r="Q67" s="231"/>
      <c r="R67" s="232"/>
    </row>
    <row r="68" spans="1:18" ht="17.25" customHeight="1">
      <c r="A68" s="9" t="s">
        <v>148</v>
      </c>
      <c r="B68" s="31">
        <v>104</v>
      </c>
      <c r="C68" s="22">
        <v>0.1170784103</v>
      </c>
      <c r="D68" s="89">
        <v>103</v>
      </c>
      <c r="E68" s="22">
        <f>IF(ISNUMBER(D68), (D68 - $B68) / $B68, "")</f>
        <v>-9.6153846153846159E-3</v>
      </c>
      <c r="F68" s="43">
        <f>IF(ISNUMBER(D68), $B78 * E68, "")</f>
        <v>-2884.6153846153848</v>
      </c>
      <c r="G68" s="89">
        <v>101</v>
      </c>
      <c r="H68" s="22">
        <f>IF(ISNUMBER(G68), (G68 - $B68) / $B68, "")</f>
        <v>-2.8846153846153848E-2</v>
      </c>
      <c r="I68" s="43">
        <f>IF(ISNUMBER(G68), $B78 * H68, "")</f>
        <v>-8653.8461538461543</v>
      </c>
      <c r="J68" s="89">
        <v>91.8</v>
      </c>
      <c r="K68" s="22">
        <f>IF(ISNUMBER(J68), (J68 - $B68) / $B68, "")</f>
        <v>-0.11730769230769234</v>
      </c>
      <c r="L68" s="43">
        <f>IF(ISNUMBER(J68), $B78 * K68, "")</f>
        <v>-35192.307692307702</v>
      </c>
      <c r="M68" s="89">
        <v>94.8</v>
      </c>
      <c r="N68" s="22">
        <f>IF(ISNUMBER(M68), (M68 - $B68) / $B68, "")</f>
        <v>-8.8461538461538494E-2</v>
      </c>
      <c r="O68" s="43">
        <f>IF(ISNUMBER(M68), $B78 * N68, "")</f>
        <v>-26538.46153846155</v>
      </c>
      <c r="Q68" s="229"/>
      <c r="R68" s="230"/>
    </row>
    <row r="69" spans="1:18" ht="17.25" customHeight="1">
      <c r="A69" s="11" t="s">
        <v>122</v>
      </c>
      <c r="B69" s="32">
        <v>315</v>
      </c>
      <c r="C69" s="5">
        <v>4.6511627899999998E-2</v>
      </c>
      <c r="D69" s="36">
        <v>293</v>
      </c>
      <c r="E69" s="5">
        <f t="shared" ref="E69:E77" si="22">IF(ISNUMBER(D69), (D69 - $B69) / $B69, "")</f>
        <v>-6.9841269841269843E-2</v>
      </c>
      <c r="F69" s="44">
        <f>IF(ISNUMBER(D69), $B78 * E69, "")</f>
        <v>-20952.380952380954</v>
      </c>
      <c r="G69" s="36">
        <v>295</v>
      </c>
      <c r="H69" s="5">
        <f t="shared" ref="H69:H77" si="23">IF(ISNUMBER(G69), (G69 - $B69) / $B69, "")</f>
        <v>-6.3492063492063489E-2</v>
      </c>
      <c r="I69" s="44">
        <f>IF(ISNUMBER(G69), $B78 * H69, "")</f>
        <v>-19047.619047619046</v>
      </c>
      <c r="J69" s="36">
        <v>275</v>
      </c>
      <c r="K69" s="5">
        <f t="shared" ref="K69:K77" si="24">IF(ISNUMBER(J69), (J69 - $B69) / $B69, "")</f>
        <v>-0.12698412698412698</v>
      </c>
      <c r="L69" s="44">
        <f>IF(ISNUMBER(J69), $B78 * K69, "")</f>
        <v>-38095.238095238092</v>
      </c>
      <c r="M69" s="36">
        <v>288</v>
      </c>
      <c r="N69" s="5">
        <f t="shared" ref="N69:N77" si="25">IF(ISNUMBER(M69), (M69 - $B69) / $B69, "")</f>
        <v>-8.5714285714285715E-2</v>
      </c>
      <c r="O69" s="44">
        <f>IF(ISNUMBER(M69), $B78 * N69, "")</f>
        <v>-25714.285714285714</v>
      </c>
      <c r="Q69" s="229"/>
      <c r="R69" s="230"/>
    </row>
    <row r="70" spans="1:18" ht="17.25" customHeight="1">
      <c r="A70" s="11" t="s">
        <v>175</v>
      </c>
      <c r="B70" s="32">
        <v>620</v>
      </c>
      <c r="C70" s="5">
        <v>4.3771043799999999E-2</v>
      </c>
      <c r="D70" s="36">
        <v>528</v>
      </c>
      <c r="E70" s="5">
        <f t="shared" si="22"/>
        <v>-0.14838709677419354</v>
      </c>
      <c r="F70" s="44">
        <f>IF(ISNUMBER(D70), $B78 * E70, "")</f>
        <v>-44516.129032258061</v>
      </c>
      <c r="G70" s="36">
        <v>524</v>
      </c>
      <c r="H70" s="5">
        <f t="shared" si="23"/>
        <v>-0.15483870967741936</v>
      </c>
      <c r="I70" s="44">
        <f>IF(ISNUMBER(G70), $B78 * H70, "")</f>
        <v>-46451.61290322581</v>
      </c>
      <c r="J70" s="36">
        <v>500</v>
      </c>
      <c r="K70" s="5">
        <f t="shared" si="24"/>
        <v>-0.19354838709677419</v>
      </c>
      <c r="L70" s="44">
        <f>IF(ISNUMBER(J70), $B78 * K70, "")</f>
        <v>-58064.516129032258</v>
      </c>
      <c r="M70" s="36">
        <v>515</v>
      </c>
      <c r="N70" s="5">
        <f t="shared" si="25"/>
        <v>-0.16935483870967741</v>
      </c>
      <c r="O70" s="44">
        <f>IF(ISNUMBER(M70), $B78 * N70, "")</f>
        <v>-50806.45161290322</v>
      </c>
      <c r="Q70" s="229"/>
      <c r="R70" s="230"/>
    </row>
    <row r="71" spans="1:18" ht="17.25" customHeight="1">
      <c r="A71" s="11" t="s">
        <v>160</v>
      </c>
      <c r="B71" s="32">
        <v>236</v>
      </c>
      <c r="C71" s="5">
        <v>3.50877193E-2</v>
      </c>
      <c r="D71" s="36">
        <v>202</v>
      </c>
      <c r="E71" s="5">
        <f t="shared" si="22"/>
        <v>-0.1440677966101695</v>
      </c>
      <c r="F71" s="44">
        <f>IF(ISNUMBER(D71), $B78 * E71, "")</f>
        <v>-43220.338983050846</v>
      </c>
      <c r="G71" s="36">
        <v>202</v>
      </c>
      <c r="H71" s="5">
        <f t="shared" si="23"/>
        <v>-0.1440677966101695</v>
      </c>
      <c r="I71" s="44">
        <f>IF(ISNUMBER(G71), $B78 * H71, "")</f>
        <v>-43220.338983050846</v>
      </c>
      <c r="J71" s="36">
        <v>192</v>
      </c>
      <c r="K71" s="5">
        <f t="shared" si="24"/>
        <v>-0.1864406779661017</v>
      </c>
      <c r="L71" s="44">
        <f>IF(ISNUMBER(J71), $B78 * K71, "")</f>
        <v>-55932.203389830509</v>
      </c>
      <c r="M71" s="36">
        <v>199</v>
      </c>
      <c r="N71" s="5">
        <f t="shared" si="25"/>
        <v>-0.15677966101694915</v>
      </c>
      <c r="O71" s="44">
        <f>IF(ISNUMBER(M71), $B78 * N71, "")</f>
        <v>-47033.898305084746</v>
      </c>
      <c r="Q71" s="229"/>
      <c r="R71" s="230"/>
    </row>
    <row r="72" spans="1:18" ht="17.25" customHeight="1">
      <c r="A72" s="8" t="s">
        <v>129</v>
      </c>
      <c r="B72" s="33">
        <v>183</v>
      </c>
      <c r="C72" s="24">
        <v>2.8089887599999998E-2</v>
      </c>
      <c r="D72" s="37">
        <v>157</v>
      </c>
      <c r="E72" s="24">
        <f t="shared" si="22"/>
        <v>-0.14207650273224043</v>
      </c>
      <c r="F72" s="44">
        <f>IF(ISNUMBER(D72), $B78 * E72, "")</f>
        <v>-42622.950819672129</v>
      </c>
      <c r="G72" s="37">
        <v>156</v>
      </c>
      <c r="H72" s="24">
        <f t="shared" si="23"/>
        <v>-0.14754098360655737</v>
      </c>
      <c r="I72" s="44">
        <f>IF(ISNUMBER(G72), $B78 * H72, "")</f>
        <v>-44262.295081967211</v>
      </c>
      <c r="J72" s="37">
        <v>150</v>
      </c>
      <c r="K72" s="24">
        <f t="shared" si="24"/>
        <v>-0.18032786885245902</v>
      </c>
      <c r="L72" s="44">
        <f>IF(ISNUMBER(J72), $B78 * K72, "")</f>
        <v>-54098.360655737706</v>
      </c>
      <c r="M72" s="37">
        <v>153</v>
      </c>
      <c r="N72" s="24">
        <f t="shared" si="25"/>
        <v>-0.16393442622950818</v>
      </c>
      <c r="O72" s="44">
        <f>IF(ISNUMBER(M72), $B78 * N72, "")</f>
        <v>-49180.327868852459</v>
      </c>
      <c r="Q72" s="229"/>
      <c r="R72" s="230"/>
    </row>
    <row r="73" spans="1:18" ht="17.25" customHeight="1">
      <c r="A73" s="11" t="s">
        <v>99</v>
      </c>
      <c r="B73" s="32">
        <v>255</v>
      </c>
      <c r="C73" s="5">
        <v>2.4096385500000001E-2</v>
      </c>
      <c r="D73" s="36">
        <v>240</v>
      </c>
      <c r="E73" s="5">
        <f t="shared" si="22"/>
        <v>-5.8823529411764705E-2</v>
      </c>
      <c r="F73" s="48">
        <f>IF(ISNUMBER(D73), $B78 * E73, "")</f>
        <v>-17647.058823529413</v>
      </c>
      <c r="G73" s="36">
        <v>237</v>
      </c>
      <c r="H73" s="5">
        <f t="shared" si="23"/>
        <v>-7.0588235294117646E-2</v>
      </c>
      <c r="I73" s="48">
        <f>IF(ISNUMBER(G73), $B78 * H73, "")</f>
        <v>-21176.470588235294</v>
      </c>
      <c r="J73" s="36">
        <v>217</v>
      </c>
      <c r="K73" s="5">
        <f t="shared" si="24"/>
        <v>-0.14901960784313725</v>
      </c>
      <c r="L73" s="48">
        <f>IF(ISNUMBER(J73), $B78 * K73, "")</f>
        <v>-44705.882352941175</v>
      </c>
      <c r="M73" s="36">
        <v>224</v>
      </c>
      <c r="N73" s="5">
        <f t="shared" si="25"/>
        <v>-0.12156862745098039</v>
      </c>
      <c r="O73" s="48">
        <f>IF(ISNUMBER(M73), $B78 * N73, "")</f>
        <v>-36470.588235294119</v>
      </c>
      <c r="Q73" s="229"/>
      <c r="R73" s="230"/>
    </row>
    <row r="74" spans="1:18" ht="17.25" customHeight="1">
      <c r="A74" s="11" t="s">
        <v>101</v>
      </c>
      <c r="B74" s="32">
        <v>256</v>
      </c>
      <c r="C74" s="5">
        <v>1.9920318699999998E-2</v>
      </c>
      <c r="D74" s="36">
        <v>224</v>
      </c>
      <c r="E74" s="5">
        <f t="shared" si="22"/>
        <v>-0.125</v>
      </c>
      <c r="F74" s="44">
        <f>IF(ISNUMBER(D74), $B78 * E74, "")</f>
        <v>-37500</v>
      </c>
      <c r="G74" s="36">
        <v>223</v>
      </c>
      <c r="H74" s="5">
        <f t="shared" si="23"/>
        <v>-0.12890625</v>
      </c>
      <c r="I74" s="44">
        <f>IF(ISNUMBER(G74), $B78 * H74, "")</f>
        <v>-38671.875</v>
      </c>
      <c r="J74" s="36">
        <v>212</v>
      </c>
      <c r="K74" s="5">
        <f t="shared" si="24"/>
        <v>-0.171875</v>
      </c>
      <c r="L74" s="44">
        <f>IF(ISNUMBER(J74), $B78 * K74, "")</f>
        <v>-51562.5</v>
      </c>
      <c r="M74" s="36">
        <v>223</v>
      </c>
      <c r="N74" s="5">
        <f t="shared" si="25"/>
        <v>-0.12890625</v>
      </c>
      <c r="O74" s="44">
        <f>IF(ISNUMBER(M74), $B78 * N74, "")</f>
        <v>-38671.875</v>
      </c>
      <c r="Q74" s="229"/>
      <c r="R74" s="230"/>
    </row>
    <row r="75" spans="1:18" ht="17.25" customHeight="1">
      <c r="A75" s="11" t="s">
        <v>113</v>
      </c>
      <c r="B75" s="32">
        <v>125</v>
      </c>
      <c r="C75" s="5">
        <v>1.6260162599999999E-2</v>
      </c>
      <c r="D75" s="36">
        <v>112</v>
      </c>
      <c r="E75" s="5">
        <f t="shared" si="22"/>
        <v>-0.104</v>
      </c>
      <c r="F75" s="44">
        <f>IF(ISNUMBER(D75), $B78 * E75, "")</f>
        <v>-31200</v>
      </c>
      <c r="G75" s="36">
        <v>111</v>
      </c>
      <c r="H75" s="5">
        <f t="shared" si="23"/>
        <v>-0.112</v>
      </c>
      <c r="I75" s="44">
        <f>IF(ISNUMBER(G75), $B78 * H75, "")</f>
        <v>-33600</v>
      </c>
      <c r="J75" s="36">
        <v>105</v>
      </c>
      <c r="K75" s="5">
        <f t="shared" si="24"/>
        <v>-0.16</v>
      </c>
      <c r="L75" s="44">
        <f>IF(ISNUMBER(J75), $B78 * K75, "")</f>
        <v>-48000</v>
      </c>
      <c r="M75" s="36">
        <v>108</v>
      </c>
      <c r="N75" s="5">
        <f t="shared" si="25"/>
        <v>-0.13600000000000001</v>
      </c>
      <c r="O75" s="44">
        <f>IF(ISNUMBER(M75), $B78 * N75, "")</f>
        <v>-40800</v>
      </c>
      <c r="Q75" s="229"/>
      <c r="R75" s="230"/>
    </row>
    <row r="76" spans="1:18" ht="17.25" customHeight="1">
      <c r="A76" s="11" t="s">
        <v>111</v>
      </c>
      <c r="B76" s="32">
        <v>605</v>
      </c>
      <c r="C76" s="5">
        <v>1.5100671099999999E-2</v>
      </c>
      <c r="D76" s="36">
        <v>540</v>
      </c>
      <c r="E76" s="5">
        <f t="shared" si="22"/>
        <v>-0.10743801652892562</v>
      </c>
      <c r="F76" s="44">
        <f>IF(ISNUMBER(D76), $B78 * E76, "")</f>
        <v>-32231.404958677685</v>
      </c>
      <c r="G76" s="36">
        <v>522</v>
      </c>
      <c r="H76" s="5">
        <f t="shared" si="23"/>
        <v>-0.13719008264462809</v>
      </c>
      <c r="I76" s="44">
        <f>IF(ISNUMBER(G76), $B78 * H76, "")</f>
        <v>-41157.024793388431</v>
      </c>
      <c r="J76" s="36">
        <v>499</v>
      </c>
      <c r="K76" s="5">
        <f t="shared" si="24"/>
        <v>-0.17520661157024794</v>
      </c>
      <c r="L76" s="44">
        <f>IF(ISNUMBER(J76), $B78 * K76, "")</f>
        <v>-52561.983471074382</v>
      </c>
      <c r="M76" s="36">
        <v>514</v>
      </c>
      <c r="N76" s="5">
        <f t="shared" si="25"/>
        <v>-0.15041322314049588</v>
      </c>
      <c r="O76" s="44">
        <f>IF(ISNUMBER(M76), $B78 * N76, "")</f>
        <v>-45123.966942148763</v>
      </c>
      <c r="Q76" s="231"/>
      <c r="R76" s="232"/>
    </row>
    <row r="77" spans="1:18" ht="17.25" customHeight="1" thickBot="1">
      <c r="A77" s="13" t="s">
        <v>118</v>
      </c>
      <c r="B77" s="34">
        <v>326</v>
      </c>
      <c r="C77" s="16">
        <v>6.1728395E-3</v>
      </c>
      <c r="D77" s="38">
        <v>305</v>
      </c>
      <c r="E77" s="16">
        <f t="shared" si="22"/>
        <v>-6.4417177914110432E-2</v>
      </c>
      <c r="F77" s="45">
        <f>IF(ISNUMBER(D77), $B78 * E77, "")</f>
        <v>-19325.15337423313</v>
      </c>
      <c r="G77" s="38">
        <v>301</v>
      </c>
      <c r="H77" s="16">
        <f t="shared" si="23"/>
        <v>-7.6687116564417179E-2</v>
      </c>
      <c r="I77" s="45">
        <f>IF(ISNUMBER(G77), $B78 * H77, "")</f>
        <v>-23006.134969325154</v>
      </c>
      <c r="J77" s="38">
        <v>287</v>
      </c>
      <c r="K77" s="16">
        <f t="shared" si="24"/>
        <v>-0.1196319018404908</v>
      </c>
      <c r="L77" s="45">
        <f>IF(ISNUMBER(J77), $B78 * K77, "")</f>
        <v>-35889.570552147241</v>
      </c>
      <c r="M77" s="38">
        <v>299</v>
      </c>
      <c r="N77" s="16">
        <f t="shared" si="25"/>
        <v>-8.2822085889570546E-2</v>
      </c>
      <c r="O77" s="45">
        <f>IF(ISNUMBER(M77), $B78 * N77, "")</f>
        <v>-24846.625766871162</v>
      </c>
      <c r="Q77" s="231"/>
      <c r="R77" s="232"/>
    </row>
    <row r="78" spans="1:18" ht="17.25" customHeight="1" thickBot="1">
      <c r="A78" s="57" t="s">
        <v>32</v>
      </c>
      <c r="B78" s="235">
        <v>300000</v>
      </c>
      <c r="C78" s="236"/>
      <c r="D78" s="57" t="s">
        <v>82</v>
      </c>
      <c r="E78" s="46">
        <f>IF(COUNT(E68:E77), SUM(E68:E77) / COUNT(E68:E77), 0)</f>
        <v>-9.736667744280586E-2</v>
      </c>
      <c r="F78" s="47">
        <f>SUM(F68:F77)</f>
        <v>-292100.03232841758</v>
      </c>
      <c r="G78" s="57" t="s">
        <v>82</v>
      </c>
      <c r="H78" s="46">
        <f>IF(COUNT(H68:H77), SUM(H68:H77) / COUNT(H68:H77), 0)</f>
        <v>-0.10641573917355265</v>
      </c>
      <c r="I78" s="47">
        <f>SUM(I68:I77)</f>
        <v>-319247.21752065799</v>
      </c>
      <c r="J78" s="57" t="s">
        <v>82</v>
      </c>
      <c r="K78" s="46">
        <f>IF(COUNT(K68:K77), SUM(K68:K77) / COUNT(K68:K77), 0)</f>
        <v>-0.15803418744610304</v>
      </c>
      <c r="L78" s="47">
        <f>SUM(L68:L77)</f>
        <v>-474102.56233830901</v>
      </c>
      <c r="M78" s="57" t="s">
        <v>82</v>
      </c>
      <c r="N78" s="46">
        <f>IF(COUNT(N68:N77), SUM(N68:N77) / COUNT(N68:N77), 0)</f>
        <v>-0.12839549366130057</v>
      </c>
      <c r="O78" s="47">
        <f>SUM(O68:O77)</f>
        <v>-385186.48098390177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65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67" t="s">
        <v>70</v>
      </c>
      <c r="M84" s="18" t="s">
        <v>67</v>
      </c>
      <c r="N84" s="4" t="s">
        <v>68</v>
      </c>
      <c r="O84" s="168" t="s">
        <v>70</v>
      </c>
      <c r="Q84" s="231"/>
      <c r="R84" s="232"/>
    </row>
    <row r="85" spans="1:18" ht="17.25" customHeight="1">
      <c r="A85" s="9" t="s">
        <v>142</v>
      </c>
      <c r="B85" s="31">
        <v>222</v>
      </c>
      <c r="C85" s="22">
        <v>4.5248869000000004E-3</v>
      </c>
      <c r="D85" s="89">
        <v>228</v>
      </c>
      <c r="E85" s="22">
        <f>IF(ISNUMBER(D85), (D85 - $B85) / $B85, "")</f>
        <v>2.7027027027027029E-2</v>
      </c>
      <c r="F85" s="43">
        <f>IF(ISNUMBER(D85), $B95 * E85, "")</f>
        <v>8108.1081081081084</v>
      </c>
      <c r="G85" s="89">
        <v>234</v>
      </c>
      <c r="H85" s="22">
        <f>IF(ISNUMBER(G85), (G85 - $B85) / $B85, "")</f>
        <v>5.4054054054054057E-2</v>
      </c>
      <c r="I85" s="43">
        <f>IF(ISNUMBER(G85), $B95 * H85, "")</f>
        <v>16216.216216216217</v>
      </c>
      <c r="J85" s="89">
        <v>226</v>
      </c>
      <c r="K85" s="22">
        <f>IF(ISNUMBER(J85), (J85 - $B85) / $B85, "")</f>
        <v>1.8018018018018018E-2</v>
      </c>
      <c r="L85" s="43">
        <f>IF(ISNUMBER(J85), $B95 * K85, "")</f>
        <v>5405.405405405405</v>
      </c>
      <c r="M85" s="89">
        <v>231</v>
      </c>
      <c r="N85" s="22">
        <f>IF(ISNUMBER(M85), (M85 - $B85) / $B85, "")</f>
        <v>4.0540540540540543E-2</v>
      </c>
      <c r="O85" s="43">
        <f>IF(ISNUMBER(M85), $B95 * N85, "")</f>
        <v>12162.162162162163</v>
      </c>
      <c r="Q85" s="229"/>
      <c r="R85" s="230"/>
    </row>
    <row r="86" spans="1:18" ht="17.25" customHeight="1">
      <c r="A86" s="11" t="s">
        <v>153</v>
      </c>
      <c r="B86" s="32">
        <v>236</v>
      </c>
      <c r="C86" s="5">
        <v>4.2553191000000001E-3</v>
      </c>
      <c r="D86" s="36">
        <v>219</v>
      </c>
      <c r="E86" s="5">
        <f t="shared" ref="E86:E94" si="26">IF(ISNUMBER(D86), (D86 - $B86) / $B86, "")</f>
        <v>-7.2033898305084748E-2</v>
      </c>
      <c r="F86" s="44">
        <f>IF(ISNUMBER(D86), $B95 * E86, "")</f>
        <v>-21610.169491525423</v>
      </c>
      <c r="G86" s="36">
        <v>216</v>
      </c>
      <c r="H86" s="5">
        <f t="shared" ref="H86:H94" si="27">IF(ISNUMBER(G86), (G86 - $B86) / $B86, "")</f>
        <v>-8.4745762711864403E-2</v>
      </c>
      <c r="I86" s="44">
        <f>IF(ISNUMBER(G86), $B95 * H86, "")</f>
        <v>-25423.728813559323</v>
      </c>
      <c r="J86" s="36">
        <v>198</v>
      </c>
      <c r="K86" s="5">
        <f t="shared" ref="K86:K94" si="28">IF(ISNUMBER(J86), (J86 - $B86) / $B86, "")</f>
        <v>-0.16101694915254236</v>
      </c>
      <c r="L86" s="44">
        <f>IF(ISNUMBER(J86), $B95 * K86, "")</f>
        <v>-48305.08474576271</v>
      </c>
      <c r="M86" s="36">
        <v>203</v>
      </c>
      <c r="N86" s="5">
        <f t="shared" ref="N86:N94" si="29">IF(ISNUMBER(M86), (M86 - $B86) / $B86, "")</f>
        <v>-0.13983050847457626</v>
      </c>
      <c r="O86" s="44">
        <f>IF(ISNUMBER(M86), $B95 * N86, "")</f>
        <v>-41949.152542372874</v>
      </c>
      <c r="Q86" s="229"/>
      <c r="R86" s="230"/>
    </row>
    <row r="87" spans="1:18" ht="17.25" customHeight="1">
      <c r="A87" s="11" t="s">
        <v>138</v>
      </c>
      <c r="B87" s="32">
        <v>241</v>
      </c>
      <c r="C87" s="5">
        <v>4.1666667000000001E-3</v>
      </c>
      <c r="D87" s="36">
        <v>215</v>
      </c>
      <c r="E87" s="5">
        <f t="shared" si="26"/>
        <v>-0.1078838174273859</v>
      </c>
      <c r="F87" s="44">
        <f>IF(ISNUMBER(D87), $B95 * E87, "")</f>
        <v>-32365.14522821577</v>
      </c>
      <c r="G87" s="36">
        <v>212</v>
      </c>
      <c r="H87" s="5">
        <f t="shared" si="27"/>
        <v>-0.12033195020746888</v>
      </c>
      <c r="I87" s="44">
        <f>IF(ISNUMBER(G87), $B95 * H87, "")</f>
        <v>-36099.585062240665</v>
      </c>
      <c r="J87" s="36">
        <v>205</v>
      </c>
      <c r="K87" s="5">
        <f t="shared" si="28"/>
        <v>-0.14937759336099585</v>
      </c>
      <c r="L87" s="44">
        <f>IF(ISNUMBER(J87), $B95 * K87, "")</f>
        <v>-44813.278008298752</v>
      </c>
      <c r="M87" s="36">
        <v>214</v>
      </c>
      <c r="N87" s="5">
        <f t="shared" si="29"/>
        <v>-0.11203319502074689</v>
      </c>
      <c r="O87" s="44">
        <f>IF(ISNUMBER(M87), $B95 * N87, "")</f>
        <v>-33609.958506224066</v>
      </c>
      <c r="Q87" s="229"/>
      <c r="R87" s="230"/>
    </row>
    <row r="88" spans="1:18" ht="17.25" customHeight="1">
      <c r="A88" s="11" t="s">
        <v>117</v>
      </c>
      <c r="B88" s="32">
        <v>219</v>
      </c>
      <c r="C88" s="5">
        <v>0</v>
      </c>
      <c r="D88" s="36">
        <v>193</v>
      </c>
      <c r="E88" s="5">
        <f t="shared" si="26"/>
        <v>-0.11872146118721461</v>
      </c>
      <c r="F88" s="44">
        <f>IF(ISNUMBER(D88), $B95 * E88, "")</f>
        <v>-35616.438356164384</v>
      </c>
      <c r="G88" s="36">
        <v>189</v>
      </c>
      <c r="H88" s="5">
        <f t="shared" si="27"/>
        <v>-0.13698630136986301</v>
      </c>
      <c r="I88" s="44">
        <f>IF(ISNUMBER(G88), $B95 * H88, "")</f>
        <v>-41095.890410958898</v>
      </c>
      <c r="J88" s="36">
        <v>179</v>
      </c>
      <c r="K88" s="5">
        <f t="shared" si="28"/>
        <v>-0.18264840182648401</v>
      </c>
      <c r="L88" s="44">
        <f>IF(ISNUMBER(J88), $B95 * K88, "")</f>
        <v>-54794.520547945205</v>
      </c>
      <c r="M88" s="36">
        <v>185</v>
      </c>
      <c r="N88" s="5">
        <f t="shared" si="29"/>
        <v>-0.15525114155251141</v>
      </c>
      <c r="O88" s="44">
        <f>IF(ISNUMBER(M88), $B95 * N88, "")</f>
        <v>-46575.34246575342</v>
      </c>
      <c r="Q88" s="229"/>
      <c r="R88" s="230"/>
    </row>
    <row r="89" spans="1:18" ht="17.25" customHeight="1">
      <c r="A89" s="8" t="s">
        <v>116</v>
      </c>
      <c r="B89" s="33">
        <v>307</v>
      </c>
      <c r="C89" s="24">
        <v>0</v>
      </c>
      <c r="D89" s="37">
        <v>272</v>
      </c>
      <c r="E89" s="24">
        <f t="shared" si="26"/>
        <v>-0.11400651465798045</v>
      </c>
      <c r="F89" s="44">
        <f>IF(ISNUMBER(D89), $B95 * E89, "")</f>
        <v>-34201.954397394133</v>
      </c>
      <c r="G89" s="37">
        <v>267</v>
      </c>
      <c r="H89" s="24">
        <f t="shared" si="27"/>
        <v>-0.13029315960912052</v>
      </c>
      <c r="I89" s="44">
        <f>IF(ISNUMBER(G89), $B95 * H89, "")</f>
        <v>-39087.94788273616</v>
      </c>
      <c r="J89" s="37">
        <v>255</v>
      </c>
      <c r="K89" s="24">
        <f t="shared" si="28"/>
        <v>-0.16938110749185667</v>
      </c>
      <c r="L89" s="44">
        <f>IF(ISNUMBER(J89), $B95 * K89, "")</f>
        <v>-50814.332247557002</v>
      </c>
      <c r="M89" s="37">
        <v>261</v>
      </c>
      <c r="N89" s="24">
        <f t="shared" si="29"/>
        <v>-0.14983713355048861</v>
      </c>
      <c r="O89" s="44">
        <f>IF(ISNUMBER(M89), $B95 * N89, "")</f>
        <v>-44951.140065146581</v>
      </c>
      <c r="Q89" s="229"/>
      <c r="R89" s="230"/>
    </row>
    <row r="90" spans="1:18" ht="17.25" customHeight="1">
      <c r="A90" s="11" t="s">
        <v>172</v>
      </c>
      <c r="B90" s="32">
        <v>780</v>
      </c>
      <c r="C90" s="5">
        <v>-1.2804097E-3</v>
      </c>
      <c r="D90" s="36">
        <v>667</v>
      </c>
      <c r="E90" s="5">
        <f t="shared" si="26"/>
        <v>-0.14487179487179488</v>
      </c>
      <c r="F90" s="48">
        <f>IF(ISNUMBER(D90), $B95 * E90, "")</f>
        <v>-43461.538461538468</v>
      </c>
      <c r="G90" s="36">
        <v>675</v>
      </c>
      <c r="H90" s="5">
        <f t="shared" si="27"/>
        <v>-0.13461538461538461</v>
      </c>
      <c r="I90" s="48">
        <f>IF(ISNUMBER(G90), $B95 * H90, "")</f>
        <v>-40384.615384615383</v>
      </c>
      <c r="J90" s="36">
        <v>633</v>
      </c>
      <c r="K90" s="5">
        <f t="shared" si="28"/>
        <v>-0.18846153846153846</v>
      </c>
      <c r="L90" s="48">
        <f>IF(ISNUMBER(J90), $B95 * K90, "")</f>
        <v>-56538.461538461539</v>
      </c>
      <c r="M90" s="36">
        <v>662</v>
      </c>
      <c r="N90" s="5">
        <f t="shared" si="29"/>
        <v>-0.15128205128205127</v>
      </c>
      <c r="O90" s="48">
        <f>IF(ISNUMBER(M90), $B95 * N90, "")</f>
        <v>-45384.615384615383</v>
      </c>
      <c r="Q90" s="229"/>
      <c r="R90" s="230"/>
    </row>
    <row r="91" spans="1:18" ht="17.25" customHeight="1">
      <c r="A91" s="11" t="s">
        <v>227</v>
      </c>
      <c r="B91" s="32">
        <v>233</v>
      </c>
      <c r="C91" s="5">
        <v>-4.2735042999999997E-3</v>
      </c>
      <c r="D91" s="36">
        <v>205</v>
      </c>
      <c r="E91" s="5">
        <f t="shared" si="26"/>
        <v>-0.12017167381974249</v>
      </c>
      <c r="F91" s="44">
        <f>IF(ISNUMBER(D91), $B95 * E91, "")</f>
        <v>-36051.50214592275</v>
      </c>
      <c r="G91" s="36">
        <v>204</v>
      </c>
      <c r="H91" s="5">
        <f t="shared" si="27"/>
        <v>-0.12446351931330472</v>
      </c>
      <c r="I91" s="44">
        <f>IF(ISNUMBER(G91), $B95 * H91, "")</f>
        <v>-37339.055793991414</v>
      </c>
      <c r="J91" s="36">
        <v>192</v>
      </c>
      <c r="K91" s="5">
        <f t="shared" si="28"/>
        <v>-0.17596566523605151</v>
      </c>
      <c r="L91" s="44">
        <f>IF(ISNUMBER(J91), $B95 * K91, "")</f>
        <v>-52789.69957081545</v>
      </c>
      <c r="M91" s="36">
        <v>202</v>
      </c>
      <c r="N91" s="5">
        <f t="shared" si="29"/>
        <v>-0.13304721030042918</v>
      </c>
      <c r="O91" s="44">
        <f>IF(ISNUMBER(M91), $B95 * N91, "")</f>
        <v>-39914.163090128757</v>
      </c>
      <c r="Q91" s="229"/>
      <c r="R91" s="230"/>
    </row>
    <row r="92" spans="1:18" ht="17.25" customHeight="1">
      <c r="A92" s="11" t="s">
        <v>166</v>
      </c>
      <c r="B92" s="32">
        <v>660</v>
      </c>
      <c r="C92" s="5">
        <v>-9.0090090000000001E-3</v>
      </c>
      <c r="D92" s="36">
        <v>591</v>
      </c>
      <c r="E92" s="5">
        <f t="shared" si="26"/>
        <v>-0.10454545454545454</v>
      </c>
      <c r="F92" s="44">
        <f>IF(ISNUMBER(D92), $B95 * E92, "")</f>
        <v>-31363.63636363636</v>
      </c>
      <c r="G92" s="36">
        <v>585</v>
      </c>
      <c r="H92" s="5">
        <f t="shared" si="27"/>
        <v>-0.11363636363636363</v>
      </c>
      <c r="I92" s="44">
        <f>IF(ISNUMBER(G92), $B95 * H92, "")</f>
        <v>-34090.909090909088</v>
      </c>
      <c r="J92" s="36">
        <v>546</v>
      </c>
      <c r="K92" s="5">
        <f t="shared" si="28"/>
        <v>-0.17272727272727273</v>
      </c>
      <c r="L92" s="44">
        <f>IF(ISNUMBER(J92), $B95 * K92, "")</f>
        <v>-51818.181818181816</v>
      </c>
      <c r="M92" s="36">
        <v>576</v>
      </c>
      <c r="N92" s="5">
        <f t="shared" si="29"/>
        <v>-0.12727272727272726</v>
      </c>
      <c r="O92" s="44">
        <f>IF(ISNUMBER(M92), $B95 * N92, "")</f>
        <v>-38181.818181818177</v>
      </c>
      <c r="Q92" s="229"/>
      <c r="R92" s="230"/>
    </row>
    <row r="93" spans="1:18" ht="17.25" customHeight="1">
      <c r="A93" s="11" t="s">
        <v>128</v>
      </c>
      <c r="B93" s="32">
        <v>101</v>
      </c>
      <c r="C93" s="5">
        <v>-9.8039215999999995E-3</v>
      </c>
      <c r="D93" s="36">
        <v>94.4</v>
      </c>
      <c r="E93" s="5">
        <f t="shared" si="26"/>
        <v>-6.5346534653465294E-2</v>
      </c>
      <c r="F93" s="44">
        <f>IF(ISNUMBER(D93), $B95 * E93, "")</f>
        <v>-19603.960396039587</v>
      </c>
      <c r="G93" s="36">
        <v>90.7</v>
      </c>
      <c r="H93" s="5">
        <f t="shared" si="27"/>
        <v>-0.10198019801980195</v>
      </c>
      <c r="I93" s="44">
        <f>IF(ISNUMBER(G93), $B95 * H93, "")</f>
        <v>-30594.059405940585</v>
      </c>
      <c r="J93" s="36">
        <v>90.2</v>
      </c>
      <c r="K93" s="5">
        <f t="shared" si="28"/>
        <v>-0.1069306930693069</v>
      </c>
      <c r="L93" s="44">
        <f>IF(ISNUMBER(J93), $B95 * K93, "")</f>
        <v>-32079.207920792069</v>
      </c>
      <c r="M93" s="36">
        <v>90.5</v>
      </c>
      <c r="N93" s="5">
        <f t="shared" si="29"/>
        <v>-0.10396039603960396</v>
      </c>
      <c r="O93" s="44">
        <f>IF(ISNUMBER(M93), $B95 * N93, "")</f>
        <v>-31188.118811881188</v>
      </c>
      <c r="Q93" s="231"/>
      <c r="R93" s="232"/>
    </row>
    <row r="94" spans="1:18" ht="17.25" customHeight="1" thickBot="1">
      <c r="A94" s="13" t="s">
        <v>137</v>
      </c>
      <c r="B94" s="34">
        <v>457</v>
      </c>
      <c r="C94" s="16">
        <v>-1.0822510800000001E-2</v>
      </c>
      <c r="D94" s="38">
        <v>417</v>
      </c>
      <c r="E94" s="16">
        <f t="shared" si="26"/>
        <v>-8.7527352297592995E-2</v>
      </c>
      <c r="F94" s="45">
        <f>IF(ISNUMBER(D94), $B95 * E94, "")</f>
        <v>-26258.2056892779</v>
      </c>
      <c r="G94" s="38">
        <v>408</v>
      </c>
      <c r="H94" s="16">
        <f t="shared" si="27"/>
        <v>-0.10722100656455143</v>
      </c>
      <c r="I94" s="45">
        <f>IF(ISNUMBER(G94), $B95 * H94, "")</f>
        <v>-32166.301969365428</v>
      </c>
      <c r="J94" s="38">
        <v>387</v>
      </c>
      <c r="K94" s="16">
        <f t="shared" si="28"/>
        <v>-0.15317286652078774</v>
      </c>
      <c r="L94" s="45">
        <f>IF(ISNUMBER(J94), $B95 * K94, "")</f>
        <v>-45951.859956236323</v>
      </c>
      <c r="M94" s="38">
        <v>405</v>
      </c>
      <c r="N94" s="16">
        <f t="shared" si="29"/>
        <v>-0.1137855579868709</v>
      </c>
      <c r="O94" s="45">
        <f>IF(ISNUMBER(M94), $B95 * N94, "")</f>
        <v>-34135.667396061268</v>
      </c>
      <c r="Q94" s="231"/>
      <c r="R94" s="232"/>
    </row>
    <row r="95" spans="1:18" ht="17.25" customHeight="1" thickBot="1">
      <c r="A95" s="57" t="s">
        <v>32</v>
      </c>
      <c r="B95" s="235">
        <v>300000</v>
      </c>
      <c r="C95" s="236"/>
      <c r="D95" s="57" t="s">
        <v>82</v>
      </c>
      <c r="E95" s="46">
        <f>IF(COUNT(E85:E94), SUM(E85:E94) / COUNT(E85:E94), 0)</f>
        <v>-9.080814747386888E-2</v>
      </c>
      <c r="F95" s="47">
        <f>SUM(F85:F94)</f>
        <v>-272424.44242160668</v>
      </c>
      <c r="G95" s="57" t="s">
        <v>82</v>
      </c>
      <c r="H95" s="46">
        <f>IF(COUNT(H85:H94), SUM(H85:H94) / COUNT(H85:H94), 0)</f>
        <v>-0.10002195919936692</v>
      </c>
      <c r="I95" s="47">
        <f>SUM(I85:I94)</f>
        <v>-300065.87759810069</v>
      </c>
      <c r="J95" s="57" t="s">
        <v>82</v>
      </c>
      <c r="K95" s="46">
        <f>IF(COUNT(K85:K94), SUM(K85:K94) / COUNT(K85:K94), 0)</f>
        <v>-0.1441664069828818</v>
      </c>
      <c r="L95" s="47">
        <f>SUM(L85:L94)</f>
        <v>-432499.22094864544</v>
      </c>
      <c r="M95" s="57" t="s">
        <v>82</v>
      </c>
      <c r="N95" s="46">
        <f>IF(COUNT(N85:N94), SUM(N85:N94) / COUNT(N85:N94), 0)</f>
        <v>-0.11457593809394655</v>
      </c>
      <c r="O95" s="47">
        <f>SUM(O85:O94)</f>
        <v>-343727.81428183953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65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67" t="s">
        <v>70</v>
      </c>
      <c r="M101" s="18" t="s">
        <v>67</v>
      </c>
      <c r="N101" s="4" t="s">
        <v>68</v>
      </c>
      <c r="O101" s="168" t="s">
        <v>70</v>
      </c>
      <c r="Q101" s="231"/>
      <c r="R101" s="232"/>
    </row>
    <row r="102" spans="1:18" ht="17.25" customHeight="1">
      <c r="A102" s="9" t="s">
        <v>95</v>
      </c>
      <c r="B102" s="31">
        <v>39.5</v>
      </c>
      <c r="C102" s="22">
        <v>0.36678200690000001</v>
      </c>
      <c r="D102" s="89">
        <v>38.700000000000003</v>
      </c>
      <c r="E102" s="22">
        <f>IF(ISNUMBER(D102), (D102 - $B102) / $B102, "")</f>
        <v>-2.0253164556961953E-2</v>
      </c>
      <c r="F102" s="43">
        <f>IF(ISNUMBER(D102), $B112 * E102, "")</f>
        <v>-6075.9493670885859</v>
      </c>
      <c r="G102" s="89">
        <v>38.200000000000003</v>
      </c>
      <c r="H102" s="22">
        <f>IF(ISNUMBER(G102), (G102 - $B102) / $B102, "")</f>
        <v>-3.2911392405063217E-2</v>
      </c>
      <c r="I102" s="43">
        <f>IF(ISNUMBER(G102), $B112 * H102, "")</f>
        <v>-9873.4177215189648</v>
      </c>
      <c r="J102" s="89">
        <v>36.4</v>
      </c>
      <c r="K102" s="22">
        <f>IF(ISNUMBER(J102), (J102 - $B102) / $B102, "")</f>
        <v>-7.8481012658227878E-2</v>
      </c>
      <c r="L102" s="43">
        <f>IF(ISNUMBER(J102), $B112 * K102, "")</f>
        <v>-23544.303797468365</v>
      </c>
      <c r="M102" s="89">
        <v>38</v>
      </c>
      <c r="N102" s="22">
        <f>IF(ISNUMBER(M102), (M102 - $B102) / $B102, "")</f>
        <v>-3.7974683544303799E-2</v>
      </c>
      <c r="O102" s="43">
        <f>IF(ISNUMBER(M102), $B112 * N102, "")</f>
        <v>-11392.40506329114</v>
      </c>
      <c r="Q102" s="229"/>
      <c r="R102" s="230"/>
    </row>
    <row r="103" spans="1:18" ht="17.25" customHeight="1">
      <c r="A103" s="11" t="s">
        <v>143</v>
      </c>
      <c r="B103" s="32">
        <v>11.7</v>
      </c>
      <c r="C103" s="5">
        <v>0.1711711712</v>
      </c>
      <c r="D103" s="36">
        <v>10.6</v>
      </c>
      <c r="E103" s="5">
        <f t="shared" ref="E103:E111" si="30">IF(ISNUMBER(D103), (D103 - $B103) / $B103, "")</f>
        <v>-9.4017094017093988E-2</v>
      </c>
      <c r="F103" s="44">
        <f>IF(ISNUMBER(D103), $B112 * E103, "")</f>
        <v>-28205.128205128196</v>
      </c>
      <c r="G103" s="36">
        <v>10.4</v>
      </c>
      <c r="H103" s="5">
        <f t="shared" ref="H103:H111" si="31">IF(ISNUMBER(G103), (G103 - $B103) / $B103, "")</f>
        <v>-0.11111111111111102</v>
      </c>
      <c r="I103" s="44">
        <f>IF(ISNUMBER(G103), $B112 * H103, "")</f>
        <v>-33333.333333333307</v>
      </c>
      <c r="J103" s="36">
        <v>10.1</v>
      </c>
      <c r="K103" s="5">
        <f t="shared" ref="K103:K111" si="32">IF(ISNUMBER(J103), (J103 - $B103) / $B103, "")</f>
        <v>-0.13675213675213674</v>
      </c>
      <c r="L103" s="44">
        <f>IF(ISNUMBER(J103), $B112 * K103, "")</f>
        <v>-41025.641025641024</v>
      </c>
      <c r="M103" s="36">
        <v>10.4</v>
      </c>
      <c r="N103" s="5">
        <f t="shared" ref="N103:N111" si="33">IF(ISNUMBER(M103), (M103 - $B103) / $B103, "")</f>
        <v>-0.11111111111111102</v>
      </c>
      <c r="O103" s="44">
        <f>IF(ISNUMBER(M103), $B112 * N103, "")</f>
        <v>-33333.333333333307</v>
      </c>
      <c r="Q103" s="229"/>
      <c r="R103" s="230"/>
    </row>
    <row r="104" spans="1:18" ht="17.25" customHeight="1">
      <c r="A104" s="11" t="s">
        <v>119</v>
      </c>
      <c r="B104" s="32">
        <v>26.6</v>
      </c>
      <c r="C104" s="5">
        <v>0.13675213680000001</v>
      </c>
      <c r="D104" s="36">
        <v>30.5</v>
      </c>
      <c r="E104" s="5">
        <f t="shared" si="30"/>
        <v>0.14661654135338339</v>
      </c>
      <c r="F104" s="44">
        <f>IF(ISNUMBER(D104), $B112 * E104, "")</f>
        <v>43984.962406015016</v>
      </c>
      <c r="G104" s="36">
        <v>30.1</v>
      </c>
      <c r="H104" s="5">
        <f t="shared" si="31"/>
        <v>0.13157894736842105</v>
      </c>
      <c r="I104" s="44">
        <f>IF(ISNUMBER(G104), $B112 * H104, "")</f>
        <v>39473.684210526313</v>
      </c>
      <c r="J104" s="36">
        <v>27.9</v>
      </c>
      <c r="K104" s="5">
        <f t="shared" si="32"/>
        <v>4.8872180451127713E-2</v>
      </c>
      <c r="L104" s="44">
        <f>IF(ISNUMBER(J104), $B112 * K104, "")</f>
        <v>14661.654135338315</v>
      </c>
      <c r="M104" s="36">
        <v>28.6</v>
      </c>
      <c r="N104" s="5">
        <f t="shared" si="33"/>
        <v>7.5187969924812026E-2</v>
      </c>
      <c r="O104" s="44">
        <f>IF(ISNUMBER(M104), $B112 * N104, "")</f>
        <v>22556.390977443607</v>
      </c>
      <c r="Q104" s="229"/>
      <c r="R104" s="230"/>
    </row>
    <row r="105" spans="1:18" ht="17.25" customHeight="1">
      <c r="A105" s="11" t="s">
        <v>163</v>
      </c>
      <c r="B105" s="32">
        <v>62.8</v>
      </c>
      <c r="C105" s="5">
        <v>0.12544802869999999</v>
      </c>
      <c r="D105" s="36">
        <v>57.5</v>
      </c>
      <c r="E105" s="5">
        <f t="shared" si="30"/>
        <v>-8.439490445859868E-2</v>
      </c>
      <c r="F105" s="44">
        <f>IF(ISNUMBER(D105), $B112 * E105, "")</f>
        <v>-25318.471337579605</v>
      </c>
      <c r="G105" s="36">
        <v>58</v>
      </c>
      <c r="H105" s="5">
        <f t="shared" si="31"/>
        <v>-7.6433121019108236E-2</v>
      </c>
      <c r="I105" s="44">
        <f>IF(ISNUMBER(G105), $B112 * H105, "")</f>
        <v>-22929.93630573247</v>
      </c>
      <c r="J105" s="36">
        <v>53.9</v>
      </c>
      <c r="K105" s="5">
        <f t="shared" si="32"/>
        <v>-0.14171974522292993</v>
      </c>
      <c r="L105" s="44">
        <f>IF(ISNUMBER(J105), $B112 * K105, "")</f>
        <v>-42515.923566878977</v>
      </c>
      <c r="M105" s="36">
        <v>56.4</v>
      </c>
      <c r="N105" s="5">
        <f t="shared" si="33"/>
        <v>-0.10191082802547768</v>
      </c>
      <c r="O105" s="44">
        <f>IF(ISNUMBER(M105), $B112 * N105, "")</f>
        <v>-30573.248407643307</v>
      </c>
      <c r="Q105" s="229"/>
      <c r="R105" s="230"/>
    </row>
    <row r="106" spans="1:18" ht="17.25" customHeight="1">
      <c r="A106" s="8" t="s">
        <v>148</v>
      </c>
      <c r="B106" s="33">
        <v>104</v>
      </c>
      <c r="C106" s="24">
        <v>0.1170784103</v>
      </c>
      <c r="D106" s="37">
        <v>103</v>
      </c>
      <c r="E106" s="24">
        <f t="shared" si="30"/>
        <v>-9.6153846153846159E-3</v>
      </c>
      <c r="F106" s="44">
        <f>IF(ISNUMBER(D106), $B112 * E106, "")</f>
        <v>-2884.6153846153848</v>
      </c>
      <c r="G106" s="37">
        <v>101</v>
      </c>
      <c r="H106" s="24">
        <f t="shared" si="31"/>
        <v>-2.8846153846153848E-2</v>
      </c>
      <c r="I106" s="44">
        <f>IF(ISNUMBER(G106), $B112 * H106, "")</f>
        <v>-8653.8461538461543</v>
      </c>
      <c r="J106" s="37">
        <v>91.8</v>
      </c>
      <c r="K106" s="24">
        <f t="shared" si="32"/>
        <v>-0.11730769230769234</v>
      </c>
      <c r="L106" s="44">
        <f>IF(ISNUMBER(J106), $B112 * K106, "")</f>
        <v>-35192.307692307702</v>
      </c>
      <c r="M106" s="37">
        <v>94.8</v>
      </c>
      <c r="N106" s="24">
        <f t="shared" si="33"/>
        <v>-8.8461538461538494E-2</v>
      </c>
      <c r="O106" s="44">
        <f>IF(ISNUMBER(M106), $B112 * N106, "")</f>
        <v>-26538.46153846155</v>
      </c>
      <c r="Q106" s="229"/>
      <c r="R106" s="230"/>
    </row>
    <row r="107" spans="1:18" ht="17.25" customHeight="1">
      <c r="A107" s="11" t="s">
        <v>139</v>
      </c>
      <c r="B107" s="32">
        <v>1880</v>
      </c>
      <c r="C107" s="5">
        <v>0.11242603549999999</v>
      </c>
      <c r="D107" s="36">
        <v>1700</v>
      </c>
      <c r="E107" s="5">
        <f t="shared" si="30"/>
        <v>-9.5744680851063829E-2</v>
      </c>
      <c r="F107" s="48">
        <f>IF(ISNUMBER(D107), $B112 * E107, "")</f>
        <v>-28723.40425531915</v>
      </c>
      <c r="G107" s="36">
        <v>1665</v>
      </c>
      <c r="H107" s="5">
        <f t="shared" si="31"/>
        <v>-0.11436170212765957</v>
      </c>
      <c r="I107" s="48">
        <f>IF(ISNUMBER(G107), $B112 * H107, "")</f>
        <v>-34308.51063829787</v>
      </c>
      <c r="J107" s="36">
        <v>1560</v>
      </c>
      <c r="K107" s="5">
        <f t="shared" si="32"/>
        <v>-0.1702127659574468</v>
      </c>
      <c r="L107" s="48">
        <f>IF(ISNUMBER(J107), $B112 * K107, "")</f>
        <v>-51063.829787234041</v>
      </c>
      <c r="M107" s="36">
        <v>1645</v>
      </c>
      <c r="N107" s="5">
        <f t="shared" si="33"/>
        <v>-0.125</v>
      </c>
      <c r="O107" s="48">
        <f>IF(ISNUMBER(M107), $B112 * N107, "")</f>
        <v>-37500</v>
      </c>
      <c r="Q107" s="229"/>
      <c r="R107" s="230"/>
    </row>
    <row r="108" spans="1:18" ht="17.25" customHeight="1">
      <c r="A108" s="11" t="s">
        <v>135</v>
      </c>
      <c r="B108" s="32">
        <v>31</v>
      </c>
      <c r="C108" s="5">
        <v>9.15492958E-2</v>
      </c>
      <c r="D108" s="36">
        <v>28.5</v>
      </c>
      <c r="E108" s="5">
        <f t="shared" si="30"/>
        <v>-8.0645161290322578E-2</v>
      </c>
      <c r="F108" s="44">
        <f>IF(ISNUMBER(D108), $B112 * E108, "")</f>
        <v>-24193.548387096773</v>
      </c>
      <c r="G108" s="36">
        <v>28.7</v>
      </c>
      <c r="H108" s="5">
        <f t="shared" si="31"/>
        <v>-7.4193548387096797E-2</v>
      </c>
      <c r="I108" s="44">
        <f>IF(ISNUMBER(G108), $B112 * H108, "")</f>
        <v>-22258.064516129038</v>
      </c>
      <c r="J108" s="36">
        <v>27.3</v>
      </c>
      <c r="K108" s="5">
        <f t="shared" si="32"/>
        <v>-0.11935483870967739</v>
      </c>
      <c r="L108" s="44">
        <f>IF(ISNUMBER(J108), $B112 * K108, "")</f>
        <v>-35806.45161290322</v>
      </c>
      <c r="M108" s="36">
        <v>28.2</v>
      </c>
      <c r="N108" s="5">
        <f t="shared" si="33"/>
        <v>-9.0322580645161313E-2</v>
      </c>
      <c r="O108" s="44">
        <f>IF(ISNUMBER(M108), $B112 * N108, "")</f>
        <v>-27096.774193548394</v>
      </c>
      <c r="Q108" s="229"/>
      <c r="R108" s="230"/>
    </row>
    <row r="109" spans="1:18" ht="17.25" customHeight="1">
      <c r="A109" s="11" t="s">
        <v>212</v>
      </c>
      <c r="B109" s="32">
        <v>53300</v>
      </c>
      <c r="C109" s="5">
        <v>8.5318672400000004E-2</v>
      </c>
      <c r="D109" s="36">
        <v>48160</v>
      </c>
      <c r="E109" s="5">
        <f t="shared" si="30"/>
        <v>-9.6435272045028136E-2</v>
      </c>
      <c r="F109" s="44">
        <f>IF(ISNUMBER(D109), $B112 * E109, "")</f>
        <v>-28930.581613508442</v>
      </c>
      <c r="G109" s="36">
        <v>47180</v>
      </c>
      <c r="H109" s="5">
        <f t="shared" si="31"/>
        <v>-0.11482176360225141</v>
      </c>
      <c r="I109" s="44">
        <f>IF(ISNUMBER(G109), $B112 * H109, "")</f>
        <v>-34446.52908067542</v>
      </c>
      <c r="J109" s="36">
        <v>44670</v>
      </c>
      <c r="K109" s="5">
        <f t="shared" si="32"/>
        <v>-0.16191369606003753</v>
      </c>
      <c r="L109" s="44">
        <f>IF(ISNUMBER(J109), $B112 * K109, "")</f>
        <v>-48574.108818011257</v>
      </c>
      <c r="M109" s="36">
        <v>46420</v>
      </c>
      <c r="N109" s="5">
        <f t="shared" si="33"/>
        <v>-0.12908067542213883</v>
      </c>
      <c r="O109" s="44">
        <f>IF(ISNUMBER(M109), $B112 * N109, "")</f>
        <v>-38724.202626641651</v>
      </c>
      <c r="Q109" s="229"/>
      <c r="R109" s="230"/>
    </row>
    <row r="110" spans="1:18" ht="17.25" customHeight="1">
      <c r="A110" s="11" t="s">
        <v>145</v>
      </c>
      <c r="B110" s="32">
        <v>51.2</v>
      </c>
      <c r="C110" s="5">
        <v>7.1129707099999995E-2</v>
      </c>
      <c r="D110" s="36">
        <v>44.9</v>
      </c>
      <c r="E110" s="5">
        <f t="shared" si="30"/>
        <v>-0.12304687500000008</v>
      </c>
      <c r="F110" s="44">
        <f>IF(ISNUMBER(D110), $B112 * E110, "")</f>
        <v>-36914.062500000022</v>
      </c>
      <c r="G110" s="36">
        <v>44.6</v>
      </c>
      <c r="H110" s="5">
        <f t="shared" si="31"/>
        <v>-0.12890625000000003</v>
      </c>
      <c r="I110" s="44">
        <f>IF(ISNUMBER(G110), $B112 * H110, "")</f>
        <v>-38671.875000000007</v>
      </c>
      <c r="J110" s="36">
        <v>42.2</v>
      </c>
      <c r="K110" s="5">
        <f t="shared" si="32"/>
        <v>-0.17578125</v>
      </c>
      <c r="L110" s="44">
        <f>IF(ISNUMBER(J110), $B112 * K110, "")</f>
        <v>-52734.375</v>
      </c>
      <c r="M110" s="36">
        <v>44</v>
      </c>
      <c r="N110" s="5">
        <f t="shared" si="33"/>
        <v>-0.14062500000000006</v>
      </c>
      <c r="O110" s="44">
        <f>IF(ISNUMBER(M110), $B112 * N110, "")</f>
        <v>-42187.500000000015</v>
      </c>
      <c r="Q110" s="231"/>
      <c r="R110" s="232"/>
    </row>
    <row r="111" spans="1:18" ht="17.25" customHeight="1" thickBot="1">
      <c r="A111" s="13" t="s">
        <v>234</v>
      </c>
      <c r="B111" s="34">
        <v>3570</v>
      </c>
      <c r="C111" s="16">
        <v>5.6213017800000001E-2</v>
      </c>
      <c r="D111" s="38">
        <v>2990</v>
      </c>
      <c r="E111" s="16">
        <f t="shared" si="30"/>
        <v>-0.16246498599439776</v>
      </c>
      <c r="F111" s="45">
        <f>IF(ISNUMBER(D111), $B112 * E111, "")</f>
        <v>-48739.495798319331</v>
      </c>
      <c r="G111" s="38">
        <v>3020</v>
      </c>
      <c r="H111" s="16">
        <f t="shared" si="31"/>
        <v>-0.15406162464985995</v>
      </c>
      <c r="I111" s="45">
        <f>IF(ISNUMBER(G111), $B112 * H111, "")</f>
        <v>-46218.487394957985</v>
      </c>
      <c r="J111" s="38">
        <v>2885</v>
      </c>
      <c r="K111" s="16">
        <f t="shared" si="32"/>
        <v>-0.19187675070028012</v>
      </c>
      <c r="L111" s="45">
        <f>IF(ISNUMBER(J111), $B112 * K111, "")</f>
        <v>-57563.025210084037</v>
      </c>
      <c r="M111" s="38">
        <v>3020</v>
      </c>
      <c r="N111" s="16">
        <f t="shared" si="33"/>
        <v>-0.15406162464985995</v>
      </c>
      <c r="O111" s="45">
        <f>IF(ISNUMBER(M111), $B112 * N111, "")</f>
        <v>-46218.487394957985</v>
      </c>
      <c r="Q111" s="231"/>
      <c r="R111" s="232"/>
    </row>
    <row r="112" spans="1:18" ht="17.25" customHeight="1" thickBot="1">
      <c r="A112" s="57" t="s">
        <v>32</v>
      </c>
      <c r="B112" s="235">
        <v>300000</v>
      </c>
      <c r="C112" s="236"/>
      <c r="D112" s="57" t="s">
        <v>82</v>
      </c>
      <c r="E112" s="46">
        <f>IF(COUNT(E102:E111), SUM(E102:E111) / COUNT(E102:E111), 0)</f>
        <v>-6.2000098147546825E-2</v>
      </c>
      <c r="F112" s="47">
        <f>SUM(F102:F111)</f>
        <v>-186000.2944426405</v>
      </c>
      <c r="G112" s="57" t="s">
        <v>82</v>
      </c>
      <c r="H112" s="46">
        <f>IF(COUNT(H102:H111), SUM(H102:H111) / COUNT(H102:H111), 0)</f>
        <v>-7.0406771977988308E-2</v>
      </c>
      <c r="I112" s="47">
        <f>SUM(I102:I111)</f>
        <v>-211220.31593396488</v>
      </c>
      <c r="J112" s="57" t="s">
        <v>82</v>
      </c>
      <c r="K112" s="46">
        <f>IF(COUNT(K102:K111), SUM(K102:K111) / COUNT(K102:K111), 0)</f>
        <v>-0.12445277079173012</v>
      </c>
      <c r="L112" s="47">
        <f>SUM(L102:L111)</f>
        <v>-373358.31237519032</v>
      </c>
      <c r="M112" s="57" t="s">
        <v>82</v>
      </c>
      <c r="N112" s="46">
        <f>IF(COUNT(N102:N111), SUM(N102:N111) / COUNT(N102:N111), 0)</f>
        <v>-9.033600719347791E-2</v>
      </c>
      <c r="O112" s="47">
        <f>SUM(O102:O111)</f>
        <v>-271008.02158043371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301" priority="97">
      <formula>$E$27&gt;0</formula>
    </cfRule>
    <cfRule type="expression" dxfId="300" priority="98">
      <formula>$E$27&lt;0</formula>
    </cfRule>
  </conditionalFormatting>
  <conditionalFormatting sqref="G15:I16 H27:I27">
    <cfRule type="expression" dxfId="299" priority="95">
      <formula>$H$27&gt;0</formula>
    </cfRule>
    <cfRule type="expression" dxfId="298" priority="96">
      <formula>$H$27&lt;0</formula>
    </cfRule>
  </conditionalFormatting>
  <conditionalFormatting sqref="J15:L16 K27:L27">
    <cfRule type="expression" dxfId="297" priority="93">
      <formula>$K$27&gt;0</formula>
    </cfRule>
    <cfRule type="expression" dxfId="296" priority="94">
      <formula>$K$27&lt;0</formula>
    </cfRule>
  </conditionalFormatting>
  <conditionalFormatting sqref="M15:O16 N27:O27">
    <cfRule type="expression" dxfId="295" priority="91">
      <formula>$N$27&gt;0</formula>
    </cfRule>
    <cfRule type="expression" dxfId="294" priority="92">
      <formula>$N$27&lt;0</formula>
    </cfRule>
  </conditionalFormatting>
  <conditionalFormatting sqref="A34:O43 A17:O25 B26:O26">
    <cfRule type="expression" dxfId="293" priority="99">
      <formula>AND($N17 &gt; 0, ISNUMBER($N17))</formula>
    </cfRule>
    <cfRule type="expression" dxfId="292" priority="100">
      <formula>AND($N17 &lt; 0, ISNUMBER($N17))</formula>
    </cfRule>
    <cfRule type="expression" dxfId="291" priority="101">
      <formula>AND($K17 &gt; 0, ISNUMBER($K17))</formula>
    </cfRule>
    <cfRule type="expression" dxfId="290" priority="102">
      <formula>AND($K17 &lt; 0, ISNUMBER($K17))</formula>
    </cfRule>
    <cfRule type="expression" dxfId="289" priority="103">
      <formula>AND($H17 &gt; 0, ISNUMBER($H17))</formula>
    </cfRule>
    <cfRule type="expression" dxfId="288" priority="104">
      <formula>AND($H17 &lt; 0, ISNUMBER($H17))</formula>
    </cfRule>
    <cfRule type="expression" dxfId="287" priority="105">
      <formula>AND($E17 &gt; 0, ISNUMBER($E17))</formula>
    </cfRule>
    <cfRule type="expression" dxfId="286" priority="106">
      <formula>AND($E17 &lt; 0, ISNUMBER($E17))</formula>
    </cfRule>
  </conditionalFormatting>
  <conditionalFormatting sqref="D32:F33 E44:F44">
    <cfRule type="expression" dxfId="285" priority="89">
      <formula>$E$44&gt;0</formula>
    </cfRule>
    <cfRule type="expression" dxfId="284" priority="90">
      <formula>$E$44&lt;0</formula>
    </cfRule>
  </conditionalFormatting>
  <conditionalFormatting sqref="G32:I33 H44:I44">
    <cfRule type="expression" dxfId="283" priority="87">
      <formula>$H$44&gt;0</formula>
    </cfRule>
    <cfRule type="expression" dxfId="282" priority="88">
      <formula>$H$44&lt;0</formula>
    </cfRule>
  </conditionalFormatting>
  <conditionalFormatting sqref="J32:L33 K44:L44">
    <cfRule type="expression" dxfId="281" priority="85">
      <formula>$K$44&gt;0</formula>
    </cfRule>
    <cfRule type="expression" dxfId="280" priority="86">
      <formula>$K$44&lt;0</formula>
    </cfRule>
  </conditionalFormatting>
  <conditionalFormatting sqref="M32:O33 N44:O44">
    <cfRule type="expression" dxfId="279" priority="83">
      <formula>$N$44&gt;0</formula>
    </cfRule>
    <cfRule type="expression" dxfId="278" priority="84">
      <formula>$N$44&lt;0</formula>
    </cfRule>
  </conditionalFormatting>
  <conditionalFormatting sqref="A51:O60">
    <cfRule type="expression" dxfId="277" priority="75">
      <formula>AND($N51 &gt; 0, ISNUMBER($N51))</formula>
    </cfRule>
    <cfRule type="expression" dxfId="276" priority="76">
      <formula>AND($N51 &lt; 0, ISNUMBER($N51))</formula>
    </cfRule>
    <cfRule type="expression" dxfId="275" priority="77">
      <formula>AND($K51 &gt; 0, ISNUMBER($K51))</formula>
    </cfRule>
    <cfRule type="expression" dxfId="274" priority="78">
      <formula>AND($K51 &lt; 0, ISNUMBER($K51))</formula>
    </cfRule>
    <cfRule type="expression" dxfId="273" priority="79">
      <formula>AND($H51 &gt; 0, ISNUMBER($H51))</formula>
    </cfRule>
    <cfRule type="expression" dxfId="272" priority="80">
      <formula>AND($H51 &lt; 0, ISNUMBER($H51))</formula>
    </cfRule>
    <cfRule type="expression" dxfId="271" priority="81">
      <formula>AND($E51 &gt; 0, ISNUMBER($E51))</formula>
    </cfRule>
    <cfRule type="expression" dxfId="270" priority="82">
      <formula>AND($E51 &lt; 0, ISNUMBER($E51))</formula>
    </cfRule>
  </conditionalFormatting>
  <conditionalFormatting sqref="D49:F50 E61:F61">
    <cfRule type="expression" dxfId="269" priority="73">
      <formula>$E$61&gt;0</formula>
    </cfRule>
    <cfRule type="expression" dxfId="268" priority="74">
      <formula>$E$61&lt;0</formula>
    </cfRule>
  </conditionalFormatting>
  <conditionalFormatting sqref="G49:I50 H61:I61">
    <cfRule type="expression" dxfId="267" priority="71">
      <formula>$H$61&gt;0</formula>
    </cfRule>
    <cfRule type="expression" dxfId="266" priority="72">
      <formula>$H$61&lt;0</formula>
    </cfRule>
  </conditionalFormatting>
  <conditionalFormatting sqref="J49:L50 K61:L61">
    <cfRule type="expression" dxfId="265" priority="69">
      <formula>$K$61&gt;0</formula>
    </cfRule>
    <cfRule type="expression" dxfId="264" priority="70">
      <formula>$K$61&lt;0</formula>
    </cfRule>
  </conditionalFormatting>
  <conditionalFormatting sqref="M49:O50 N61:O61">
    <cfRule type="expression" dxfId="263" priority="67">
      <formula>$N$61&gt;0</formula>
    </cfRule>
    <cfRule type="expression" dxfId="262" priority="68">
      <formula>$N$61&lt;0</formula>
    </cfRule>
  </conditionalFormatting>
  <conditionalFormatting sqref="A68:O77">
    <cfRule type="expression" dxfId="261" priority="59">
      <formula>AND($N68 &gt; 0, ISNUMBER($N68))</formula>
    </cfRule>
    <cfRule type="expression" dxfId="260" priority="60">
      <formula>AND($N68 &lt; 0, ISNUMBER($N68))</formula>
    </cfRule>
    <cfRule type="expression" dxfId="259" priority="61">
      <formula>AND($K68 &gt; 0, ISNUMBER($K68))</formula>
    </cfRule>
    <cfRule type="expression" dxfId="258" priority="62">
      <formula>AND($K68 &lt; 0, ISNUMBER($K68))</formula>
    </cfRule>
    <cfRule type="expression" dxfId="257" priority="63">
      <formula>AND($H68 &gt; 0, ISNUMBER($H68))</formula>
    </cfRule>
    <cfRule type="expression" dxfId="256" priority="64">
      <formula>AND($H68 &lt; 0, ISNUMBER($H68))</formula>
    </cfRule>
    <cfRule type="expression" dxfId="255" priority="65">
      <formula>AND($E68 &gt; 0, ISNUMBER($E68))</formula>
    </cfRule>
    <cfRule type="expression" dxfId="254" priority="66">
      <formula>AND($E68 &lt; 0, ISNUMBER($E68))</formula>
    </cfRule>
  </conditionalFormatting>
  <conditionalFormatting sqref="D66:F67 E78:F78">
    <cfRule type="expression" dxfId="253" priority="57">
      <formula>$E$78&gt;0</formula>
    </cfRule>
    <cfRule type="expression" dxfId="252" priority="58">
      <formula>$E$78&lt;0</formula>
    </cfRule>
  </conditionalFormatting>
  <conditionalFormatting sqref="G66:I67 H78:I78">
    <cfRule type="expression" dxfId="251" priority="55">
      <formula>$H$78&gt;0</formula>
    </cfRule>
    <cfRule type="expression" dxfId="250" priority="56">
      <formula>$H$78&lt;0</formula>
    </cfRule>
  </conditionalFormatting>
  <conditionalFormatting sqref="J66:L67 K78:L78">
    <cfRule type="expression" dxfId="249" priority="53">
      <formula>$K$78&gt;0</formula>
    </cfRule>
    <cfRule type="expression" dxfId="248" priority="54">
      <formula>$K$78&lt;0</formula>
    </cfRule>
  </conditionalFormatting>
  <conditionalFormatting sqref="M66:O67 N78:O78">
    <cfRule type="expression" dxfId="247" priority="51">
      <formula>$N$78&gt;0</formula>
    </cfRule>
    <cfRule type="expression" dxfId="246" priority="52">
      <formula>$N$78&lt;0</formula>
    </cfRule>
  </conditionalFormatting>
  <conditionalFormatting sqref="A85:O94">
    <cfRule type="expression" dxfId="245" priority="43">
      <formula>AND($N85 &gt; 0, ISNUMBER($N85))</formula>
    </cfRule>
    <cfRule type="expression" dxfId="244" priority="44">
      <formula>AND($N85 &lt; 0, ISNUMBER($N85))</formula>
    </cfRule>
    <cfRule type="expression" dxfId="243" priority="45">
      <formula>AND($K85 &gt; 0, ISNUMBER($K85))</formula>
    </cfRule>
    <cfRule type="expression" dxfId="242" priority="46">
      <formula>AND($K85 &lt; 0, ISNUMBER($K85))</formula>
    </cfRule>
    <cfRule type="expression" dxfId="241" priority="47">
      <formula>AND($H85 &gt; 0, ISNUMBER($H85))</formula>
    </cfRule>
    <cfRule type="expression" dxfId="240" priority="48">
      <formula>AND($H85 &lt; 0, ISNUMBER($H85))</formula>
    </cfRule>
    <cfRule type="expression" dxfId="239" priority="49">
      <formula>AND($E85 &gt; 0, ISNUMBER($E85))</formula>
    </cfRule>
    <cfRule type="expression" dxfId="238" priority="50">
      <formula>AND($E85 &lt; 0, ISNUMBER($E85))</formula>
    </cfRule>
  </conditionalFormatting>
  <conditionalFormatting sqref="D83:F84 E95:F95">
    <cfRule type="expression" dxfId="237" priority="41">
      <formula>$E$95&gt;0</formula>
    </cfRule>
    <cfRule type="expression" dxfId="236" priority="42">
      <formula>$E$95&lt;0</formula>
    </cfRule>
  </conditionalFormatting>
  <conditionalFormatting sqref="G83:I84 H95:I95">
    <cfRule type="expression" dxfId="235" priority="39">
      <formula>$H$95&gt;0</formula>
    </cfRule>
    <cfRule type="expression" dxfId="234" priority="40">
      <formula>$H$95&lt;0</formula>
    </cfRule>
  </conditionalFormatting>
  <conditionalFormatting sqref="J83:L84 K95:L95">
    <cfRule type="expression" dxfId="233" priority="37">
      <formula>$K$95&gt;0</formula>
    </cfRule>
    <cfRule type="expression" dxfId="232" priority="38">
      <formula>$K$95&lt;0</formula>
    </cfRule>
  </conditionalFormatting>
  <conditionalFormatting sqref="M83:O84 N95:O95">
    <cfRule type="expression" dxfId="231" priority="35">
      <formula>$N$95&gt;0</formula>
    </cfRule>
    <cfRule type="expression" dxfId="230" priority="36">
      <formula>$N$95&lt;0</formula>
    </cfRule>
  </conditionalFormatting>
  <conditionalFormatting sqref="A102:O111">
    <cfRule type="expression" dxfId="229" priority="27">
      <formula>AND($N102 &gt; 0, ISNUMBER($N102))</formula>
    </cfRule>
    <cfRule type="expression" dxfId="228" priority="28">
      <formula>AND($N102 &lt; 0, ISNUMBER($N102))</formula>
    </cfRule>
    <cfRule type="expression" dxfId="227" priority="29">
      <formula>AND($K102 &gt; 0, ISNUMBER($K102))</formula>
    </cfRule>
    <cfRule type="expression" dxfId="226" priority="30">
      <formula>AND($K102 &lt; 0, ISNUMBER($K102))</formula>
    </cfRule>
    <cfRule type="expression" dxfId="225" priority="31">
      <formula>AND($H102 &gt; 0, ISNUMBER($H102))</formula>
    </cfRule>
    <cfRule type="expression" dxfId="224" priority="32">
      <formula>AND($H102 &lt; 0, ISNUMBER($H102))</formula>
    </cfRule>
    <cfRule type="expression" dxfId="223" priority="33">
      <formula>AND($E102 &gt; 0, ISNUMBER($E102))</formula>
    </cfRule>
    <cfRule type="expression" dxfId="222" priority="34">
      <formula>AND($E102 &lt; 0, ISNUMBER($E102))</formula>
    </cfRule>
  </conditionalFormatting>
  <conditionalFormatting sqref="D100:F101 E112:F112">
    <cfRule type="expression" dxfId="221" priority="25">
      <formula>$E$112&gt;0</formula>
    </cfRule>
    <cfRule type="expression" dxfId="220" priority="26">
      <formula>$E$112&lt;0</formula>
    </cfRule>
  </conditionalFormatting>
  <conditionalFormatting sqref="G100:I101 H112:I112">
    <cfRule type="expression" dxfId="219" priority="23">
      <formula>$H$112&gt;0</formula>
    </cfRule>
    <cfRule type="expression" dxfId="218" priority="24">
      <formula>$H$112&lt;0</formula>
    </cfRule>
  </conditionalFormatting>
  <conditionalFormatting sqref="J100:L101 K112:L112">
    <cfRule type="expression" dxfId="217" priority="21">
      <formula>$K$112&gt;0</formula>
    </cfRule>
    <cfRule type="expression" dxfId="216" priority="22">
      <formula>$K$112&lt;0</formula>
    </cfRule>
  </conditionalFormatting>
  <conditionalFormatting sqref="M100:O101 N112:O112">
    <cfRule type="expression" dxfId="215" priority="19">
      <formula>$N$112&gt;0</formula>
    </cfRule>
    <cfRule type="expression" dxfId="214" priority="20">
      <formula>$N$112&lt;0</formula>
    </cfRule>
  </conditionalFormatting>
  <conditionalFormatting sqref="G2:I3">
    <cfRule type="expression" dxfId="213" priority="17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212" priority="18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211" priority="15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210" priority="16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209" priority="13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208" priority="14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207" priority="11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06" priority="12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205" priority="9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204" priority="10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conditionalFormatting sqref="A26">
    <cfRule type="expression" dxfId="203" priority="1">
      <formula>AND($N26 &gt; 0, ISNUMBER($N26))</formula>
    </cfRule>
    <cfRule type="expression" dxfId="202" priority="2">
      <formula>AND($N26 &lt; 0, ISNUMBER($N26))</formula>
    </cfRule>
    <cfRule type="expression" dxfId="201" priority="3">
      <formula>AND($K26 &gt; 0, ISNUMBER($K26))</formula>
    </cfRule>
    <cfRule type="expression" dxfId="200" priority="4">
      <formula>AND($K26 &lt; 0, ISNUMBER($K26))</formula>
    </cfRule>
    <cfRule type="expression" dxfId="199" priority="5">
      <formula>AND($H26 &gt; 0, ISNUMBER($H26))</formula>
    </cfRule>
    <cfRule type="expression" dxfId="198" priority="6">
      <formula>AND($H26 &lt; 0, ISNUMBER($H26))</formula>
    </cfRule>
    <cfRule type="expression" dxfId="197" priority="7">
      <formula>AND($E26 &gt; 0, ISNUMBER($E26))</formula>
    </cfRule>
    <cfRule type="expression" dxfId="196" priority="8">
      <formula>AND($E26 &lt; 0, ISNUMBER($E26))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745AB-61C0-489E-BC8C-6ED350B278F6}">
  <sheetPr codeName="Sheet21"/>
  <dimension ref="A1:R112"/>
  <sheetViews>
    <sheetView zoomScaleNormal="100" workbookViewId="0">
      <selection activeCell="K8" sqref="K8:O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3.12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-137,887 KRW (-4.60%)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73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-94,356 KRW (-3.93%)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13,847 KRW (0.46%)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-34,796 KRW (-1.16%)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9,656 KRW (0.32%)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73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72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76" t="s">
        <v>67</v>
      </c>
      <c r="H16" s="177" t="s">
        <v>68</v>
      </c>
      <c r="I16" s="178" t="s">
        <v>70</v>
      </c>
      <c r="J16" s="4" t="s">
        <v>67</v>
      </c>
      <c r="K16" s="4" t="s">
        <v>68</v>
      </c>
      <c r="L16" s="174" t="s">
        <v>70</v>
      </c>
      <c r="M16" s="18" t="s">
        <v>67</v>
      </c>
      <c r="N16" s="4" t="s">
        <v>68</v>
      </c>
      <c r="O16" s="175" t="s">
        <v>70</v>
      </c>
      <c r="Q16" s="206"/>
      <c r="R16" s="207"/>
    </row>
    <row r="17" spans="1:18" ht="17.25" customHeight="1">
      <c r="A17" s="39" t="s">
        <v>146</v>
      </c>
      <c r="B17" s="89">
        <f>IF(NOT(_xlfn.IFNA(VLOOKUP($A17, $A$30:$O$112, 2, FALSE), "")=0), _xlfn.IFNA(VLOOKUP($A17, $A$30:$O$112, 2, FALSE), ""), "")</f>
        <v>86.7</v>
      </c>
      <c r="C17" s="22">
        <f>IF(NOT(_xlfn.IFNA(VLOOKUP($A17, $A$30:$O$112, 3, FALSE), "")=0), _xlfn.IFNA(VLOOKUP($A17, $A$30:$O$112, 3, FALSE), ""), "")</f>
        <v>-0.14158415839999999</v>
      </c>
      <c r="D17" s="89">
        <f>IF(NOT(_xlfn.IFNA(VLOOKUP($A17, $A$30:$O$112, 4, FALSE), "")=0), _xlfn.IFNA(VLOOKUP($A17, $A$30:$O$112, 4, FALSE), ""), "")</f>
        <v>86.2</v>
      </c>
      <c r="E17" s="22">
        <f>IF(NOT(_xlfn.IFNA(VLOOKUP($A17, $A$30:$O$112, 5, FALSE), "")=0), _xlfn.IFNA(VLOOKUP($A17, $A$30:$O$112, 5, FALSE), ""), "")</f>
        <v>-5.7670126874279125E-3</v>
      </c>
      <c r="F17" s="58">
        <f>IF(NOT(_xlfn.IFNA(VLOOKUP($A17, $A$30:$O$112, 6, FALSE), "")=0), _xlfn.IFNA(VLOOKUP($A17, $A$30:$O$112, 6, FALSE), ""), "")</f>
        <v>-1730.1038062283737</v>
      </c>
      <c r="G17" s="36">
        <f t="shared" ref="G17:G26" si="0">IF(NOT(_xlfn.IFNA(VLOOKUP($A17, $A$30:$O$112, 7, FALSE), "")=0), _xlfn.IFNA(VLOOKUP($A17, $A$30:$O$112, 7, FALSE), ""), "")</f>
        <v>79.5</v>
      </c>
      <c r="H17" s="5">
        <f>IF(NOT(_xlfn.IFNA(VLOOKUP($A17, $A$30:$O$112, 8, FALSE), "")=0), _xlfn.IFNA(VLOOKUP($A17, $A$30:$O$112, 8, FALSE), ""), "")</f>
        <v>-8.3044982698961961E-2</v>
      </c>
      <c r="I17" s="59">
        <f>IF(NOT(_xlfn.IFNA(VLOOKUP($A17, $A$30:$O$112, 9, FALSE), "")=0), _xlfn.IFNA(VLOOKUP($A17, $A$30:$O$112, 9, FALSE), ""), "")</f>
        <v>-24913.494809688589</v>
      </c>
      <c r="J17" s="89">
        <f>IF(NOT(_xlfn.IFNA(VLOOKUP($A17, $A$30:$O$112, 10, FALSE), "")=0), _xlfn.IFNA(VLOOKUP($A17, $A$30:$O$112, 10, FALSE), ""), "")</f>
        <v>83.2</v>
      </c>
      <c r="K17" s="22">
        <f>IF(NOT(_xlfn.IFNA(VLOOKUP($A17, $A$30:$O$112, 11, FALSE), "")=0), _xlfn.IFNA(VLOOKUP($A17, $A$30:$O$112, 11, FALSE), ""), "")</f>
        <v>-4.0369088811995385E-2</v>
      </c>
      <c r="L17" s="58">
        <f>IF(NOT(_xlfn.IFNA(VLOOKUP($A17, $A$30:$O$112, 12, FALSE), "")=0), _xlfn.IFNA(VLOOKUP($A17, $A$30:$O$112, 12, FALSE), ""), "")</f>
        <v>-12110.726643598615</v>
      </c>
      <c r="M17" s="89">
        <f>IF(NOT(_xlfn.IFNA(VLOOKUP($A17, $A$30:$O$112, 13, FALSE), "")=0), _xlfn.IFNA(VLOOKUP($A17, $A$30:$O$112, 13, FALSE), ""), "")</f>
        <v>81.7</v>
      </c>
      <c r="N17" s="22">
        <f>IF(NOT(_xlfn.IFNA(VLOOKUP($A17, $A$30:$O$112, 14, FALSE), "")=0), _xlfn.IFNA(VLOOKUP($A17, $A$30:$O$112, 14, FALSE), ""), "")</f>
        <v>-5.7670126874279123E-2</v>
      </c>
      <c r="O17" s="43">
        <f>IF(NOT(_xlfn.IFNA(VLOOKUP($A17, $A$30:$O$112, 15, FALSE), "")=0), _xlfn.IFNA(VLOOKUP($A17, $A$30:$O$112, 15, FALSE), ""), "")</f>
        <v>-17301.038062283737</v>
      </c>
      <c r="Q17" s="204"/>
      <c r="R17" s="205"/>
    </row>
    <row r="18" spans="1:18" ht="17.25" customHeight="1">
      <c r="A18" s="40" t="s">
        <v>100</v>
      </c>
      <c r="B18" s="36">
        <f t="shared" ref="B18:B26" si="1">IF(NOT(_xlfn.IFNA(VLOOKUP($A18, $A$30:$O$112, 2, FALSE), "")=0), _xlfn.IFNA(VLOOKUP($A18, $A$30:$O$112, 2, FALSE), ""), "")</f>
        <v>33.1</v>
      </c>
      <c r="C18" s="5">
        <f t="shared" ref="C18:C26" si="2">IF(NOT(_xlfn.IFNA(VLOOKUP($A18, $A$30:$O$112, 3, FALSE), "")=0), _xlfn.IFNA(VLOOKUP($A18, $A$30:$O$112, 3, FALSE), ""), "")</f>
        <v>-0.1447028424</v>
      </c>
      <c r="D18" s="36">
        <f t="shared" ref="D18:D26" si="3">IF(NOT(_xlfn.IFNA(VLOOKUP($A18, $A$30:$O$112, 4, FALSE), "")=0), _xlfn.IFNA(VLOOKUP($A18, $A$30:$O$112, 4, FALSE), ""), "")</f>
        <v>33.299999999999997</v>
      </c>
      <c r="E18" s="5">
        <f t="shared" ref="E18:E26" si="4">IF(NOT(_xlfn.IFNA(VLOOKUP($A18, $A$30:$O$112, 5, FALSE), "")=0), _xlfn.IFNA(VLOOKUP($A18, $A$30:$O$112, 5, FALSE), ""), "")</f>
        <v>6.0422960725074236E-3</v>
      </c>
      <c r="F18" s="59">
        <f t="shared" ref="F18:F26" si="5">IF(NOT(_xlfn.IFNA(VLOOKUP($A18, $A$30:$O$112, 6, FALSE), "")=0), _xlfn.IFNA(VLOOKUP($A18, $A$30:$O$112, 6, FALSE), ""), "")</f>
        <v>1812.6888217522271</v>
      </c>
      <c r="G18" s="36">
        <f t="shared" si="0"/>
        <v>30.8</v>
      </c>
      <c r="H18" s="5">
        <f t="shared" ref="H18:H26" si="6">IF(NOT(_xlfn.IFNA(VLOOKUP($A18, $A$30:$O$112, 8, FALSE), "")=0), _xlfn.IFNA(VLOOKUP($A18, $A$30:$O$112, 8, FALSE), ""), "")</f>
        <v>-6.9486404833836876E-2</v>
      </c>
      <c r="I18" s="59">
        <f t="shared" ref="I18:I26" si="7">IF(NOT(_xlfn.IFNA(VLOOKUP($A18, $A$30:$O$112, 9, FALSE), "")=0), _xlfn.IFNA(VLOOKUP($A18, $A$30:$O$112, 9, FALSE), ""), "")</f>
        <v>-20845.921450151061</v>
      </c>
      <c r="J18" s="36">
        <f t="shared" ref="J18:J26" si="8">IF(NOT(_xlfn.IFNA(VLOOKUP($A18, $A$30:$O$112, 10, FALSE), "")=0), _xlfn.IFNA(VLOOKUP($A18, $A$30:$O$112, 10, FALSE), ""), "")</f>
        <v>32.200000000000003</v>
      </c>
      <c r="K18" s="5">
        <f t="shared" ref="K18:K26" si="9">IF(NOT(_xlfn.IFNA(VLOOKUP($A18, $A$30:$O$112, 11, FALSE), "")=0), _xlfn.IFNA(VLOOKUP($A18, $A$30:$O$112, 11, FALSE), ""), "")</f>
        <v>-2.7190332326283945E-2</v>
      </c>
      <c r="L18" s="59">
        <f t="shared" ref="L18:L26" si="10">IF(NOT(_xlfn.IFNA(VLOOKUP($A18, $A$30:$O$112, 12, FALSE), "")=0), _xlfn.IFNA(VLOOKUP($A18, $A$30:$O$112, 12, FALSE), ""), "")</f>
        <v>-8157.0996978851836</v>
      </c>
      <c r="M18" s="36">
        <f t="shared" ref="M18:M26" si="11">IF(NOT(_xlfn.IFNA(VLOOKUP($A18, $A$30:$O$112, 13, FALSE), "")=0), _xlfn.IFNA(VLOOKUP($A18, $A$30:$O$112, 13, FALSE), ""), "")</f>
        <v>31.6</v>
      </c>
      <c r="N18" s="5">
        <f t="shared" ref="N18:N26" si="12">IF(NOT(_xlfn.IFNA(VLOOKUP($A18, $A$30:$O$112, 14, FALSE), "")=0), _xlfn.IFNA(VLOOKUP($A18, $A$30:$O$112, 14, FALSE), ""), "")</f>
        <v>-4.5317220543806644E-2</v>
      </c>
      <c r="O18" s="44">
        <f t="shared" ref="O18:O26" si="13">IF(NOT(_xlfn.IFNA(VLOOKUP($A18, $A$30:$O$112, 15, FALSE), "")=0), _xlfn.IFNA(VLOOKUP($A18, $A$30:$O$112, 15, FALSE), ""), "")</f>
        <v>-13595.166163141994</v>
      </c>
      <c r="Q18" s="204"/>
      <c r="R18" s="205"/>
    </row>
    <row r="19" spans="1:18" ht="17.25" customHeight="1">
      <c r="A19" s="40" t="s">
        <v>158</v>
      </c>
      <c r="B19" s="36">
        <f t="shared" si="1"/>
        <v>28.3</v>
      </c>
      <c r="C19" s="5">
        <f t="shared" si="2"/>
        <v>-0.14501510570000001</v>
      </c>
      <c r="D19" s="36">
        <f t="shared" si="3"/>
        <v>28.3</v>
      </c>
      <c r="E19" s="5" t="str">
        <f t="shared" si="4"/>
        <v/>
      </c>
      <c r="F19" s="59" t="str">
        <f t="shared" si="5"/>
        <v/>
      </c>
      <c r="G19" s="36">
        <f t="shared" si="0"/>
        <v>26.3</v>
      </c>
      <c r="H19" s="5">
        <f t="shared" si="6"/>
        <v>-7.0671378091872794E-2</v>
      </c>
      <c r="I19" s="59">
        <f t="shared" si="7"/>
        <v>-21201.413427561838</v>
      </c>
      <c r="J19" s="36">
        <f t="shared" si="8"/>
        <v>27.5</v>
      </c>
      <c r="K19" s="5">
        <f t="shared" si="9"/>
        <v>-2.8268551236749141E-2</v>
      </c>
      <c r="L19" s="59">
        <f t="shared" si="10"/>
        <v>-8480.5653710247425</v>
      </c>
      <c r="M19" s="36">
        <f t="shared" si="11"/>
        <v>26.6</v>
      </c>
      <c r="N19" s="5">
        <f t="shared" si="12"/>
        <v>-6.0070671378091849E-2</v>
      </c>
      <c r="O19" s="44">
        <f t="shared" si="13"/>
        <v>-18021.201413427556</v>
      </c>
      <c r="Q19" s="204"/>
      <c r="R19" s="205"/>
    </row>
    <row r="20" spans="1:18" ht="17.25" customHeight="1">
      <c r="A20" s="40" t="s">
        <v>107</v>
      </c>
      <c r="B20" s="36">
        <f t="shared" si="1"/>
        <v>36.9</v>
      </c>
      <c r="C20" s="5">
        <f t="shared" si="2"/>
        <v>-0.14583333330000001</v>
      </c>
      <c r="D20" s="36">
        <f t="shared" si="3"/>
        <v>37.200000000000003</v>
      </c>
      <c r="E20" s="5">
        <f t="shared" si="4"/>
        <v>8.1300813008131235E-3</v>
      </c>
      <c r="F20" s="59">
        <f t="shared" si="5"/>
        <v>2439.024390243937</v>
      </c>
      <c r="G20" s="36">
        <f t="shared" si="0"/>
        <v>35</v>
      </c>
      <c r="H20" s="5">
        <f t="shared" si="6"/>
        <v>-5.1490514905149012E-2</v>
      </c>
      <c r="I20" s="59">
        <f t="shared" si="7"/>
        <v>-15447.154471544703</v>
      </c>
      <c r="J20" s="36">
        <f t="shared" si="8"/>
        <v>36.1</v>
      </c>
      <c r="K20" s="5">
        <f t="shared" si="9"/>
        <v>-2.1680216802167945E-2</v>
      </c>
      <c r="L20" s="59">
        <f t="shared" si="10"/>
        <v>-6504.0650406503837</v>
      </c>
      <c r="M20" s="36">
        <f t="shared" si="11"/>
        <v>35.6</v>
      </c>
      <c r="N20" s="5">
        <f t="shared" si="12"/>
        <v>-3.5230352303522956E-2</v>
      </c>
      <c r="O20" s="44">
        <f t="shared" si="13"/>
        <v>-10569.105691056888</v>
      </c>
      <c r="Q20" s="204"/>
      <c r="R20" s="205"/>
    </row>
    <row r="21" spans="1:18" ht="17.25" customHeight="1">
      <c r="A21" s="41" t="s">
        <v>133</v>
      </c>
      <c r="B21" s="37">
        <f t="shared" si="1"/>
        <v>23.1</v>
      </c>
      <c r="C21" s="24">
        <f t="shared" si="2"/>
        <v>-0.1507352941</v>
      </c>
      <c r="D21" s="37">
        <f t="shared" si="3"/>
        <v>23.2</v>
      </c>
      <c r="E21" s="24">
        <f t="shared" si="4"/>
        <v>4.3290043290042362E-3</v>
      </c>
      <c r="F21" s="60">
        <f t="shared" si="5"/>
        <v>1298.7012987012708</v>
      </c>
      <c r="G21" s="37">
        <f t="shared" si="0"/>
        <v>22</v>
      </c>
      <c r="H21" s="24">
        <f t="shared" si="6"/>
        <v>-4.7619047619047679E-2</v>
      </c>
      <c r="I21" s="60">
        <f t="shared" si="7"/>
        <v>-14285.714285714304</v>
      </c>
      <c r="J21" s="37">
        <f t="shared" si="8"/>
        <v>22.6</v>
      </c>
      <c r="K21" s="24">
        <f t="shared" si="9"/>
        <v>-2.1645021645021644E-2</v>
      </c>
      <c r="L21" s="60">
        <f t="shared" si="10"/>
        <v>-6493.5064935064929</v>
      </c>
      <c r="M21" s="37">
        <f t="shared" si="11"/>
        <v>22.2</v>
      </c>
      <c r="N21" s="24">
        <f t="shared" si="12"/>
        <v>-3.896103896103905E-2</v>
      </c>
      <c r="O21" s="62">
        <f t="shared" si="13"/>
        <v>-11688.311688311715</v>
      </c>
      <c r="Q21" s="204"/>
      <c r="R21" s="205"/>
    </row>
    <row r="22" spans="1:18" ht="17.25" customHeight="1">
      <c r="A22" s="40" t="s">
        <v>123</v>
      </c>
      <c r="B22" s="36">
        <f t="shared" si="1"/>
        <v>71.8</v>
      </c>
      <c r="C22" s="5">
        <f t="shared" si="2"/>
        <v>-0.1552941176</v>
      </c>
      <c r="D22" s="36">
        <f t="shared" si="3"/>
        <v>72.5</v>
      </c>
      <c r="E22" s="5">
        <f t="shared" si="4"/>
        <v>9.7493036211699566E-3</v>
      </c>
      <c r="F22" s="59">
        <f t="shared" si="5"/>
        <v>2924.7910863509869</v>
      </c>
      <c r="G22" s="36">
        <f t="shared" si="0"/>
        <v>67.900000000000006</v>
      </c>
      <c r="H22" s="5">
        <f t="shared" si="6"/>
        <v>-5.4317548746517987E-2</v>
      </c>
      <c r="I22" s="59">
        <f t="shared" si="7"/>
        <v>-16295.264623955396</v>
      </c>
      <c r="J22" s="36">
        <f t="shared" si="8"/>
        <v>70</v>
      </c>
      <c r="K22" s="5">
        <f t="shared" si="9"/>
        <v>-2.5069637883008318E-2</v>
      </c>
      <c r="L22" s="59">
        <f t="shared" si="10"/>
        <v>-7520.8913649024953</v>
      </c>
      <c r="M22" s="36">
        <f t="shared" si="11"/>
        <v>67.400000000000006</v>
      </c>
      <c r="N22" s="5">
        <f t="shared" si="12"/>
        <v>-6.1281337047353647E-2</v>
      </c>
      <c r="O22" s="44">
        <f t="shared" si="13"/>
        <v>-18384.401114206095</v>
      </c>
      <c r="Q22" s="204"/>
      <c r="R22" s="205"/>
    </row>
    <row r="23" spans="1:18" ht="17.25" customHeight="1">
      <c r="A23" s="40" t="s">
        <v>135</v>
      </c>
      <c r="B23" s="36">
        <f t="shared" si="1"/>
        <v>28.2</v>
      </c>
      <c r="C23" s="5">
        <f t="shared" si="2"/>
        <v>-0.1582089552</v>
      </c>
      <c r="D23" s="36">
        <f t="shared" si="3"/>
        <v>28.3</v>
      </c>
      <c r="E23" s="5">
        <f t="shared" si="4"/>
        <v>3.5460992907801925E-3</v>
      </c>
      <c r="F23" s="59">
        <f t="shared" si="5"/>
        <v>1063.8297872340577</v>
      </c>
      <c r="G23" s="36">
        <f t="shared" si="0"/>
        <v>27</v>
      </c>
      <c r="H23" s="5">
        <f t="shared" si="6"/>
        <v>-4.255319148936168E-2</v>
      </c>
      <c r="I23" s="59">
        <f t="shared" si="7"/>
        <v>-12765.957446808505</v>
      </c>
      <c r="J23" s="36">
        <f t="shared" si="8"/>
        <v>27.8</v>
      </c>
      <c r="K23" s="5">
        <f t="shared" si="9"/>
        <v>-1.4184397163120517E-2</v>
      </c>
      <c r="L23" s="59">
        <f t="shared" si="10"/>
        <v>-4255.3191489361552</v>
      </c>
      <c r="M23" s="36">
        <f t="shared" si="11"/>
        <v>27.1</v>
      </c>
      <c r="N23" s="5">
        <f t="shared" si="12"/>
        <v>-3.9007092198581485E-2</v>
      </c>
      <c r="O23" s="44">
        <f t="shared" si="13"/>
        <v>-11702.127659574446</v>
      </c>
      <c r="Q23" s="204"/>
      <c r="R23" s="205"/>
    </row>
    <row r="24" spans="1:18" ht="17.25" customHeight="1">
      <c r="A24" s="40" t="s">
        <v>145</v>
      </c>
      <c r="B24" s="36">
        <f t="shared" si="1"/>
        <v>44</v>
      </c>
      <c r="C24" s="5">
        <f t="shared" si="2"/>
        <v>-0.15869980880000001</v>
      </c>
      <c r="D24" s="36">
        <f t="shared" si="3"/>
        <v>45.7</v>
      </c>
      <c r="E24" s="5">
        <f t="shared" si="4"/>
        <v>3.8636363636363698E-2</v>
      </c>
      <c r="F24" s="59">
        <f t="shared" si="5"/>
        <v>11590.90909090911</v>
      </c>
      <c r="G24" s="36">
        <f t="shared" si="0"/>
        <v>43.9</v>
      </c>
      <c r="H24" s="5">
        <f t="shared" si="6"/>
        <v>-2.2727272727273051E-3</v>
      </c>
      <c r="I24" s="59">
        <f t="shared" si="7"/>
        <v>-681.81818181819153</v>
      </c>
      <c r="J24" s="36">
        <f t="shared" si="8"/>
        <v>45.2</v>
      </c>
      <c r="K24" s="5">
        <f t="shared" si="9"/>
        <v>2.7272727272727337E-2</v>
      </c>
      <c r="L24" s="59">
        <f t="shared" si="10"/>
        <v>8181.8181818182011</v>
      </c>
      <c r="M24" s="36">
        <f t="shared" si="11"/>
        <v>44.3</v>
      </c>
      <c r="N24" s="5">
        <f t="shared" si="12"/>
        <v>6.8181818181817537E-3</v>
      </c>
      <c r="O24" s="44">
        <f t="shared" si="13"/>
        <v>2045.4545454545262</v>
      </c>
      <c r="Q24" s="204"/>
      <c r="R24" s="205"/>
    </row>
    <row r="25" spans="1:18" ht="17.25" customHeight="1">
      <c r="A25" s="40" t="s">
        <v>163</v>
      </c>
      <c r="B25" s="36">
        <f t="shared" si="1"/>
        <v>56.4</v>
      </c>
      <c r="C25" s="5">
        <f t="shared" si="2"/>
        <v>-0.16691285080000001</v>
      </c>
      <c r="D25" s="36">
        <f t="shared" si="3"/>
        <v>61.8</v>
      </c>
      <c r="E25" s="5">
        <f t="shared" si="4"/>
        <v>9.5744680851063801E-2</v>
      </c>
      <c r="F25" s="59">
        <f t="shared" si="5"/>
        <v>28723.404255319139</v>
      </c>
      <c r="G25" s="36">
        <f t="shared" si="0"/>
        <v>57.9</v>
      </c>
      <c r="H25" s="5">
        <f t="shared" si="6"/>
        <v>2.6595744680851064E-2</v>
      </c>
      <c r="I25" s="59">
        <f t="shared" si="7"/>
        <v>7978.7234042553191</v>
      </c>
      <c r="J25" s="36">
        <f t="shared" si="8"/>
        <v>59.2</v>
      </c>
      <c r="K25" s="5">
        <f t="shared" si="9"/>
        <v>4.9645390070922064E-2</v>
      </c>
      <c r="L25" s="59">
        <f t="shared" si="10"/>
        <v>14893.617021276619</v>
      </c>
      <c r="M25" s="36">
        <f t="shared" si="11"/>
        <v>56.7</v>
      </c>
      <c r="N25" s="5">
        <f t="shared" si="12"/>
        <v>5.3191489361702881E-3</v>
      </c>
      <c r="O25" s="44">
        <f t="shared" si="13"/>
        <v>1595.7446808510865</v>
      </c>
      <c r="Q25" s="206"/>
      <c r="R25" s="207"/>
    </row>
    <row r="26" spans="1:18" ht="17.25" customHeight="1" thickBot="1">
      <c r="A26" s="42" t="s">
        <v>95</v>
      </c>
      <c r="B26" s="38">
        <f t="shared" si="1"/>
        <v>38</v>
      </c>
      <c r="C26" s="16">
        <f t="shared" si="2"/>
        <v>-0.27756653990000002</v>
      </c>
      <c r="D26" s="38">
        <f t="shared" si="3"/>
        <v>36.200000000000003</v>
      </c>
      <c r="E26" s="16">
        <f t="shared" si="4"/>
        <v>-4.7368421052631504E-2</v>
      </c>
      <c r="F26" s="61">
        <f t="shared" si="5"/>
        <v>-14210.526315789451</v>
      </c>
      <c r="G26" s="38">
        <f t="shared" si="0"/>
        <v>33.700000000000003</v>
      </c>
      <c r="H26" s="16">
        <f t="shared" si="6"/>
        <v>-0.11315789473684203</v>
      </c>
      <c r="I26" s="61">
        <f t="shared" si="7"/>
        <v>-33947.368421052612</v>
      </c>
      <c r="J26" s="38">
        <f t="shared" si="8"/>
        <v>35.4</v>
      </c>
      <c r="K26" s="16">
        <f t="shared" si="9"/>
        <v>-6.842105263157898E-2</v>
      </c>
      <c r="L26" s="61">
        <f t="shared" si="10"/>
        <v>-20526.315789473694</v>
      </c>
      <c r="M26" s="38">
        <f t="shared" si="11"/>
        <v>34.5</v>
      </c>
      <c r="N26" s="16">
        <f t="shared" si="12"/>
        <v>-9.2105263157894732E-2</v>
      </c>
      <c r="O26" s="45">
        <f t="shared" si="13"/>
        <v>-27631.57894736842</v>
      </c>
      <c r="Q26" s="206"/>
      <c r="R26" s="207"/>
    </row>
    <row r="27" spans="1:18" ht="17.25" customHeight="1" thickBot="1">
      <c r="A27" s="57" t="s">
        <v>32</v>
      </c>
      <c r="B27" s="235">
        <v>300000</v>
      </c>
      <c r="C27" s="236"/>
      <c r="D27" s="57" t="s">
        <v>82</v>
      </c>
      <c r="E27" s="46">
        <f>IF(COUNT(E17:E26), SUM(E17:E26) / COUNT(E17:E26), 0)</f>
        <v>1.2560266151293667E-2</v>
      </c>
      <c r="F27" s="47">
        <f>SUM(F17:F26)</f>
        <v>33912.718608492905</v>
      </c>
      <c r="G27" s="57" t="s">
        <v>82</v>
      </c>
      <c r="H27" s="46">
        <f>IF(COUNT(H17:H26), SUM(H17:H26) / COUNT(H17:H26), 0)</f>
        <v>-5.0801794571346627E-2</v>
      </c>
      <c r="I27" s="47">
        <f>SUM(I17:I26)</f>
        <v>-152405.3837140399</v>
      </c>
      <c r="J27" s="57" t="s">
        <v>82</v>
      </c>
      <c r="K27" s="46">
        <f>IF(COUNT(K17:K26), SUM(K17:K26) / COUNT(K17:K26), 0)</f>
        <v>-1.6991018115627643E-2</v>
      </c>
      <c r="L27" s="47">
        <f>SUM(L17:L26)</f>
        <v>-50973.054346882956</v>
      </c>
      <c r="M27" s="57" t="s">
        <v>82</v>
      </c>
      <c r="N27" s="46">
        <f>IF(COUNT(N17:N26), SUM(N17:N26) / COUNT(N17:N26), 0)</f>
        <v>-4.1750577171021749E-2</v>
      </c>
      <c r="O27" s="47">
        <f>SUM(O17:O26)</f>
        <v>-125251.73151306523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72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74" t="s">
        <v>70</v>
      </c>
      <c r="M33" s="18" t="s">
        <v>67</v>
      </c>
      <c r="N33" s="4" t="s">
        <v>68</v>
      </c>
      <c r="O33" s="175" t="s">
        <v>70</v>
      </c>
      <c r="Q33" s="231"/>
      <c r="R33" s="232"/>
    </row>
    <row r="34" spans="1:18" ht="17.25" customHeight="1">
      <c r="A34" s="9" t="s">
        <v>119</v>
      </c>
      <c r="B34" s="31">
        <v>28.6</v>
      </c>
      <c r="C34" s="22">
        <v>6.3197026000000003E-2</v>
      </c>
      <c r="D34" s="89">
        <v>25.2</v>
      </c>
      <c r="E34" s="22">
        <f>IF(ISNUMBER(D34), (D34 - $B34) / $B34, "")</f>
        <v>-0.11888111888111895</v>
      </c>
      <c r="F34" s="43">
        <f>IF(ISNUMBER(D34), $B44 * E34, "")</f>
        <v>-35664.335664335682</v>
      </c>
      <c r="G34" s="89">
        <v>23.8</v>
      </c>
      <c r="H34" s="22">
        <f>IF(ISNUMBER(G34), (G34 - $B34) / $B34, "")</f>
        <v>-0.16783216783216784</v>
      </c>
      <c r="I34" s="43">
        <f>IF(ISNUMBER(G34), $B44 * H34, "")</f>
        <v>-50349.65034965035</v>
      </c>
      <c r="J34" s="89">
        <v>24.3</v>
      </c>
      <c r="K34" s="22">
        <f>IF(ISNUMBER(J34), (J34 - $B34) / $B34, "")</f>
        <v>-0.15034965034965037</v>
      </c>
      <c r="L34" s="43">
        <f>IF(ISNUMBER(J34), $B44 * K34, "")</f>
        <v>-45104.895104895113</v>
      </c>
      <c r="M34" s="89">
        <v>24</v>
      </c>
      <c r="N34" s="22">
        <f>IF(ISNUMBER(M34), (M34 - $B34) / $B34, "")</f>
        <v>-0.16083916083916089</v>
      </c>
      <c r="O34" s="43">
        <f>IF(ISNUMBER(M34), $B44 * N34, "")</f>
        <v>-48251.748251748264</v>
      </c>
      <c r="Q34" s="229"/>
      <c r="R34" s="230"/>
    </row>
    <row r="35" spans="1:18" ht="17.25" customHeight="1">
      <c r="A35" s="11" t="s">
        <v>148</v>
      </c>
      <c r="B35" s="32">
        <v>94.8</v>
      </c>
      <c r="C35" s="5">
        <v>-6.1386138600000001E-2</v>
      </c>
      <c r="D35" s="36">
        <v>101</v>
      </c>
      <c r="E35" s="5">
        <f t="shared" ref="E35:E43" si="14">IF(ISNUMBER(D35), (D35 - $B35) / $B35, "")</f>
        <v>6.5400843881856574E-2</v>
      </c>
      <c r="F35" s="44">
        <f>IF(ISNUMBER(D35), $B44 * E35, "")</f>
        <v>19620.253164556972</v>
      </c>
      <c r="G35" s="36">
        <v>95.1</v>
      </c>
      <c r="H35" s="5">
        <f t="shared" ref="H35:H43" si="15">IF(ISNUMBER(G35), (G35 - $B35) / $B35, "")</f>
        <v>3.1645569620252865E-3</v>
      </c>
      <c r="I35" s="44">
        <f>IF(ISNUMBER(G35), $B44 * H35, "")</f>
        <v>949.36708860758597</v>
      </c>
      <c r="J35" s="36">
        <v>97.5</v>
      </c>
      <c r="K35" s="5">
        <f t="shared" ref="K35:K43" si="16">IF(ISNUMBER(J35), (J35 - $B35) / $B35, "")</f>
        <v>2.8481012658227878E-2</v>
      </c>
      <c r="L35" s="44">
        <f>IF(ISNUMBER(J35), $B44 * K35, "")</f>
        <v>8544.303797468363</v>
      </c>
      <c r="M35" s="36">
        <v>93.7</v>
      </c>
      <c r="N35" s="5">
        <f t="shared" ref="N35:N43" si="17">IF(ISNUMBER(M35), (M35 - $B35) / $B35, "")</f>
        <v>-1.16033755274261E-2</v>
      </c>
      <c r="O35" s="44">
        <f>IF(ISNUMBER(M35), $B44 * N35, "")</f>
        <v>-3481.0126582278299</v>
      </c>
      <c r="Q35" s="229"/>
      <c r="R35" s="230"/>
    </row>
    <row r="36" spans="1:18" ht="17.25" customHeight="1">
      <c r="A36" s="11" t="s">
        <v>103</v>
      </c>
      <c r="B36" s="32">
        <v>97.3</v>
      </c>
      <c r="C36" s="5">
        <v>-0.1073394495</v>
      </c>
      <c r="D36" s="36">
        <v>102</v>
      </c>
      <c r="E36" s="5">
        <f t="shared" si="14"/>
        <v>4.8304213771839702E-2</v>
      </c>
      <c r="F36" s="44">
        <f>IF(ISNUMBER(D36), $B44 * E36, "")</f>
        <v>14491.26413155191</v>
      </c>
      <c r="G36" s="36">
        <v>95.7</v>
      </c>
      <c r="H36" s="5">
        <f t="shared" si="15"/>
        <v>-1.6443987667009191E-2</v>
      </c>
      <c r="I36" s="44">
        <f>IF(ISNUMBER(G36), $B44 * H36, "")</f>
        <v>-4933.196300102757</v>
      </c>
      <c r="J36" s="36">
        <v>100</v>
      </c>
      <c r="K36" s="5">
        <f t="shared" si="16"/>
        <v>2.774922918807814E-2</v>
      </c>
      <c r="L36" s="44">
        <f>IF(ISNUMBER(J36), $B44 * K36, "")</f>
        <v>8324.768756423442</v>
      </c>
      <c r="M36" s="36">
        <v>97</v>
      </c>
      <c r="N36" s="5">
        <f t="shared" si="17"/>
        <v>-3.0832476875642051E-3</v>
      </c>
      <c r="O36" s="44">
        <f>IF(ISNUMBER(M36), $B44 * N36, "")</f>
        <v>-924.97430626926155</v>
      </c>
      <c r="Q36" s="229"/>
      <c r="R36" s="230"/>
    </row>
    <row r="37" spans="1:18" ht="17.25" customHeight="1">
      <c r="A37" s="11" t="s">
        <v>128</v>
      </c>
      <c r="B37" s="32">
        <v>90.5</v>
      </c>
      <c r="C37" s="5">
        <v>-0.1213592233</v>
      </c>
      <c r="D37" s="36">
        <v>92.8</v>
      </c>
      <c r="E37" s="5">
        <f t="shared" si="14"/>
        <v>2.5414364640883945E-2</v>
      </c>
      <c r="F37" s="44">
        <f>IF(ISNUMBER(D37), $B44 * E37, "")</f>
        <v>7624.3093922651833</v>
      </c>
      <c r="G37" s="36">
        <v>88.6</v>
      </c>
      <c r="H37" s="5">
        <f t="shared" si="15"/>
        <v>-2.099447513812161E-2</v>
      </c>
      <c r="I37" s="44">
        <f>IF(ISNUMBER(G37), $B44 * H37, "")</f>
        <v>-6298.3425414364829</v>
      </c>
      <c r="J37" s="36">
        <v>91.7</v>
      </c>
      <c r="K37" s="5">
        <f t="shared" si="16"/>
        <v>1.3259668508287324E-2</v>
      </c>
      <c r="L37" s="44">
        <f>IF(ISNUMBER(J37), $B44 * K37, "")</f>
        <v>3977.9005524861973</v>
      </c>
      <c r="M37" s="36">
        <v>89.4</v>
      </c>
      <c r="N37" s="5">
        <f t="shared" si="17"/>
        <v>-1.2154696132596622E-2</v>
      </c>
      <c r="O37" s="44">
        <f>IF(ISNUMBER(M37), $B44 * N37, "")</f>
        <v>-3646.4088397789869</v>
      </c>
      <c r="Q37" s="229"/>
      <c r="R37" s="230"/>
    </row>
    <row r="38" spans="1:18" ht="17.25" customHeight="1">
      <c r="A38" s="8" t="s">
        <v>143</v>
      </c>
      <c r="B38" s="33">
        <v>10.4</v>
      </c>
      <c r="C38" s="24">
        <v>-0.12605042020000001</v>
      </c>
      <c r="D38" s="37">
        <v>10.5</v>
      </c>
      <c r="E38" s="24">
        <f t="shared" si="14"/>
        <v>9.6153846153845812E-3</v>
      </c>
      <c r="F38" s="44">
        <f>IF(ISNUMBER(D38), $B44 * E38, "")</f>
        <v>2884.6153846153743</v>
      </c>
      <c r="G38" s="37">
        <v>10.1</v>
      </c>
      <c r="H38" s="24">
        <f t="shared" si="15"/>
        <v>-2.8846153846153914E-2</v>
      </c>
      <c r="I38" s="44">
        <f>IF(ISNUMBER(G38), $B44 * H38, "")</f>
        <v>-8653.8461538461743</v>
      </c>
      <c r="J38" s="37">
        <v>10.3</v>
      </c>
      <c r="K38" s="24">
        <f t="shared" si="16"/>
        <v>-9.6153846153845812E-3</v>
      </c>
      <c r="L38" s="44">
        <f>IF(ISNUMBER(J38), $B44 * K38, "")</f>
        <v>-2884.6153846153743</v>
      </c>
      <c r="M38" s="37">
        <v>10.1</v>
      </c>
      <c r="N38" s="24">
        <f t="shared" si="17"/>
        <v>-2.8846153846153914E-2</v>
      </c>
      <c r="O38" s="44">
        <f>IF(ISNUMBER(M38), $B44 * N38, "")</f>
        <v>-8653.8461538461743</v>
      </c>
      <c r="Q38" s="229"/>
      <c r="R38" s="230"/>
    </row>
    <row r="39" spans="1:18" ht="17.25" customHeight="1">
      <c r="A39" s="11" t="s">
        <v>155</v>
      </c>
      <c r="B39" s="32">
        <v>24.5</v>
      </c>
      <c r="C39" s="5">
        <v>-0.12811387900000001</v>
      </c>
      <c r="D39" s="36">
        <v>24.1</v>
      </c>
      <c r="E39" s="5">
        <f t="shared" si="14"/>
        <v>-1.632653061224484E-2</v>
      </c>
      <c r="F39" s="48">
        <f>IF(ISNUMBER(D39), $B44 * E39, "")</f>
        <v>-4897.9591836734526</v>
      </c>
      <c r="G39" s="36">
        <v>22.8</v>
      </c>
      <c r="H39" s="5">
        <f t="shared" si="15"/>
        <v>-6.9387755102040788E-2</v>
      </c>
      <c r="I39" s="48">
        <f>IF(ISNUMBER(G39), $B44 * H39, "")</f>
        <v>-20816.326530612238</v>
      </c>
      <c r="J39" s="36">
        <v>23.5</v>
      </c>
      <c r="K39" s="5">
        <f t="shared" si="16"/>
        <v>-4.0816326530612242E-2</v>
      </c>
      <c r="L39" s="48">
        <f>IF(ISNUMBER(J39), $B44 * K39, "")</f>
        <v>-12244.897959183672</v>
      </c>
      <c r="M39" s="36">
        <v>22.7</v>
      </c>
      <c r="N39" s="5">
        <f t="shared" si="17"/>
        <v>-7.3469387755102075E-2</v>
      </c>
      <c r="O39" s="48">
        <f>IF(ISNUMBER(M39), $B44 * N39, "")</f>
        <v>-22040.816326530621</v>
      </c>
      <c r="Q39" s="229"/>
      <c r="R39" s="230"/>
    </row>
    <row r="40" spans="1:18" ht="17.25" customHeight="1">
      <c r="A40" s="11" t="s">
        <v>136</v>
      </c>
      <c r="B40" s="32">
        <v>25.4</v>
      </c>
      <c r="C40" s="5">
        <v>-0.133105802</v>
      </c>
      <c r="D40" s="36">
        <v>25.8</v>
      </c>
      <c r="E40" s="5">
        <f t="shared" si="14"/>
        <v>1.5748031496063079E-2</v>
      </c>
      <c r="F40" s="44">
        <f>IF(ISNUMBER(D40), $B44 * E40, "")</f>
        <v>4724.4094488189239</v>
      </c>
      <c r="G40" s="36">
        <v>24.4</v>
      </c>
      <c r="H40" s="5">
        <f t="shared" si="15"/>
        <v>-3.937007874015748E-2</v>
      </c>
      <c r="I40" s="44">
        <f>IF(ISNUMBER(G40), $B44 * H40, "")</f>
        <v>-11811.023622047243</v>
      </c>
      <c r="J40" s="36">
        <v>25.2</v>
      </c>
      <c r="K40" s="5">
        <f t="shared" si="16"/>
        <v>-7.8740157480314682E-3</v>
      </c>
      <c r="L40" s="44">
        <f>IF(ISNUMBER(J40), $B44 * K40, "")</f>
        <v>-2362.2047244094406</v>
      </c>
      <c r="M40" s="36">
        <v>24.6</v>
      </c>
      <c r="N40" s="5">
        <f t="shared" si="17"/>
        <v>-3.1496062992125873E-2</v>
      </c>
      <c r="O40" s="44">
        <f>IF(ISNUMBER(M40), $B44 * N40, "")</f>
        <v>-9448.8188976377623</v>
      </c>
      <c r="Q40" s="229"/>
      <c r="R40" s="230"/>
    </row>
    <row r="41" spans="1:18" ht="17.25" customHeight="1">
      <c r="A41" s="11" t="s">
        <v>132</v>
      </c>
      <c r="B41" s="32">
        <v>31.3</v>
      </c>
      <c r="C41" s="5">
        <v>-0.1401098901</v>
      </c>
      <c r="D41" s="36">
        <v>31.5</v>
      </c>
      <c r="E41" s="5">
        <f t="shared" si="14"/>
        <v>6.3897763578274532E-3</v>
      </c>
      <c r="F41" s="44">
        <f>IF(ISNUMBER(D41), $B44 * E41, "")</f>
        <v>1916.9329073482359</v>
      </c>
      <c r="G41" s="36">
        <v>30</v>
      </c>
      <c r="H41" s="5">
        <f t="shared" si="15"/>
        <v>-4.1533546325878613E-2</v>
      </c>
      <c r="I41" s="44">
        <f>IF(ISNUMBER(G41), $B44 * H41, "")</f>
        <v>-12460.063897763584</v>
      </c>
      <c r="J41" s="36">
        <v>31.2</v>
      </c>
      <c r="K41" s="5">
        <f t="shared" si="16"/>
        <v>-3.1948881789137834E-3</v>
      </c>
      <c r="L41" s="44">
        <f>IF(ISNUMBER(J41), $B44 * K41, "")</f>
        <v>-958.46645367413498</v>
      </c>
      <c r="M41" s="36">
        <v>30.2</v>
      </c>
      <c r="N41" s="5">
        <f t="shared" si="17"/>
        <v>-3.5143769968051165E-2</v>
      </c>
      <c r="O41" s="44">
        <f>IF(ISNUMBER(M41), $B44 * N41, "")</f>
        <v>-10543.13099041535</v>
      </c>
      <c r="Q41" s="229"/>
      <c r="R41" s="230"/>
    </row>
    <row r="42" spans="1:18" ht="17.25" customHeight="1">
      <c r="A42" s="11" t="s">
        <v>146</v>
      </c>
      <c r="B42" s="32">
        <v>86.7</v>
      </c>
      <c r="C42" s="5">
        <v>-0.14158415839999999</v>
      </c>
      <c r="D42" s="36">
        <v>86.2</v>
      </c>
      <c r="E42" s="5">
        <f t="shared" si="14"/>
        <v>-5.7670126874279125E-3</v>
      </c>
      <c r="F42" s="44">
        <f>IF(ISNUMBER(D42), $B44 * E42, "")</f>
        <v>-1730.1038062283737</v>
      </c>
      <c r="G42" s="36">
        <v>79.5</v>
      </c>
      <c r="H42" s="5">
        <f t="shared" si="15"/>
        <v>-8.3044982698961961E-2</v>
      </c>
      <c r="I42" s="44">
        <f>IF(ISNUMBER(G42), $B44 * H42, "")</f>
        <v>-24913.494809688589</v>
      </c>
      <c r="J42" s="36">
        <v>83.2</v>
      </c>
      <c r="K42" s="5">
        <f t="shared" si="16"/>
        <v>-4.0369088811995385E-2</v>
      </c>
      <c r="L42" s="44">
        <f>IF(ISNUMBER(J42), $B44 * K42, "")</f>
        <v>-12110.726643598615</v>
      </c>
      <c r="M42" s="36">
        <v>81.7</v>
      </c>
      <c r="N42" s="5">
        <f t="shared" si="17"/>
        <v>-5.7670126874279123E-2</v>
      </c>
      <c r="O42" s="44">
        <f>IF(ISNUMBER(M42), $B44 * N42, "")</f>
        <v>-17301.038062283737</v>
      </c>
      <c r="P42" s="17"/>
      <c r="Q42" s="231"/>
      <c r="R42" s="232"/>
    </row>
    <row r="43" spans="1:18" ht="17.25" customHeight="1" thickBot="1">
      <c r="A43" s="13" t="s">
        <v>100</v>
      </c>
      <c r="B43" s="34">
        <v>33.1</v>
      </c>
      <c r="C43" s="16">
        <v>-0.1447028424</v>
      </c>
      <c r="D43" s="38">
        <v>33.299999999999997</v>
      </c>
      <c r="E43" s="16">
        <f t="shared" si="14"/>
        <v>6.0422960725074236E-3</v>
      </c>
      <c r="F43" s="45">
        <f>IF(ISNUMBER(D43), $B44 * E43, "")</f>
        <v>1812.6888217522271</v>
      </c>
      <c r="G43" s="38">
        <v>30.8</v>
      </c>
      <c r="H43" s="16">
        <f t="shared" si="15"/>
        <v>-6.9486404833836876E-2</v>
      </c>
      <c r="I43" s="45">
        <f>IF(ISNUMBER(G43), $B44 * H43, "")</f>
        <v>-20845.921450151061</v>
      </c>
      <c r="J43" s="38">
        <v>32.200000000000003</v>
      </c>
      <c r="K43" s="16">
        <f t="shared" si="16"/>
        <v>-2.7190332326283945E-2</v>
      </c>
      <c r="L43" s="45">
        <f>IF(ISNUMBER(J43), $B44 * K43, "")</f>
        <v>-8157.0996978851836</v>
      </c>
      <c r="M43" s="38">
        <v>31.6</v>
      </c>
      <c r="N43" s="16">
        <f t="shared" si="17"/>
        <v>-4.5317220543806644E-2</v>
      </c>
      <c r="O43" s="45">
        <f>IF(ISNUMBER(M43), $B44 * N43, "")</f>
        <v>-13595.166163141994</v>
      </c>
      <c r="P43" s="17"/>
      <c r="Q43" s="231"/>
      <c r="R43" s="232"/>
    </row>
    <row r="44" spans="1:18" ht="17.25" customHeight="1" thickBot="1">
      <c r="A44" s="57" t="s">
        <v>32</v>
      </c>
      <c r="B44" s="235">
        <v>300000</v>
      </c>
      <c r="C44" s="236"/>
      <c r="D44" s="57" t="s">
        <v>82</v>
      </c>
      <c r="E44" s="46">
        <f>IF(COUNT(E34:E43), SUM(E34:E43) / COUNT(E34:E43), 0)</f>
        <v>3.5940248655571055E-3</v>
      </c>
      <c r="F44" s="47">
        <f>SUM(F34:F43)</f>
        <v>10782.07459667132</v>
      </c>
      <c r="G44" s="57" t="s">
        <v>82</v>
      </c>
      <c r="H44" s="46">
        <f>IF(COUNT(H34:H43), SUM(H34:H43) / COUNT(H34:H43), 0)</f>
        <v>-5.3377499522230296E-2</v>
      </c>
      <c r="I44" s="47">
        <f>SUM(I34:I43)</f>
        <v>-160132.49856669089</v>
      </c>
      <c r="J44" s="57" t="s">
        <v>82</v>
      </c>
      <c r="K44" s="46">
        <f>IF(COUNT(K34:K43), SUM(K34:K43) / COUNT(K34:K43), 0)</f>
        <v>-2.0991977620627843E-2</v>
      </c>
      <c r="L44" s="47">
        <f>SUM(L34:L43)</f>
        <v>-62975.932861883535</v>
      </c>
      <c r="M44" s="57" t="s">
        <v>82</v>
      </c>
      <c r="N44" s="46">
        <f>IF(COUNT(N34:N43), SUM(N34:N43) / COUNT(N34:N43), 0)</f>
        <v>-4.5962320216626669E-2</v>
      </c>
      <c r="O44" s="47">
        <f>SUM(O34:O43)</f>
        <v>-137886.96064987997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72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74" t="s">
        <v>70</v>
      </c>
      <c r="M50" s="18" t="s">
        <v>67</v>
      </c>
      <c r="N50" s="4" t="s">
        <v>68</v>
      </c>
      <c r="O50" s="175" t="s">
        <v>70</v>
      </c>
      <c r="Q50" s="231"/>
      <c r="R50" s="232"/>
    </row>
    <row r="51" spans="1:18" ht="17.25" customHeight="1">
      <c r="A51" s="9" t="s">
        <v>158</v>
      </c>
      <c r="B51" s="31">
        <v>28.3</v>
      </c>
      <c r="C51" s="22">
        <v>-0.14501510570000001</v>
      </c>
      <c r="D51" s="89">
        <v>28.3</v>
      </c>
      <c r="E51" s="22">
        <f>IF(ISNUMBER(D51), (D51 - $B51) / $B51, "")</f>
        <v>0</v>
      </c>
      <c r="F51" s="43">
        <f>IF(ISNUMBER(D51), $B61 * E51, "")</f>
        <v>0</v>
      </c>
      <c r="G51" s="89">
        <v>26.3</v>
      </c>
      <c r="H51" s="22">
        <f>IF(ISNUMBER(G51), (G51 - $B51) / $B51, "")</f>
        <v>-7.0671378091872794E-2</v>
      </c>
      <c r="I51" s="43">
        <f>IF(ISNUMBER(G51), $B61 * H51, "")</f>
        <v>-21201.413427561838</v>
      </c>
      <c r="J51" s="89">
        <v>27.5</v>
      </c>
      <c r="K51" s="22">
        <f>IF(ISNUMBER(J51), (J51 - $B51) / $B51, "")</f>
        <v>-2.8268551236749141E-2</v>
      </c>
      <c r="L51" s="43">
        <f>IF(ISNUMBER(J51), $B61 * K51, "")</f>
        <v>-8480.5653710247425</v>
      </c>
      <c r="M51" s="89">
        <v>26.6</v>
      </c>
      <c r="N51" s="22">
        <f>IF(ISNUMBER(M51), (M51 - $B51) / $B51, "")</f>
        <v>-6.0070671378091849E-2</v>
      </c>
      <c r="O51" s="43">
        <f>IF(ISNUMBER(M51), $B61 * N51, "")</f>
        <v>-18021.201413427556</v>
      </c>
      <c r="Q51" s="229"/>
      <c r="R51" s="230"/>
    </row>
    <row r="52" spans="1:18" ht="17.25" customHeight="1">
      <c r="A52" s="11" t="s">
        <v>107</v>
      </c>
      <c r="B52" s="32">
        <v>36.9</v>
      </c>
      <c r="C52" s="5">
        <v>-0.14583333330000001</v>
      </c>
      <c r="D52" s="36">
        <v>37.200000000000003</v>
      </c>
      <c r="E52" s="5">
        <f t="shared" ref="E52:E60" si="18">IF(ISNUMBER(D52), (D52 - $B52) / $B52, "")</f>
        <v>8.1300813008131235E-3</v>
      </c>
      <c r="F52" s="44">
        <f>IF(ISNUMBER(D52), $B61 * E52, "")</f>
        <v>2439.024390243937</v>
      </c>
      <c r="G52" s="36">
        <v>35</v>
      </c>
      <c r="H52" s="5">
        <f t="shared" ref="H52:H60" si="19">IF(ISNUMBER(G52), (G52 - $B52) / $B52, "")</f>
        <v>-5.1490514905149012E-2</v>
      </c>
      <c r="I52" s="44">
        <f>IF(ISNUMBER(G52), $B61 * H52, "")</f>
        <v>-15447.154471544703</v>
      </c>
      <c r="J52" s="36">
        <v>36.1</v>
      </c>
      <c r="K52" s="5">
        <f t="shared" ref="K52:K60" si="20">IF(ISNUMBER(J52), (J52 - $B52) / $B52, "")</f>
        <v>-2.1680216802167945E-2</v>
      </c>
      <c r="L52" s="44">
        <f>IF(ISNUMBER(J52), $B61 * K52, "")</f>
        <v>-6504.0650406503837</v>
      </c>
      <c r="M52" s="36">
        <v>35.6</v>
      </c>
      <c r="N52" s="5">
        <f t="shared" ref="N52:N60" si="21">IF(ISNUMBER(M52), (M52 - $B52) / $B52, "")</f>
        <v>-3.5230352303522956E-2</v>
      </c>
      <c r="O52" s="44">
        <f>IF(ISNUMBER(M52), $B61 * N52, "")</f>
        <v>-10569.105691056888</v>
      </c>
      <c r="Q52" s="229"/>
      <c r="R52" s="230"/>
    </row>
    <row r="53" spans="1:18" ht="17.25" customHeight="1">
      <c r="A53" s="11" t="s">
        <v>133</v>
      </c>
      <c r="B53" s="32">
        <v>23.1</v>
      </c>
      <c r="C53" s="5">
        <v>-0.1507352941</v>
      </c>
      <c r="D53" s="36">
        <v>23.2</v>
      </c>
      <c r="E53" s="5">
        <f t="shared" si="18"/>
        <v>4.3290043290042362E-3</v>
      </c>
      <c r="F53" s="44">
        <f>IF(ISNUMBER(D53), $B61 * E53, "")</f>
        <v>1298.7012987012708</v>
      </c>
      <c r="G53" s="36">
        <v>22</v>
      </c>
      <c r="H53" s="5">
        <f t="shared" si="19"/>
        <v>-4.7619047619047679E-2</v>
      </c>
      <c r="I53" s="44">
        <f>IF(ISNUMBER(G53), $B61 * H53, "")</f>
        <v>-14285.714285714304</v>
      </c>
      <c r="J53" s="36">
        <v>22.6</v>
      </c>
      <c r="K53" s="5">
        <f t="shared" si="20"/>
        <v>-2.1645021645021644E-2</v>
      </c>
      <c r="L53" s="44">
        <f>IF(ISNUMBER(J53), $B61 * K53, "")</f>
        <v>-6493.5064935064929</v>
      </c>
      <c r="M53" s="36">
        <v>22.2</v>
      </c>
      <c r="N53" s="5">
        <f t="shared" si="21"/>
        <v>-3.896103896103905E-2</v>
      </c>
      <c r="O53" s="44">
        <f>IF(ISNUMBER(M53), $B61 * N53, "")</f>
        <v>-11688.311688311715</v>
      </c>
      <c r="Q53" s="229"/>
      <c r="R53" s="230"/>
    </row>
    <row r="54" spans="1:18" ht="17.25" customHeight="1">
      <c r="A54" s="11" t="s">
        <v>123</v>
      </c>
      <c r="B54" s="32">
        <v>71.8</v>
      </c>
      <c r="C54" s="5">
        <v>-0.1552941176</v>
      </c>
      <c r="D54" s="36">
        <v>72.5</v>
      </c>
      <c r="E54" s="5">
        <f t="shared" si="18"/>
        <v>9.7493036211699566E-3</v>
      </c>
      <c r="F54" s="44">
        <f>IF(ISNUMBER(D54), $B61 * E54, "")</f>
        <v>2924.7910863509869</v>
      </c>
      <c r="G54" s="36">
        <v>67.900000000000006</v>
      </c>
      <c r="H54" s="5">
        <f t="shared" si="19"/>
        <v>-5.4317548746517987E-2</v>
      </c>
      <c r="I54" s="44">
        <f>IF(ISNUMBER(G54), $B61 * H54, "")</f>
        <v>-16295.264623955396</v>
      </c>
      <c r="J54" s="36">
        <v>70</v>
      </c>
      <c r="K54" s="5">
        <f t="shared" si="20"/>
        <v>-2.5069637883008318E-2</v>
      </c>
      <c r="L54" s="44">
        <f>IF(ISNUMBER(J54), $B61 * K54, "")</f>
        <v>-7520.8913649024953</v>
      </c>
      <c r="M54" s="36">
        <v>67.400000000000006</v>
      </c>
      <c r="N54" s="5">
        <f t="shared" si="21"/>
        <v>-6.1281337047353647E-2</v>
      </c>
      <c r="O54" s="44">
        <f>IF(ISNUMBER(M54), $B61 * N54, "")</f>
        <v>-18384.401114206095</v>
      </c>
      <c r="Q54" s="229"/>
      <c r="R54" s="230"/>
    </row>
    <row r="55" spans="1:18" ht="17.25" customHeight="1">
      <c r="A55" s="8" t="s">
        <v>135</v>
      </c>
      <c r="B55" s="33">
        <v>28.2</v>
      </c>
      <c r="C55" s="24">
        <v>-0.1582089552</v>
      </c>
      <c r="D55" s="37">
        <v>28.3</v>
      </c>
      <c r="E55" s="24">
        <f t="shared" si="18"/>
        <v>3.5460992907801925E-3</v>
      </c>
      <c r="F55" s="44">
        <f>IF(ISNUMBER(D55), $B61 * E55, "")</f>
        <v>1063.8297872340577</v>
      </c>
      <c r="G55" s="37">
        <v>27</v>
      </c>
      <c r="H55" s="24">
        <f t="shared" si="19"/>
        <v>-4.255319148936168E-2</v>
      </c>
      <c r="I55" s="44">
        <f>IF(ISNUMBER(G55), $B61 * H55, "")</f>
        <v>-12765.957446808505</v>
      </c>
      <c r="J55" s="37">
        <v>27.8</v>
      </c>
      <c r="K55" s="24">
        <f t="shared" si="20"/>
        <v>-1.4184397163120517E-2</v>
      </c>
      <c r="L55" s="44">
        <f>IF(ISNUMBER(J55), $B61 * K55, "")</f>
        <v>-4255.3191489361552</v>
      </c>
      <c r="M55" s="37">
        <v>27.1</v>
      </c>
      <c r="N55" s="24">
        <f t="shared" si="21"/>
        <v>-3.9007092198581485E-2</v>
      </c>
      <c r="O55" s="44">
        <f>IF(ISNUMBER(M55), $B61 * N55, "")</f>
        <v>-11702.127659574446</v>
      </c>
      <c r="Q55" s="229"/>
      <c r="R55" s="230"/>
    </row>
    <row r="56" spans="1:18" ht="17.25" customHeight="1">
      <c r="A56" s="11" t="s">
        <v>145</v>
      </c>
      <c r="B56" s="32">
        <v>44</v>
      </c>
      <c r="C56" s="5">
        <v>-0.15869980880000001</v>
      </c>
      <c r="D56" s="36">
        <v>45.7</v>
      </c>
      <c r="E56" s="5">
        <f t="shared" si="18"/>
        <v>3.8636363636363698E-2</v>
      </c>
      <c r="F56" s="48">
        <f>IF(ISNUMBER(D56), $B61 * E56, "")</f>
        <v>11590.90909090911</v>
      </c>
      <c r="G56" s="36">
        <v>43.9</v>
      </c>
      <c r="H56" s="5">
        <f t="shared" si="19"/>
        <v>-2.2727272727273051E-3</v>
      </c>
      <c r="I56" s="48">
        <f>IF(ISNUMBER(G56), $B61 * H56, "")</f>
        <v>-681.81818181819153</v>
      </c>
      <c r="J56" s="36">
        <v>45.2</v>
      </c>
      <c r="K56" s="5">
        <f t="shared" si="20"/>
        <v>2.7272727272727337E-2</v>
      </c>
      <c r="L56" s="48">
        <f>IF(ISNUMBER(J56), $B61 * K56, "")</f>
        <v>8181.8181818182011</v>
      </c>
      <c r="M56" s="36">
        <v>44.3</v>
      </c>
      <c r="N56" s="5">
        <f t="shared" si="21"/>
        <v>6.8181818181817537E-3</v>
      </c>
      <c r="O56" s="48">
        <f>IF(ISNUMBER(M56), $B61 * N56, "")</f>
        <v>2045.4545454545262</v>
      </c>
      <c r="Q56" s="229"/>
      <c r="R56" s="230"/>
    </row>
    <row r="57" spans="1:18" ht="17.25" customHeight="1">
      <c r="A57" s="11" t="s">
        <v>163</v>
      </c>
      <c r="B57" s="32">
        <v>56.4</v>
      </c>
      <c r="C57" s="5">
        <v>-0.16691285080000001</v>
      </c>
      <c r="D57" s="36">
        <v>61.8</v>
      </c>
      <c r="E57" s="5">
        <f t="shared" si="18"/>
        <v>9.5744680851063801E-2</v>
      </c>
      <c r="F57" s="44">
        <f>IF(ISNUMBER(D57), $B61 * E57, "")</f>
        <v>28723.404255319139</v>
      </c>
      <c r="G57" s="36">
        <v>57.9</v>
      </c>
      <c r="H57" s="5">
        <f t="shared" si="19"/>
        <v>2.6595744680851064E-2</v>
      </c>
      <c r="I57" s="44">
        <f>IF(ISNUMBER(G57), $B61 * H57, "")</f>
        <v>7978.7234042553191</v>
      </c>
      <c r="J57" s="36">
        <v>59.2</v>
      </c>
      <c r="K57" s="5">
        <f t="shared" si="20"/>
        <v>4.9645390070922064E-2</v>
      </c>
      <c r="L57" s="44">
        <f>IF(ISNUMBER(J57), $B61 * K57, "")</f>
        <v>14893.617021276619</v>
      </c>
      <c r="M57" s="36">
        <v>56.7</v>
      </c>
      <c r="N57" s="5">
        <f t="shared" si="21"/>
        <v>5.3191489361702881E-3</v>
      </c>
      <c r="O57" s="44">
        <f>IF(ISNUMBER(M57), $B61 * N57, "")</f>
        <v>1595.7446808510865</v>
      </c>
      <c r="Q57" s="229"/>
      <c r="R57" s="230"/>
    </row>
    <row r="58" spans="1:18" ht="17.25" customHeight="1">
      <c r="A58" s="11" t="s">
        <v>95</v>
      </c>
      <c r="B58" s="32">
        <v>38</v>
      </c>
      <c r="C58" s="5">
        <v>-0.27756653990000002</v>
      </c>
      <c r="D58" s="36">
        <v>36.200000000000003</v>
      </c>
      <c r="E58" s="5">
        <f t="shared" si="18"/>
        <v>-4.7368421052631504E-2</v>
      </c>
      <c r="F58" s="44">
        <f>IF(ISNUMBER(D58), $B61 * E58, "")</f>
        <v>-14210.526315789451</v>
      </c>
      <c r="G58" s="36">
        <v>33.700000000000003</v>
      </c>
      <c r="H58" s="5">
        <f t="shared" si="19"/>
        <v>-0.11315789473684203</v>
      </c>
      <c r="I58" s="44">
        <f>IF(ISNUMBER(G58), $B61 * H58, "")</f>
        <v>-33947.368421052612</v>
      </c>
      <c r="J58" s="36">
        <v>35.4</v>
      </c>
      <c r="K58" s="5">
        <f t="shared" si="20"/>
        <v>-6.842105263157898E-2</v>
      </c>
      <c r="L58" s="44">
        <f>IF(ISNUMBER(J58), $B61 * K58, "")</f>
        <v>-20526.315789473694</v>
      </c>
      <c r="M58" s="36">
        <v>34.5</v>
      </c>
      <c r="N58" s="5">
        <f t="shared" si="21"/>
        <v>-9.2105263157894732E-2</v>
      </c>
      <c r="O58" s="44">
        <f>IF(ISNUMBER(M58), $B61 * N58, "")</f>
        <v>-27631.57894736842</v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300000</v>
      </c>
      <c r="C61" s="236"/>
      <c r="D61" s="57" t="s">
        <v>82</v>
      </c>
      <c r="E61" s="46">
        <f>IF(COUNT(E51:E60), SUM(E51:E60) / COUNT(E51:E60), 0)</f>
        <v>1.4095888997070437E-2</v>
      </c>
      <c r="F61" s="47">
        <f>SUM(F51:F60)</f>
        <v>33830.133592969054</v>
      </c>
      <c r="G61" s="57" t="s">
        <v>82</v>
      </c>
      <c r="H61" s="46">
        <f>IF(COUNT(H51:H60), SUM(H51:H60) / COUNT(H51:H60), 0)</f>
        <v>-4.4435819772583422E-2</v>
      </c>
      <c r="I61" s="47">
        <f>SUM(I51:I60)</f>
        <v>-106645.96745420023</v>
      </c>
      <c r="J61" s="57" t="s">
        <v>82</v>
      </c>
      <c r="K61" s="46">
        <f>IF(COUNT(K51:K60), SUM(K51:K60) / COUNT(K51:K60), 0)</f>
        <v>-1.2793845002249643E-2</v>
      </c>
      <c r="L61" s="47">
        <f>SUM(L51:L60)</f>
        <v>-30705.228005399142</v>
      </c>
      <c r="M61" s="57" t="s">
        <v>82</v>
      </c>
      <c r="N61" s="46">
        <f>IF(COUNT(N51:N60), SUM(N51:N60) / COUNT(N51:N60), 0)</f>
        <v>-3.9314803036516459E-2</v>
      </c>
      <c r="O61" s="47">
        <f>SUM(O51:O60)</f>
        <v>-94355.527287639503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72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74" t="s">
        <v>70</v>
      </c>
      <c r="M67" s="18" t="s">
        <v>67</v>
      </c>
      <c r="N67" s="4" t="s">
        <v>68</v>
      </c>
      <c r="O67" s="175" t="s">
        <v>70</v>
      </c>
      <c r="Q67" s="231"/>
      <c r="R67" s="232"/>
    </row>
    <row r="68" spans="1:18" ht="17.25" customHeight="1">
      <c r="A68" s="9" t="s">
        <v>94</v>
      </c>
      <c r="B68" s="31">
        <v>419</v>
      </c>
      <c r="C68" s="22">
        <v>0.14480874320000001</v>
      </c>
      <c r="D68" s="89">
        <v>435</v>
      </c>
      <c r="E68" s="22">
        <f>IF(ISNUMBER(D68), (D68 - $B68) / $B68, "")</f>
        <v>3.8186157517899763E-2</v>
      </c>
      <c r="F68" s="43">
        <f>IF(ISNUMBER(D68), $B78 * E68, "")</f>
        <v>11455.847255369928</v>
      </c>
      <c r="G68" s="89">
        <v>530</v>
      </c>
      <c r="H68" s="22">
        <f>IF(ISNUMBER(G68), (G68 - $B68) / $B68, "")</f>
        <v>0.2649164677804296</v>
      </c>
      <c r="I68" s="43">
        <f>IF(ISNUMBER(G68), $B78 * H68, "")</f>
        <v>79474.940334128885</v>
      </c>
      <c r="J68" s="89">
        <v>518</v>
      </c>
      <c r="K68" s="22">
        <f>IF(ISNUMBER(J68), (J68 - $B68) / $B68, "")</f>
        <v>0.23627684964200477</v>
      </c>
      <c r="L68" s="43">
        <f>IF(ISNUMBER(J68), $B78 * K68, "")</f>
        <v>70883.054892601431</v>
      </c>
      <c r="M68" s="89">
        <v>467</v>
      </c>
      <c r="N68" s="22">
        <f>IF(ISNUMBER(M68), (M68 - $B68) / $B68, "")</f>
        <v>0.11455847255369929</v>
      </c>
      <c r="O68" s="43">
        <f>IF(ISNUMBER(M68), $B78 * N68, "")</f>
        <v>34367.541766109789</v>
      </c>
      <c r="Q68" s="229"/>
      <c r="R68" s="230"/>
    </row>
    <row r="69" spans="1:18" ht="17.25" customHeight="1">
      <c r="A69" s="11" t="s">
        <v>142</v>
      </c>
      <c r="B69" s="32">
        <v>231</v>
      </c>
      <c r="C69" s="5">
        <v>3.125E-2</v>
      </c>
      <c r="D69" s="36">
        <v>215</v>
      </c>
      <c r="E69" s="5">
        <f t="shared" ref="E69:E77" si="22">IF(ISNUMBER(D69), (D69 - $B69) / $B69, "")</f>
        <v>-6.9264069264069264E-2</v>
      </c>
      <c r="F69" s="44">
        <f>IF(ISNUMBER(D69), $B78 * E69, "")</f>
        <v>-20779.220779220781</v>
      </c>
      <c r="G69" s="36">
        <v>205</v>
      </c>
      <c r="H69" s="5">
        <f t="shared" ref="H69:H77" si="23">IF(ISNUMBER(G69), (G69 - $B69) / $B69, "")</f>
        <v>-0.11255411255411256</v>
      </c>
      <c r="I69" s="44">
        <f>IF(ISNUMBER(G69), $B78 * H69, "")</f>
        <v>-33766.233766233767</v>
      </c>
      <c r="J69" s="36">
        <v>213</v>
      </c>
      <c r="K69" s="5">
        <f t="shared" ref="K69:K77" si="24">IF(ISNUMBER(J69), (J69 - $B69) / $B69, "")</f>
        <v>-7.792207792207792E-2</v>
      </c>
      <c r="L69" s="44">
        <f>IF(ISNUMBER(J69), $B78 * K69, "")</f>
        <v>-23376.623376623374</v>
      </c>
      <c r="M69" s="36">
        <v>208</v>
      </c>
      <c r="N69" s="5">
        <f t="shared" ref="N69:N77" si="25">IF(ISNUMBER(M69), (M69 - $B69) / $B69, "")</f>
        <v>-9.9567099567099568E-2</v>
      </c>
      <c r="O69" s="44">
        <f>IF(ISNUMBER(M69), $B78 * N69, "")</f>
        <v>-29870.129870129869</v>
      </c>
      <c r="Q69" s="229"/>
      <c r="R69" s="230"/>
    </row>
    <row r="70" spans="1:18" ht="17.25" customHeight="1">
      <c r="A70" s="11" t="s">
        <v>126</v>
      </c>
      <c r="B70" s="32">
        <v>277</v>
      </c>
      <c r="C70" s="5">
        <v>-5.7823129299999998E-2</v>
      </c>
      <c r="D70" s="36">
        <v>329</v>
      </c>
      <c r="E70" s="5">
        <f t="shared" si="22"/>
        <v>0.18772563176895307</v>
      </c>
      <c r="F70" s="44">
        <f>IF(ISNUMBER(D70), $B78 * E70, "")</f>
        <v>56317.689530685922</v>
      </c>
      <c r="G70" s="36">
        <v>313</v>
      </c>
      <c r="H70" s="5">
        <f t="shared" si="23"/>
        <v>0.1299638989169675</v>
      </c>
      <c r="I70" s="44">
        <f>IF(ISNUMBER(G70), $B78 * H70, "")</f>
        <v>38989.169675090248</v>
      </c>
      <c r="J70" s="36">
        <v>322</v>
      </c>
      <c r="K70" s="5">
        <f t="shared" si="24"/>
        <v>0.16245487364620939</v>
      </c>
      <c r="L70" s="44">
        <f>IF(ISNUMBER(J70), $B78 * K70, "")</f>
        <v>48736.462093862814</v>
      </c>
      <c r="M70" s="36">
        <v>305</v>
      </c>
      <c r="N70" s="5">
        <f t="shared" si="25"/>
        <v>0.10108303249097472</v>
      </c>
      <c r="O70" s="44">
        <f>IF(ISNUMBER(M70), $B78 * N70, "")</f>
        <v>30324.909747292415</v>
      </c>
      <c r="Q70" s="229"/>
      <c r="R70" s="230"/>
    </row>
    <row r="71" spans="1:18" ht="17.25" customHeight="1">
      <c r="A71" s="11" t="s">
        <v>122</v>
      </c>
      <c r="B71" s="32">
        <v>288</v>
      </c>
      <c r="C71" s="5">
        <v>-7.6923076899999998E-2</v>
      </c>
      <c r="D71" s="36">
        <v>310</v>
      </c>
      <c r="E71" s="5">
        <f t="shared" si="22"/>
        <v>7.6388888888888895E-2</v>
      </c>
      <c r="F71" s="44">
        <f>IF(ISNUMBER(D71), $B78 * E71, "")</f>
        <v>22916.666666666668</v>
      </c>
      <c r="G71" s="36">
        <v>325</v>
      </c>
      <c r="H71" s="5">
        <f t="shared" si="23"/>
        <v>0.12847222222222221</v>
      </c>
      <c r="I71" s="44">
        <f>IF(ISNUMBER(G71), $B78 * H71, "")</f>
        <v>38541.666666666664</v>
      </c>
      <c r="J71" s="36">
        <v>310</v>
      </c>
      <c r="K71" s="5">
        <f t="shared" si="24"/>
        <v>7.6388888888888895E-2</v>
      </c>
      <c r="L71" s="44">
        <f>IF(ISNUMBER(J71), $B78 * K71, "")</f>
        <v>22916.666666666668</v>
      </c>
      <c r="M71" s="36">
        <v>316</v>
      </c>
      <c r="N71" s="5">
        <f t="shared" si="25"/>
        <v>9.7222222222222224E-2</v>
      </c>
      <c r="O71" s="44">
        <f>IF(ISNUMBER(M71), $B78 * N71, "")</f>
        <v>29166.666666666668</v>
      </c>
      <c r="Q71" s="229"/>
      <c r="R71" s="230"/>
    </row>
    <row r="72" spans="1:18" ht="17.25" customHeight="1">
      <c r="A72" s="8" t="s">
        <v>127</v>
      </c>
      <c r="B72" s="33">
        <v>200</v>
      </c>
      <c r="C72" s="24">
        <v>-9.0909090900000003E-2</v>
      </c>
      <c r="D72" s="37">
        <v>201</v>
      </c>
      <c r="E72" s="24">
        <f t="shared" si="22"/>
        <v>5.0000000000000001E-3</v>
      </c>
      <c r="F72" s="44">
        <f>IF(ISNUMBER(D72), $B78 * E72, "")</f>
        <v>1500</v>
      </c>
      <c r="G72" s="37">
        <v>194</v>
      </c>
      <c r="H72" s="24">
        <f t="shared" si="23"/>
        <v>-0.03</v>
      </c>
      <c r="I72" s="44">
        <f>IF(ISNUMBER(G72), $B78 * H72, "")</f>
        <v>-9000</v>
      </c>
      <c r="J72" s="37">
        <v>199</v>
      </c>
      <c r="K72" s="24">
        <f t="shared" si="24"/>
        <v>-5.0000000000000001E-3</v>
      </c>
      <c r="L72" s="44">
        <f>IF(ISNUMBER(J72), $B78 * K72, "")</f>
        <v>-1500</v>
      </c>
      <c r="M72" s="37">
        <v>194</v>
      </c>
      <c r="N72" s="24">
        <f t="shared" si="25"/>
        <v>-0.03</v>
      </c>
      <c r="O72" s="44">
        <f>IF(ISNUMBER(M72), $B78 * N72, "")</f>
        <v>-9000</v>
      </c>
      <c r="Q72" s="229"/>
      <c r="R72" s="230"/>
    </row>
    <row r="73" spans="1:18" ht="17.25" customHeight="1">
      <c r="A73" s="11" t="s">
        <v>118</v>
      </c>
      <c r="B73" s="32">
        <v>299</v>
      </c>
      <c r="C73" s="5">
        <v>-0.1047904192</v>
      </c>
      <c r="D73" s="36">
        <v>305</v>
      </c>
      <c r="E73" s="5">
        <f t="shared" si="22"/>
        <v>2.0066889632107024E-2</v>
      </c>
      <c r="F73" s="48">
        <f>IF(ISNUMBER(D73), $B78 * E73, "")</f>
        <v>6020.0668896321067</v>
      </c>
      <c r="G73" s="36">
        <v>308</v>
      </c>
      <c r="H73" s="5">
        <f t="shared" si="23"/>
        <v>3.0100334448160536E-2</v>
      </c>
      <c r="I73" s="48">
        <f>IF(ISNUMBER(G73), $B78 * H73, "")</f>
        <v>9030.1003344481614</v>
      </c>
      <c r="J73" s="36">
        <v>309</v>
      </c>
      <c r="K73" s="5">
        <f t="shared" si="24"/>
        <v>3.3444816053511704E-2</v>
      </c>
      <c r="L73" s="48">
        <f>IF(ISNUMBER(J73), $B78 * K73, "")</f>
        <v>10033.444816053512</v>
      </c>
      <c r="M73" s="36">
        <v>310</v>
      </c>
      <c r="N73" s="5">
        <f t="shared" si="25"/>
        <v>3.678929765886288E-2</v>
      </c>
      <c r="O73" s="48">
        <f>IF(ISNUMBER(M73), $B78 * N73, "")</f>
        <v>11036.789297658865</v>
      </c>
      <c r="Q73" s="229"/>
      <c r="R73" s="230"/>
    </row>
    <row r="74" spans="1:18" ht="17.25" customHeight="1">
      <c r="A74" s="11" t="s">
        <v>140</v>
      </c>
      <c r="B74" s="32">
        <v>413</v>
      </c>
      <c r="C74" s="5">
        <v>-0.1060606061</v>
      </c>
      <c r="D74" s="36">
        <v>425</v>
      </c>
      <c r="E74" s="5">
        <f t="shared" si="22"/>
        <v>2.9055690072639227E-2</v>
      </c>
      <c r="F74" s="44">
        <f>IF(ISNUMBER(D74), $B78 * E74, "")</f>
        <v>8716.7070217917681</v>
      </c>
      <c r="G74" s="36">
        <v>408</v>
      </c>
      <c r="H74" s="5">
        <f t="shared" si="23"/>
        <v>-1.2106537530266344E-2</v>
      </c>
      <c r="I74" s="44">
        <f>IF(ISNUMBER(G74), $B78 * H74, "")</f>
        <v>-3631.9612590799029</v>
      </c>
      <c r="J74" s="36">
        <v>420</v>
      </c>
      <c r="K74" s="5">
        <f t="shared" si="24"/>
        <v>1.6949152542372881E-2</v>
      </c>
      <c r="L74" s="44">
        <f>IF(ISNUMBER(J74), $B78 * K74, "")</f>
        <v>5084.7457627118647</v>
      </c>
      <c r="M74" s="36">
        <v>399</v>
      </c>
      <c r="N74" s="5">
        <f t="shared" si="25"/>
        <v>-3.3898305084745763E-2</v>
      </c>
      <c r="O74" s="44">
        <f>IF(ISNUMBER(M74), $B78 * N74, "")</f>
        <v>-10169.491525423729</v>
      </c>
      <c r="Q74" s="229"/>
      <c r="R74" s="230"/>
    </row>
    <row r="75" spans="1:18" ht="17.25" customHeight="1">
      <c r="A75" s="11" t="s">
        <v>130</v>
      </c>
      <c r="B75" s="32">
        <v>396</v>
      </c>
      <c r="C75" s="5">
        <v>-0.1081081081</v>
      </c>
      <c r="D75" s="36">
        <v>404</v>
      </c>
      <c r="E75" s="5">
        <f t="shared" si="22"/>
        <v>2.0202020202020204E-2</v>
      </c>
      <c r="F75" s="44">
        <f>IF(ISNUMBER(D75), $B78 * E75, "")</f>
        <v>6060.606060606061</v>
      </c>
      <c r="G75" s="36">
        <v>385</v>
      </c>
      <c r="H75" s="5">
        <f t="shared" si="23"/>
        <v>-2.7777777777777776E-2</v>
      </c>
      <c r="I75" s="44">
        <f>IF(ISNUMBER(G75), $B78 * H75, "")</f>
        <v>-8333.3333333333321</v>
      </c>
      <c r="J75" s="36">
        <v>395</v>
      </c>
      <c r="K75" s="5">
        <f t="shared" si="24"/>
        <v>-2.5252525252525255E-3</v>
      </c>
      <c r="L75" s="44">
        <f>IF(ISNUMBER(J75), $B78 * K75, "")</f>
        <v>-757.57575757575762</v>
      </c>
      <c r="M75" s="36">
        <v>375</v>
      </c>
      <c r="N75" s="5">
        <f t="shared" si="25"/>
        <v>-5.3030303030303032E-2</v>
      </c>
      <c r="O75" s="44">
        <f>IF(ISNUMBER(M75), $B78 * N75, "")</f>
        <v>-15909.09090909091</v>
      </c>
      <c r="Q75" s="229"/>
      <c r="R75" s="230"/>
    </row>
    <row r="76" spans="1:18" ht="17.25" customHeight="1">
      <c r="A76" s="11" t="s">
        <v>104</v>
      </c>
      <c r="B76" s="32">
        <v>618</v>
      </c>
      <c r="C76" s="5">
        <v>-0.1082251082</v>
      </c>
      <c r="D76" s="36">
        <v>626</v>
      </c>
      <c r="E76" s="5">
        <f t="shared" si="22"/>
        <v>1.2944983818770227E-2</v>
      </c>
      <c r="F76" s="44">
        <f>IF(ISNUMBER(D76), $B78 * E76, "")</f>
        <v>3883.4951456310682</v>
      </c>
      <c r="G76" s="36">
        <v>592</v>
      </c>
      <c r="H76" s="5">
        <f t="shared" si="23"/>
        <v>-4.2071197411003236E-2</v>
      </c>
      <c r="I76" s="44">
        <f>IF(ISNUMBER(G76), $B78 * H76, "")</f>
        <v>-12621.359223300971</v>
      </c>
      <c r="J76" s="36">
        <v>637</v>
      </c>
      <c r="K76" s="5">
        <f t="shared" si="24"/>
        <v>3.0744336569579287E-2</v>
      </c>
      <c r="L76" s="44">
        <f>IF(ISNUMBER(J76), $B78 * K76, "")</f>
        <v>9223.3009708737864</v>
      </c>
      <c r="M76" s="36">
        <v>596</v>
      </c>
      <c r="N76" s="5">
        <f t="shared" si="25"/>
        <v>-3.5598705501618123E-2</v>
      </c>
      <c r="O76" s="44">
        <f>IF(ISNUMBER(M76), $B78 * N76, "")</f>
        <v>-10679.611650485436</v>
      </c>
      <c r="Q76" s="231"/>
      <c r="R76" s="232"/>
    </row>
    <row r="77" spans="1:18" ht="17.25" customHeight="1" thickBot="1">
      <c r="A77" s="13" t="s">
        <v>138</v>
      </c>
      <c r="B77" s="34">
        <v>214</v>
      </c>
      <c r="C77" s="16">
        <v>-0.112033195</v>
      </c>
      <c r="D77" s="38">
        <v>215</v>
      </c>
      <c r="E77" s="16">
        <f t="shared" si="22"/>
        <v>4.6728971962616819E-3</v>
      </c>
      <c r="F77" s="45">
        <f>IF(ISNUMBER(D77), $B78 * E77, "")</f>
        <v>1401.8691588785045</v>
      </c>
      <c r="G77" s="38">
        <v>203</v>
      </c>
      <c r="H77" s="16">
        <f t="shared" si="23"/>
        <v>-5.1401869158878503E-2</v>
      </c>
      <c r="I77" s="45">
        <f>IF(ISNUMBER(G77), $B78 * H77, "")</f>
        <v>-15420.560747663551</v>
      </c>
      <c r="J77" s="38">
        <v>211</v>
      </c>
      <c r="K77" s="16">
        <f t="shared" si="24"/>
        <v>-1.4018691588785047E-2</v>
      </c>
      <c r="L77" s="45">
        <f>IF(ISNUMBER(J77), $B78 * K77, "")</f>
        <v>-4205.6074766355141</v>
      </c>
      <c r="M77" s="38">
        <v>203</v>
      </c>
      <c r="N77" s="16">
        <f t="shared" si="25"/>
        <v>-5.1401869158878503E-2</v>
      </c>
      <c r="O77" s="45">
        <f>IF(ISNUMBER(M77), $B78 * N77, "")</f>
        <v>-15420.560747663551</v>
      </c>
      <c r="Q77" s="231"/>
      <c r="R77" s="232"/>
    </row>
    <row r="78" spans="1:18" ht="17.25" customHeight="1" thickBot="1">
      <c r="A78" s="57" t="s">
        <v>32</v>
      </c>
      <c r="B78" s="235">
        <v>300000</v>
      </c>
      <c r="C78" s="236"/>
      <c r="D78" s="57" t="s">
        <v>82</v>
      </c>
      <c r="E78" s="46">
        <f>IF(COUNT(E68:E77), SUM(E68:E77) / COUNT(E68:E77), 0)</f>
        <v>3.249790898334709E-2</v>
      </c>
      <c r="F78" s="47">
        <f>SUM(F68:F77)</f>
        <v>97493.726950041237</v>
      </c>
      <c r="G78" s="57" t="s">
        <v>82</v>
      </c>
      <c r="H78" s="46">
        <f>IF(COUNT(H68:H77), SUM(H68:H77) / COUNT(H68:H77), 0)</f>
        <v>2.775414289357413E-2</v>
      </c>
      <c r="I78" s="47">
        <f>SUM(I68:I77)</f>
        <v>83262.428680722427</v>
      </c>
      <c r="J78" s="57" t="s">
        <v>82</v>
      </c>
      <c r="K78" s="46">
        <f>IF(COUNT(K68:K77), SUM(K68:K77) / COUNT(K68:K77), 0)</f>
        <v>4.5679289530645137E-2</v>
      </c>
      <c r="L78" s="47">
        <f>SUM(L68:L77)</f>
        <v>137037.86859193543</v>
      </c>
      <c r="M78" s="57" t="s">
        <v>82</v>
      </c>
      <c r="N78" s="46">
        <f>IF(COUNT(N68:N77), SUM(N68:N77) / COUNT(N68:N77), 0)</f>
        <v>4.615674258311415E-3</v>
      </c>
      <c r="O78" s="47">
        <f>SUM(O68:O77)</f>
        <v>13847.022774934236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72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74" t="s">
        <v>70</v>
      </c>
      <c r="M84" s="18" t="s">
        <v>67</v>
      </c>
      <c r="N84" s="4" t="s">
        <v>68</v>
      </c>
      <c r="O84" s="175" t="s">
        <v>70</v>
      </c>
      <c r="Q84" s="231"/>
      <c r="R84" s="232"/>
    </row>
    <row r="85" spans="1:18" ht="17.25" customHeight="1">
      <c r="A85" s="9" t="s">
        <v>150</v>
      </c>
      <c r="B85" s="31">
        <v>252</v>
      </c>
      <c r="C85" s="22">
        <v>-0.1219512195</v>
      </c>
      <c r="D85" s="89">
        <v>265</v>
      </c>
      <c r="E85" s="22">
        <f>IF(ISNUMBER(D85), (D85 - $B85) / $B85, "")</f>
        <v>5.1587301587301584E-2</v>
      </c>
      <c r="F85" s="43">
        <f>IF(ISNUMBER(D85), $B95 * E85, "")</f>
        <v>15476.190476190475</v>
      </c>
      <c r="G85" s="89">
        <v>253</v>
      </c>
      <c r="H85" s="22">
        <f>IF(ISNUMBER(G85), (G85 - $B85) / $B85, "")</f>
        <v>3.968253968253968E-3</v>
      </c>
      <c r="I85" s="43">
        <f>IF(ISNUMBER(G85), $B95 * H85, "")</f>
        <v>1190.4761904761904</v>
      </c>
      <c r="J85" s="89">
        <v>259</v>
      </c>
      <c r="K85" s="22">
        <f>IF(ISNUMBER(J85), (J85 - $B85) / $B85, "")</f>
        <v>2.7777777777777776E-2</v>
      </c>
      <c r="L85" s="43">
        <f>IF(ISNUMBER(J85), $B95 * K85, "")</f>
        <v>8333.3333333333321</v>
      </c>
      <c r="M85" s="89">
        <v>248</v>
      </c>
      <c r="N85" s="22">
        <f>IF(ISNUMBER(M85), (M85 - $B85) / $B85, "")</f>
        <v>-1.5873015873015872E-2</v>
      </c>
      <c r="O85" s="43">
        <f>IF(ISNUMBER(M85), $B95 * N85, "")</f>
        <v>-4761.9047619047615</v>
      </c>
      <c r="Q85" s="229"/>
      <c r="R85" s="230"/>
    </row>
    <row r="86" spans="1:18" ht="17.25" customHeight="1">
      <c r="A86" s="11" t="s">
        <v>101</v>
      </c>
      <c r="B86" s="32">
        <v>223</v>
      </c>
      <c r="C86" s="5">
        <v>-0.12204724409999999</v>
      </c>
      <c r="D86" s="36">
        <v>232</v>
      </c>
      <c r="E86" s="5">
        <f t="shared" ref="E86:E94" si="26">IF(ISNUMBER(D86), (D86 - $B86) / $B86, "")</f>
        <v>4.0358744394618833E-2</v>
      </c>
      <c r="F86" s="44">
        <f>IF(ISNUMBER(D86), $B95 * E86, "")</f>
        <v>12107.623318385649</v>
      </c>
      <c r="G86" s="36">
        <v>221</v>
      </c>
      <c r="H86" s="5">
        <f t="shared" ref="H86:H94" si="27">IF(ISNUMBER(G86), (G86 - $B86) / $B86, "")</f>
        <v>-8.9686098654708519E-3</v>
      </c>
      <c r="I86" s="44">
        <f>IF(ISNUMBER(G86), $B95 * H86, "")</f>
        <v>-2690.5829596412555</v>
      </c>
      <c r="J86" s="36">
        <v>228</v>
      </c>
      <c r="K86" s="5">
        <f t="shared" ref="K86:K94" si="28">IF(ISNUMBER(J86), (J86 - $B86) / $B86, "")</f>
        <v>2.2421524663677129E-2</v>
      </c>
      <c r="L86" s="44">
        <f>IF(ISNUMBER(J86), $B95 * K86, "")</f>
        <v>6726.4573991031384</v>
      </c>
      <c r="M86" s="36">
        <v>223</v>
      </c>
      <c r="N86" s="5">
        <f t="shared" ref="N86:N94" si="29">IF(ISNUMBER(M86), (M86 - $B86) / $B86, "")</f>
        <v>0</v>
      </c>
      <c r="O86" s="44">
        <f>IF(ISNUMBER(M86), $B95 * N86, "")</f>
        <v>0</v>
      </c>
      <c r="Q86" s="229"/>
      <c r="R86" s="230"/>
    </row>
    <row r="87" spans="1:18" ht="17.25" customHeight="1">
      <c r="A87" s="11" t="s">
        <v>164</v>
      </c>
      <c r="B87" s="32">
        <v>176</v>
      </c>
      <c r="C87" s="5">
        <v>-0.1243781095</v>
      </c>
      <c r="D87" s="36">
        <v>187</v>
      </c>
      <c r="E87" s="5">
        <f t="shared" si="26"/>
        <v>6.25E-2</v>
      </c>
      <c r="F87" s="44">
        <f>IF(ISNUMBER(D87), $B95 * E87, "")</f>
        <v>18750</v>
      </c>
      <c r="G87" s="36">
        <v>179</v>
      </c>
      <c r="H87" s="5">
        <f t="shared" si="27"/>
        <v>1.7045454545454544E-2</v>
      </c>
      <c r="I87" s="44">
        <f>IF(ISNUMBER(G87), $B95 * H87, "")</f>
        <v>5113.6363636363631</v>
      </c>
      <c r="J87" s="36">
        <v>182</v>
      </c>
      <c r="K87" s="5">
        <f t="shared" si="28"/>
        <v>3.4090909090909088E-2</v>
      </c>
      <c r="L87" s="44">
        <f>IF(ISNUMBER(J87), $B95 * K87, "")</f>
        <v>10227.272727272726</v>
      </c>
      <c r="M87" s="36">
        <v>175</v>
      </c>
      <c r="N87" s="5">
        <f t="shared" si="29"/>
        <v>-5.681818181818182E-3</v>
      </c>
      <c r="O87" s="44">
        <f>IF(ISNUMBER(M87), $B95 * N87, "")</f>
        <v>-1704.5454545454545</v>
      </c>
      <c r="Q87" s="229"/>
      <c r="R87" s="230"/>
    </row>
    <row r="88" spans="1:18" ht="17.25" customHeight="1">
      <c r="A88" s="11" t="s">
        <v>110</v>
      </c>
      <c r="B88" s="32">
        <v>579</v>
      </c>
      <c r="C88" s="5">
        <v>-0.1253776435</v>
      </c>
      <c r="D88" s="36">
        <v>591</v>
      </c>
      <c r="E88" s="5">
        <f t="shared" si="26"/>
        <v>2.072538860103627E-2</v>
      </c>
      <c r="F88" s="44">
        <f>IF(ISNUMBER(D88), $B95 * E88, "")</f>
        <v>6217.6165803108806</v>
      </c>
      <c r="G88" s="36">
        <v>556</v>
      </c>
      <c r="H88" s="5">
        <f t="shared" si="27"/>
        <v>-3.9723661485319514E-2</v>
      </c>
      <c r="I88" s="44">
        <f>IF(ISNUMBER(G88), $B95 * H88, "")</f>
        <v>-11917.098445595855</v>
      </c>
      <c r="J88" s="36">
        <v>578</v>
      </c>
      <c r="K88" s="5">
        <f t="shared" si="28"/>
        <v>-1.7271157167530224E-3</v>
      </c>
      <c r="L88" s="44">
        <f>IF(ISNUMBER(J88), $B95 * K88, "")</f>
        <v>-518.13471502590676</v>
      </c>
      <c r="M88" s="36">
        <v>569</v>
      </c>
      <c r="N88" s="5">
        <f t="shared" si="29"/>
        <v>-1.7271157167530225E-2</v>
      </c>
      <c r="O88" s="44">
        <f>IF(ISNUMBER(M88), $B95 * N88, "")</f>
        <v>-5181.3471502590673</v>
      </c>
      <c r="Q88" s="229"/>
      <c r="R88" s="230"/>
    </row>
    <row r="89" spans="1:18" ht="17.25" customHeight="1">
      <c r="A89" s="8" t="s">
        <v>161</v>
      </c>
      <c r="B89" s="33">
        <v>496</v>
      </c>
      <c r="C89" s="24">
        <v>-0.12829525480000001</v>
      </c>
      <c r="D89" s="37">
        <v>501</v>
      </c>
      <c r="E89" s="24">
        <f t="shared" si="26"/>
        <v>1.0080645161290322E-2</v>
      </c>
      <c r="F89" s="44">
        <f>IF(ISNUMBER(D89), $B95 * E89, "")</f>
        <v>3024.1935483870966</v>
      </c>
      <c r="G89" s="37">
        <v>473</v>
      </c>
      <c r="H89" s="24">
        <f t="shared" si="27"/>
        <v>-4.6370967741935484E-2</v>
      </c>
      <c r="I89" s="44">
        <f>IF(ISNUMBER(G89), $B95 * H89, "")</f>
        <v>-13911.290322580646</v>
      </c>
      <c r="J89" s="37">
        <v>492</v>
      </c>
      <c r="K89" s="24">
        <f t="shared" si="28"/>
        <v>-8.0645161290322578E-3</v>
      </c>
      <c r="L89" s="44">
        <f>IF(ISNUMBER(J89), $B95 * K89, "")</f>
        <v>-2419.3548387096776</v>
      </c>
      <c r="M89" s="37">
        <v>497</v>
      </c>
      <c r="N89" s="24">
        <f t="shared" si="29"/>
        <v>2.0161290322580645E-3</v>
      </c>
      <c r="O89" s="44">
        <f>IF(ISNUMBER(M89), $B95 * N89, "")</f>
        <v>604.83870967741939</v>
      </c>
      <c r="Q89" s="229"/>
      <c r="R89" s="230"/>
    </row>
    <row r="90" spans="1:18" ht="17.25" customHeight="1">
      <c r="A90" s="11" t="s">
        <v>99</v>
      </c>
      <c r="B90" s="32">
        <v>224</v>
      </c>
      <c r="C90" s="5">
        <v>-0.1284046693</v>
      </c>
      <c r="D90" s="36">
        <v>227</v>
      </c>
      <c r="E90" s="5">
        <f t="shared" si="26"/>
        <v>1.3392857142857142E-2</v>
      </c>
      <c r="F90" s="48">
        <f>IF(ISNUMBER(D90), $B95 * E90, "")</f>
        <v>4017.8571428571427</v>
      </c>
      <c r="G90" s="36">
        <v>210</v>
      </c>
      <c r="H90" s="5">
        <f t="shared" si="27"/>
        <v>-6.25E-2</v>
      </c>
      <c r="I90" s="48">
        <f>IF(ISNUMBER(G90), $B95 * H90, "")</f>
        <v>-18750</v>
      </c>
      <c r="J90" s="36">
        <v>223</v>
      </c>
      <c r="K90" s="5">
        <f t="shared" si="28"/>
        <v>-4.464285714285714E-3</v>
      </c>
      <c r="L90" s="48">
        <f>IF(ISNUMBER(J90), $B95 * K90, "")</f>
        <v>-1339.2857142857142</v>
      </c>
      <c r="M90" s="36">
        <v>224</v>
      </c>
      <c r="N90" s="5">
        <f t="shared" si="29"/>
        <v>0</v>
      </c>
      <c r="O90" s="48">
        <f>IF(ISNUMBER(M90), $B95 * N90, "")</f>
        <v>0</v>
      </c>
      <c r="Q90" s="229"/>
      <c r="R90" s="230"/>
    </row>
    <row r="91" spans="1:18" ht="17.25" customHeight="1">
      <c r="A91" s="11" t="s">
        <v>166</v>
      </c>
      <c r="B91" s="32">
        <v>576</v>
      </c>
      <c r="C91" s="5">
        <v>-0.1285930408</v>
      </c>
      <c r="D91" s="36">
        <v>596</v>
      </c>
      <c r="E91" s="5">
        <f t="shared" si="26"/>
        <v>3.4722222222222224E-2</v>
      </c>
      <c r="F91" s="44">
        <f>IF(ISNUMBER(D91), $B95 * E91, "")</f>
        <v>10416.666666666668</v>
      </c>
      <c r="G91" s="36">
        <v>559</v>
      </c>
      <c r="H91" s="5">
        <f t="shared" si="27"/>
        <v>-2.9513888888888888E-2</v>
      </c>
      <c r="I91" s="44">
        <f>IF(ISNUMBER(G91), $B95 * H91, "")</f>
        <v>-8854.1666666666661</v>
      </c>
      <c r="J91" s="36">
        <v>589</v>
      </c>
      <c r="K91" s="5">
        <f t="shared" si="28"/>
        <v>2.2569444444444444E-2</v>
      </c>
      <c r="L91" s="44">
        <f>IF(ISNUMBER(J91), $B95 * K91, "")</f>
        <v>6770.833333333333</v>
      </c>
      <c r="M91" s="36">
        <v>559</v>
      </c>
      <c r="N91" s="5">
        <f t="shared" si="29"/>
        <v>-2.9513888888888888E-2</v>
      </c>
      <c r="O91" s="44">
        <f>IF(ISNUMBER(M91), $B95 * N91, "")</f>
        <v>-8854.1666666666661</v>
      </c>
      <c r="Q91" s="229"/>
      <c r="R91" s="230"/>
    </row>
    <row r="92" spans="1:18" ht="17.25" customHeight="1">
      <c r="A92" s="11" t="s">
        <v>171</v>
      </c>
      <c r="B92" s="32">
        <v>500</v>
      </c>
      <c r="C92" s="5">
        <v>-0.12891986059999999</v>
      </c>
      <c r="D92" s="36">
        <v>499</v>
      </c>
      <c r="E92" s="5">
        <f t="shared" si="26"/>
        <v>-2E-3</v>
      </c>
      <c r="F92" s="44">
        <f>IF(ISNUMBER(D92), $B95 * E92, "")</f>
        <v>-600</v>
      </c>
      <c r="G92" s="36">
        <v>465</v>
      </c>
      <c r="H92" s="5">
        <f t="shared" si="27"/>
        <v>-7.0000000000000007E-2</v>
      </c>
      <c r="I92" s="44">
        <f>IF(ISNUMBER(G92), $B95 * H92, "")</f>
        <v>-21000.000000000004</v>
      </c>
      <c r="J92" s="36">
        <v>493</v>
      </c>
      <c r="K92" s="5">
        <f t="shared" si="28"/>
        <v>-1.4E-2</v>
      </c>
      <c r="L92" s="44">
        <f>IF(ISNUMBER(J92), $B95 * K92, "")</f>
        <v>-4200</v>
      </c>
      <c r="M92" s="36">
        <v>481</v>
      </c>
      <c r="N92" s="5">
        <f t="shared" si="29"/>
        <v>-3.7999999999999999E-2</v>
      </c>
      <c r="O92" s="44">
        <f>IF(ISNUMBER(M92), $B95 * N92, "")</f>
        <v>-11400</v>
      </c>
      <c r="Q92" s="229"/>
      <c r="R92" s="230"/>
    </row>
    <row r="93" spans="1:18" ht="17.25" customHeight="1">
      <c r="A93" s="11" t="s">
        <v>134</v>
      </c>
      <c r="B93" s="32">
        <v>343</v>
      </c>
      <c r="C93" s="5">
        <v>-0.12944162440000001</v>
      </c>
      <c r="D93" s="36">
        <v>357</v>
      </c>
      <c r="E93" s="5">
        <f t="shared" si="26"/>
        <v>4.0816326530612242E-2</v>
      </c>
      <c r="F93" s="44">
        <f>IF(ISNUMBER(D93), $B95 * E93, "")</f>
        <v>12244.897959183672</v>
      </c>
      <c r="G93" s="36">
        <v>337</v>
      </c>
      <c r="H93" s="5">
        <f t="shared" si="27"/>
        <v>-1.7492711370262391E-2</v>
      </c>
      <c r="I93" s="44">
        <f>IF(ISNUMBER(G93), $B95 * H93, "")</f>
        <v>-5247.8134110787178</v>
      </c>
      <c r="J93" s="36">
        <v>351</v>
      </c>
      <c r="K93" s="5">
        <f t="shared" si="28"/>
        <v>2.3323615160349854E-2</v>
      </c>
      <c r="L93" s="44">
        <f>IF(ISNUMBER(J93), $B95 * K93, "")</f>
        <v>6997.0845481049564</v>
      </c>
      <c r="M93" s="36">
        <v>346</v>
      </c>
      <c r="N93" s="5">
        <f t="shared" si="29"/>
        <v>8.7463556851311956E-3</v>
      </c>
      <c r="O93" s="44">
        <f>IF(ISNUMBER(M93), $B95 * N93, "")</f>
        <v>2623.9067055393589</v>
      </c>
      <c r="Q93" s="231"/>
      <c r="R93" s="232"/>
    </row>
    <row r="94" spans="1:18" ht="17.25" customHeight="1" thickBot="1">
      <c r="A94" s="13" t="s">
        <v>102</v>
      </c>
      <c r="B94" s="34">
        <v>147</v>
      </c>
      <c r="C94" s="16">
        <v>-0.1301775148</v>
      </c>
      <c r="D94" s="38">
        <v>149</v>
      </c>
      <c r="E94" s="16">
        <f t="shared" si="26"/>
        <v>1.3605442176870748E-2</v>
      </c>
      <c r="F94" s="45">
        <f>IF(ISNUMBER(D94), $B95 * E94, "")</f>
        <v>4081.6326530612241</v>
      </c>
      <c r="G94" s="38">
        <v>142</v>
      </c>
      <c r="H94" s="16">
        <f t="shared" si="27"/>
        <v>-3.4013605442176874E-2</v>
      </c>
      <c r="I94" s="45">
        <f>IF(ISNUMBER(G94), $B95 * H94, "")</f>
        <v>-10204.081632653062</v>
      </c>
      <c r="J94" s="38">
        <v>148</v>
      </c>
      <c r="K94" s="16">
        <f t="shared" si="28"/>
        <v>6.8027210884353739E-3</v>
      </c>
      <c r="L94" s="45">
        <f>IF(ISNUMBER(J94), $B95 * K94, "")</f>
        <v>2040.8163265306121</v>
      </c>
      <c r="M94" s="38">
        <v>144</v>
      </c>
      <c r="N94" s="16">
        <f t="shared" si="29"/>
        <v>-2.0408163265306121E-2</v>
      </c>
      <c r="O94" s="45">
        <f>IF(ISNUMBER(M94), $B95 * N94, "")</f>
        <v>-6122.4489795918362</v>
      </c>
      <c r="Q94" s="231"/>
      <c r="R94" s="232"/>
    </row>
    <row r="95" spans="1:18" ht="17.25" customHeight="1" thickBot="1">
      <c r="A95" s="57" t="s">
        <v>32</v>
      </c>
      <c r="B95" s="235">
        <v>300000</v>
      </c>
      <c r="C95" s="236"/>
      <c r="D95" s="57" t="s">
        <v>82</v>
      </c>
      <c r="E95" s="46">
        <f>IF(COUNT(E85:E94), SUM(E85:E94) / COUNT(E85:E94), 0)</f>
        <v>2.8578892781680937E-2</v>
      </c>
      <c r="F95" s="47">
        <f>SUM(F85:F94)</f>
        <v>85736.678345042819</v>
      </c>
      <c r="G95" s="57" t="s">
        <v>82</v>
      </c>
      <c r="H95" s="46">
        <f>IF(COUNT(H85:H94), SUM(H85:H94) / COUNT(H85:H94), 0)</f>
        <v>-2.875697362803455E-2</v>
      </c>
      <c r="I95" s="47">
        <f>SUM(I85:I94)</f>
        <v>-86270.92088410366</v>
      </c>
      <c r="J95" s="57" t="s">
        <v>82</v>
      </c>
      <c r="K95" s="46">
        <f>IF(COUNT(K85:K94), SUM(K85:K94) / COUNT(K85:K94), 0)</f>
        <v>1.0873007466552268E-2</v>
      </c>
      <c r="L95" s="47">
        <f>SUM(L85:L94)</f>
        <v>32619.022399656802</v>
      </c>
      <c r="M95" s="57" t="s">
        <v>82</v>
      </c>
      <c r="N95" s="46">
        <f>IF(COUNT(N85:N94), SUM(N85:N94) / COUNT(N85:N94), 0)</f>
        <v>-1.1598555865917003E-2</v>
      </c>
      <c r="O95" s="47">
        <f>SUM(O85:O94)</f>
        <v>-34795.667597751002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72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74" t="s">
        <v>70</v>
      </c>
      <c r="M101" s="18" t="s">
        <v>67</v>
      </c>
      <c r="N101" s="4" t="s">
        <v>68</v>
      </c>
      <c r="O101" s="175" t="s">
        <v>70</v>
      </c>
      <c r="Q101" s="231"/>
      <c r="R101" s="232"/>
    </row>
    <row r="102" spans="1:18" ht="17.25" customHeight="1">
      <c r="A102" s="9" t="s">
        <v>94</v>
      </c>
      <c r="B102" s="31">
        <v>419</v>
      </c>
      <c r="C102" s="22">
        <v>0.14480874320000001</v>
      </c>
      <c r="D102" s="89">
        <v>435</v>
      </c>
      <c r="E102" s="22">
        <f>IF(ISNUMBER(D102), (D102 - $B102) / $B102, "")</f>
        <v>3.8186157517899763E-2</v>
      </c>
      <c r="F102" s="43">
        <f>IF(ISNUMBER(D102), $B112 * E102, "")</f>
        <v>11455.847255369928</v>
      </c>
      <c r="G102" s="89">
        <v>530</v>
      </c>
      <c r="H102" s="22">
        <f>IF(ISNUMBER(G102), (G102 - $B102) / $B102, "")</f>
        <v>0.2649164677804296</v>
      </c>
      <c r="I102" s="43">
        <f>IF(ISNUMBER(G102), $B112 * H102, "")</f>
        <v>79474.940334128885</v>
      </c>
      <c r="J102" s="89">
        <v>518</v>
      </c>
      <c r="K102" s="22">
        <f>IF(ISNUMBER(J102), (J102 - $B102) / $B102, "")</f>
        <v>0.23627684964200477</v>
      </c>
      <c r="L102" s="43">
        <f>IF(ISNUMBER(J102), $B112 * K102, "")</f>
        <v>70883.054892601431</v>
      </c>
      <c r="M102" s="89">
        <v>467</v>
      </c>
      <c r="N102" s="22">
        <f>IF(ISNUMBER(M102), (M102 - $B102) / $B102, "")</f>
        <v>0.11455847255369929</v>
      </c>
      <c r="O102" s="43">
        <f>IF(ISNUMBER(M102), $B112 * N102, "")</f>
        <v>34367.541766109789</v>
      </c>
      <c r="Q102" s="229"/>
      <c r="R102" s="230"/>
    </row>
    <row r="103" spans="1:18" ht="17.25" customHeight="1">
      <c r="A103" s="11" t="s">
        <v>119</v>
      </c>
      <c r="B103" s="32">
        <v>28.6</v>
      </c>
      <c r="C103" s="5">
        <v>6.3197026000000003E-2</v>
      </c>
      <c r="D103" s="36">
        <v>25.2</v>
      </c>
      <c r="E103" s="5">
        <f t="shared" ref="E103:E111" si="30">IF(ISNUMBER(D103), (D103 - $B103) / $B103, "")</f>
        <v>-0.11888111888111895</v>
      </c>
      <c r="F103" s="44">
        <f>IF(ISNUMBER(D103), $B112 * E103, "")</f>
        <v>-35664.335664335682</v>
      </c>
      <c r="G103" s="36">
        <v>23.8</v>
      </c>
      <c r="H103" s="5">
        <f t="shared" ref="H103:H111" si="31">IF(ISNUMBER(G103), (G103 - $B103) / $B103, "")</f>
        <v>-0.16783216783216784</v>
      </c>
      <c r="I103" s="44">
        <f>IF(ISNUMBER(G103), $B112 * H103, "")</f>
        <v>-50349.65034965035</v>
      </c>
      <c r="J103" s="36">
        <v>24.3</v>
      </c>
      <c r="K103" s="5">
        <f t="shared" ref="K103:K111" si="32">IF(ISNUMBER(J103), (J103 - $B103) / $B103, "")</f>
        <v>-0.15034965034965037</v>
      </c>
      <c r="L103" s="44">
        <f>IF(ISNUMBER(J103), $B112 * K103, "")</f>
        <v>-45104.895104895113</v>
      </c>
      <c r="M103" s="36">
        <v>24</v>
      </c>
      <c r="N103" s="5">
        <f t="shared" ref="N103:N111" si="33">IF(ISNUMBER(M103), (M103 - $B103) / $B103, "")</f>
        <v>-0.16083916083916089</v>
      </c>
      <c r="O103" s="44">
        <f>IF(ISNUMBER(M103), $B112 * N103, "")</f>
        <v>-48251.748251748264</v>
      </c>
      <c r="Q103" s="229"/>
      <c r="R103" s="230"/>
    </row>
    <row r="104" spans="1:18" ht="17.25" customHeight="1">
      <c r="A104" s="11" t="s">
        <v>142</v>
      </c>
      <c r="B104" s="32">
        <v>231</v>
      </c>
      <c r="C104" s="5">
        <v>3.125E-2</v>
      </c>
      <c r="D104" s="36">
        <v>215</v>
      </c>
      <c r="E104" s="5">
        <f t="shared" si="30"/>
        <v>-6.9264069264069264E-2</v>
      </c>
      <c r="F104" s="44">
        <f>IF(ISNUMBER(D104), $B112 * E104, "")</f>
        <v>-20779.220779220781</v>
      </c>
      <c r="G104" s="36">
        <v>205</v>
      </c>
      <c r="H104" s="5">
        <f t="shared" si="31"/>
        <v>-0.11255411255411256</v>
      </c>
      <c r="I104" s="44">
        <f>IF(ISNUMBER(G104), $B112 * H104, "")</f>
        <v>-33766.233766233767</v>
      </c>
      <c r="J104" s="36">
        <v>213</v>
      </c>
      <c r="K104" s="5">
        <f t="shared" si="32"/>
        <v>-7.792207792207792E-2</v>
      </c>
      <c r="L104" s="44">
        <f>IF(ISNUMBER(J104), $B112 * K104, "")</f>
        <v>-23376.623376623374</v>
      </c>
      <c r="M104" s="36">
        <v>208</v>
      </c>
      <c r="N104" s="5">
        <f t="shared" si="33"/>
        <v>-9.9567099567099568E-2</v>
      </c>
      <c r="O104" s="44">
        <f>IF(ISNUMBER(M104), $B112 * N104, "")</f>
        <v>-29870.129870129869</v>
      </c>
      <c r="Q104" s="229"/>
      <c r="R104" s="230"/>
    </row>
    <row r="105" spans="1:18" ht="17.25" customHeight="1">
      <c r="A105" s="11" t="s">
        <v>243</v>
      </c>
      <c r="B105" s="32">
        <v>22850</v>
      </c>
      <c r="C105" s="5">
        <v>7.0515646E-3</v>
      </c>
      <c r="D105" s="36">
        <v>25050</v>
      </c>
      <c r="E105" s="5">
        <f t="shared" si="30"/>
        <v>9.6280087527352301E-2</v>
      </c>
      <c r="F105" s="44">
        <f>IF(ISNUMBER(D105), $B112 * E105, "")</f>
        <v>28884.026258205689</v>
      </c>
      <c r="G105" s="36">
        <v>23920</v>
      </c>
      <c r="H105" s="5">
        <f t="shared" si="31"/>
        <v>4.6827133479212253E-2</v>
      </c>
      <c r="I105" s="44">
        <f>IF(ISNUMBER(G105), $B112 * H105, "")</f>
        <v>14048.140043763677</v>
      </c>
      <c r="J105" s="36">
        <v>24510</v>
      </c>
      <c r="K105" s="5">
        <f t="shared" si="32"/>
        <v>7.264770240700219E-2</v>
      </c>
      <c r="L105" s="44">
        <f>IF(ISNUMBER(J105), $B112 * K105, "")</f>
        <v>21794.310722100658</v>
      </c>
      <c r="M105" s="36">
        <v>23320</v>
      </c>
      <c r="N105" s="5">
        <f t="shared" si="33"/>
        <v>2.0568927789934355E-2</v>
      </c>
      <c r="O105" s="44">
        <f>IF(ISNUMBER(M105), $B112 * N105, "")</f>
        <v>6170.6783369803061</v>
      </c>
      <c r="Q105" s="229"/>
      <c r="R105" s="230"/>
    </row>
    <row r="106" spans="1:18" ht="17.25" customHeight="1">
      <c r="A106" s="8" t="s">
        <v>212</v>
      </c>
      <c r="B106" s="33">
        <v>46420</v>
      </c>
      <c r="C106" s="24">
        <v>-5.2653061199999997E-2</v>
      </c>
      <c r="D106" s="37">
        <v>48050</v>
      </c>
      <c r="E106" s="24">
        <f t="shared" si="30"/>
        <v>3.5114174924601463E-2</v>
      </c>
      <c r="F106" s="44">
        <f>IF(ISNUMBER(D106), $B112 * E106, "")</f>
        <v>10534.252477380438</v>
      </c>
      <c r="G106" s="37">
        <v>46010</v>
      </c>
      <c r="H106" s="24">
        <f t="shared" si="31"/>
        <v>-8.8323998276604917E-3</v>
      </c>
      <c r="I106" s="44">
        <f>IF(ISNUMBER(G106), $B112 * H106, "")</f>
        <v>-2649.7199482981473</v>
      </c>
      <c r="J106" s="37">
        <v>47000</v>
      </c>
      <c r="K106" s="24">
        <f t="shared" si="32"/>
        <v>1.2494614390348987E-2</v>
      </c>
      <c r="L106" s="44">
        <f>IF(ISNUMBER(J106), $B112 * K106, "")</f>
        <v>3748.384317104696</v>
      </c>
      <c r="M106" s="37">
        <v>45030</v>
      </c>
      <c r="N106" s="24">
        <f t="shared" si="33"/>
        <v>-2.994398965962947E-2</v>
      </c>
      <c r="O106" s="44">
        <f>IF(ISNUMBER(M106), $B112 * N106, "")</f>
        <v>-8983.1968978888417</v>
      </c>
      <c r="Q106" s="229"/>
      <c r="R106" s="230"/>
    </row>
    <row r="107" spans="1:18" ht="17.25" customHeight="1">
      <c r="A107" s="11" t="s">
        <v>126</v>
      </c>
      <c r="B107" s="32">
        <v>277</v>
      </c>
      <c r="C107" s="5">
        <v>-5.7823129299999998E-2</v>
      </c>
      <c r="D107" s="36">
        <v>329</v>
      </c>
      <c r="E107" s="5">
        <f t="shared" si="30"/>
        <v>0.18772563176895307</v>
      </c>
      <c r="F107" s="48">
        <f>IF(ISNUMBER(D107), $B112 * E107, "")</f>
        <v>56317.689530685922</v>
      </c>
      <c r="G107" s="36">
        <v>313</v>
      </c>
      <c r="H107" s="5">
        <f t="shared" si="31"/>
        <v>0.1299638989169675</v>
      </c>
      <c r="I107" s="48">
        <f>IF(ISNUMBER(G107), $B112 * H107, "")</f>
        <v>38989.169675090248</v>
      </c>
      <c r="J107" s="36">
        <v>322</v>
      </c>
      <c r="K107" s="5">
        <f t="shared" si="32"/>
        <v>0.16245487364620939</v>
      </c>
      <c r="L107" s="48">
        <f>IF(ISNUMBER(J107), $B112 * K107, "")</f>
        <v>48736.462093862814</v>
      </c>
      <c r="M107" s="36">
        <v>305</v>
      </c>
      <c r="N107" s="5">
        <f t="shared" si="33"/>
        <v>0.10108303249097472</v>
      </c>
      <c r="O107" s="48">
        <f>IF(ISNUMBER(M107), $B112 * N107, "")</f>
        <v>30324.909747292415</v>
      </c>
      <c r="Q107" s="229"/>
      <c r="R107" s="230"/>
    </row>
    <row r="108" spans="1:18" ht="17.25" customHeight="1">
      <c r="A108" s="11" t="s">
        <v>148</v>
      </c>
      <c r="B108" s="32">
        <v>94.8</v>
      </c>
      <c r="C108" s="5">
        <v>-6.1386138600000001E-2</v>
      </c>
      <c r="D108" s="36">
        <v>101</v>
      </c>
      <c r="E108" s="5">
        <f t="shared" si="30"/>
        <v>6.5400843881856574E-2</v>
      </c>
      <c r="F108" s="44">
        <f>IF(ISNUMBER(D108), $B112 * E108, "")</f>
        <v>19620.253164556972</v>
      </c>
      <c r="G108" s="36">
        <v>95.1</v>
      </c>
      <c r="H108" s="5">
        <f t="shared" si="31"/>
        <v>3.1645569620252865E-3</v>
      </c>
      <c r="I108" s="44">
        <f>IF(ISNUMBER(G108), $B112 * H108, "")</f>
        <v>949.36708860758597</v>
      </c>
      <c r="J108" s="36">
        <v>97.5</v>
      </c>
      <c r="K108" s="5">
        <f t="shared" si="32"/>
        <v>2.8481012658227878E-2</v>
      </c>
      <c r="L108" s="44">
        <f>IF(ISNUMBER(J108), $B112 * K108, "")</f>
        <v>8544.303797468363</v>
      </c>
      <c r="M108" s="36">
        <v>93.7</v>
      </c>
      <c r="N108" s="5">
        <f t="shared" si="33"/>
        <v>-1.16033755274261E-2</v>
      </c>
      <c r="O108" s="44">
        <f>IF(ISNUMBER(M108), $B112 * N108, "")</f>
        <v>-3481.0126582278299</v>
      </c>
      <c r="Q108" s="229"/>
      <c r="R108" s="230"/>
    </row>
    <row r="109" spans="1:18" ht="17.25" customHeight="1">
      <c r="A109" s="11" t="s">
        <v>221</v>
      </c>
      <c r="B109" s="32">
        <v>2822000</v>
      </c>
      <c r="C109" s="5">
        <v>-6.2458471799999998E-2</v>
      </c>
      <c r="D109" s="36">
        <v>2925000</v>
      </c>
      <c r="E109" s="5">
        <f t="shared" si="30"/>
        <v>3.6498936924167259E-2</v>
      </c>
      <c r="F109" s="44">
        <f>IF(ISNUMBER(D109), $B112 * E109, "")</f>
        <v>10949.681077250178</v>
      </c>
      <c r="G109" s="36">
        <v>2871000</v>
      </c>
      <c r="H109" s="5">
        <f t="shared" si="31"/>
        <v>1.7363571934798015E-2</v>
      </c>
      <c r="I109" s="44">
        <f>IF(ISNUMBER(G109), $B112 * H109, "")</f>
        <v>5209.071580439404</v>
      </c>
      <c r="J109" s="36">
        <v>2897000</v>
      </c>
      <c r="K109" s="5">
        <f t="shared" si="32"/>
        <v>2.657689581856839E-2</v>
      </c>
      <c r="L109" s="44">
        <f>IF(ISNUMBER(J109), $B112 * K109, "")</f>
        <v>7973.0687455705165</v>
      </c>
      <c r="M109" s="36">
        <v>2824000</v>
      </c>
      <c r="N109" s="5">
        <f t="shared" si="33"/>
        <v>7.0871722182849046E-4</v>
      </c>
      <c r="O109" s="44">
        <f>IF(ISNUMBER(M109), $B112 * N109, "")</f>
        <v>212.61516654854714</v>
      </c>
      <c r="Q109" s="229"/>
      <c r="R109" s="230"/>
    </row>
    <row r="110" spans="1:18" ht="17.25" customHeight="1">
      <c r="A110" s="11" t="s">
        <v>226</v>
      </c>
      <c r="B110" s="32">
        <v>48280</v>
      </c>
      <c r="C110" s="5">
        <v>-6.9749518299999994E-2</v>
      </c>
      <c r="D110" s="36">
        <v>52400</v>
      </c>
      <c r="E110" s="5">
        <f t="shared" si="30"/>
        <v>8.5335542667771339E-2</v>
      </c>
      <c r="F110" s="44">
        <f>IF(ISNUMBER(D110), $B112 * E110, "")</f>
        <v>25600.6628003314</v>
      </c>
      <c r="G110" s="36">
        <v>50330</v>
      </c>
      <c r="H110" s="5">
        <f t="shared" si="31"/>
        <v>4.2460646230323112E-2</v>
      </c>
      <c r="I110" s="44">
        <f>IF(ISNUMBER(G110), $B112 * H110, "")</f>
        <v>12738.193869096935</v>
      </c>
      <c r="J110" s="36">
        <v>51270</v>
      </c>
      <c r="K110" s="5">
        <f t="shared" si="32"/>
        <v>6.1930405965202981E-2</v>
      </c>
      <c r="L110" s="44">
        <f>IF(ISNUMBER(J110), $B112 * K110, "")</f>
        <v>18579.121789560893</v>
      </c>
      <c r="M110" s="36">
        <v>48280</v>
      </c>
      <c r="N110" s="5">
        <f t="shared" si="33"/>
        <v>0</v>
      </c>
      <c r="O110" s="44">
        <f>IF(ISNUMBER(M110), $B112 * N110, "")</f>
        <v>0</v>
      </c>
      <c r="Q110" s="231"/>
      <c r="R110" s="232"/>
    </row>
    <row r="111" spans="1:18" ht="17.25" customHeight="1" thickBot="1">
      <c r="A111" s="13" t="s">
        <v>122</v>
      </c>
      <c r="B111" s="34">
        <v>288</v>
      </c>
      <c r="C111" s="16">
        <v>-7.6923076899999998E-2</v>
      </c>
      <c r="D111" s="38">
        <v>310</v>
      </c>
      <c r="E111" s="16">
        <f t="shared" si="30"/>
        <v>7.6388888888888895E-2</v>
      </c>
      <c r="F111" s="45">
        <f>IF(ISNUMBER(D111), $B112 * E111, "")</f>
        <v>22916.666666666668</v>
      </c>
      <c r="G111" s="38">
        <v>325</v>
      </c>
      <c r="H111" s="16">
        <f t="shared" si="31"/>
        <v>0.12847222222222221</v>
      </c>
      <c r="I111" s="45">
        <f>IF(ISNUMBER(G111), $B112 * H111, "")</f>
        <v>38541.666666666664</v>
      </c>
      <c r="J111" s="38">
        <v>310</v>
      </c>
      <c r="K111" s="16">
        <f t="shared" si="32"/>
        <v>7.6388888888888895E-2</v>
      </c>
      <c r="L111" s="45">
        <f>IF(ISNUMBER(J111), $B112 * K111, "")</f>
        <v>22916.666666666668</v>
      </c>
      <c r="M111" s="38">
        <v>316</v>
      </c>
      <c r="N111" s="16">
        <f t="shared" si="33"/>
        <v>9.7222222222222224E-2</v>
      </c>
      <c r="O111" s="45">
        <f>IF(ISNUMBER(M111), $B112 * N111, "")</f>
        <v>29166.666666666668</v>
      </c>
      <c r="Q111" s="231"/>
      <c r="R111" s="232"/>
    </row>
    <row r="112" spans="1:18" ht="17.25" customHeight="1" thickBot="1">
      <c r="A112" s="57" t="s">
        <v>32</v>
      </c>
      <c r="B112" s="235">
        <v>300000</v>
      </c>
      <c r="C112" s="236"/>
      <c r="D112" s="57" t="s">
        <v>82</v>
      </c>
      <c r="E112" s="46">
        <f>IF(COUNT(E102:E111), SUM(E102:E111) / COUNT(E102:E111), 0)</f>
        <v>4.3278507595630247E-2</v>
      </c>
      <c r="F112" s="47">
        <f>SUM(F102:F111)</f>
        <v>129835.52278689074</v>
      </c>
      <c r="G112" s="57" t="s">
        <v>82</v>
      </c>
      <c r="H112" s="46">
        <f>IF(COUNT(H102:H111), SUM(H102:H111) / COUNT(H102:H111), 0)</f>
        <v>3.4394981731203707E-2</v>
      </c>
      <c r="I112" s="47">
        <f>SUM(I102:I111)</f>
        <v>103184.94519361114</v>
      </c>
      <c r="J112" s="57" t="s">
        <v>82</v>
      </c>
      <c r="K112" s="46">
        <f>IF(COUNT(K102:K111), SUM(K102:K111) / COUNT(K102:K111), 0)</f>
        <v>4.4897951514472526E-2</v>
      </c>
      <c r="L112" s="47">
        <f>SUM(L102:L111)</f>
        <v>134693.85454341755</v>
      </c>
      <c r="M112" s="57" t="s">
        <v>82</v>
      </c>
      <c r="N112" s="46">
        <f>IF(COUNT(N102:N111), SUM(N102:N111) / COUNT(N102:N111), 0)</f>
        <v>3.2187746685343049E-3</v>
      </c>
      <c r="O112" s="47">
        <f>SUM(O102:O111)</f>
        <v>9656.3240056029244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195" priority="89">
      <formula>$E$27&gt;0</formula>
    </cfRule>
    <cfRule type="expression" dxfId="194" priority="90">
      <formula>$E$27&lt;0</formula>
    </cfRule>
  </conditionalFormatting>
  <conditionalFormatting sqref="G15:I16 H27:I27">
    <cfRule type="expression" dxfId="193" priority="87">
      <formula>$H$27&gt;0</formula>
    </cfRule>
    <cfRule type="expression" dxfId="192" priority="88">
      <formula>$H$27&lt;0</formula>
    </cfRule>
  </conditionalFormatting>
  <conditionalFormatting sqref="J15:L16 K27:L27">
    <cfRule type="expression" dxfId="191" priority="85">
      <formula>$K$27&gt;0</formula>
    </cfRule>
    <cfRule type="expression" dxfId="190" priority="86">
      <formula>$K$27&lt;0</formula>
    </cfRule>
  </conditionalFormatting>
  <conditionalFormatting sqref="M15:O16 N27:O27">
    <cfRule type="expression" dxfId="189" priority="83">
      <formula>$N$27&gt;0</formula>
    </cfRule>
    <cfRule type="expression" dxfId="188" priority="84">
      <formula>$N$27&lt;0</formula>
    </cfRule>
  </conditionalFormatting>
  <conditionalFormatting sqref="A17:O26 A34:O43">
    <cfRule type="expression" dxfId="187" priority="91">
      <formula>AND($N17 &gt; 0, ISNUMBER($N17))</formula>
    </cfRule>
    <cfRule type="expression" dxfId="186" priority="92">
      <formula>AND($N17 &lt; 0, ISNUMBER($N17))</formula>
    </cfRule>
    <cfRule type="expression" dxfId="185" priority="93">
      <formula>AND($K17 &gt; 0, ISNUMBER($K17))</formula>
    </cfRule>
    <cfRule type="expression" dxfId="184" priority="94">
      <formula>AND($K17 &lt; 0, ISNUMBER($K17))</formula>
    </cfRule>
    <cfRule type="expression" dxfId="183" priority="95">
      <formula>AND($H17 &gt; 0, ISNUMBER($H17))</formula>
    </cfRule>
    <cfRule type="expression" dxfId="182" priority="96">
      <formula>AND($H17 &lt; 0, ISNUMBER($H17))</formula>
    </cfRule>
    <cfRule type="expression" dxfId="181" priority="97">
      <formula>AND($E17 &gt; 0, ISNUMBER($E17))</formula>
    </cfRule>
    <cfRule type="expression" dxfId="180" priority="98">
      <formula>AND($E17 &lt; 0, ISNUMBER($E17))</formula>
    </cfRule>
  </conditionalFormatting>
  <conditionalFormatting sqref="D32:F33 E44:F44">
    <cfRule type="expression" dxfId="179" priority="81">
      <formula>$E$44&gt;0</formula>
    </cfRule>
    <cfRule type="expression" dxfId="178" priority="82">
      <formula>$E$44&lt;0</formula>
    </cfRule>
  </conditionalFormatting>
  <conditionalFormatting sqref="G32:I33 H44:I44">
    <cfRule type="expression" dxfId="177" priority="79">
      <formula>$H$44&gt;0</formula>
    </cfRule>
    <cfRule type="expression" dxfId="176" priority="80">
      <formula>$H$44&lt;0</formula>
    </cfRule>
  </conditionalFormatting>
  <conditionalFormatting sqref="J32:L33 K44:L44">
    <cfRule type="expression" dxfId="175" priority="77">
      <formula>$K$44&gt;0</formula>
    </cfRule>
    <cfRule type="expression" dxfId="174" priority="78">
      <formula>$K$44&lt;0</formula>
    </cfRule>
  </conditionalFormatting>
  <conditionalFormatting sqref="M32:O33 N44:O44">
    <cfRule type="expression" dxfId="173" priority="75">
      <formula>$N$44&gt;0</formula>
    </cfRule>
    <cfRule type="expression" dxfId="172" priority="76">
      <formula>$N$44&lt;0</formula>
    </cfRule>
  </conditionalFormatting>
  <conditionalFormatting sqref="A51:O60">
    <cfRule type="expression" dxfId="171" priority="67">
      <formula>AND($N51 &gt; 0, ISNUMBER($N51))</formula>
    </cfRule>
    <cfRule type="expression" dxfId="170" priority="68">
      <formula>AND($N51 &lt; 0, ISNUMBER($N51))</formula>
    </cfRule>
    <cfRule type="expression" dxfId="169" priority="69">
      <formula>AND($K51 &gt; 0, ISNUMBER($K51))</formula>
    </cfRule>
    <cfRule type="expression" dxfId="168" priority="70">
      <formula>AND($K51 &lt; 0, ISNUMBER($K51))</formula>
    </cfRule>
    <cfRule type="expression" dxfId="167" priority="71">
      <formula>AND($H51 &gt; 0, ISNUMBER($H51))</formula>
    </cfRule>
    <cfRule type="expression" dxfId="166" priority="72">
      <formula>AND($H51 &lt; 0, ISNUMBER($H51))</formula>
    </cfRule>
    <cfRule type="expression" dxfId="165" priority="73">
      <formula>AND($E51 &gt; 0, ISNUMBER($E51))</formula>
    </cfRule>
    <cfRule type="expression" dxfId="164" priority="74">
      <formula>AND($E51 &lt; 0, ISNUMBER($E51))</formula>
    </cfRule>
  </conditionalFormatting>
  <conditionalFormatting sqref="D49:F50 E61:F61">
    <cfRule type="expression" dxfId="163" priority="65">
      <formula>$E$61&gt;0</formula>
    </cfRule>
    <cfRule type="expression" dxfId="162" priority="66">
      <formula>$E$61&lt;0</formula>
    </cfRule>
  </conditionalFormatting>
  <conditionalFormatting sqref="G49:I50 H61:I61">
    <cfRule type="expression" dxfId="161" priority="63">
      <formula>$H$61&gt;0</formula>
    </cfRule>
    <cfRule type="expression" dxfId="160" priority="64">
      <formula>$H$61&lt;0</formula>
    </cfRule>
  </conditionalFormatting>
  <conditionalFormatting sqref="J49:L50 K61:L61">
    <cfRule type="expression" dxfId="159" priority="61">
      <formula>$K$61&gt;0</formula>
    </cfRule>
    <cfRule type="expression" dxfId="158" priority="62">
      <formula>$K$61&lt;0</formula>
    </cfRule>
  </conditionalFormatting>
  <conditionalFormatting sqref="M49:O50 N61:O61">
    <cfRule type="expression" dxfId="157" priority="59">
      <formula>$N$61&gt;0</formula>
    </cfRule>
    <cfRule type="expression" dxfId="156" priority="60">
      <formula>$N$61&lt;0</formula>
    </cfRule>
  </conditionalFormatting>
  <conditionalFormatting sqref="A68:O77">
    <cfRule type="expression" dxfId="155" priority="51">
      <formula>AND($N68 &gt; 0, ISNUMBER($N68))</formula>
    </cfRule>
    <cfRule type="expression" dxfId="154" priority="52">
      <formula>AND($N68 &lt; 0, ISNUMBER($N68))</formula>
    </cfRule>
    <cfRule type="expression" dxfId="153" priority="53">
      <formula>AND($K68 &gt; 0, ISNUMBER($K68))</formula>
    </cfRule>
    <cfRule type="expression" dxfId="152" priority="54">
      <formula>AND($K68 &lt; 0, ISNUMBER($K68))</formula>
    </cfRule>
    <cfRule type="expression" dxfId="151" priority="55">
      <formula>AND($H68 &gt; 0, ISNUMBER($H68))</formula>
    </cfRule>
    <cfRule type="expression" dxfId="150" priority="56">
      <formula>AND($H68 &lt; 0, ISNUMBER($H68))</formula>
    </cfRule>
    <cfRule type="expression" dxfId="149" priority="57">
      <formula>AND($E68 &gt; 0, ISNUMBER($E68))</formula>
    </cfRule>
    <cfRule type="expression" dxfId="148" priority="58">
      <formula>AND($E68 &lt; 0, ISNUMBER($E68))</formula>
    </cfRule>
  </conditionalFormatting>
  <conditionalFormatting sqref="D66:F67 E78:F78">
    <cfRule type="expression" dxfId="147" priority="49">
      <formula>$E$78&gt;0</formula>
    </cfRule>
    <cfRule type="expression" dxfId="146" priority="50">
      <formula>$E$78&lt;0</formula>
    </cfRule>
  </conditionalFormatting>
  <conditionalFormatting sqref="G66:I67 H78:I78">
    <cfRule type="expression" dxfId="145" priority="47">
      <formula>$H$78&gt;0</formula>
    </cfRule>
    <cfRule type="expression" dxfId="144" priority="48">
      <formula>$H$78&lt;0</formula>
    </cfRule>
  </conditionalFormatting>
  <conditionalFormatting sqref="J66:L67 K78:L78">
    <cfRule type="expression" dxfId="143" priority="45">
      <formula>$K$78&gt;0</formula>
    </cfRule>
    <cfRule type="expression" dxfId="142" priority="46">
      <formula>$K$78&lt;0</formula>
    </cfRule>
  </conditionalFormatting>
  <conditionalFormatting sqref="M66:O67 N78:O78">
    <cfRule type="expression" dxfId="141" priority="43">
      <formula>$N$78&gt;0</formula>
    </cfRule>
    <cfRule type="expression" dxfId="140" priority="44">
      <formula>$N$78&lt;0</formula>
    </cfRule>
  </conditionalFormatting>
  <conditionalFormatting sqref="A85:O94">
    <cfRule type="expression" dxfId="139" priority="35">
      <formula>AND($N85 &gt; 0, ISNUMBER($N85))</formula>
    </cfRule>
    <cfRule type="expression" dxfId="138" priority="36">
      <formula>AND($N85 &lt; 0, ISNUMBER($N85))</formula>
    </cfRule>
    <cfRule type="expression" dxfId="137" priority="37">
      <formula>AND($K85 &gt; 0, ISNUMBER($K85))</formula>
    </cfRule>
    <cfRule type="expression" dxfId="136" priority="38">
      <formula>AND($K85 &lt; 0, ISNUMBER($K85))</formula>
    </cfRule>
    <cfRule type="expression" dxfId="135" priority="39">
      <formula>AND($H85 &gt; 0, ISNUMBER($H85))</formula>
    </cfRule>
    <cfRule type="expression" dxfId="134" priority="40">
      <formula>AND($H85 &lt; 0, ISNUMBER($H85))</formula>
    </cfRule>
    <cfRule type="expression" dxfId="133" priority="41">
      <formula>AND($E85 &gt; 0, ISNUMBER($E85))</formula>
    </cfRule>
    <cfRule type="expression" dxfId="132" priority="42">
      <formula>AND($E85 &lt; 0, ISNUMBER($E85))</formula>
    </cfRule>
  </conditionalFormatting>
  <conditionalFormatting sqref="D83:F84 E95:F95">
    <cfRule type="expression" dxfId="131" priority="33">
      <formula>$E$95&gt;0</formula>
    </cfRule>
    <cfRule type="expression" dxfId="130" priority="34">
      <formula>$E$95&lt;0</formula>
    </cfRule>
  </conditionalFormatting>
  <conditionalFormatting sqref="G83:I84 H95:I95">
    <cfRule type="expression" dxfId="129" priority="31">
      <formula>$H$95&gt;0</formula>
    </cfRule>
    <cfRule type="expression" dxfId="128" priority="32">
      <formula>$H$95&lt;0</formula>
    </cfRule>
  </conditionalFormatting>
  <conditionalFormatting sqref="J83:L84 K95:L95">
    <cfRule type="expression" dxfId="127" priority="29">
      <formula>$K$95&gt;0</formula>
    </cfRule>
    <cfRule type="expression" dxfId="126" priority="30">
      <formula>$K$95&lt;0</formula>
    </cfRule>
  </conditionalFormatting>
  <conditionalFormatting sqref="M83:O84 N95:O95">
    <cfRule type="expression" dxfId="125" priority="27">
      <formula>$N$95&gt;0</formula>
    </cfRule>
    <cfRule type="expression" dxfId="124" priority="28">
      <formula>$N$95&lt;0</formula>
    </cfRule>
  </conditionalFormatting>
  <conditionalFormatting sqref="A102:O111">
    <cfRule type="expression" dxfId="123" priority="19">
      <formula>AND($N102 &gt; 0, ISNUMBER($N102))</formula>
    </cfRule>
    <cfRule type="expression" dxfId="122" priority="20">
      <formula>AND($N102 &lt; 0, ISNUMBER($N102))</formula>
    </cfRule>
    <cfRule type="expression" dxfId="121" priority="21">
      <formula>AND($K102 &gt; 0, ISNUMBER($K102))</formula>
    </cfRule>
    <cfRule type="expression" dxfId="120" priority="22">
      <formula>AND($K102 &lt; 0, ISNUMBER($K102))</formula>
    </cfRule>
    <cfRule type="expression" dxfId="119" priority="23">
      <formula>AND($H102 &gt; 0, ISNUMBER($H102))</formula>
    </cfRule>
    <cfRule type="expression" dxfId="118" priority="24">
      <formula>AND($H102 &lt; 0, ISNUMBER($H102))</formula>
    </cfRule>
    <cfRule type="expression" dxfId="117" priority="25">
      <formula>AND($E102 &gt; 0, ISNUMBER($E102))</formula>
    </cfRule>
    <cfRule type="expression" dxfId="116" priority="26">
      <formula>AND($E102 &lt; 0, ISNUMBER($E102))</formula>
    </cfRule>
  </conditionalFormatting>
  <conditionalFormatting sqref="D100:F101 E112:F112">
    <cfRule type="expression" dxfId="115" priority="17">
      <formula>$E$112&gt;0</formula>
    </cfRule>
    <cfRule type="expression" dxfId="114" priority="18">
      <formula>$E$112&lt;0</formula>
    </cfRule>
  </conditionalFormatting>
  <conditionalFormatting sqref="G100:I101 H112:I112">
    <cfRule type="expression" dxfId="113" priority="15">
      <formula>$H$112&gt;0</formula>
    </cfRule>
    <cfRule type="expression" dxfId="112" priority="16">
      <formula>$H$112&lt;0</formula>
    </cfRule>
  </conditionalFormatting>
  <conditionalFormatting sqref="J100:L101 K112:L112">
    <cfRule type="expression" dxfId="111" priority="13">
      <formula>$K$112&gt;0</formula>
    </cfRule>
    <cfRule type="expression" dxfId="110" priority="14">
      <formula>$K$112&lt;0</formula>
    </cfRule>
  </conditionalFormatting>
  <conditionalFormatting sqref="M100:O101 N112:O112">
    <cfRule type="expression" dxfId="109" priority="11">
      <formula>$N$112&gt;0</formula>
    </cfRule>
    <cfRule type="expression" dxfId="108" priority="12">
      <formula>$N$112&lt;0</formula>
    </cfRule>
  </conditionalFormatting>
  <conditionalFormatting sqref="G2:I3">
    <cfRule type="expression" dxfId="107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106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105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104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103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102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101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100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99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98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4C652-F0CA-46BE-8A07-52F68A78B3AA}">
  <sheetPr codeName="Sheet22"/>
  <dimension ref="A1:R112"/>
  <sheetViews>
    <sheetView tabSelected="1" zoomScaleNormal="100" workbookViewId="0">
      <selection activeCell="J102" sqref="J102:J1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5.2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</cols>
  <sheetData>
    <row r="1" spans="1:18" ht="17.25" customHeight="1" thickBot="1">
      <c r="A1" s="186" t="s">
        <v>0</v>
      </c>
      <c r="B1" s="187"/>
      <c r="C1" s="187"/>
      <c r="D1" s="187"/>
      <c r="E1" s="187"/>
      <c r="F1" s="188"/>
      <c r="G1" s="189">
        <v>44287</v>
      </c>
      <c r="H1" s="190"/>
      <c r="I1" s="191"/>
      <c r="J1" s="186" t="s">
        <v>33</v>
      </c>
      <c r="K1" s="187"/>
      <c r="L1" s="187"/>
      <c r="M1" s="187"/>
      <c r="N1" s="187"/>
      <c r="O1" s="188"/>
      <c r="Q1" s="186" t="s">
        <v>1</v>
      </c>
      <c r="R1" s="188"/>
    </row>
    <row r="2" spans="1:18" ht="17.25" customHeight="1">
      <c r="A2" s="3" t="s">
        <v>22</v>
      </c>
      <c r="B2" s="192" t="s">
        <v>31</v>
      </c>
      <c r="C2" s="193"/>
      <c r="D2" s="193"/>
      <c r="E2" s="193"/>
      <c r="F2" s="194"/>
      <c r="G2" s="195" t="s">
        <v>83</v>
      </c>
      <c r="H2" s="196"/>
      <c r="I2" s="197"/>
      <c r="J2" s="3" t="s">
        <v>22</v>
      </c>
      <c r="K2" s="192" t="s">
        <v>61</v>
      </c>
      <c r="L2" s="193"/>
      <c r="M2" s="193"/>
      <c r="N2" s="193"/>
      <c r="O2" s="194"/>
      <c r="Q2" s="18" t="s">
        <v>89</v>
      </c>
      <c r="R2" s="49">
        <v>0.375</v>
      </c>
    </row>
    <row r="3" spans="1:18" ht="17.25" customHeight="1" thickBot="1">
      <c r="A3" s="1" t="s">
        <v>23</v>
      </c>
      <c r="B3" s="198" t="s">
        <v>55</v>
      </c>
      <c r="C3" s="199"/>
      <c r="D3" s="199"/>
      <c r="E3" s="199"/>
      <c r="F3" s="200"/>
      <c r="G3" s="201" t="str">
        <f>TEXT(IF(CHOOSE(8,$E$44,$F$44,$H$44,$I$44,$K$44,$L$44,$N$44,$O$44)&lt;&gt;0,CHOOSE(8,$E$44,$F$44,$H$44,$I$44,$K$44,$L$44,$N$44,$O$44),
IF(CHOOSE(6,$E$44,$F$44,$H$44,$I$44,$K$44,$L$44,$N$44,$O$44)&lt;&gt;0,CHOOSE(6,$E$44,$F$44,$H$44,$I$44,$K$44,$L$44,$N$44,$O$44),
IF(CHOOSE(4,$E$44,$F$44,$H$44,$I$44,$K$44,$L$44,$N$44,$O$44)&lt;&gt;0,CHOOSE(4,$E$44,$F$44,$H$44,$I$44,$K$44,$L$44,$N$44,$O$44),
CHOOSE(2,$E$44,$F$44,$H$44,$I$44,$K$44,$L$44,$N$44,$O$44)))), "#,##0") &amp; " KRW (" &amp;
TEXT(IF(CHOOSE(7,$E$44,$F$44,$H$44,$I$44,$K$44,$L$44,$N$44,$O$44)&lt;&gt;0,CHOOSE(7,$E$44,$F$44,$H$44,$I$44,$K$44,$L$44,$N$44,$O$44),
IF(CHOOSE(5,$E$44,$F$44,$H$44,$I$44,$K$44,$L$44,$N$44,$O$44)&lt;&gt;0,CHOOSE(5,$E$44,$F$44,$H$44,$I$44,$K$44,$L$44,$N$44,$O$44),
IF(CHOOSE(3,$E$44,$F$44,$H$44,$I$44,$K$44,$L$44,$N$44,$O$44)&lt;&gt;0,CHOOSE(3,$E$44,$F$44,$H$44,$I$44,$K$44,$L$44,$N$44,$O$44),
CHOOSE(1,$E$44,$F$44,$H$44,$I$44,$K$44,$L$44,$N$44,$O$44)))), "0.00%") &amp; ")"</f>
        <v>35,108 KRW (1.17%)</v>
      </c>
      <c r="H3" s="202"/>
      <c r="I3" s="203"/>
      <c r="J3" s="1" t="s">
        <v>23</v>
      </c>
      <c r="K3" s="198" t="s">
        <v>59</v>
      </c>
      <c r="L3" s="199"/>
      <c r="M3" s="199"/>
      <c r="N3" s="199"/>
      <c r="O3" s="200"/>
      <c r="Q3" s="18" t="s">
        <v>90</v>
      </c>
      <c r="R3" s="49">
        <v>0.79166666666666663</v>
      </c>
    </row>
    <row r="4" spans="1:18" ht="17.25" customHeight="1" thickBot="1">
      <c r="A4" s="1" t="s">
        <v>30</v>
      </c>
      <c r="B4" s="198" t="s">
        <v>56</v>
      </c>
      <c r="C4" s="199"/>
      <c r="D4" s="199"/>
      <c r="E4" s="199"/>
      <c r="F4" s="200"/>
      <c r="G4" s="195" t="s">
        <v>84</v>
      </c>
      <c r="H4" s="196"/>
      <c r="I4" s="197"/>
      <c r="J4" s="1" t="s">
        <v>30</v>
      </c>
      <c r="K4" s="198" t="s">
        <v>60</v>
      </c>
      <c r="L4" s="199"/>
      <c r="M4" s="199"/>
      <c r="N4" s="199"/>
      <c r="O4" s="200"/>
      <c r="Q4" s="180" t="s">
        <v>91</v>
      </c>
      <c r="R4" s="50">
        <v>0.95833333333333337</v>
      </c>
    </row>
    <row r="5" spans="1:18" ht="17.25" customHeight="1" thickBot="1">
      <c r="A5" s="1" t="s">
        <v>24</v>
      </c>
      <c r="B5" s="198" t="s">
        <v>57</v>
      </c>
      <c r="C5" s="199"/>
      <c r="D5" s="199"/>
      <c r="E5" s="199"/>
      <c r="F5" s="200"/>
      <c r="G5" s="201" t="str">
        <f>TEXT(IF(CHOOSE(8,$E$61,$F$61,$H$61,$I$61,$K$61,$L$61,$N$61,$O$61)&lt;&gt;0,CHOOSE(8,$E$61,$F$61,$H$61,$I$61,$K$61,$L$61,$N$61,$O$61),
IF(CHOOSE(6,$E$61,$F$61,$H$61,$I$61,$K$61,$L$61,$N$61,$O$61)&lt;&gt;0,CHOOSE(6,$E$61,$F$61,$H$61,$I$61,$K$61,$L$61,$N$61,$O$61),
IF(CHOOSE(4,$E$61,$F$61,$H$61,$I$61,$K$61,$L$61,$N$61,$O$61)&lt;&gt;0,CHOOSE(4,$E$61,$F$61,$H$61,$I$61,$K$61,$L$61,$N$61,$O$61),
CHOOSE(2,$E$61,$F$61,$H$61,$I$61,$K$61,$L$61,$N$61,$O$61)))), "#,##0") &amp; " KRW (" &amp;
TEXT(IF(CHOOSE(7,$E$61,$F$61,$H$61,$I$61,$K$61,$L$61,$N$61,$O$61)&lt;&gt;0,CHOOSE(7,$E$61,$F$61,$H$61,$I$61,$K$61,$L$61,$N$61,$O$61),
IF(CHOOSE(5,$E$61,$F$61,$H$61,$I$61,$K$61,$L$61,$N$61,$O$61)&lt;&gt;0,CHOOSE(5,$E$61,$F$61,$H$61,$I$61,$K$61,$L$61,$N$61,$O$61),
IF(CHOOSE(3,$E$61,$F$61,$H$61,$I$61,$K$61,$L$61,$N$61,$O$61)&lt;&gt;0,CHOOSE(3,$E$61,$F$61,$H$61,$I$61,$K$61,$L$61,$N$61,$O$61),
CHOOSE(1,$E$61,$F$61,$H$61,$I$61,$K$61,$L$61,$N$61,$O$61)))), "0.00%") &amp; ")"</f>
        <v>-170,726 KRW (-7.11%)</v>
      </c>
      <c r="H5" s="202"/>
      <c r="I5" s="203"/>
      <c r="J5" s="1" t="s">
        <v>24</v>
      </c>
      <c r="K5" s="198" t="s">
        <v>62</v>
      </c>
      <c r="L5" s="199"/>
      <c r="M5" s="199"/>
      <c r="N5" s="199"/>
      <c r="O5" s="200"/>
    </row>
    <row r="6" spans="1:18">
      <c r="A6" s="1" t="s">
        <v>25</v>
      </c>
      <c r="B6" s="198" t="s">
        <v>58</v>
      </c>
      <c r="C6" s="199"/>
      <c r="D6" s="199"/>
      <c r="E6" s="199"/>
      <c r="F6" s="200"/>
      <c r="G6" s="195" t="s">
        <v>85</v>
      </c>
      <c r="H6" s="196"/>
      <c r="I6" s="197"/>
      <c r="J6" s="1" t="s">
        <v>25</v>
      </c>
      <c r="K6" s="198" t="s">
        <v>63</v>
      </c>
      <c r="L6" s="199"/>
      <c r="M6" s="199"/>
      <c r="N6" s="199"/>
      <c r="O6" s="200"/>
    </row>
    <row r="7" spans="1:18" ht="17.25" thickBot="1">
      <c r="A7" s="1" t="s">
        <v>26</v>
      </c>
      <c r="B7" s="198" t="s">
        <v>64</v>
      </c>
      <c r="C7" s="199"/>
      <c r="D7" s="199"/>
      <c r="E7" s="199"/>
      <c r="F7" s="200"/>
      <c r="G7" s="201" t="str">
        <f>TEXT(IF(CHOOSE(8,$E$78,$F$78,$H$78,$I$78,$K$78,$L$78,$N$78,$O$78)&lt;&gt;0,CHOOSE(8,$E$78,$F$78,$H$78,$I$78,$K$78,$L$78,$N$78,$O$78),
IF(CHOOSE(6,$E$78,$F$78,$H$78,$I$78,$K$78,$L$78,$N$78,$O$78)&lt;&gt;0,CHOOSE(6,$E$78,$F$78,$H$78,$I$78,$K$78,$L$78,$N$78,$O$78),
IF(CHOOSE(4,$E$78,$F$78,$H$78,$I$78,$K$78,$L$78,$N$78,$O$78)&lt;&gt;0,CHOOSE(4,$E$78,$F$78,$H$78,$I$78,$K$78,$L$78,$N$78,$O$78),
CHOOSE(2,$E$78,$F$78,$H$78,$I$78,$K$78,$L$78,$N$78,$O$78)))), "#,##0") &amp; " KRW (" &amp;
TEXT(IF(CHOOSE(7,$E$78,$F$78,$H$78,$I$78,$K$78,$L$78,$N$78,$O$78)&lt;&gt;0,CHOOSE(7,$E$78,$F$78,$H$78,$I$78,$K$78,$L$78,$N$78,$O$78),
IF(CHOOSE(5,$E$78,$F$78,$H$78,$I$78,$K$78,$L$78,$N$78,$O$78)&lt;&gt;0,CHOOSE(5,$E$78,$F$78,$H$78,$I$78,$K$78,$L$78,$N$78,$O$78),
IF(CHOOSE(3,$E$78,$F$78,$H$78,$I$78,$K$78,$L$78,$N$78,$O$78)&lt;&gt;0,CHOOSE(3,$E$78,$F$78,$H$78,$I$78,$K$78,$L$78,$N$78,$O$78),
CHOOSE(1,$E$78,$F$78,$H$78,$I$78,$K$78,$L$78,$N$78,$O$78)))), "0.00%") &amp; ")"</f>
        <v>-70,578 KRW (-2.35%)</v>
      </c>
      <c r="H7" s="202"/>
      <c r="I7" s="203"/>
      <c r="J7" s="1" t="s">
        <v>26</v>
      </c>
      <c r="K7" s="198" t="s">
        <v>65</v>
      </c>
      <c r="L7" s="199"/>
      <c r="M7" s="199"/>
      <c r="N7" s="199"/>
      <c r="O7" s="200"/>
    </row>
    <row r="8" spans="1:18" ht="17.25" thickBot="1">
      <c r="A8" s="1" t="s">
        <v>27</v>
      </c>
      <c r="B8" s="198" t="s">
        <v>66</v>
      </c>
      <c r="C8" s="199"/>
      <c r="D8" s="199"/>
      <c r="E8" s="199"/>
      <c r="F8" s="200"/>
      <c r="G8" s="195" t="s">
        <v>86</v>
      </c>
      <c r="H8" s="196"/>
      <c r="I8" s="197"/>
      <c r="J8" s="1" t="s">
        <v>27</v>
      </c>
      <c r="K8" s="198" t="s">
        <v>88</v>
      </c>
      <c r="L8" s="199"/>
      <c r="M8" s="199"/>
      <c r="N8" s="199"/>
      <c r="O8" s="200"/>
      <c r="Q8" s="186" t="s">
        <v>16</v>
      </c>
      <c r="R8" s="188"/>
    </row>
    <row r="9" spans="1:18" ht="17.25" thickBot="1">
      <c r="A9" s="1" t="s">
        <v>28</v>
      </c>
      <c r="B9" s="198"/>
      <c r="C9" s="199"/>
      <c r="D9" s="199"/>
      <c r="E9" s="199"/>
      <c r="F9" s="200"/>
      <c r="G9" s="201" t="str">
        <f>TEXT(IF(CHOOSE(8,$E$95,$F$95,$H$95,$I$95,$K$95,$L$95,$N$95,$O$95)&lt;&gt;0,CHOOSE(8,$E$95,$F$95,$H$95,$I$95,$K$95,$L$95,$N$95,$O$95),
IF(CHOOSE(6,$E$95,$F$95,$H$95,$I$95,$K$95,$L$95,$N$95,$O$95)&lt;&gt;0,CHOOSE(6,$E$95,$F$95,$H$95,$I$95,$K$95,$L$95,$N$95,$O$95),
IF(CHOOSE(4,$E$95,$F$95,$H$95,$I$95,$K$95,$L$95,$N$95,$O$95)&lt;&gt;0,CHOOSE(4,$E$95,$F$95,$H$95,$I$95,$K$95,$L$95,$N$95,$O$95),
CHOOSE(2,$E$95,$F$95,$H$95,$I$95,$K$95,$L$95,$N$95,$O$95)))), "#,##0") &amp; " KRW (" &amp;
TEXT(IF(CHOOSE(7,$E$95,$F$95,$H$95,$I$95,$K$95,$L$95,$N$95,$O$95)&lt;&gt;0,CHOOSE(7,$E$95,$F$95,$H$95,$I$95,$K$95,$L$95,$N$95,$O$95),
IF(CHOOSE(5,$E$95,$F$95,$H$95,$I$95,$K$95,$L$95,$N$95,$O$95)&lt;&gt;0,CHOOSE(5,$E$95,$F$95,$H$95,$I$95,$K$95,$L$95,$N$95,$O$95),
IF(CHOOSE(3,$E$95,$F$95,$H$95,$I$95,$K$95,$L$95,$N$95,$O$95)&lt;&gt;0,CHOOSE(3,$E$95,$F$95,$H$95,$I$95,$K$95,$L$95,$N$95,$O$95),
CHOOSE(1,$E$95,$F$95,$H$95,$I$95,$K$95,$L$95,$N$95,$O$95)))), "0.00%") &amp; ")"</f>
        <v>-154,958 KRW (-5.17%)</v>
      </c>
      <c r="H9" s="202"/>
      <c r="I9" s="203"/>
      <c r="J9" s="1" t="s">
        <v>28</v>
      </c>
      <c r="K9" s="198" t="s">
        <v>219</v>
      </c>
      <c r="L9" s="199"/>
      <c r="M9" s="199"/>
      <c r="N9" s="199"/>
      <c r="O9" s="200"/>
      <c r="Q9" s="18" t="s">
        <v>2</v>
      </c>
      <c r="R9" s="51">
        <v>10</v>
      </c>
    </row>
    <row r="10" spans="1:18">
      <c r="A10" s="1" t="s">
        <v>29</v>
      </c>
      <c r="B10" s="198"/>
      <c r="C10" s="199"/>
      <c r="D10" s="199"/>
      <c r="E10" s="199"/>
      <c r="F10" s="200"/>
      <c r="G10" s="195" t="s">
        <v>81</v>
      </c>
      <c r="H10" s="196"/>
      <c r="I10" s="197"/>
      <c r="J10" s="1" t="s">
        <v>29</v>
      </c>
      <c r="K10" s="198"/>
      <c r="L10" s="199"/>
      <c r="M10" s="199"/>
      <c r="N10" s="199"/>
      <c r="O10" s="200"/>
      <c r="Q10" s="18" t="s">
        <v>3</v>
      </c>
      <c r="R10" s="51">
        <v>100</v>
      </c>
    </row>
    <row r="11" spans="1:18" ht="17.25" thickBot="1">
      <c r="A11" s="2" t="s">
        <v>21</v>
      </c>
      <c r="B11" s="210"/>
      <c r="C11" s="211"/>
      <c r="D11" s="211"/>
      <c r="E11" s="211"/>
      <c r="F11" s="212"/>
      <c r="G11" s="201" t="str">
        <f>TEXT(IF(CHOOSE(8,$E$112,$F$112,$H$112,$I$112,$K$112,$L$112,$N$112,$O$112)&lt;&gt;0,CHOOSE(8,$E$112,$F$112,$H$112,$I$112,$K$112,$L$112,$N$112,$O$112),
IF(CHOOSE(6,$E$112,$F$112,$H$112,$I$112,$K$112,$L$112,$N$112,$O$112)&lt;&gt;0,CHOOSE(6,$E$112,$F$112,$H$112,$I$112,$K$112,$L$112,$N$112,$O$112),
IF(CHOOSE(4,$E$112,$F$112,$H$112,$I$112,$K$112,$L$112,$N$112,$O$112)&lt;&gt;0,CHOOSE(4,$E$112,$F$112,$H$112,$I$112,$K$112,$L$112,$N$112,$O$112),
CHOOSE(2,$E$112,$F$112,$H$112,$I$112,$K$112,$L$112,$N$112,$O$112)))), "#,##0") &amp; " KRW (" &amp;
TEXT(IF(CHOOSE(7,$E$112,$F$112,$H$112,$I$112,$K$112,$L$112,$N$112,$O$112)&lt;&gt;0,CHOOSE(7,$E$112,$F$112,$H$112,$I$112,$K$112,$L$112,$N$112,$O$112),
IF(CHOOSE(5,$E$112,$F$112,$H$112,$I$112,$K$112,$L$112,$N$112,$O$112)&lt;&gt;0,CHOOSE(5,$E$112,$F$112,$H$112,$I$112,$K$112,$L$112,$N$112,$O$112),
IF(CHOOSE(3,$E$112,$F$112,$H$112,$I$112,$K$112,$L$112,$N$112,$O$112)&lt;&gt;0,CHOOSE(3,$E$112,$F$112,$H$112,$I$112,$K$112,$L$112,$N$112,$O$112),
CHOOSE(1,$E$112,$F$112,$H$112,$I$112,$K$112,$L$112,$N$112,$O$112)))), "0.00%") &amp; ")"</f>
        <v>-57,195 KRW (-1.91%)</v>
      </c>
      <c r="H11" s="202"/>
      <c r="I11" s="203"/>
      <c r="J11" s="2" t="s">
        <v>21</v>
      </c>
      <c r="K11" s="210"/>
      <c r="L11" s="211"/>
      <c r="M11" s="211"/>
      <c r="N11" s="211"/>
      <c r="O11" s="212"/>
      <c r="Q11" s="180" t="s">
        <v>17</v>
      </c>
      <c r="R11" s="52">
        <v>1000</v>
      </c>
    </row>
    <row r="12" spans="1:18" ht="17.25" thickBot="1"/>
    <row r="13" spans="1:18" ht="17.25" customHeight="1" thickBot="1">
      <c r="A13" s="186" t="s">
        <v>87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8"/>
      <c r="Q13" s="213"/>
      <c r="R13" s="214"/>
    </row>
    <row r="14" spans="1:18" ht="17.25" customHeight="1" thickBot="1">
      <c r="A14" s="179" t="s">
        <v>188</v>
      </c>
      <c r="B14" s="186" t="s">
        <v>187</v>
      </c>
      <c r="C14" s="188"/>
      <c r="D14" s="186" t="s">
        <v>67</v>
      </c>
      <c r="E14" s="187"/>
      <c r="F14" s="188"/>
      <c r="G14" s="223">
        <f>_xlfn.IFNA(VLOOKUP(B14, 현재가테이블!$B$1:$D$200, 2, FALSE), "-")</f>
        <v>69955000</v>
      </c>
      <c r="H14" s="224"/>
      <c r="I14" s="225"/>
      <c r="J14" s="186" t="s">
        <v>69</v>
      </c>
      <c r="K14" s="187"/>
      <c r="L14" s="188"/>
      <c r="M14" s="226">
        <f>_xlfn.IFNA(VLOOKUP(B14, 현재가테이블!$B$1:$D$200, 3, FALSE), "-")</f>
        <v>-2.10059337E-2</v>
      </c>
      <c r="N14" s="227"/>
      <c r="O14" s="228"/>
      <c r="Q14" s="215"/>
      <c r="R14" s="216"/>
    </row>
    <row r="15" spans="1:18" ht="17.25" customHeight="1" thickBot="1">
      <c r="A15" s="217" t="s">
        <v>18</v>
      </c>
      <c r="B15" s="218" t="s">
        <v>54</v>
      </c>
      <c r="C15" s="219"/>
      <c r="D15" s="220" t="s">
        <v>20</v>
      </c>
      <c r="E15" s="221"/>
      <c r="F15" s="222"/>
      <c r="G15" s="220" t="s">
        <v>15</v>
      </c>
      <c r="H15" s="221"/>
      <c r="I15" s="222"/>
      <c r="J15" s="221" t="s">
        <v>34</v>
      </c>
      <c r="K15" s="221"/>
      <c r="L15" s="221"/>
      <c r="M15" s="220" t="s">
        <v>54</v>
      </c>
      <c r="N15" s="221"/>
      <c r="O15" s="222"/>
      <c r="Q15" s="206"/>
      <c r="R15" s="207"/>
    </row>
    <row r="16" spans="1:18" ht="17.25" customHeight="1" thickBot="1">
      <c r="A16" s="217"/>
      <c r="B16" s="18" t="s">
        <v>67</v>
      </c>
      <c r="C16" s="4" t="s">
        <v>69</v>
      </c>
      <c r="D16" s="18" t="s">
        <v>67</v>
      </c>
      <c r="E16" s="4" t="s">
        <v>68</v>
      </c>
      <c r="F16" s="19" t="s">
        <v>70</v>
      </c>
      <c r="G16" s="183" t="s">
        <v>67</v>
      </c>
      <c r="H16" s="184" t="s">
        <v>68</v>
      </c>
      <c r="I16" s="185" t="s">
        <v>70</v>
      </c>
      <c r="J16" s="4" t="s">
        <v>67</v>
      </c>
      <c r="K16" s="4" t="s">
        <v>68</v>
      </c>
      <c r="L16" s="181" t="s">
        <v>70</v>
      </c>
      <c r="M16" s="18" t="s">
        <v>67</v>
      </c>
      <c r="N16" s="4" t="s">
        <v>68</v>
      </c>
      <c r="O16" s="182" t="s">
        <v>70</v>
      </c>
      <c r="Q16" s="206"/>
      <c r="R16" s="207"/>
    </row>
    <row r="17" spans="1:18" ht="17.25" customHeight="1">
      <c r="A17" s="39" t="s">
        <v>190</v>
      </c>
      <c r="B17" s="89">
        <f>IF(NOT(_xlfn.IFNA(VLOOKUP($A17, $A$30:$O$112, 2, FALSE), "")=0), _xlfn.IFNA(VLOOKUP($A17, $A$30:$O$112, 2, FALSE), ""), "")</f>
        <v>8180</v>
      </c>
      <c r="C17" s="22">
        <f>IF(NOT(_xlfn.IFNA(VLOOKUP($A17, $A$30:$O$112, 3, FALSE), "")=0), _xlfn.IFNA(VLOOKUP($A17, $A$30:$O$112, 3, FALSE), ""), "")</f>
        <v>0.7591397849</v>
      </c>
      <c r="D17" s="89">
        <f>IF(NOT(_xlfn.IFNA(VLOOKUP($A17, $A$30:$O$112, 4, FALSE), "")=0), _xlfn.IFNA(VLOOKUP($A17, $A$30:$O$112, 4, FALSE), ""), "")</f>
        <v>9600</v>
      </c>
      <c r="E17" s="22">
        <f>IF(NOT(_xlfn.IFNA(VLOOKUP($A17, $A$30:$O$112, 5, FALSE), "")=0), _xlfn.IFNA(VLOOKUP($A17, $A$30:$O$112, 5, FALSE), ""), "")</f>
        <v>0.17359413202933985</v>
      </c>
      <c r="F17" s="58">
        <f>IF(NOT(_xlfn.IFNA(VLOOKUP($A17, $A$30:$O$112, 6, FALSE), "")=0), _xlfn.IFNA(VLOOKUP($A17, $A$30:$O$112, 6, FALSE), ""), "")</f>
        <v>52078.239608801952</v>
      </c>
      <c r="G17" s="36">
        <f t="shared" ref="G17:G26" si="0">IF(NOT(_xlfn.IFNA(VLOOKUP($A17, $A$30:$O$112, 7, FALSE), "")=0), _xlfn.IFNA(VLOOKUP($A17, $A$30:$O$112, 7, FALSE), ""), "")</f>
        <v>8505</v>
      </c>
      <c r="H17" s="5">
        <f>IF(NOT(_xlfn.IFNA(VLOOKUP($A17, $A$30:$O$112, 8, FALSE), "")=0), _xlfn.IFNA(VLOOKUP($A17, $A$30:$O$112, 8, FALSE), ""), "")</f>
        <v>3.9731051344743279E-2</v>
      </c>
      <c r="I17" s="59">
        <f>IF(NOT(_xlfn.IFNA(VLOOKUP($A17, $A$30:$O$112, 9, FALSE), "")=0), _xlfn.IFNA(VLOOKUP($A17, $A$30:$O$112, 9, FALSE), ""), "")</f>
        <v>11919.315403422983</v>
      </c>
      <c r="J17" s="89">
        <f>IF(NOT(_xlfn.IFNA(VLOOKUP($A17, $A$30:$O$112, 10, FALSE), "")=0), _xlfn.IFNA(VLOOKUP($A17, $A$30:$O$112, 10, FALSE), ""), "")</f>
        <v>8075</v>
      </c>
      <c r="K17" s="22">
        <f>IF(NOT(_xlfn.IFNA(VLOOKUP($A17, $A$30:$O$112, 11, FALSE), "")=0), _xlfn.IFNA(VLOOKUP($A17, $A$30:$O$112, 11, FALSE), ""), "")</f>
        <v>-1.2836185819070905E-2</v>
      </c>
      <c r="L17" s="58">
        <f>IF(NOT(_xlfn.IFNA(VLOOKUP($A17, $A$30:$O$112, 12, FALSE), "")=0), _xlfn.IFNA(VLOOKUP($A17, $A$30:$O$112, 12, FALSE), ""), "")</f>
        <v>-3850.8557457212714</v>
      </c>
      <c r="M17" s="89" t="str">
        <f>IF(NOT(_xlfn.IFNA(VLOOKUP($A17, $A$30:$O$112, 13, FALSE), "")=0), _xlfn.IFNA(VLOOKUP($A17, $A$30:$O$112, 13, FALSE), ""), "")</f>
        <v/>
      </c>
      <c r="N17" s="22" t="str">
        <f>IF(NOT(_xlfn.IFNA(VLOOKUP($A17, $A$30:$O$112, 14, FALSE), "")=0), _xlfn.IFNA(VLOOKUP($A17, $A$30:$O$112, 14, FALSE), ""), "")</f>
        <v/>
      </c>
      <c r="O17" s="43" t="str">
        <f>IF(NOT(_xlfn.IFNA(VLOOKUP($A17, $A$30:$O$112, 15, FALSE), "")=0), _xlfn.IFNA(VLOOKUP($A17, $A$30:$O$112, 15, FALSE), ""), "")</f>
        <v/>
      </c>
      <c r="Q17" s="204"/>
      <c r="R17" s="205"/>
    </row>
    <row r="18" spans="1:18" ht="17.25" customHeight="1">
      <c r="A18" s="40" t="s">
        <v>97</v>
      </c>
      <c r="B18" s="36">
        <f t="shared" ref="B18:B26" si="1">IF(NOT(_xlfn.IFNA(VLOOKUP($A18, $A$30:$O$112, 2, FALSE), "")=0), _xlfn.IFNA(VLOOKUP($A18, $A$30:$O$112, 2, FALSE), ""), "")</f>
        <v>10070</v>
      </c>
      <c r="C18" s="5">
        <f t="shared" ref="C18:C26" si="2">IF(NOT(_xlfn.IFNA(VLOOKUP($A18, $A$30:$O$112, 3, FALSE), "")=0), _xlfn.IFNA(VLOOKUP($A18, $A$30:$O$112, 3, FALSE), ""), "")</f>
        <v>0.21765417170000001</v>
      </c>
      <c r="D18" s="36">
        <f t="shared" ref="D18:D26" si="3">IF(NOT(_xlfn.IFNA(VLOOKUP($A18, $A$30:$O$112, 4, FALSE), "")=0), _xlfn.IFNA(VLOOKUP($A18, $A$30:$O$112, 4, FALSE), ""), "")</f>
        <v>7465</v>
      </c>
      <c r="E18" s="5">
        <f t="shared" ref="E18:E26" si="4">IF(NOT(_xlfn.IFNA(VLOOKUP($A18, $A$30:$O$112, 5, FALSE), "")=0), _xlfn.IFNA(VLOOKUP($A18, $A$30:$O$112, 5, FALSE), ""), "")</f>
        <v>-0.2586891757696127</v>
      </c>
      <c r="F18" s="59">
        <f t="shared" ref="F18:F26" si="5">IF(NOT(_xlfn.IFNA(VLOOKUP($A18, $A$30:$O$112, 6, FALSE), "")=0), _xlfn.IFNA(VLOOKUP($A18, $A$30:$O$112, 6, FALSE), ""), "")</f>
        <v>-77606.752730883803</v>
      </c>
      <c r="G18" s="36">
        <f t="shared" si="0"/>
        <v>7890</v>
      </c>
      <c r="H18" s="5">
        <f t="shared" ref="H18:H26" si="6">IF(NOT(_xlfn.IFNA(VLOOKUP($A18, $A$30:$O$112, 8, FALSE), "")=0), _xlfn.IFNA(VLOOKUP($A18, $A$30:$O$112, 8, FALSE), ""), "")</f>
        <v>-0.21648460774577954</v>
      </c>
      <c r="I18" s="59">
        <f t="shared" ref="I18:I26" si="7">IF(NOT(_xlfn.IFNA(VLOOKUP($A18, $A$30:$O$112, 9, FALSE), "")=0), _xlfn.IFNA(VLOOKUP($A18, $A$30:$O$112, 9, FALSE), ""), "")</f>
        <v>-64945.382323733866</v>
      </c>
      <c r="J18" s="36">
        <f t="shared" ref="J18:J26" si="8">IF(NOT(_xlfn.IFNA(VLOOKUP($A18, $A$30:$O$112, 10, FALSE), "")=0), _xlfn.IFNA(VLOOKUP($A18, $A$30:$O$112, 10, FALSE), ""), "")</f>
        <v>8965</v>
      </c>
      <c r="K18" s="5">
        <f t="shared" ref="K18:K26" si="9">IF(NOT(_xlfn.IFNA(VLOOKUP($A18, $A$30:$O$112, 11, FALSE), "")=0), _xlfn.IFNA(VLOOKUP($A18, $A$30:$O$112, 11, FALSE), ""), "")</f>
        <v>-0.10973187686196624</v>
      </c>
      <c r="L18" s="59">
        <f t="shared" ref="L18:L26" si="10">IF(NOT(_xlfn.IFNA(VLOOKUP($A18, $A$30:$O$112, 12, FALSE), "")=0), _xlfn.IFNA(VLOOKUP($A18, $A$30:$O$112, 12, FALSE), ""), "")</f>
        <v>-32919.563058589869</v>
      </c>
      <c r="M18" s="36" t="str">
        <f t="shared" ref="M18:M26" si="11">IF(NOT(_xlfn.IFNA(VLOOKUP($A18, $A$30:$O$112, 13, FALSE), "")=0), _xlfn.IFNA(VLOOKUP($A18, $A$30:$O$112, 13, FALSE), ""), "")</f>
        <v/>
      </c>
      <c r="N18" s="5" t="str">
        <f t="shared" ref="N18:N26" si="12">IF(NOT(_xlfn.IFNA(VLOOKUP($A18, $A$30:$O$112, 14, FALSE), "")=0), _xlfn.IFNA(VLOOKUP($A18, $A$30:$O$112, 14, FALSE), ""), "")</f>
        <v/>
      </c>
      <c r="O18" s="44" t="str">
        <f t="shared" ref="O18:O26" si="13">IF(NOT(_xlfn.IFNA(VLOOKUP($A18, $A$30:$O$112, 15, FALSE), "")=0), _xlfn.IFNA(VLOOKUP($A18, $A$30:$O$112, 15, FALSE), ""), "")</f>
        <v/>
      </c>
      <c r="Q18" s="204"/>
      <c r="R18" s="205"/>
    </row>
    <row r="19" spans="1:18" ht="17.25" customHeight="1">
      <c r="A19" s="40" t="s">
        <v>191</v>
      </c>
      <c r="B19" s="36">
        <f t="shared" si="1"/>
        <v>10830</v>
      </c>
      <c r="C19" s="5">
        <f t="shared" si="2"/>
        <v>0.19933554819999999</v>
      </c>
      <c r="D19" s="36">
        <f t="shared" si="3"/>
        <v>12560</v>
      </c>
      <c r="E19" s="5">
        <f t="shared" si="4"/>
        <v>0.15974145891043398</v>
      </c>
      <c r="F19" s="59">
        <f t="shared" si="5"/>
        <v>47922.437673130196</v>
      </c>
      <c r="G19" s="36">
        <f t="shared" si="0"/>
        <v>12240</v>
      </c>
      <c r="H19" s="5">
        <f t="shared" si="6"/>
        <v>0.13019390581717452</v>
      </c>
      <c r="I19" s="59">
        <f t="shared" si="7"/>
        <v>39058.171745152358</v>
      </c>
      <c r="J19" s="36">
        <f t="shared" si="8"/>
        <v>11960</v>
      </c>
      <c r="K19" s="5">
        <f t="shared" si="9"/>
        <v>0.10433979686057249</v>
      </c>
      <c r="L19" s="59">
        <f t="shared" si="10"/>
        <v>31301.939058171745</v>
      </c>
      <c r="M19" s="36" t="str">
        <f t="shared" si="11"/>
        <v/>
      </c>
      <c r="N19" s="5" t="str">
        <f t="shared" si="12"/>
        <v/>
      </c>
      <c r="O19" s="44" t="str">
        <f t="shared" si="13"/>
        <v/>
      </c>
      <c r="Q19" s="204"/>
      <c r="R19" s="205"/>
    </row>
    <row r="20" spans="1:18" ht="17.25" customHeight="1">
      <c r="A20" s="40" t="s">
        <v>192</v>
      </c>
      <c r="B20" s="36">
        <f t="shared" si="1"/>
        <v>3040</v>
      </c>
      <c r="C20" s="5">
        <f t="shared" si="2"/>
        <v>0.13221601490000001</v>
      </c>
      <c r="D20" s="36">
        <f t="shared" si="3"/>
        <v>3235</v>
      </c>
      <c r="E20" s="5">
        <f t="shared" si="4"/>
        <v>6.4144736842105268E-2</v>
      </c>
      <c r="F20" s="59">
        <f t="shared" si="5"/>
        <v>19243.42105263158</v>
      </c>
      <c r="G20" s="36">
        <f t="shared" si="0"/>
        <v>3110</v>
      </c>
      <c r="H20" s="5">
        <f t="shared" si="6"/>
        <v>2.3026315789473683E-2</v>
      </c>
      <c r="I20" s="59">
        <f t="shared" si="7"/>
        <v>6907.894736842105</v>
      </c>
      <c r="J20" s="36">
        <f t="shared" si="8"/>
        <v>3015</v>
      </c>
      <c r="K20" s="5">
        <f t="shared" si="9"/>
        <v>-8.2236842105263153E-3</v>
      </c>
      <c r="L20" s="59">
        <f t="shared" si="10"/>
        <v>-2467.1052631578946</v>
      </c>
      <c r="M20" s="36" t="str">
        <f t="shared" si="11"/>
        <v/>
      </c>
      <c r="N20" s="5" t="str">
        <f t="shared" si="12"/>
        <v/>
      </c>
      <c r="O20" s="44" t="str">
        <f t="shared" si="13"/>
        <v/>
      </c>
      <c r="Q20" s="204"/>
      <c r="R20" s="205"/>
    </row>
    <row r="21" spans="1:18" ht="17.25" customHeight="1">
      <c r="A21" s="41" t="s">
        <v>106</v>
      </c>
      <c r="B21" s="37">
        <f t="shared" si="1"/>
        <v>5070</v>
      </c>
      <c r="C21" s="24">
        <f t="shared" si="2"/>
        <v>8.2177161200000001E-2</v>
      </c>
      <c r="D21" s="37">
        <f t="shared" si="3"/>
        <v>3855</v>
      </c>
      <c r="E21" s="24">
        <f t="shared" si="4"/>
        <v>-0.23964497041420119</v>
      </c>
      <c r="F21" s="60">
        <f t="shared" si="5"/>
        <v>-71893.491124260356</v>
      </c>
      <c r="G21" s="37">
        <f t="shared" si="0"/>
        <v>4075</v>
      </c>
      <c r="H21" s="24">
        <f t="shared" si="6"/>
        <v>-0.19625246548323472</v>
      </c>
      <c r="I21" s="60">
        <f t="shared" si="7"/>
        <v>-58875.739644970417</v>
      </c>
      <c r="J21" s="37">
        <f t="shared" si="8"/>
        <v>4640</v>
      </c>
      <c r="K21" s="24">
        <f t="shared" si="9"/>
        <v>-8.4812623274161739E-2</v>
      </c>
      <c r="L21" s="60">
        <f t="shared" si="10"/>
        <v>-25443.786982248523</v>
      </c>
      <c r="M21" s="37" t="str">
        <f t="shared" si="11"/>
        <v/>
      </c>
      <c r="N21" s="24" t="str">
        <f t="shared" si="12"/>
        <v/>
      </c>
      <c r="O21" s="62" t="str">
        <f t="shared" si="13"/>
        <v/>
      </c>
      <c r="Q21" s="204"/>
      <c r="R21" s="205"/>
    </row>
    <row r="22" spans="1:18" ht="17.25" customHeight="1">
      <c r="A22" s="40" t="s">
        <v>94</v>
      </c>
      <c r="B22" s="36">
        <f t="shared" si="1"/>
        <v>467</v>
      </c>
      <c r="C22" s="5">
        <f t="shared" si="2"/>
        <v>7.60368664E-2</v>
      </c>
      <c r="D22" s="36">
        <f t="shared" si="3"/>
        <v>510</v>
      </c>
      <c r="E22" s="5">
        <f t="shared" si="4"/>
        <v>9.2077087794432549E-2</v>
      </c>
      <c r="F22" s="59">
        <f t="shared" si="5"/>
        <v>27623.126338329766</v>
      </c>
      <c r="G22" s="36">
        <f t="shared" si="0"/>
        <v>482</v>
      </c>
      <c r="H22" s="5">
        <f t="shared" si="6"/>
        <v>3.2119914346895075E-2</v>
      </c>
      <c r="I22" s="59">
        <f t="shared" si="7"/>
        <v>9635.9743040685225</v>
      </c>
      <c r="J22" s="36">
        <f t="shared" si="8"/>
        <v>481</v>
      </c>
      <c r="K22" s="5">
        <f t="shared" si="9"/>
        <v>2.9978586723768737E-2</v>
      </c>
      <c r="L22" s="59">
        <f t="shared" si="10"/>
        <v>8993.576017130621</v>
      </c>
      <c r="M22" s="36" t="str">
        <f t="shared" si="11"/>
        <v/>
      </c>
      <c r="N22" s="5" t="str">
        <f t="shared" si="12"/>
        <v/>
      </c>
      <c r="O22" s="44" t="str">
        <f t="shared" si="13"/>
        <v/>
      </c>
      <c r="Q22" s="204"/>
      <c r="R22" s="205"/>
    </row>
    <row r="23" spans="1:18" ht="17.25" customHeight="1">
      <c r="A23" s="40" t="s">
        <v>210</v>
      </c>
      <c r="B23" s="36">
        <f t="shared" si="1"/>
        <v>5225</v>
      </c>
      <c r="C23" s="5">
        <f t="shared" si="2"/>
        <v>6.9600818800000006E-2</v>
      </c>
      <c r="D23" s="36">
        <f t="shared" si="3"/>
        <v>4045</v>
      </c>
      <c r="E23" s="5">
        <f t="shared" si="4"/>
        <v>-0.22583732057416267</v>
      </c>
      <c r="F23" s="59">
        <f t="shared" si="5"/>
        <v>-67751.196172248805</v>
      </c>
      <c r="G23" s="36">
        <f t="shared" si="0"/>
        <v>4425</v>
      </c>
      <c r="H23" s="5">
        <f t="shared" si="6"/>
        <v>-0.15311004784688995</v>
      </c>
      <c r="I23" s="59">
        <f t="shared" si="7"/>
        <v>-45933.014354066981</v>
      </c>
      <c r="J23" s="36">
        <f t="shared" si="8"/>
        <v>5065</v>
      </c>
      <c r="K23" s="5">
        <f t="shared" si="9"/>
        <v>-3.0622009569377991E-2</v>
      </c>
      <c r="L23" s="59">
        <f t="shared" si="10"/>
        <v>-9186.6028708133981</v>
      </c>
      <c r="M23" s="36" t="str">
        <f t="shared" si="11"/>
        <v/>
      </c>
      <c r="N23" s="5" t="str">
        <f t="shared" si="12"/>
        <v/>
      </c>
      <c r="O23" s="44" t="str">
        <f t="shared" si="13"/>
        <v/>
      </c>
      <c r="Q23" s="204"/>
      <c r="R23" s="205"/>
    </row>
    <row r="24" spans="1:18" ht="17.25" customHeight="1">
      <c r="A24" s="40" t="s">
        <v>122</v>
      </c>
      <c r="B24" s="36">
        <f t="shared" si="1"/>
        <v>316</v>
      </c>
      <c r="C24" s="5">
        <f t="shared" si="2"/>
        <v>5.3333333300000001E-2</v>
      </c>
      <c r="D24" s="36">
        <f t="shared" si="3"/>
        <v>276</v>
      </c>
      <c r="E24" s="5">
        <f t="shared" si="4"/>
        <v>-0.12658227848101267</v>
      </c>
      <c r="F24" s="59">
        <f t="shared" si="5"/>
        <v>-37974.6835443038</v>
      </c>
      <c r="G24" s="36">
        <f t="shared" si="0"/>
        <v>287</v>
      </c>
      <c r="H24" s="5">
        <f t="shared" si="6"/>
        <v>-9.1772151898734181E-2</v>
      </c>
      <c r="I24" s="59">
        <f t="shared" si="7"/>
        <v>-27531.645569620254</v>
      </c>
      <c r="J24" s="36">
        <f t="shared" si="8"/>
        <v>303</v>
      </c>
      <c r="K24" s="5">
        <f t="shared" si="9"/>
        <v>-4.1139240506329111E-2</v>
      </c>
      <c r="L24" s="59">
        <f t="shared" si="10"/>
        <v>-12341.772151898733</v>
      </c>
      <c r="M24" s="36" t="str">
        <f t="shared" si="11"/>
        <v/>
      </c>
      <c r="N24" s="5" t="str">
        <f t="shared" si="12"/>
        <v/>
      </c>
      <c r="O24" s="44" t="str">
        <f t="shared" si="13"/>
        <v/>
      </c>
      <c r="Q24" s="204"/>
      <c r="R24" s="205"/>
    </row>
    <row r="25" spans="1:18" ht="17.25" customHeight="1">
      <c r="A25" s="40" t="s">
        <v>189</v>
      </c>
      <c r="B25" s="36">
        <f t="shared" si="1"/>
        <v>45510</v>
      </c>
      <c r="C25" s="5">
        <f t="shared" si="2"/>
        <v>4.3567989000000001E-2</v>
      </c>
      <c r="D25" s="36">
        <f t="shared" si="3"/>
        <v>46000</v>
      </c>
      <c r="E25" s="5">
        <f t="shared" si="4"/>
        <v>1.0766864425401011E-2</v>
      </c>
      <c r="F25" s="59">
        <f t="shared" si="5"/>
        <v>3230.0593276203031</v>
      </c>
      <c r="G25" s="36">
        <f t="shared" si="0"/>
        <v>45300</v>
      </c>
      <c r="H25" s="5">
        <f t="shared" si="6"/>
        <v>-4.6143704680290049E-3</v>
      </c>
      <c r="I25" s="59">
        <f t="shared" si="7"/>
        <v>-1384.3111404087015</v>
      </c>
      <c r="J25" s="36">
        <f t="shared" si="8"/>
        <v>45260</v>
      </c>
      <c r="K25" s="5">
        <f t="shared" si="9"/>
        <v>-5.4932981762250057E-3</v>
      </c>
      <c r="L25" s="59">
        <f t="shared" si="10"/>
        <v>-1647.9894528675018</v>
      </c>
      <c r="M25" s="36" t="str">
        <f t="shared" si="11"/>
        <v/>
      </c>
      <c r="N25" s="5" t="str">
        <f t="shared" si="12"/>
        <v/>
      </c>
      <c r="O25" s="44" t="str">
        <f t="shared" si="13"/>
        <v/>
      </c>
      <c r="Q25" s="206"/>
      <c r="R25" s="207"/>
    </row>
    <row r="26" spans="1:18" ht="17.25" customHeight="1" thickBot="1">
      <c r="A26" s="42" t="s">
        <v>137</v>
      </c>
      <c r="B26" s="38">
        <f t="shared" si="1"/>
        <v>436</v>
      </c>
      <c r="C26" s="16">
        <f t="shared" si="2"/>
        <v>3.8095238099999998E-2</v>
      </c>
      <c r="D26" s="38">
        <f t="shared" si="3"/>
        <v>358</v>
      </c>
      <c r="E26" s="16">
        <f t="shared" si="4"/>
        <v>-0.17889908256880735</v>
      </c>
      <c r="F26" s="61">
        <f t="shared" si="5"/>
        <v>-53669.724770642206</v>
      </c>
      <c r="G26" s="38">
        <f t="shared" si="0"/>
        <v>394</v>
      </c>
      <c r="H26" s="16">
        <f t="shared" si="6"/>
        <v>-9.6330275229357804E-2</v>
      </c>
      <c r="I26" s="61">
        <f t="shared" si="7"/>
        <v>-28899.082568807342</v>
      </c>
      <c r="J26" s="38">
        <f t="shared" si="8"/>
        <v>422</v>
      </c>
      <c r="K26" s="16">
        <f t="shared" si="9"/>
        <v>-3.2110091743119268E-2</v>
      </c>
      <c r="L26" s="61">
        <f t="shared" si="10"/>
        <v>-9633.0275229357812</v>
      </c>
      <c r="M26" s="38" t="str">
        <f t="shared" si="11"/>
        <v/>
      </c>
      <c r="N26" s="16" t="str">
        <f t="shared" si="12"/>
        <v/>
      </c>
      <c r="O26" s="45" t="str">
        <f t="shared" si="13"/>
        <v/>
      </c>
      <c r="Q26" s="206"/>
      <c r="R26" s="207"/>
    </row>
    <row r="27" spans="1:18" ht="17.25" customHeight="1" thickBot="1">
      <c r="A27" s="57" t="s">
        <v>32</v>
      </c>
      <c r="B27" s="235">
        <v>300000</v>
      </c>
      <c r="C27" s="236"/>
      <c r="D27" s="57" t="s">
        <v>82</v>
      </c>
      <c r="E27" s="46">
        <f>IF(COUNT(E17:E26), SUM(E17:E26) / COUNT(E17:E26), 0)</f>
        <v>-5.2932854780608385E-2</v>
      </c>
      <c r="F27" s="47">
        <f>SUM(F17:F26)</f>
        <v>-158798.56434182517</v>
      </c>
      <c r="G27" s="57" t="s">
        <v>82</v>
      </c>
      <c r="H27" s="46">
        <f>IF(COUNT(H17:H26), SUM(H17:H26) / COUNT(H17:H26), 0)</f>
        <v>-5.3349273137373865E-2</v>
      </c>
      <c r="I27" s="47">
        <f>SUM(I17:I26)</f>
        <v>-160047.81941212161</v>
      </c>
      <c r="J27" s="57" t="s">
        <v>82</v>
      </c>
      <c r="K27" s="46">
        <f>IF(COUNT(K17:K26), SUM(K17:K26) / COUNT(K17:K26), 0)</f>
        <v>-1.9065062657643538E-2</v>
      </c>
      <c r="L27" s="47">
        <f>SUM(L17:L26)</f>
        <v>-57195.187972930602</v>
      </c>
      <c r="M27" s="57" t="s">
        <v>82</v>
      </c>
      <c r="N27" s="46">
        <f>IF(COUNT(N17:N26), SUM(N17:N26) / COUNT(N17:N26), 0)</f>
        <v>0</v>
      </c>
      <c r="O27" s="47">
        <f>SUM(O17:O26)</f>
        <v>0</v>
      </c>
      <c r="Q27" s="208"/>
      <c r="R27" s="209"/>
    </row>
    <row r="28" spans="1:18" ht="17.25" customHeight="1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</row>
    <row r="29" spans="1:18" ht="17.25" customHeight="1" thickBot="1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</row>
    <row r="30" spans="1:18" ht="17.25" customHeight="1" thickBot="1">
      <c r="A30" s="186" t="s">
        <v>83</v>
      </c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8"/>
      <c r="Q30" s="237"/>
      <c r="R30" s="238"/>
    </row>
    <row r="31" spans="1:18" ht="17.25" customHeight="1" thickBot="1">
      <c r="A31" s="179" t="s">
        <v>188</v>
      </c>
      <c r="B31" s="186" t="s">
        <v>187</v>
      </c>
      <c r="C31" s="188"/>
      <c r="D31" s="186" t="s">
        <v>67</v>
      </c>
      <c r="E31" s="187"/>
      <c r="F31" s="188"/>
      <c r="G31" s="223">
        <f>_xlfn.IFNA(VLOOKUP(B31, 현재가테이블!$B$1:$D$200, 2, FALSE), "-")</f>
        <v>69955000</v>
      </c>
      <c r="H31" s="224"/>
      <c r="I31" s="225"/>
      <c r="J31" s="186" t="s">
        <v>69</v>
      </c>
      <c r="K31" s="187"/>
      <c r="L31" s="188"/>
      <c r="M31" s="226">
        <f>_xlfn.IFNA(VLOOKUP(B31, 현재가테이블!$B$1:$D$200, 3, FALSE), "-")</f>
        <v>-2.10059337E-2</v>
      </c>
      <c r="N31" s="227"/>
      <c r="O31" s="228"/>
      <c r="Q31" s="239"/>
      <c r="R31" s="240"/>
    </row>
    <row r="32" spans="1:18" ht="17.25" customHeight="1" thickBot="1">
      <c r="A32" s="217" t="s">
        <v>18</v>
      </c>
      <c r="B32" s="218" t="s">
        <v>54</v>
      </c>
      <c r="C32" s="219"/>
      <c r="D32" s="241" t="s">
        <v>20</v>
      </c>
      <c r="E32" s="242"/>
      <c r="F32" s="243"/>
      <c r="G32" s="241" t="s">
        <v>15</v>
      </c>
      <c r="H32" s="242"/>
      <c r="I32" s="243"/>
      <c r="J32" s="221" t="s">
        <v>34</v>
      </c>
      <c r="K32" s="221"/>
      <c r="L32" s="221"/>
      <c r="M32" s="241" t="s">
        <v>54</v>
      </c>
      <c r="N32" s="242"/>
      <c r="O32" s="243"/>
      <c r="Q32" s="231"/>
      <c r="R32" s="232"/>
    </row>
    <row r="33" spans="1:18" ht="17.25" customHeight="1" thickBot="1">
      <c r="A33" s="217"/>
      <c r="B33" s="18" t="s">
        <v>67</v>
      </c>
      <c r="C33" s="4" t="s">
        <v>69</v>
      </c>
      <c r="D33" s="18" t="s">
        <v>67</v>
      </c>
      <c r="E33" s="4" t="s">
        <v>68</v>
      </c>
      <c r="F33" s="19" t="s">
        <v>70</v>
      </c>
      <c r="G33" s="18" t="s">
        <v>67</v>
      </c>
      <c r="H33" s="4" t="s">
        <v>68</v>
      </c>
      <c r="I33" s="19" t="s">
        <v>70</v>
      </c>
      <c r="J33" s="4" t="s">
        <v>67</v>
      </c>
      <c r="K33" s="4" t="s">
        <v>68</v>
      </c>
      <c r="L33" s="181" t="s">
        <v>70</v>
      </c>
      <c r="M33" s="18" t="s">
        <v>67</v>
      </c>
      <c r="N33" s="4" t="s">
        <v>68</v>
      </c>
      <c r="O33" s="182" t="s">
        <v>70</v>
      </c>
      <c r="Q33" s="231"/>
      <c r="R33" s="232"/>
    </row>
    <row r="34" spans="1:18" ht="17.25" customHeight="1">
      <c r="A34" s="9" t="s">
        <v>103</v>
      </c>
      <c r="B34" s="31">
        <v>97</v>
      </c>
      <c r="C34" s="22">
        <v>-3.9603960399999999E-2</v>
      </c>
      <c r="D34" s="89">
        <v>81</v>
      </c>
      <c r="E34" s="22">
        <f>IF(ISNUMBER(D34), (D34 - $B34) / $B34, "")</f>
        <v>-0.16494845360824742</v>
      </c>
      <c r="F34" s="43">
        <f>IF(ISNUMBER(D34), $B44 * E34, "")</f>
        <v>-49484.536082474224</v>
      </c>
      <c r="G34" s="89">
        <v>85.7</v>
      </c>
      <c r="H34" s="22">
        <f>IF(ISNUMBER(G34), (G34 - $B34) / $B34, "")</f>
        <v>-0.11649484536082472</v>
      </c>
      <c r="I34" s="43">
        <f>IF(ISNUMBER(G34), $B44 * H34, "")</f>
        <v>-34948.453608247415</v>
      </c>
      <c r="J34" s="89">
        <v>93.6</v>
      </c>
      <c r="K34" s="22">
        <f>IF(ISNUMBER(J34), (J34 - $B34) / $B34, "")</f>
        <v>-3.5051546391752633E-2</v>
      </c>
      <c r="L34" s="43">
        <f>IF(ISNUMBER(J34), $B44 * K34, "")</f>
        <v>-10515.463917525791</v>
      </c>
      <c r="M34" s="89"/>
      <c r="N34" s="22" t="str">
        <f>IF(ISNUMBER(M34), (M34 - $B34) / $B34, "")</f>
        <v/>
      </c>
      <c r="O34" s="43" t="str">
        <f>IF(ISNUMBER(M34), $B44 * N34, "")</f>
        <v/>
      </c>
      <c r="Q34" s="229"/>
      <c r="R34" s="230"/>
    </row>
    <row r="35" spans="1:18" ht="17.25" customHeight="1">
      <c r="A35" s="11" t="s">
        <v>107</v>
      </c>
      <c r="B35" s="32">
        <v>35.6</v>
      </c>
      <c r="C35" s="5">
        <v>-6.3157894699999995E-2</v>
      </c>
      <c r="D35" s="36">
        <v>28.9</v>
      </c>
      <c r="E35" s="5">
        <f t="shared" ref="E35:E43" si="14">IF(ISNUMBER(D35), (D35 - $B35) / $B35, "")</f>
        <v>-0.18820224719101131</v>
      </c>
      <c r="F35" s="44">
        <f>IF(ISNUMBER(D35), $B44 * E35, "")</f>
        <v>-56460.674157303394</v>
      </c>
      <c r="G35" s="36">
        <v>30.8</v>
      </c>
      <c r="H35" s="5">
        <f t="shared" ref="H35:H43" si="15">IF(ISNUMBER(G35), (G35 - $B35) / $B35, "")</f>
        <v>-0.13483146067415733</v>
      </c>
      <c r="I35" s="44">
        <f>IF(ISNUMBER(G35), $B44 * H35, "")</f>
        <v>-40449.438202247198</v>
      </c>
      <c r="J35" s="36">
        <v>32.6</v>
      </c>
      <c r="K35" s="5">
        <f t="shared" ref="K35:K43" si="16">IF(ISNUMBER(J35), (J35 - $B35) / $B35, "")</f>
        <v>-8.4269662921348312E-2</v>
      </c>
      <c r="L35" s="44">
        <f>IF(ISNUMBER(J35), $B44 * K35, "")</f>
        <v>-25280.898876404495</v>
      </c>
      <c r="M35" s="36"/>
      <c r="N35" s="5" t="str">
        <f t="shared" ref="N35:N43" si="17">IF(ISNUMBER(M35), (M35 - $B35) / $B35, "")</f>
        <v/>
      </c>
      <c r="O35" s="44" t="str">
        <f>IF(ISNUMBER(M35), $B44 * N35, "")</f>
        <v/>
      </c>
      <c r="Q35" s="229"/>
      <c r="R35" s="230"/>
    </row>
    <row r="36" spans="1:18" ht="17.25" customHeight="1">
      <c r="A36" s="11" t="s">
        <v>143</v>
      </c>
      <c r="B36" s="32">
        <v>10.1</v>
      </c>
      <c r="C36" s="5">
        <v>-7.3394495399999995E-2</v>
      </c>
      <c r="D36" s="36">
        <v>9.5299999999999994</v>
      </c>
      <c r="E36" s="5">
        <f t="shared" si="14"/>
        <v>-5.6435643564356465E-2</v>
      </c>
      <c r="F36" s="44">
        <f>IF(ISNUMBER(D36), $B44 * E36, "")</f>
        <v>-16930.693069306941</v>
      </c>
      <c r="G36" s="36">
        <v>10</v>
      </c>
      <c r="H36" s="5">
        <f t="shared" si="15"/>
        <v>-9.9009900990098664E-3</v>
      </c>
      <c r="I36" s="44">
        <f>IF(ISNUMBER(G36), $B44 * H36, "")</f>
        <v>-2970.2970297029601</v>
      </c>
      <c r="J36" s="36">
        <v>10</v>
      </c>
      <c r="K36" s="5">
        <f t="shared" si="16"/>
        <v>-9.9009900990098664E-3</v>
      </c>
      <c r="L36" s="44">
        <f>IF(ISNUMBER(J36), $B44 * K36, "")</f>
        <v>-2970.2970297029601</v>
      </c>
      <c r="M36" s="36"/>
      <c r="N36" s="5" t="str">
        <f t="shared" si="17"/>
        <v/>
      </c>
      <c r="O36" s="44" t="str">
        <f>IF(ISNUMBER(M36), $B44 * N36, "")</f>
        <v/>
      </c>
      <c r="Q36" s="229"/>
      <c r="R36" s="230"/>
    </row>
    <row r="37" spans="1:18" ht="17.25" customHeight="1">
      <c r="A37" s="11" t="s">
        <v>133</v>
      </c>
      <c r="B37" s="32">
        <v>22.2</v>
      </c>
      <c r="C37" s="5">
        <v>-7.8838174299999994E-2</v>
      </c>
      <c r="D37" s="36">
        <v>18.3</v>
      </c>
      <c r="E37" s="5">
        <f t="shared" si="14"/>
        <v>-0.17567567567567563</v>
      </c>
      <c r="F37" s="44">
        <f>IF(ISNUMBER(D37), $B44 * E37, "")</f>
        <v>-52702.702702702692</v>
      </c>
      <c r="G37" s="36">
        <v>19.600000000000001</v>
      </c>
      <c r="H37" s="5">
        <f t="shared" si="15"/>
        <v>-0.11711711711711703</v>
      </c>
      <c r="I37" s="44">
        <f>IF(ISNUMBER(G37), $B44 * H37, "")</f>
        <v>-35135.135135135111</v>
      </c>
      <c r="J37" s="36">
        <v>20.7</v>
      </c>
      <c r="K37" s="5">
        <f t="shared" si="16"/>
        <v>-6.7567567567567571E-2</v>
      </c>
      <c r="L37" s="44">
        <f>IF(ISNUMBER(J37), $B44 * K37, "")</f>
        <v>-20270.27027027027</v>
      </c>
      <c r="M37" s="36"/>
      <c r="N37" s="5" t="str">
        <f t="shared" si="17"/>
        <v/>
      </c>
      <c r="O37" s="44" t="str">
        <f>IF(ISNUMBER(M37), $B44 * N37, "")</f>
        <v/>
      </c>
      <c r="Q37" s="229"/>
      <c r="R37" s="230"/>
    </row>
    <row r="38" spans="1:18" ht="17.25" customHeight="1">
      <c r="A38" s="8" t="s">
        <v>100</v>
      </c>
      <c r="B38" s="33">
        <v>31.6</v>
      </c>
      <c r="C38" s="24">
        <v>-8.4057970999999995E-2</v>
      </c>
      <c r="D38" s="37">
        <v>25.5</v>
      </c>
      <c r="E38" s="24">
        <f t="shared" si="14"/>
        <v>-0.19303797468354433</v>
      </c>
      <c r="F38" s="44">
        <f>IF(ISNUMBER(D38), $B44 * E38, "")</f>
        <v>-57911.3924050633</v>
      </c>
      <c r="G38" s="37">
        <v>27</v>
      </c>
      <c r="H38" s="24">
        <f t="shared" si="15"/>
        <v>-0.14556962025316458</v>
      </c>
      <c r="I38" s="44">
        <f>IF(ISNUMBER(G38), $B44 * H38, "")</f>
        <v>-43670.886075949376</v>
      </c>
      <c r="J38" s="37">
        <v>29.5</v>
      </c>
      <c r="K38" s="24">
        <f t="shared" si="16"/>
        <v>-6.6455696202531694E-2</v>
      </c>
      <c r="L38" s="44">
        <f>IF(ISNUMBER(J38), $B44 * K38, "")</f>
        <v>-19936.708860759507</v>
      </c>
      <c r="M38" s="37"/>
      <c r="N38" s="24" t="str">
        <f t="shared" si="17"/>
        <v/>
      </c>
      <c r="O38" s="44" t="str">
        <f>IF(ISNUMBER(M38), $B44 * N38, "")</f>
        <v/>
      </c>
      <c r="Q38" s="229"/>
      <c r="R38" s="230"/>
    </row>
    <row r="39" spans="1:18" ht="17.25" customHeight="1">
      <c r="A39" s="11" t="s">
        <v>128</v>
      </c>
      <c r="B39" s="32">
        <v>89.4</v>
      </c>
      <c r="C39" s="5">
        <v>-8.5889570600000006E-2</v>
      </c>
      <c r="D39" s="36">
        <v>92.4</v>
      </c>
      <c r="E39" s="5">
        <f t="shared" si="14"/>
        <v>3.3557046979865772E-2</v>
      </c>
      <c r="F39" s="48">
        <f>IF(ISNUMBER(D39), $B44 * E39, "")</f>
        <v>10067.114093959732</v>
      </c>
      <c r="G39" s="36">
        <v>101</v>
      </c>
      <c r="H39" s="5">
        <f t="shared" si="15"/>
        <v>0.12975391498881425</v>
      </c>
      <c r="I39" s="48">
        <f>IF(ISNUMBER(G39), $B44 * H39, "")</f>
        <v>38926.174496644278</v>
      </c>
      <c r="J39" s="36">
        <v>145</v>
      </c>
      <c r="K39" s="5">
        <f t="shared" si="16"/>
        <v>0.62192393736017881</v>
      </c>
      <c r="L39" s="48">
        <f>IF(ISNUMBER(J39), $B44 * K39, "")</f>
        <v>186577.18120805363</v>
      </c>
      <c r="M39" s="36"/>
      <c r="N39" s="5" t="str">
        <f t="shared" si="17"/>
        <v/>
      </c>
      <c r="O39" s="48" t="str">
        <f>IF(ISNUMBER(M39), $B44 * N39, "")</f>
        <v/>
      </c>
      <c r="Q39" s="229"/>
      <c r="R39" s="230"/>
    </row>
    <row r="40" spans="1:18" ht="17.25" customHeight="1">
      <c r="A40" s="11" t="s">
        <v>146</v>
      </c>
      <c r="B40" s="32">
        <v>81.7</v>
      </c>
      <c r="C40" s="5">
        <v>-8.6129753899999995E-2</v>
      </c>
      <c r="D40" s="36">
        <v>67.8</v>
      </c>
      <c r="E40" s="5">
        <f t="shared" si="14"/>
        <v>-0.17013463892288869</v>
      </c>
      <c r="F40" s="44">
        <f>IF(ISNUMBER(D40), $B44 * E40, "")</f>
        <v>-51040.391676866609</v>
      </c>
      <c r="G40" s="36">
        <v>70.900000000000006</v>
      </c>
      <c r="H40" s="5">
        <f t="shared" si="15"/>
        <v>-0.13219094247246019</v>
      </c>
      <c r="I40" s="44">
        <f>IF(ISNUMBER(G40), $B44 * H40, "")</f>
        <v>-39657.282741738054</v>
      </c>
      <c r="J40" s="36">
        <v>79.7</v>
      </c>
      <c r="K40" s="5">
        <f t="shared" si="16"/>
        <v>-2.4479804161566705E-2</v>
      </c>
      <c r="L40" s="44">
        <f>IF(ISNUMBER(J40), $B44 * K40, "")</f>
        <v>-7343.9412484700115</v>
      </c>
      <c r="M40" s="36"/>
      <c r="N40" s="5" t="str">
        <f t="shared" si="17"/>
        <v/>
      </c>
      <c r="O40" s="44" t="str">
        <f>IF(ISNUMBER(M40), $B44 * N40, "")</f>
        <v/>
      </c>
      <c r="Q40" s="229"/>
      <c r="R40" s="230"/>
    </row>
    <row r="41" spans="1:18" ht="17.25" customHeight="1">
      <c r="A41" s="11" t="s">
        <v>136</v>
      </c>
      <c r="B41" s="32">
        <v>24.6</v>
      </c>
      <c r="C41" s="5">
        <v>-8.8888888900000004E-2</v>
      </c>
      <c r="D41" s="36">
        <v>20.7</v>
      </c>
      <c r="E41" s="5">
        <f t="shared" si="14"/>
        <v>-0.15853658536585374</v>
      </c>
      <c r="F41" s="44">
        <f>IF(ISNUMBER(D41), $B44 * E41, "")</f>
        <v>-47560.975609756126</v>
      </c>
      <c r="G41" s="36">
        <v>21.7</v>
      </c>
      <c r="H41" s="5">
        <f t="shared" si="15"/>
        <v>-0.1178861788617887</v>
      </c>
      <c r="I41" s="44">
        <f>IF(ISNUMBER(G41), $B44 * H41, "")</f>
        <v>-35365.853658536609</v>
      </c>
      <c r="J41" s="36">
        <v>23.4</v>
      </c>
      <c r="K41" s="5">
        <f t="shared" si="16"/>
        <v>-4.8780487804878161E-2</v>
      </c>
      <c r="L41" s="44">
        <f>IF(ISNUMBER(J41), $B44 * K41, "")</f>
        <v>-14634.146341463449</v>
      </c>
      <c r="M41" s="36"/>
      <c r="N41" s="5" t="str">
        <f t="shared" si="17"/>
        <v/>
      </c>
      <c r="O41" s="44" t="str">
        <f>IF(ISNUMBER(M41), $B44 * N41, "")</f>
        <v/>
      </c>
      <c r="Q41" s="229"/>
      <c r="R41" s="230"/>
    </row>
    <row r="42" spans="1:18" ht="17.25" customHeight="1">
      <c r="A42" s="11" t="s">
        <v>135</v>
      </c>
      <c r="B42" s="32">
        <v>27.1</v>
      </c>
      <c r="C42" s="5">
        <v>-9.3645484900000006E-2</v>
      </c>
      <c r="D42" s="36">
        <v>21.9</v>
      </c>
      <c r="E42" s="5">
        <f t="shared" si="14"/>
        <v>-0.19188191881918829</v>
      </c>
      <c r="F42" s="44">
        <f>IF(ISNUMBER(D42), $B44 * E42, "")</f>
        <v>-57564.575645756486</v>
      </c>
      <c r="G42" s="36">
        <v>23</v>
      </c>
      <c r="H42" s="5">
        <f t="shared" si="15"/>
        <v>-0.15129151291512918</v>
      </c>
      <c r="I42" s="44">
        <f>IF(ISNUMBER(G42), $B44 * H42, "")</f>
        <v>-45387.453874538754</v>
      </c>
      <c r="J42" s="36">
        <v>24.8</v>
      </c>
      <c r="K42" s="5">
        <f t="shared" si="16"/>
        <v>-8.4870848708487101E-2</v>
      </c>
      <c r="L42" s="44">
        <f>IF(ISNUMBER(J42), $B44 * K42, "")</f>
        <v>-25461.25461254613</v>
      </c>
      <c r="M42" s="36"/>
      <c r="N42" s="5" t="str">
        <f t="shared" si="17"/>
        <v/>
      </c>
      <c r="O42" s="44" t="str">
        <f>IF(ISNUMBER(M42), $B44 * N42, "")</f>
        <v/>
      </c>
      <c r="P42" s="17"/>
      <c r="Q42" s="231"/>
      <c r="R42" s="232"/>
    </row>
    <row r="43" spans="1:18" ht="17.25" customHeight="1" thickBot="1">
      <c r="A43" s="13" t="s">
        <v>145</v>
      </c>
      <c r="B43" s="34">
        <v>44.3</v>
      </c>
      <c r="C43" s="16">
        <v>-9.4069529700000001E-2</v>
      </c>
      <c r="D43" s="38">
        <v>37</v>
      </c>
      <c r="E43" s="16">
        <f t="shared" si="14"/>
        <v>-0.164785553047404</v>
      </c>
      <c r="F43" s="45">
        <f>IF(ISNUMBER(D43), $B44 * E43, "")</f>
        <v>-49435.665914221201</v>
      </c>
      <c r="G43" s="38">
        <v>38.4</v>
      </c>
      <c r="H43" s="16">
        <f t="shared" si="15"/>
        <v>-0.13318284424379231</v>
      </c>
      <c r="I43" s="45">
        <f>IF(ISNUMBER(G43), $B44 * H43, "")</f>
        <v>-39954.853273137691</v>
      </c>
      <c r="J43" s="38">
        <v>40.6</v>
      </c>
      <c r="K43" s="16">
        <f t="shared" si="16"/>
        <v>-8.3521444695259503E-2</v>
      </c>
      <c r="L43" s="45">
        <f>IF(ISNUMBER(J43), $B44 * K43, "")</f>
        <v>-25056.43340857785</v>
      </c>
      <c r="M43" s="38"/>
      <c r="N43" s="16" t="str">
        <f t="shared" si="17"/>
        <v/>
      </c>
      <c r="O43" s="45" t="str">
        <f>IF(ISNUMBER(M43), $B44 * N43, "")</f>
        <v/>
      </c>
      <c r="P43" s="17"/>
      <c r="Q43" s="231"/>
      <c r="R43" s="232"/>
    </row>
    <row r="44" spans="1:18" ht="17.25" customHeight="1" thickBot="1">
      <c r="A44" s="57" t="s">
        <v>32</v>
      </c>
      <c r="B44" s="235">
        <v>300000</v>
      </c>
      <c r="C44" s="236"/>
      <c r="D44" s="57" t="s">
        <v>82</v>
      </c>
      <c r="E44" s="46">
        <f>IF(COUNT(E34:E43), SUM(E34:E43) / COUNT(E34:E43), 0)</f>
        <v>-0.14300816438983041</v>
      </c>
      <c r="F44" s="47">
        <f>SUM(F34:F43)</f>
        <v>-429024.49316949124</v>
      </c>
      <c r="G44" s="57" t="s">
        <v>82</v>
      </c>
      <c r="H44" s="46">
        <f>IF(COUNT(H34:H43), SUM(H34:H43) / COUNT(H34:H43), 0)</f>
        <v>-9.2871159700862987E-2</v>
      </c>
      <c r="I44" s="47">
        <f>SUM(I34:I43)</f>
        <v>-278613.47910258896</v>
      </c>
      <c r="J44" s="57" t="s">
        <v>82</v>
      </c>
      <c r="K44" s="46">
        <f>IF(COUNT(K34:K43), SUM(K34:K43) / COUNT(K34:K43), 0)</f>
        <v>1.1702588880777727E-2</v>
      </c>
      <c r="L44" s="47">
        <f>SUM(L34:L43)</f>
        <v>35107.766642333168</v>
      </c>
      <c r="M44" s="57" t="s">
        <v>82</v>
      </c>
      <c r="N44" s="46">
        <f>IF(COUNT(N34:N43), SUM(N34:N43) / COUNT(N34:N43), 0)</f>
        <v>0</v>
      </c>
      <c r="O44" s="47">
        <f>SUM(O34:O43)</f>
        <v>0</v>
      </c>
      <c r="Q44" s="233"/>
      <c r="R44" s="234"/>
    </row>
    <row r="45" spans="1:18" ht="17.25" customHeight="1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</row>
    <row r="46" spans="1:18" ht="17.25" customHeight="1" thickBot="1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</row>
    <row r="47" spans="1:18" ht="17.25" customHeight="1" thickBot="1">
      <c r="A47" s="186" t="s">
        <v>84</v>
      </c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8"/>
      <c r="Q47" s="237"/>
      <c r="R47" s="238"/>
    </row>
    <row r="48" spans="1:18" ht="17.25" customHeight="1" thickBot="1">
      <c r="A48" s="179" t="s">
        <v>188</v>
      </c>
      <c r="B48" s="186" t="s">
        <v>187</v>
      </c>
      <c r="C48" s="188"/>
      <c r="D48" s="186" t="s">
        <v>67</v>
      </c>
      <c r="E48" s="187"/>
      <c r="F48" s="188"/>
      <c r="G48" s="223">
        <f>_xlfn.IFNA(VLOOKUP(B48, 현재가테이블!$B$1:$D$200, 2, FALSE), "-")</f>
        <v>69955000</v>
      </c>
      <c r="H48" s="224"/>
      <c r="I48" s="225"/>
      <c r="J48" s="186" t="s">
        <v>69</v>
      </c>
      <c r="K48" s="187"/>
      <c r="L48" s="188"/>
      <c r="M48" s="226">
        <f>_xlfn.IFNA(VLOOKUP(B48, 현재가테이블!$B$1:$D$200, 3, FALSE), "-")</f>
        <v>-2.10059337E-2</v>
      </c>
      <c r="N48" s="227"/>
      <c r="O48" s="228"/>
      <c r="Q48" s="239"/>
      <c r="R48" s="240"/>
    </row>
    <row r="49" spans="1:18" ht="17.25" customHeight="1" thickBot="1">
      <c r="A49" s="217" t="s">
        <v>18</v>
      </c>
      <c r="B49" s="218" t="s">
        <v>54</v>
      </c>
      <c r="C49" s="219"/>
      <c r="D49" s="241" t="s">
        <v>20</v>
      </c>
      <c r="E49" s="242"/>
      <c r="F49" s="243"/>
      <c r="G49" s="241" t="s">
        <v>15</v>
      </c>
      <c r="H49" s="242"/>
      <c r="I49" s="243"/>
      <c r="J49" s="221" t="s">
        <v>34</v>
      </c>
      <c r="K49" s="221"/>
      <c r="L49" s="221"/>
      <c r="M49" s="241" t="s">
        <v>54</v>
      </c>
      <c r="N49" s="242"/>
      <c r="O49" s="243"/>
      <c r="Q49" s="231"/>
      <c r="R49" s="232"/>
    </row>
    <row r="50" spans="1:18" ht="17.25" customHeight="1" thickBot="1">
      <c r="A50" s="217"/>
      <c r="B50" s="18" t="s">
        <v>67</v>
      </c>
      <c r="C50" s="4" t="s">
        <v>69</v>
      </c>
      <c r="D50" s="18" t="s">
        <v>67</v>
      </c>
      <c r="E50" s="4" t="s">
        <v>68</v>
      </c>
      <c r="F50" s="19" t="s">
        <v>70</v>
      </c>
      <c r="G50" s="18" t="s">
        <v>67</v>
      </c>
      <c r="H50" s="4" t="s">
        <v>68</v>
      </c>
      <c r="I50" s="19" t="s">
        <v>70</v>
      </c>
      <c r="J50" s="4" t="s">
        <v>67</v>
      </c>
      <c r="K50" s="4" t="s">
        <v>68</v>
      </c>
      <c r="L50" s="181" t="s">
        <v>70</v>
      </c>
      <c r="M50" s="18" t="s">
        <v>67</v>
      </c>
      <c r="N50" s="4" t="s">
        <v>68</v>
      </c>
      <c r="O50" s="182" t="s">
        <v>70</v>
      </c>
      <c r="Q50" s="231"/>
      <c r="R50" s="232"/>
    </row>
    <row r="51" spans="1:18" ht="17.25" customHeight="1">
      <c r="A51" s="9" t="s">
        <v>158</v>
      </c>
      <c r="B51" s="31">
        <v>26.6</v>
      </c>
      <c r="C51" s="22">
        <v>-9.5238095199999998E-2</v>
      </c>
      <c r="D51" s="89">
        <v>22.1</v>
      </c>
      <c r="E51" s="22">
        <f>IF(ISNUMBER(D51), (D51 - $B51) / $B51, "")</f>
        <v>-0.16917293233082706</v>
      </c>
      <c r="F51" s="43">
        <f>IF(ISNUMBER(D51), $B61 * E51, "")</f>
        <v>-50751.879699248115</v>
      </c>
      <c r="G51" s="89">
        <v>23.2</v>
      </c>
      <c r="H51" s="22">
        <f>IF(ISNUMBER(G51), (G51 - $B51) / $B51, "")</f>
        <v>-0.12781954887218053</v>
      </c>
      <c r="I51" s="43">
        <f>IF(ISNUMBER(G51), $B61 * H51, "")</f>
        <v>-38345.864661654159</v>
      </c>
      <c r="J51" s="89">
        <v>24.9</v>
      </c>
      <c r="K51" s="22">
        <f>IF(ISNUMBER(J51), (J51 - $B51) / $B51, "")</f>
        <v>-6.3909774436090333E-2</v>
      </c>
      <c r="L51" s="43">
        <f>IF(ISNUMBER(J51), $B61 * K51, "")</f>
        <v>-19172.932330827101</v>
      </c>
      <c r="M51" s="89"/>
      <c r="N51" s="22" t="str">
        <f>IF(ISNUMBER(M51), (M51 - $B51) / $B51, "")</f>
        <v/>
      </c>
      <c r="O51" s="43" t="str">
        <f>IF(ISNUMBER(M51), $B61 * N51, "")</f>
        <v/>
      </c>
      <c r="Q51" s="229"/>
      <c r="R51" s="230"/>
    </row>
    <row r="52" spans="1:18" ht="17.25" customHeight="1">
      <c r="A52" s="11" t="s">
        <v>155</v>
      </c>
      <c r="B52" s="32">
        <v>22.7</v>
      </c>
      <c r="C52" s="5">
        <v>-9.5617529899999998E-2</v>
      </c>
      <c r="D52" s="36">
        <v>18.8</v>
      </c>
      <c r="E52" s="5">
        <f t="shared" ref="E52:E60" si="18">IF(ISNUMBER(D52), (D52 - $B52) / $B52, "")</f>
        <v>-0.171806167400881</v>
      </c>
      <c r="F52" s="44">
        <f>IF(ISNUMBER(D52), $B61 * E52, "")</f>
        <v>-51541.850220264299</v>
      </c>
      <c r="G52" s="36">
        <v>19.899999999999999</v>
      </c>
      <c r="H52" s="5">
        <f t="shared" ref="H52:H60" si="19">IF(ISNUMBER(G52), (G52 - $B52) / $B52, "")</f>
        <v>-0.1233480176211454</v>
      </c>
      <c r="I52" s="44">
        <f>IF(ISNUMBER(G52), $B61 * H52, "")</f>
        <v>-37004.405286343623</v>
      </c>
      <c r="J52" s="36">
        <v>21.1</v>
      </c>
      <c r="K52" s="5">
        <f t="shared" ref="K52:K60" si="20">IF(ISNUMBER(J52), (J52 - $B52) / $B52, "")</f>
        <v>-7.0484581497797266E-2</v>
      </c>
      <c r="L52" s="44">
        <f>IF(ISNUMBER(J52), $B61 * K52, "")</f>
        <v>-21145.374449339179</v>
      </c>
      <c r="M52" s="36"/>
      <c r="N52" s="5" t="str">
        <f t="shared" ref="N52:N60" si="21">IF(ISNUMBER(M52), (M52 - $B52) / $B52, "")</f>
        <v/>
      </c>
      <c r="O52" s="44" t="str">
        <f>IF(ISNUMBER(M52), $B61 * N52, "")</f>
        <v/>
      </c>
      <c r="Q52" s="229"/>
      <c r="R52" s="230"/>
    </row>
    <row r="53" spans="1:18" ht="17.25" customHeight="1">
      <c r="A53" s="11" t="s">
        <v>132</v>
      </c>
      <c r="B53" s="32">
        <v>30.2</v>
      </c>
      <c r="C53" s="5">
        <v>-0.1011904762</v>
      </c>
      <c r="D53" s="36">
        <v>25.2</v>
      </c>
      <c r="E53" s="5">
        <f t="shared" si="18"/>
        <v>-0.16556291390728478</v>
      </c>
      <c r="F53" s="44">
        <f>IF(ISNUMBER(D53), $B61 * E53, "")</f>
        <v>-49668.874172185431</v>
      </c>
      <c r="G53" s="36">
        <v>26.1</v>
      </c>
      <c r="H53" s="5">
        <f t="shared" si="19"/>
        <v>-0.13576158940397345</v>
      </c>
      <c r="I53" s="44">
        <f>IF(ISNUMBER(G53), $B61 * H53, "")</f>
        <v>-40728.476821192038</v>
      </c>
      <c r="J53" s="36">
        <v>28.3</v>
      </c>
      <c r="K53" s="5">
        <f t="shared" si="20"/>
        <v>-6.2913907284768172E-2</v>
      </c>
      <c r="L53" s="44">
        <f>IF(ISNUMBER(J53), $B61 * K53, "")</f>
        <v>-18874.172185430452</v>
      </c>
      <c r="M53" s="36"/>
      <c r="N53" s="5" t="str">
        <f t="shared" si="21"/>
        <v/>
      </c>
      <c r="O53" s="44" t="str">
        <f>IF(ISNUMBER(M53), $B61 * N53, "")</f>
        <v/>
      </c>
      <c r="Q53" s="229"/>
      <c r="R53" s="230"/>
    </row>
    <row r="54" spans="1:18" ht="17.25" customHeight="1">
      <c r="A54" s="11" t="s">
        <v>123</v>
      </c>
      <c r="B54" s="32">
        <v>67.400000000000006</v>
      </c>
      <c r="C54" s="5">
        <v>-0.110817942</v>
      </c>
      <c r="D54" s="36">
        <v>54.3</v>
      </c>
      <c r="E54" s="5">
        <f t="shared" si="18"/>
        <v>-0.19436201780415441</v>
      </c>
      <c r="F54" s="44">
        <f>IF(ISNUMBER(D54), $B61 * E54, "")</f>
        <v>-58308.605341246322</v>
      </c>
      <c r="G54" s="36">
        <v>59</v>
      </c>
      <c r="H54" s="5">
        <f t="shared" si="19"/>
        <v>-0.12462908011869443</v>
      </c>
      <c r="I54" s="44">
        <f>IF(ISNUMBER(G54), $B61 * H54, "")</f>
        <v>-37388.724035608328</v>
      </c>
      <c r="J54" s="36">
        <v>62.1</v>
      </c>
      <c r="K54" s="5">
        <f t="shared" si="20"/>
        <v>-7.8635014836795303E-2</v>
      </c>
      <c r="L54" s="44">
        <f>IF(ISNUMBER(J54), $B61 * K54, "")</f>
        <v>-23590.504451038592</v>
      </c>
      <c r="M54" s="36"/>
      <c r="N54" s="5" t="str">
        <f t="shared" si="21"/>
        <v/>
      </c>
      <c r="O54" s="44" t="str">
        <f>IF(ISNUMBER(M54), $B61 * N54, "")</f>
        <v/>
      </c>
      <c r="Q54" s="229"/>
      <c r="R54" s="230"/>
    </row>
    <row r="55" spans="1:18" ht="17.25" customHeight="1">
      <c r="A55" s="8" t="s">
        <v>148</v>
      </c>
      <c r="B55" s="33">
        <v>93.7</v>
      </c>
      <c r="C55" s="24">
        <v>-0.1160377358</v>
      </c>
      <c r="D55" s="37">
        <v>77</v>
      </c>
      <c r="E55" s="24">
        <f t="shared" si="18"/>
        <v>-0.17822838847385275</v>
      </c>
      <c r="F55" s="44">
        <f>IF(ISNUMBER(D55), $B61 * E55, "")</f>
        <v>-53468.516542155827</v>
      </c>
      <c r="G55" s="37">
        <v>81.599999999999994</v>
      </c>
      <c r="H55" s="24">
        <f t="shared" si="19"/>
        <v>-0.12913553895410895</v>
      </c>
      <c r="I55" s="44">
        <f>IF(ISNUMBER(G55), $B61 * H55, "")</f>
        <v>-38740.661686232685</v>
      </c>
      <c r="J55" s="37">
        <v>87.7</v>
      </c>
      <c r="K55" s="24">
        <f t="shared" si="20"/>
        <v>-6.4034151547491994E-2</v>
      </c>
      <c r="L55" s="44">
        <f>IF(ISNUMBER(J55), $B61 * K55, "")</f>
        <v>-19210.245464247597</v>
      </c>
      <c r="M55" s="37"/>
      <c r="N55" s="24" t="str">
        <f t="shared" si="21"/>
        <v/>
      </c>
      <c r="O55" s="44" t="str">
        <f>IF(ISNUMBER(M55), $B61 * N55, "")</f>
        <v/>
      </c>
      <c r="Q55" s="229"/>
      <c r="R55" s="230"/>
    </row>
    <row r="56" spans="1:18" ht="17.25" customHeight="1">
      <c r="A56" s="11" t="s">
        <v>119</v>
      </c>
      <c r="B56" s="32">
        <v>24</v>
      </c>
      <c r="C56" s="5">
        <v>-0.14590747330000001</v>
      </c>
      <c r="D56" s="36">
        <v>20</v>
      </c>
      <c r="E56" s="5">
        <f t="shared" si="18"/>
        <v>-0.16666666666666666</v>
      </c>
      <c r="F56" s="48">
        <f>IF(ISNUMBER(D56), $B61 * E56, "")</f>
        <v>-50000</v>
      </c>
      <c r="G56" s="36">
        <v>20.9</v>
      </c>
      <c r="H56" s="5">
        <f t="shared" si="19"/>
        <v>-0.12916666666666674</v>
      </c>
      <c r="I56" s="48">
        <f>IF(ISNUMBER(G56), $B61 * H56, "")</f>
        <v>-38750.000000000022</v>
      </c>
      <c r="J56" s="36">
        <v>22.1</v>
      </c>
      <c r="K56" s="5">
        <f t="shared" si="20"/>
        <v>-7.9166666666666607E-2</v>
      </c>
      <c r="L56" s="48">
        <f>IF(ISNUMBER(J56), $B61 * K56, "")</f>
        <v>-23749.999999999982</v>
      </c>
      <c r="M56" s="36"/>
      <c r="N56" s="5" t="str">
        <f t="shared" si="21"/>
        <v/>
      </c>
      <c r="O56" s="48" t="str">
        <f>IF(ISNUMBER(M56), $B61 * N56, "")</f>
        <v/>
      </c>
      <c r="Q56" s="229"/>
      <c r="R56" s="230"/>
    </row>
    <row r="57" spans="1:18" ht="17.25" customHeight="1">
      <c r="A57" s="11" t="s">
        <v>163</v>
      </c>
      <c r="B57" s="32">
        <v>56.7</v>
      </c>
      <c r="C57" s="5">
        <v>-0.14608433730000001</v>
      </c>
      <c r="D57" s="36">
        <v>48.4</v>
      </c>
      <c r="E57" s="5">
        <f t="shared" si="18"/>
        <v>-0.14638447971781313</v>
      </c>
      <c r="F57" s="44">
        <f>IF(ISNUMBER(D57), $B61 * E57, "")</f>
        <v>-43915.343915343939</v>
      </c>
      <c r="G57" s="36">
        <v>51.9</v>
      </c>
      <c r="H57" s="5">
        <f t="shared" si="19"/>
        <v>-8.4656084656084721E-2</v>
      </c>
      <c r="I57" s="44">
        <f>IF(ISNUMBER(G57), $B61 * H57, "")</f>
        <v>-25396.825396825418</v>
      </c>
      <c r="J57" s="36">
        <v>52.8</v>
      </c>
      <c r="K57" s="5">
        <f t="shared" si="20"/>
        <v>-6.8783068783068876E-2</v>
      </c>
      <c r="L57" s="44">
        <f>IF(ISNUMBER(J57), $B61 * K57, "")</f>
        <v>-20634.920634920662</v>
      </c>
      <c r="M57" s="36"/>
      <c r="N57" s="5" t="str">
        <f t="shared" si="21"/>
        <v/>
      </c>
      <c r="O57" s="44" t="str">
        <f>IF(ISNUMBER(M57), $B61 * N57, "")</f>
        <v/>
      </c>
      <c r="Q57" s="229"/>
      <c r="R57" s="230"/>
    </row>
    <row r="58" spans="1:18" ht="17.25" customHeight="1">
      <c r="A58" s="11" t="s">
        <v>95</v>
      </c>
      <c r="B58" s="32">
        <v>34.5</v>
      </c>
      <c r="C58" s="5">
        <v>-0.1605839416</v>
      </c>
      <c r="D58" s="36">
        <v>28.1</v>
      </c>
      <c r="E58" s="5">
        <f t="shared" si="18"/>
        <v>-0.18550724637681154</v>
      </c>
      <c r="F58" s="44">
        <f>IF(ISNUMBER(D58), $B61 * E58, "")</f>
        <v>-55652.173913043465</v>
      </c>
      <c r="G58" s="36">
        <v>29.6</v>
      </c>
      <c r="H58" s="5">
        <f t="shared" si="19"/>
        <v>-0.14202898550724632</v>
      </c>
      <c r="I58" s="44">
        <f>IF(ISNUMBER(G58), $B61 * H58, "")</f>
        <v>-42608.695652173898</v>
      </c>
      <c r="J58" s="36">
        <v>31.7</v>
      </c>
      <c r="K58" s="5">
        <f t="shared" si="20"/>
        <v>-8.1159420289855094E-2</v>
      </c>
      <c r="L58" s="44">
        <f>IF(ISNUMBER(J58), $B61 * K58, "")</f>
        <v>-24347.826086956527</v>
      </c>
      <c r="M58" s="36"/>
      <c r="N58" s="5" t="str">
        <f t="shared" si="21"/>
        <v/>
      </c>
      <c r="O58" s="44" t="str">
        <f>IF(ISNUMBER(M58), $B61 * N58, "")</f>
        <v/>
      </c>
      <c r="Q58" s="229"/>
      <c r="R58" s="230"/>
    </row>
    <row r="59" spans="1:18" ht="17.25" customHeight="1">
      <c r="A59" s="11"/>
      <c r="B59" s="32"/>
      <c r="C59" s="5"/>
      <c r="D59" s="36"/>
      <c r="E59" s="5" t="str">
        <f t="shared" si="18"/>
        <v/>
      </c>
      <c r="F59" s="44" t="str">
        <f>IF(ISNUMBER(D59), $B61 * E59, "")</f>
        <v/>
      </c>
      <c r="G59" s="36"/>
      <c r="H59" s="5" t="str">
        <f t="shared" si="19"/>
        <v/>
      </c>
      <c r="I59" s="44" t="str">
        <f>IF(ISNUMBER(G59), $B61 * H59, "")</f>
        <v/>
      </c>
      <c r="J59" s="36"/>
      <c r="K59" s="5" t="str">
        <f t="shared" si="20"/>
        <v/>
      </c>
      <c r="L59" s="44" t="str">
        <f>IF(ISNUMBER(J59), $B61 * K59, "")</f>
        <v/>
      </c>
      <c r="M59" s="36"/>
      <c r="N59" s="5" t="str">
        <f t="shared" si="21"/>
        <v/>
      </c>
      <c r="O59" s="44" t="str">
        <f>IF(ISNUMBER(M59), $B61 * N59, "")</f>
        <v/>
      </c>
      <c r="Q59" s="231"/>
      <c r="R59" s="232"/>
    </row>
    <row r="60" spans="1:18" ht="17.25" customHeight="1" thickBot="1">
      <c r="A60" s="13"/>
      <c r="B60" s="34"/>
      <c r="C60" s="16"/>
      <c r="D60" s="38"/>
      <c r="E60" s="16" t="str">
        <f t="shared" si="18"/>
        <v/>
      </c>
      <c r="F60" s="45" t="str">
        <f>IF(ISNUMBER(D60), $B61 * E60, "")</f>
        <v/>
      </c>
      <c r="G60" s="38"/>
      <c r="H60" s="16" t="str">
        <f t="shared" si="19"/>
        <v/>
      </c>
      <c r="I60" s="45" t="str">
        <f>IF(ISNUMBER(G60), $B61 * H60, "")</f>
        <v/>
      </c>
      <c r="J60" s="38"/>
      <c r="K60" s="16" t="str">
        <f t="shared" si="20"/>
        <v/>
      </c>
      <c r="L60" s="45" t="str">
        <f>IF(ISNUMBER(J60), $B61 * K60, "")</f>
        <v/>
      </c>
      <c r="M60" s="38"/>
      <c r="N60" s="16" t="str">
        <f t="shared" si="21"/>
        <v/>
      </c>
      <c r="O60" s="45" t="str">
        <f>IF(ISNUMBER(M60), $B61 * N60, "")</f>
        <v/>
      </c>
      <c r="Q60" s="231"/>
      <c r="R60" s="232"/>
    </row>
    <row r="61" spans="1:18" ht="17.25" customHeight="1" thickBot="1">
      <c r="A61" s="57" t="s">
        <v>32</v>
      </c>
      <c r="B61" s="235">
        <v>300000</v>
      </c>
      <c r="C61" s="236"/>
      <c r="D61" s="57" t="s">
        <v>82</v>
      </c>
      <c r="E61" s="46">
        <f>IF(COUNT(E51:E60), SUM(E51:E60) / COUNT(E51:E60), 0)</f>
        <v>-0.17221135158478643</v>
      </c>
      <c r="F61" s="47">
        <f>SUM(F51:F60)</f>
        <v>-413307.24380348739</v>
      </c>
      <c r="G61" s="57" t="s">
        <v>82</v>
      </c>
      <c r="H61" s="46">
        <f>IF(COUNT(H51:H60), SUM(H51:H60) / COUNT(H51:H60), 0)</f>
        <v>-0.12456818897501257</v>
      </c>
      <c r="I61" s="47">
        <f>SUM(I51:I60)</f>
        <v>-298963.65354003018</v>
      </c>
      <c r="J61" s="57" t="s">
        <v>82</v>
      </c>
      <c r="K61" s="46">
        <f>IF(COUNT(K51:K60), SUM(K51:K60) / COUNT(K51:K60), 0)</f>
        <v>-7.1135823167816706E-2</v>
      </c>
      <c r="L61" s="47">
        <f>SUM(L51:L60)</f>
        <v>-170725.9756027601</v>
      </c>
      <c r="M61" s="57" t="s">
        <v>82</v>
      </c>
      <c r="N61" s="46">
        <f>IF(COUNT(N51:N60), SUM(N51:N60) / COUNT(N51:N60), 0)</f>
        <v>0</v>
      </c>
      <c r="O61" s="47">
        <f>SUM(O51:O60)</f>
        <v>0</v>
      </c>
      <c r="Q61" s="233"/>
      <c r="R61" s="234"/>
    </row>
    <row r="62" spans="1:18" ht="17.25" customHeight="1"/>
    <row r="63" spans="1:18" ht="17.25" customHeight="1" thickBot="1"/>
    <row r="64" spans="1:18" ht="17.25" customHeight="1" thickBot="1">
      <c r="A64" s="186" t="s">
        <v>85</v>
      </c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8"/>
      <c r="Q64" s="237"/>
      <c r="R64" s="238"/>
    </row>
    <row r="65" spans="1:18" ht="17.25" customHeight="1" thickBot="1">
      <c r="A65" s="179" t="s">
        <v>188</v>
      </c>
      <c r="B65" s="186" t="s">
        <v>187</v>
      </c>
      <c r="C65" s="188"/>
      <c r="D65" s="186" t="s">
        <v>67</v>
      </c>
      <c r="E65" s="187"/>
      <c r="F65" s="188"/>
      <c r="G65" s="223">
        <f>_xlfn.IFNA(VLOOKUP(B65, 현재가테이블!$B$1:$D$200, 2, FALSE), "-")</f>
        <v>69955000</v>
      </c>
      <c r="H65" s="224"/>
      <c r="I65" s="225"/>
      <c r="J65" s="186" t="s">
        <v>69</v>
      </c>
      <c r="K65" s="187"/>
      <c r="L65" s="188"/>
      <c r="M65" s="226">
        <f>_xlfn.IFNA(VLOOKUP(B65, 현재가테이블!$B$1:$D$200, 3, FALSE), "-")</f>
        <v>-2.10059337E-2</v>
      </c>
      <c r="N65" s="227"/>
      <c r="O65" s="228"/>
      <c r="Q65" s="239"/>
      <c r="R65" s="240"/>
    </row>
    <row r="66" spans="1:18" ht="17.25" customHeight="1" thickBot="1">
      <c r="A66" s="217" t="s">
        <v>18</v>
      </c>
      <c r="B66" s="218" t="s">
        <v>54</v>
      </c>
      <c r="C66" s="219"/>
      <c r="D66" s="241" t="s">
        <v>20</v>
      </c>
      <c r="E66" s="242"/>
      <c r="F66" s="243"/>
      <c r="G66" s="241" t="s">
        <v>15</v>
      </c>
      <c r="H66" s="242"/>
      <c r="I66" s="243"/>
      <c r="J66" s="221" t="s">
        <v>34</v>
      </c>
      <c r="K66" s="221"/>
      <c r="L66" s="221"/>
      <c r="M66" s="241" t="s">
        <v>54</v>
      </c>
      <c r="N66" s="242"/>
      <c r="O66" s="243"/>
      <c r="Q66" s="231"/>
      <c r="R66" s="232"/>
    </row>
    <row r="67" spans="1:18" ht="17.25" customHeight="1" thickBot="1">
      <c r="A67" s="217"/>
      <c r="B67" s="18" t="s">
        <v>67</v>
      </c>
      <c r="C67" s="4" t="s">
        <v>69</v>
      </c>
      <c r="D67" s="18" t="s">
        <v>67</v>
      </c>
      <c r="E67" s="4" t="s">
        <v>68</v>
      </c>
      <c r="F67" s="19" t="s">
        <v>70</v>
      </c>
      <c r="G67" s="18" t="s">
        <v>67</v>
      </c>
      <c r="H67" s="4" t="s">
        <v>68</v>
      </c>
      <c r="I67" s="19" t="s">
        <v>70</v>
      </c>
      <c r="J67" s="4" t="s">
        <v>67</v>
      </c>
      <c r="K67" s="4" t="s">
        <v>68</v>
      </c>
      <c r="L67" s="181" t="s">
        <v>70</v>
      </c>
      <c r="M67" s="18" t="s">
        <v>67</v>
      </c>
      <c r="N67" s="4" t="s">
        <v>68</v>
      </c>
      <c r="O67" s="182" t="s">
        <v>70</v>
      </c>
      <c r="Q67" s="231"/>
      <c r="R67" s="232"/>
    </row>
    <row r="68" spans="1:18" ht="17.25" customHeight="1">
      <c r="A68" s="9" t="s">
        <v>94</v>
      </c>
      <c r="B68" s="31">
        <v>467</v>
      </c>
      <c r="C68" s="22">
        <v>7.60368664E-2</v>
      </c>
      <c r="D68" s="89">
        <v>510</v>
      </c>
      <c r="E68" s="22">
        <f>IF(ISNUMBER(D68), (D68 - $B68) / $B68, "")</f>
        <v>9.2077087794432549E-2</v>
      </c>
      <c r="F68" s="43">
        <f>IF(ISNUMBER(D68), $B78 * E68, "")</f>
        <v>27623.126338329766</v>
      </c>
      <c r="G68" s="89">
        <v>482</v>
      </c>
      <c r="H68" s="22">
        <f>IF(ISNUMBER(G68), (G68 - $B68) / $B68, "")</f>
        <v>3.2119914346895075E-2</v>
      </c>
      <c r="I68" s="43">
        <f>IF(ISNUMBER(G68), $B78 * H68, "")</f>
        <v>9635.9743040685225</v>
      </c>
      <c r="J68" s="89">
        <v>481</v>
      </c>
      <c r="K68" s="22">
        <f>IF(ISNUMBER(J68), (J68 - $B68) / $B68, "")</f>
        <v>2.9978586723768737E-2</v>
      </c>
      <c r="L68" s="43">
        <f>IF(ISNUMBER(J68), $B78 * K68, "")</f>
        <v>8993.576017130621</v>
      </c>
      <c r="M68" s="89"/>
      <c r="N68" s="22" t="str">
        <f>IF(ISNUMBER(M68), (M68 - $B68) / $B68, "")</f>
        <v/>
      </c>
      <c r="O68" s="43" t="str">
        <f>IF(ISNUMBER(M68), $B78 * N68, "")</f>
        <v/>
      </c>
      <c r="Q68" s="229"/>
      <c r="R68" s="230"/>
    </row>
    <row r="69" spans="1:18" ht="17.25" customHeight="1">
      <c r="A69" s="11" t="s">
        <v>122</v>
      </c>
      <c r="B69" s="32">
        <v>316</v>
      </c>
      <c r="C69" s="5">
        <v>5.3333333300000001E-2</v>
      </c>
      <c r="D69" s="36">
        <v>276</v>
      </c>
      <c r="E69" s="5">
        <f t="shared" ref="E69:E77" si="22">IF(ISNUMBER(D69), (D69 - $B69) / $B69, "")</f>
        <v>-0.12658227848101267</v>
      </c>
      <c r="F69" s="44">
        <f>IF(ISNUMBER(D69), $B78 * E69, "")</f>
        <v>-37974.6835443038</v>
      </c>
      <c r="G69" s="36">
        <v>287</v>
      </c>
      <c r="H69" s="5">
        <f t="shared" ref="H69:H77" si="23">IF(ISNUMBER(G69), (G69 - $B69) / $B69, "")</f>
        <v>-9.1772151898734181E-2</v>
      </c>
      <c r="I69" s="44">
        <f>IF(ISNUMBER(G69), $B78 * H69, "")</f>
        <v>-27531.645569620254</v>
      </c>
      <c r="J69" s="36">
        <v>303</v>
      </c>
      <c r="K69" s="5">
        <f t="shared" ref="K69:K77" si="24">IF(ISNUMBER(J69), (J69 - $B69) / $B69, "")</f>
        <v>-4.1139240506329111E-2</v>
      </c>
      <c r="L69" s="44">
        <f>IF(ISNUMBER(J69), $B78 * K69, "")</f>
        <v>-12341.772151898733</v>
      </c>
      <c r="M69" s="36"/>
      <c r="N69" s="5" t="str">
        <f t="shared" ref="N69:N77" si="25">IF(ISNUMBER(M69), (M69 - $B69) / $B69, "")</f>
        <v/>
      </c>
      <c r="O69" s="44" t="str">
        <f>IF(ISNUMBER(M69), $B78 * N69, "")</f>
        <v/>
      </c>
      <c r="Q69" s="229"/>
      <c r="R69" s="230"/>
    </row>
    <row r="70" spans="1:18" ht="17.25" customHeight="1">
      <c r="A70" s="11" t="s">
        <v>137</v>
      </c>
      <c r="B70" s="32">
        <v>436</v>
      </c>
      <c r="C70" s="5">
        <v>3.8095238099999998E-2</v>
      </c>
      <c r="D70" s="36">
        <v>358</v>
      </c>
      <c r="E70" s="5">
        <f t="shared" si="22"/>
        <v>-0.17889908256880735</v>
      </c>
      <c r="F70" s="44">
        <f>IF(ISNUMBER(D70), $B78 * E70, "")</f>
        <v>-53669.724770642206</v>
      </c>
      <c r="G70" s="36">
        <v>394</v>
      </c>
      <c r="H70" s="5">
        <f t="shared" si="23"/>
        <v>-9.6330275229357804E-2</v>
      </c>
      <c r="I70" s="44">
        <f>IF(ISNUMBER(G70), $B78 * H70, "")</f>
        <v>-28899.082568807342</v>
      </c>
      <c r="J70" s="36">
        <v>422</v>
      </c>
      <c r="K70" s="5">
        <f t="shared" si="24"/>
        <v>-3.2110091743119268E-2</v>
      </c>
      <c r="L70" s="44">
        <f>IF(ISNUMBER(J70), $B78 * K70, "")</f>
        <v>-9633.0275229357812</v>
      </c>
      <c r="M70" s="36"/>
      <c r="N70" s="5" t="str">
        <f t="shared" si="25"/>
        <v/>
      </c>
      <c r="O70" s="44" t="str">
        <f>IF(ISNUMBER(M70), $B78 * N70, "")</f>
        <v/>
      </c>
      <c r="Q70" s="229"/>
      <c r="R70" s="230"/>
    </row>
    <row r="71" spans="1:18" ht="17.25" customHeight="1">
      <c r="A71" s="11" t="s">
        <v>98</v>
      </c>
      <c r="B71" s="32">
        <v>267</v>
      </c>
      <c r="C71" s="5">
        <v>3.0888030899999998E-2</v>
      </c>
      <c r="D71" s="36">
        <v>212</v>
      </c>
      <c r="E71" s="5">
        <f t="shared" si="22"/>
        <v>-0.20599250936329588</v>
      </c>
      <c r="F71" s="44">
        <f>IF(ISNUMBER(D71), $B78 * E71, "")</f>
        <v>-61797.752808988764</v>
      </c>
      <c r="G71" s="36">
        <v>221</v>
      </c>
      <c r="H71" s="5">
        <f t="shared" si="23"/>
        <v>-0.17228464419475656</v>
      </c>
      <c r="I71" s="44">
        <f>IF(ISNUMBER(G71), $B78 * H71, "")</f>
        <v>-51685.393258426964</v>
      </c>
      <c r="J71" s="36">
        <v>238</v>
      </c>
      <c r="K71" s="5">
        <f t="shared" si="24"/>
        <v>-0.10861423220973783</v>
      </c>
      <c r="L71" s="44">
        <f>IF(ISNUMBER(J71), $B78 * K71, "")</f>
        <v>-32584.26966292135</v>
      </c>
      <c r="M71" s="36"/>
      <c r="N71" s="5" t="str">
        <f t="shared" si="25"/>
        <v/>
      </c>
      <c r="O71" s="44" t="str">
        <f>IF(ISNUMBER(M71), $B78 * N71, "")</f>
        <v/>
      </c>
      <c r="Q71" s="229"/>
      <c r="R71" s="230"/>
    </row>
    <row r="72" spans="1:18" ht="17.25" customHeight="1">
      <c r="A72" s="8" t="s">
        <v>118</v>
      </c>
      <c r="B72" s="33">
        <v>310</v>
      </c>
      <c r="C72" s="24">
        <v>1.6393442599999999E-2</v>
      </c>
      <c r="D72" s="37">
        <v>267</v>
      </c>
      <c r="E72" s="24">
        <f t="shared" si="22"/>
        <v>-0.13870967741935483</v>
      </c>
      <c r="F72" s="44">
        <f>IF(ISNUMBER(D72), $B78 * E72, "")</f>
        <v>-41612.903225806447</v>
      </c>
      <c r="G72" s="37">
        <v>280</v>
      </c>
      <c r="H72" s="24">
        <f t="shared" si="23"/>
        <v>-9.6774193548387094E-2</v>
      </c>
      <c r="I72" s="44">
        <f>IF(ISNUMBER(G72), $B78 * H72, "")</f>
        <v>-29032.258064516129</v>
      </c>
      <c r="J72" s="37">
        <v>295</v>
      </c>
      <c r="K72" s="24">
        <f t="shared" si="24"/>
        <v>-4.8387096774193547E-2</v>
      </c>
      <c r="L72" s="44">
        <f>IF(ISNUMBER(J72), $B78 * K72, "")</f>
        <v>-14516.129032258064</v>
      </c>
      <c r="M72" s="37"/>
      <c r="N72" s="24" t="str">
        <f t="shared" si="25"/>
        <v/>
      </c>
      <c r="O72" s="44" t="str">
        <f>IF(ISNUMBER(M72), $B78 * N72, "")</f>
        <v/>
      </c>
      <c r="Q72" s="229"/>
      <c r="R72" s="230"/>
    </row>
    <row r="73" spans="1:18" ht="17.25" customHeight="1">
      <c r="A73" s="11" t="s">
        <v>121</v>
      </c>
      <c r="B73" s="32">
        <v>719</v>
      </c>
      <c r="C73" s="5">
        <v>1.26760563E-2</v>
      </c>
      <c r="D73" s="36">
        <v>573</v>
      </c>
      <c r="E73" s="5">
        <f t="shared" si="22"/>
        <v>-0.20305980528511822</v>
      </c>
      <c r="F73" s="48">
        <f>IF(ISNUMBER(D73), $B78 * E73, "")</f>
        <v>-60917.941585535467</v>
      </c>
      <c r="G73" s="36">
        <v>733</v>
      </c>
      <c r="H73" s="5">
        <f t="shared" si="23"/>
        <v>1.9471488178025034E-2</v>
      </c>
      <c r="I73" s="48">
        <f>IF(ISNUMBER(G73), $B78 * H73, "")</f>
        <v>5841.4464534075105</v>
      </c>
      <c r="J73" s="36">
        <v>719</v>
      </c>
      <c r="K73" s="5">
        <f t="shared" si="24"/>
        <v>0</v>
      </c>
      <c r="L73" s="48">
        <f>IF(ISNUMBER(J73), $B78 * K73, "")</f>
        <v>0</v>
      </c>
      <c r="M73" s="36"/>
      <c r="N73" s="5" t="str">
        <f t="shared" si="25"/>
        <v/>
      </c>
      <c r="O73" s="48" t="str">
        <f>IF(ISNUMBER(M73), $B78 * N73, "")</f>
        <v/>
      </c>
      <c r="Q73" s="229"/>
      <c r="R73" s="230"/>
    </row>
    <row r="74" spans="1:18" ht="17.25" customHeight="1">
      <c r="A74" s="11" t="s">
        <v>134</v>
      </c>
      <c r="B74" s="32">
        <v>346</v>
      </c>
      <c r="C74" s="5">
        <v>-8.5959885000000003E-3</v>
      </c>
      <c r="D74" s="36">
        <v>298</v>
      </c>
      <c r="E74" s="5">
        <f t="shared" si="22"/>
        <v>-0.13872832369942195</v>
      </c>
      <c r="F74" s="44">
        <f>IF(ISNUMBER(D74), $B78 * E74, "")</f>
        <v>-41618.497109826589</v>
      </c>
      <c r="G74" s="36">
        <v>313</v>
      </c>
      <c r="H74" s="5">
        <f t="shared" si="23"/>
        <v>-9.5375722543352595E-2</v>
      </c>
      <c r="I74" s="44">
        <f>IF(ISNUMBER(G74), $B78 * H74, "")</f>
        <v>-28612.716763005777</v>
      </c>
      <c r="J74" s="36">
        <v>336</v>
      </c>
      <c r="K74" s="5">
        <f t="shared" si="24"/>
        <v>-2.8901734104046242E-2</v>
      </c>
      <c r="L74" s="44">
        <f>IF(ISNUMBER(J74), $B78 * K74, "")</f>
        <v>-8670.5202312138736</v>
      </c>
      <c r="M74" s="36"/>
      <c r="N74" s="5" t="str">
        <f t="shared" si="25"/>
        <v/>
      </c>
      <c r="O74" s="44" t="str">
        <f>IF(ISNUMBER(M74), $B78 * N74, "")</f>
        <v/>
      </c>
      <c r="Q74" s="229"/>
      <c r="R74" s="230"/>
    </row>
    <row r="75" spans="1:18" ht="17.25" customHeight="1">
      <c r="A75" s="11" t="s">
        <v>111</v>
      </c>
      <c r="B75" s="32">
        <v>528</v>
      </c>
      <c r="C75" s="5">
        <v>-1.67597765E-2</v>
      </c>
      <c r="D75" s="36">
        <v>481</v>
      </c>
      <c r="E75" s="5">
        <f t="shared" si="22"/>
        <v>-8.9015151515151519E-2</v>
      </c>
      <c r="F75" s="44">
        <f>IF(ISNUMBER(D75), $B78 * E75, "")</f>
        <v>-26704.545454545456</v>
      </c>
      <c r="G75" s="36">
        <v>502</v>
      </c>
      <c r="H75" s="5">
        <f t="shared" si="23"/>
        <v>-4.924242424242424E-2</v>
      </c>
      <c r="I75" s="44">
        <f>IF(ISNUMBER(G75), $B78 * H75, "")</f>
        <v>-14772.727272727272</v>
      </c>
      <c r="J75" s="36">
        <v>525</v>
      </c>
      <c r="K75" s="5">
        <f t="shared" si="24"/>
        <v>-5.681818181818182E-3</v>
      </c>
      <c r="L75" s="44">
        <f>IF(ISNUMBER(J75), $B78 * K75, "")</f>
        <v>-1704.5454545454545</v>
      </c>
      <c r="M75" s="36"/>
      <c r="N75" s="5" t="str">
        <f t="shared" si="25"/>
        <v/>
      </c>
      <c r="O75" s="44" t="str">
        <f>IF(ISNUMBER(M75), $B78 * N75, "")</f>
        <v/>
      </c>
      <c r="Q75" s="229"/>
      <c r="R75" s="230"/>
    </row>
    <row r="76" spans="1:18" ht="17.25" customHeight="1">
      <c r="A76" s="11" t="s">
        <v>101</v>
      </c>
      <c r="B76" s="32">
        <v>223</v>
      </c>
      <c r="C76" s="5">
        <v>-1.76211454E-2</v>
      </c>
      <c r="D76" s="36">
        <v>186</v>
      </c>
      <c r="E76" s="5">
        <f t="shared" si="22"/>
        <v>-0.16591928251121077</v>
      </c>
      <c r="F76" s="44">
        <f>IF(ISNUMBER(D76), $B78 * E76, "")</f>
        <v>-49775.78475336323</v>
      </c>
      <c r="G76" s="36">
        <v>194</v>
      </c>
      <c r="H76" s="5">
        <f t="shared" si="23"/>
        <v>-0.13004484304932734</v>
      </c>
      <c r="I76" s="44">
        <f>IF(ISNUMBER(G76), $B78 * H76, "")</f>
        <v>-39013.452914798203</v>
      </c>
      <c r="J76" s="36">
        <v>209</v>
      </c>
      <c r="K76" s="5">
        <f t="shared" si="24"/>
        <v>-6.2780269058295965E-2</v>
      </c>
      <c r="L76" s="44">
        <f>IF(ISNUMBER(J76), $B78 * K76, "")</f>
        <v>-18834.080717488789</v>
      </c>
      <c r="M76" s="36"/>
      <c r="N76" s="5" t="str">
        <f t="shared" si="25"/>
        <v/>
      </c>
      <c r="O76" s="44" t="str">
        <f>IF(ISNUMBER(M76), $B78 * N76, "")</f>
        <v/>
      </c>
      <c r="Q76" s="231"/>
      <c r="R76" s="232"/>
    </row>
    <row r="77" spans="1:18" ht="17.25" customHeight="1" thickBot="1">
      <c r="A77" s="13" t="s">
        <v>161</v>
      </c>
      <c r="B77" s="34">
        <v>497</v>
      </c>
      <c r="C77" s="16">
        <v>-1.9723865899999998E-2</v>
      </c>
      <c r="D77" s="38">
        <v>432</v>
      </c>
      <c r="E77" s="16">
        <f t="shared" si="22"/>
        <v>-0.13078470824949698</v>
      </c>
      <c r="F77" s="45">
        <f>IF(ISNUMBER(D77), $B78 * E77, "")</f>
        <v>-39235.412474849094</v>
      </c>
      <c r="G77" s="38">
        <v>491</v>
      </c>
      <c r="H77" s="16">
        <f t="shared" si="23"/>
        <v>-1.2072434607645875E-2</v>
      </c>
      <c r="I77" s="45">
        <f>IF(ISNUMBER(G77), $B78 * H77, "")</f>
        <v>-3621.7303822937624</v>
      </c>
      <c r="J77" s="38">
        <v>528</v>
      </c>
      <c r="K77" s="16">
        <f t="shared" si="24"/>
        <v>6.2374245472837021E-2</v>
      </c>
      <c r="L77" s="45">
        <f>IF(ISNUMBER(J77), $B78 * K77, "")</f>
        <v>18712.273641851105</v>
      </c>
      <c r="M77" s="38"/>
      <c r="N77" s="16" t="str">
        <f t="shared" si="25"/>
        <v/>
      </c>
      <c r="O77" s="45" t="str">
        <f>IF(ISNUMBER(M77), $B78 * N77, "")</f>
        <v/>
      </c>
      <c r="Q77" s="231"/>
      <c r="R77" s="232"/>
    </row>
    <row r="78" spans="1:18" ht="17.25" customHeight="1" thickBot="1">
      <c r="A78" s="57" t="s">
        <v>32</v>
      </c>
      <c r="B78" s="235">
        <v>300000</v>
      </c>
      <c r="C78" s="236"/>
      <c r="D78" s="57" t="s">
        <v>82</v>
      </c>
      <c r="E78" s="46">
        <f>IF(COUNT(E68:E77), SUM(E68:E77) / COUNT(E68:E77), 0)</f>
        <v>-0.12856137312984378</v>
      </c>
      <c r="F78" s="47">
        <f>SUM(F68:F77)</f>
        <v>-385684.11938953132</v>
      </c>
      <c r="G78" s="57" t="s">
        <v>82</v>
      </c>
      <c r="H78" s="46">
        <f>IF(COUNT(H68:H77), SUM(H68:H77) / COUNT(H68:H77), 0)</f>
        <v>-6.9230528678906542E-2</v>
      </c>
      <c r="I78" s="47">
        <f>SUM(I68:I77)</f>
        <v>-207691.58603671964</v>
      </c>
      <c r="J78" s="57" t="s">
        <v>82</v>
      </c>
      <c r="K78" s="46">
        <f>IF(COUNT(K68:K77), SUM(K68:K77) / COUNT(K68:K77), 0)</f>
        <v>-2.352616503809344E-2</v>
      </c>
      <c r="L78" s="47">
        <f>SUM(L68:L77)</f>
        <v>-70578.495114280318</v>
      </c>
      <c r="M78" s="57" t="s">
        <v>82</v>
      </c>
      <c r="N78" s="46">
        <f>IF(COUNT(N68:N77), SUM(N68:N77) / COUNT(N68:N77), 0)</f>
        <v>0</v>
      </c>
      <c r="O78" s="47">
        <f>SUM(O68:O77)</f>
        <v>0</v>
      </c>
      <c r="Q78" s="233"/>
      <c r="R78" s="234"/>
    </row>
    <row r="79" spans="1:18" ht="17.25" customHeight="1">
      <c r="A79" s="17"/>
      <c r="B79" s="17"/>
      <c r="C79" s="17"/>
      <c r="D79" s="17"/>
      <c r="E79" s="17"/>
      <c r="F79" s="17"/>
      <c r="G79" s="17"/>
      <c r="H79" s="17"/>
      <c r="I79" s="17"/>
      <c r="J79" s="17"/>
      <c r="K79" s="17"/>
    </row>
    <row r="80" spans="1:18" ht="17.25" customHeight="1" thickBot="1">
      <c r="A80" s="17"/>
      <c r="B80" s="17"/>
      <c r="C80" s="17"/>
      <c r="D80" s="17"/>
      <c r="E80" s="17"/>
      <c r="F80" s="17"/>
      <c r="G80" s="17"/>
      <c r="H80" s="17"/>
      <c r="I80" s="17"/>
      <c r="J80" s="17"/>
      <c r="K80" s="17"/>
    </row>
    <row r="81" spans="1:18" ht="17.25" customHeight="1" thickBot="1">
      <c r="A81" s="186" t="s">
        <v>86</v>
      </c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8"/>
      <c r="Q81" s="237"/>
      <c r="R81" s="238"/>
    </row>
    <row r="82" spans="1:18" ht="17.25" customHeight="1" thickBot="1">
      <c r="A82" s="179" t="s">
        <v>188</v>
      </c>
      <c r="B82" s="186" t="s">
        <v>187</v>
      </c>
      <c r="C82" s="188"/>
      <c r="D82" s="186" t="s">
        <v>67</v>
      </c>
      <c r="E82" s="187"/>
      <c r="F82" s="188"/>
      <c r="G82" s="223">
        <f>_xlfn.IFNA(VLOOKUP(B82, 현재가테이블!$B$1:$D$200, 2, FALSE), "-")</f>
        <v>69955000</v>
      </c>
      <c r="H82" s="224"/>
      <c r="I82" s="225"/>
      <c r="J82" s="186" t="s">
        <v>69</v>
      </c>
      <c r="K82" s="187"/>
      <c r="L82" s="188"/>
      <c r="M82" s="226">
        <f>_xlfn.IFNA(VLOOKUP(B82, 현재가테이블!$B$1:$D$200, 3, FALSE), "-")</f>
        <v>-2.10059337E-2</v>
      </c>
      <c r="N82" s="227"/>
      <c r="O82" s="228"/>
      <c r="Q82" s="239"/>
      <c r="R82" s="240"/>
    </row>
    <row r="83" spans="1:18" ht="17.25" customHeight="1" thickBot="1">
      <c r="A83" s="217" t="s">
        <v>18</v>
      </c>
      <c r="B83" s="218" t="s">
        <v>54</v>
      </c>
      <c r="C83" s="219"/>
      <c r="D83" s="241" t="s">
        <v>20</v>
      </c>
      <c r="E83" s="242"/>
      <c r="F83" s="243"/>
      <c r="G83" s="241" t="s">
        <v>15</v>
      </c>
      <c r="H83" s="242"/>
      <c r="I83" s="243"/>
      <c r="J83" s="221" t="s">
        <v>34</v>
      </c>
      <c r="K83" s="221"/>
      <c r="L83" s="221"/>
      <c r="M83" s="241" t="s">
        <v>54</v>
      </c>
      <c r="N83" s="242"/>
      <c r="O83" s="243"/>
      <c r="Q83" s="231"/>
      <c r="R83" s="232"/>
    </row>
    <row r="84" spans="1:18" ht="17.25" customHeight="1" thickBot="1">
      <c r="A84" s="217"/>
      <c r="B84" s="18" t="s">
        <v>67</v>
      </c>
      <c r="C84" s="4" t="s">
        <v>69</v>
      </c>
      <c r="D84" s="18" t="s">
        <v>67</v>
      </c>
      <c r="E84" s="4" t="s">
        <v>68</v>
      </c>
      <c r="F84" s="19" t="s">
        <v>70</v>
      </c>
      <c r="G84" s="18" t="s">
        <v>67</v>
      </c>
      <c r="H84" s="4" t="s">
        <v>68</v>
      </c>
      <c r="I84" s="19" t="s">
        <v>70</v>
      </c>
      <c r="J84" s="4" t="s">
        <v>67</v>
      </c>
      <c r="K84" s="4" t="s">
        <v>68</v>
      </c>
      <c r="L84" s="181" t="s">
        <v>70</v>
      </c>
      <c r="M84" s="18" t="s">
        <v>67</v>
      </c>
      <c r="N84" s="4" t="s">
        <v>68</v>
      </c>
      <c r="O84" s="182" t="s">
        <v>70</v>
      </c>
      <c r="Q84" s="231"/>
      <c r="R84" s="232"/>
    </row>
    <row r="85" spans="1:18" ht="17.25" customHeight="1">
      <c r="A85" s="9" t="s">
        <v>99</v>
      </c>
      <c r="B85" s="31">
        <v>224</v>
      </c>
      <c r="C85" s="22">
        <v>-3.0303030299999999E-2</v>
      </c>
      <c r="D85" s="89">
        <v>186</v>
      </c>
      <c r="E85" s="22">
        <f>IF(ISNUMBER(D85), (D85 - $B85) / $B85, "")</f>
        <v>-0.16964285714285715</v>
      </c>
      <c r="F85" s="43">
        <f>IF(ISNUMBER(D85), $B95 * E85, "")</f>
        <v>-50892.857142857145</v>
      </c>
      <c r="G85" s="89">
        <v>197</v>
      </c>
      <c r="H85" s="22">
        <f>IF(ISNUMBER(G85), (G85 - $B85) / $B85, "")</f>
        <v>-0.12053571428571429</v>
      </c>
      <c r="I85" s="43">
        <f>IF(ISNUMBER(G85), $B95 * H85, "")</f>
        <v>-36160.71428571429</v>
      </c>
      <c r="J85" s="89">
        <v>217</v>
      </c>
      <c r="K85" s="22">
        <f>IF(ISNUMBER(J85), (J85 - $B85) / $B85, "")</f>
        <v>-3.125E-2</v>
      </c>
      <c r="L85" s="43">
        <f>IF(ISNUMBER(J85), $B95 * K85, "")</f>
        <v>-9375</v>
      </c>
      <c r="M85" s="89"/>
      <c r="N85" s="22" t="str">
        <f>IF(ISNUMBER(M85), (M85 - $B85) / $B85, "")</f>
        <v/>
      </c>
      <c r="O85" s="43" t="str">
        <f>IF(ISNUMBER(M85), $B95 * N85, "")</f>
        <v/>
      </c>
      <c r="Q85" s="229"/>
      <c r="R85" s="230"/>
    </row>
    <row r="86" spans="1:18" ht="17.25" customHeight="1">
      <c r="A86" s="11" t="s">
        <v>124</v>
      </c>
      <c r="B86" s="32">
        <v>128</v>
      </c>
      <c r="C86" s="5">
        <v>-3.7593985000000003E-2</v>
      </c>
      <c r="D86" s="36">
        <v>108</v>
      </c>
      <c r="E86" s="5">
        <f t="shared" ref="E86:E94" si="26">IF(ISNUMBER(D86), (D86 - $B86) / $B86, "")</f>
        <v>-0.15625</v>
      </c>
      <c r="F86" s="44">
        <f>IF(ISNUMBER(D86), $B95 * E86, "")</f>
        <v>-46875</v>
      </c>
      <c r="G86" s="36">
        <v>112</v>
      </c>
      <c r="H86" s="5">
        <f t="shared" ref="H86:H94" si="27">IF(ISNUMBER(G86), (G86 - $B86) / $B86, "")</f>
        <v>-0.125</v>
      </c>
      <c r="I86" s="44">
        <f>IF(ISNUMBER(G86), $B95 * H86, "")</f>
        <v>-37500</v>
      </c>
      <c r="J86" s="36">
        <v>120</v>
      </c>
      <c r="K86" s="5">
        <f t="shared" ref="K86:K94" si="28">IF(ISNUMBER(J86), (J86 - $B86) / $B86, "")</f>
        <v>-6.25E-2</v>
      </c>
      <c r="L86" s="44">
        <f>IF(ISNUMBER(J86), $B95 * K86, "")</f>
        <v>-18750</v>
      </c>
      <c r="M86" s="36"/>
      <c r="N86" s="5" t="str">
        <f t="shared" ref="N86:N94" si="29">IF(ISNUMBER(M86), (M86 - $B86) / $B86, "")</f>
        <v/>
      </c>
      <c r="O86" s="44" t="str">
        <f>IF(ISNUMBER(M86), $B95 * N86, "")</f>
        <v/>
      </c>
      <c r="Q86" s="229"/>
      <c r="R86" s="230"/>
    </row>
    <row r="87" spans="1:18" ht="17.25" customHeight="1">
      <c r="A87" s="11" t="s">
        <v>129</v>
      </c>
      <c r="B87" s="32">
        <v>153</v>
      </c>
      <c r="C87" s="5">
        <v>-4.9689441000000001E-2</v>
      </c>
      <c r="D87" s="36">
        <v>127</v>
      </c>
      <c r="E87" s="5">
        <f t="shared" si="26"/>
        <v>-0.16993464052287582</v>
      </c>
      <c r="F87" s="44">
        <f>IF(ISNUMBER(D87), $B95 * E87, "")</f>
        <v>-50980.392156862748</v>
      </c>
      <c r="G87" s="36">
        <v>135</v>
      </c>
      <c r="H87" s="5">
        <f t="shared" si="27"/>
        <v>-0.11764705882352941</v>
      </c>
      <c r="I87" s="44">
        <f>IF(ISNUMBER(G87), $B95 * H87, "")</f>
        <v>-35294.117647058825</v>
      </c>
      <c r="J87" s="36">
        <v>142</v>
      </c>
      <c r="K87" s="5">
        <f t="shared" si="28"/>
        <v>-7.1895424836601302E-2</v>
      </c>
      <c r="L87" s="44">
        <f>IF(ISNUMBER(J87), $B95 * K87, "")</f>
        <v>-21568.627450980392</v>
      </c>
      <c r="M87" s="36"/>
      <c r="N87" s="5" t="str">
        <f t="shared" si="29"/>
        <v/>
      </c>
      <c r="O87" s="44" t="str">
        <f>IF(ISNUMBER(M87), $B95 * N87, "")</f>
        <v/>
      </c>
      <c r="Q87" s="229"/>
      <c r="R87" s="230"/>
    </row>
    <row r="88" spans="1:18" ht="17.25" customHeight="1">
      <c r="A88" s="11" t="s">
        <v>102</v>
      </c>
      <c r="B88" s="32">
        <v>144</v>
      </c>
      <c r="C88" s="5">
        <v>-5.2631578900000003E-2</v>
      </c>
      <c r="D88" s="36">
        <v>121</v>
      </c>
      <c r="E88" s="5">
        <f t="shared" si="26"/>
        <v>-0.15972222222222221</v>
      </c>
      <c r="F88" s="44">
        <f>IF(ISNUMBER(D88), $B95 * E88, "")</f>
        <v>-47916.666666666664</v>
      </c>
      <c r="G88" s="36">
        <v>128</v>
      </c>
      <c r="H88" s="5">
        <f t="shared" si="27"/>
        <v>-0.1111111111111111</v>
      </c>
      <c r="I88" s="44">
        <f>IF(ISNUMBER(G88), $B95 * H88, "")</f>
        <v>-33333.333333333328</v>
      </c>
      <c r="J88" s="36">
        <v>141</v>
      </c>
      <c r="K88" s="5">
        <f t="shared" si="28"/>
        <v>-2.0833333333333332E-2</v>
      </c>
      <c r="L88" s="44">
        <f>IF(ISNUMBER(J88), $B95 * K88, "")</f>
        <v>-6250</v>
      </c>
      <c r="M88" s="36"/>
      <c r="N88" s="5" t="str">
        <f t="shared" si="29"/>
        <v/>
      </c>
      <c r="O88" s="44" t="str">
        <f>IF(ISNUMBER(M88), $B95 * N88, "")</f>
        <v/>
      </c>
      <c r="Q88" s="229"/>
      <c r="R88" s="230"/>
    </row>
    <row r="89" spans="1:18" ht="17.25" customHeight="1">
      <c r="A89" s="8" t="s">
        <v>227</v>
      </c>
      <c r="B89" s="33">
        <v>198</v>
      </c>
      <c r="C89" s="24">
        <v>-5.2631578900000003E-2</v>
      </c>
      <c r="D89" s="37">
        <v>170</v>
      </c>
      <c r="E89" s="24">
        <f t="shared" si="26"/>
        <v>-0.14141414141414141</v>
      </c>
      <c r="F89" s="44">
        <f>IF(ISNUMBER(D89), $B95 * E89, "")</f>
        <v>-42424.242424242424</v>
      </c>
      <c r="G89" s="37">
        <v>175</v>
      </c>
      <c r="H89" s="24">
        <f t="shared" si="27"/>
        <v>-0.11616161616161616</v>
      </c>
      <c r="I89" s="44">
        <f>IF(ISNUMBER(G89), $B95 * H89, "")</f>
        <v>-34848.484848484848</v>
      </c>
      <c r="J89" s="37">
        <v>187</v>
      </c>
      <c r="K89" s="24">
        <f t="shared" si="28"/>
        <v>-5.5555555555555552E-2</v>
      </c>
      <c r="L89" s="44">
        <f>IF(ISNUMBER(J89), $B95 * K89, "")</f>
        <v>-16666.666666666664</v>
      </c>
      <c r="M89" s="37"/>
      <c r="N89" s="24" t="str">
        <f t="shared" si="29"/>
        <v/>
      </c>
      <c r="O89" s="44" t="str">
        <f>IF(ISNUMBER(M89), $B95 * N89, "")</f>
        <v/>
      </c>
      <c r="Q89" s="229"/>
      <c r="R89" s="230"/>
    </row>
    <row r="90" spans="1:18" ht="17.25" customHeight="1">
      <c r="A90" s="11" t="s">
        <v>160</v>
      </c>
      <c r="B90" s="32">
        <v>196</v>
      </c>
      <c r="C90" s="5">
        <v>-5.3140096599999999E-2</v>
      </c>
      <c r="D90" s="36">
        <v>159</v>
      </c>
      <c r="E90" s="5">
        <f t="shared" si="26"/>
        <v>-0.18877551020408162</v>
      </c>
      <c r="F90" s="48">
        <f>IF(ISNUMBER(D90), $B95 * E90, "")</f>
        <v>-56632.65306122449</v>
      </c>
      <c r="G90" s="36">
        <v>177</v>
      </c>
      <c r="H90" s="5">
        <f t="shared" si="27"/>
        <v>-9.6938775510204078E-2</v>
      </c>
      <c r="I90" s="48">
        <f>IF(ISNUMBER(G90), $B95 * H90, "")</f>
        <v>-29081.632653061224</v>
      </c>
      <c r="J90" s="36">
        <v>181</v>
      </c>
      <c r="K90" s="5">
        <f t="shared" si="28"/>
        <v>-7.6530612244897961E-2</v>
      </c>
      <c r="L90" s="48">
        <f>IF(ISNUMBER(J90), $B95 * K90, "")</f>
        <v>-22959.18367346939</v>
      </c>
      <c r="M90" s="36"/>
      <c r="N90" s="5" t="str">
        <f t="shared" si="29"/>
        <v/>
      </c>
      <c r="O90" s="48" t="str">
        <f>IF(ISNUMBER(M90), $B95 * N90, "")</f>
        <v/>
      </c>
      <c r="Q90" s="229"/>
      <c r="R90" s="230"/>
    </row>
    <row r="91" spans="1:18" ht="17.25" customHeight="1">
      <c r="A91" s="11" t="s">
        <v>110</v>
      </c>
      <c r="B91" s="32">
        <v>569</v>
      </c>
      <c r="C91" s="5">
        <v>-5.3244592299999997E-2</v>
      </c>
      <c r="D91" s="36">
        <v>471</v>
      </c>
      <c r="E91" s="5">
        <f t="shared" si="26"/>
        <v>-0.17223198594024605</v>
      </c>
      <c r="F91" s="44">
        <f>IF(ISNUMBER(D91), $B95 * E91, "")</f>
        <v>-51669.595782073819</v>
      </c>
      <c r="G91" s="36">
        <v>501</v>
      </c>
      <c r="H91" s="5">
        <f t="shared" si="27"/>
        <v>-0.1195079086115993</v>
      </c>
      <c r="I91" s="44">
        <f>IF(ISNUMBER(G91), $B95 * H91, "")</f>
        <v>-35852.372583479788</v>
      </c>
      <c r="J91" s="36">
        <v>524</v>
      </c>
      <c r="K91" s="5">
        <f t="shared" si="28"/>
        <v>-7.9086115992970121E-2</v>
      </c>
      <c r="L91" s="44">
        <f>IF(ISNUMBER(J91), $B95 * K91, "")</f>
        <v>-23725.834797891035</v>
      </c>
      <c r="M91" s="36"/>
      <c r="N91" s="5" t="str">
        <f t="shared" si="29"/>
        <v/>
      </c>
      <c r="O91" s="44" t="str">
        <f>IF(ISNUMBER(M91), $B95 * N91, "")</f>
        <v/>
      </c>
      <c r="Q91" s="229"/>
      <c r="R91" s="230"/>
    </row>
    <row r="92" spans="1:18" ht="17.25" customHeight="1">
      <c r="A92" s="11" t="s">
        <v>127</v>
      </c>
      <c r="B92" s="32">
        <v>194</v>
      </c>
      <c r="C92" s="5">
        <v>-5.3658536600000001E-2</v>
      </c>
      <c r="D92" s="36">
        <v>168</v>
      </c>
      <c r="E92" s="5">
        <f t="shared" si="26"/>
        <v>-0.13402061855670103</v>
      </c>
      <c r="F92" s="44">
        <f>IF(ISNUMBER(D92), $B95 * E92, "")</f>
        <v>-40206.18556701031</v>
      </c>
      <c r="G92" s="36">
        <v>174</v>
      </c>
      <c r="H92" s="5">
        <f t="shared" si="27"/>
        <v>-0.10309278350515463</v>
      </c>
      <c r="I92" s="44">
        <f>IF(ISNUMBER(G92), $B95 * H92, "")</f>
        <v>-30927.83505154639</v>
      </c>
      <c r="J92" s="36">
        <v>183</v>
      </c>
      <c r="K92" s="5">
        <f t="shared" si="28"/>
        <v>-5.6701030927835051E-2</v>
      </c>
      <c r="L92" s="44">
        <f>IF(ISNUMBER(J92), $B95 * K92, "")</f>
        <v>-17010.309278350516</v>
      </c>
      <c r="M92" s="36"/>
      <c r="N92" s="5" t="str">
        <f t="shared" si="29"/>
        <v/>
      </c>
      <c r="O92" s="44" t="str">
        <f>IF(ISNUMBER(M92), $B95 * N92, "")</f>
        <v/>
      </c>
      <c r="Q92" s="229"/>
      <c r="R92" s="230"/>
    </row>
    <row r="93" spans="1:18" ht="17.25" customHeight="1">
      <c r="A93" s="11" t="s">
        <v>112</v>
      </c>
      <c r="B93" s="32">
        <v>454</v>
      </c>
      <c r="C93" s="5">
        <v>-5.4166666699999998E-2</v>
      </c>
      <c r="D93" s="36">
        <v>386</v>
      </c>
      <c r="E93" s="5">
        <f t="shared" si="26"/>
        <v>-0.14977973568281938</v>
      </c>
      <c r="F93" s="44">
        <f>IF(ISNUMBER(D93), $B95 * E93, "")</f>
        <v>-44933.920704845812</v>
      </c>
      <c r="G93" s="36">
        <v>421</v>
      </c>
      <c r="H93" s="5">
        <f t="shared" si="27"/>
        <v>-7.268722466960352E-2</v>
      </c>
      <c r="I93" s="44">
        <f>IF(ISNUMBER(G93), $B95 * H93, "")</f>
        <v>-21806.167400881055</v>
      </c>
      <c r="J93" s="36">
        <v>446</v>
      </c>
      <c r="K93" s="5">
        <f t="shared" si="28"/>
        <v>-1.7621145374449341E-2</v>
      </c>
      <c r="L93" s="44">
        <f>IF(ISNUMBER(J93), $B95 * K93, "")</f>
        <v>-5286.3436123348019</v>
      </c>
      <c r="M93" s="36"/>
      <c r="N93" s="5" t="str">
        <f t="shared" si="29"/>
        <v/>
      </c>
      <c r="O93" s="44" t="str">
        <f>IF(ISNUMBER(M93), $B95 * N93, "")</f>
        <v/>
      </c>
      <c r="Q93" s="231"/>
      <c r="R93" s="232"/>
    </row>
    <row r="94" spans="1:18" ht="17.25" customHeight="1" thickBot="1">
      <c r="A94" s="13" t="s">
        <v>153</v>
      </c>
      <c r="B94" s="34">
        <v>202</v>
      </c>
      <c r="C94" s="16">
        <v>-5.6074766400000003E-2</v>
      </c>
      <c r="D94" s="38">
        <v>170</v>
      </c>
      <c r="E94" s="16">
        <f t="shared" si="26"/>
        <v>-0.15841584158415842</v>
      </c>
      <c r="F94" s="45">
        <f>IF(ISNUMBER(D94), $B95 * E94, "")</f>
        <v>-47524.752475247522</v>
      </c>
      <c r="G94" s="38">
        <v>180</v>
      </c>
      <c r="H94" s="16">
        <f t="shared" si="27"/>
        <v>-0.10891089108910891</v>
      </c>
      <c r="I94" s="45">
        <f>IF(ISNUMBER(G94), $B95 * H94, "")</f>
        <v>-32673.267326732672</v>
      </c>
      <c r="J94" s="38">
        <v>193</v>
      </c>
      <c r="K94" s="16">
        <f t="shared" si="28"/>
        <v>-4.4554455445544552E-2</v>
      </c>
      <c r="L94" s="45">
        <f>IF(ISNUMBER(J94), $B95 * K94, "")</f>
        <v>-13366.336633663366</v>
      </c>
      <c r="M94" s="38"/>
      <c r="N94" s="16" t="str">
        <f t="shared" si="29"/>
        <v/>
      </c>
      <c r="O94" s="45" t="str">
        <f>IF(ISNUMBER(M94), $B95 * N94, "")</f>
        <v/>
      </c>
      <c r="Q94" s="231"/>
      <c r="R94" s="232"/>
    </row>
    <row r="95" spans="1:18" ht="17.25" customHeight="1" thickBot="1">
      <c r="A95" s="57" t="s">
        <v>32</v>
      </c>
      <c r="B95" s="235">
        <v>300000</v>
      </c>
      <c r="C95" s="236"/>
      <c r="D95" s="57" t="s">
        <v>82</v>
      </c>
      <c r="E95" s="46">
        <f>IF(COUNT(E85:E94), SUM(E85:E94) / COUNT(E85:E94), 0)</f>
        <v>-0.16001875532701032</v>
      </c>
      <c r="F95" s="47">
        <f>SUM(F85:F94)</f>
        <v>-480056.26598103094</v>
      </c>
      <c r="G95" s="57" t="s">
        <v>82</v>
      </c>
      <c r="H95" s="46">
        <f>IF(COUNT(H85:H94), SUM(H85:H94) / COUNT(H85:H94), 0)</f>
        <v>-0.10915930837676416</v>
      </c>
      <c r="I95" s="47">
        <f>SUM(I85:I94)</f>
        <v>-327477.92513029242</v>
      </c>
      <c r="J95" s="57" t="s">
        <v>82</v>
      </c>
      <c r="K95" s="46">
        <f>IF(COUNT(K85:K94), SUM(K85:K94) / COUNT(K85:K94), 0)</f>
        <v>-5.1652767371118721E-2</v>
      </c>
      <c r="L95" s="47">
        <f>SUM(L85:L94)</f>
        <v>-154958.30211335616</v>
      </c>
      <c r="M95" s="57" t="s">
        <v>82</v>
      </c>
      <c r="N95" s="46">
        <f>IF(COUNT(N85:N94), SUM(N85:N94) / COUNT(N85:N94), 0)</f>
        <v>0</v>
      </c>
      <c r="O95" s="47">
        <f>SUM(O85:O94)</f>
        <v>0</v>
      </c>
      <c r="Q95" s="233"/>
      <c r="R95" s="234"/>
    </row>
    <row r="96" spans="1:18" ht="17.25" customHeight="1"/>
    <row r="97" spans="1:18" ht="17.25" customHeight="1" thickBot="1"/>
    <row r="98" spans="1:18" ht="17.25" customHeight="1" thickBot="1">
      <c r="A98" s="186" t="s">
        <v>81</v>
      </c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8"/>
      <c r="Q98" s="237"/>
      <c r="R98" s="238"/>
    </row>
    <row r="99" spans="1:18" ht="17.25" customHeight="1" thickBot="1">
      <c r="A99" s="179" t="s">
        <v>188</v>
      </c>
      <c r="B99" s="186" t="s">
        <v>187</v>
      </c>
      <c r="C99" s="188"/>
      <c r="D99" s="186" t="s">
        <v>67</v>
      </c>
      <c r="E99" s="187"/>
      <c r="F99" s="188"/>
      <c r="G99" s="223">
        <f>_xlfn.IFNA(VLOOKUP(B99, 현재가테이블!$B$1:$D$200, 2, FALSE), "-")</f>
        <v>69955000</v>
      </c>
      <c r="H99" s="224"/>
      <c r="I99" s="225"/>
      <c r="J99" s="186" t="s">
        <v>69</v>
      </c>
      <c r="K99" s="187"/>
      <c r="L99" s="188"/>
      <c r="M99" s="226">
        <f>_xlfn.IFNA(VLOOKUP(B99, 현재가테이블!$B$1:$D$200, 3, FALSE), "-")</f>
        <v>-2.10059337E-2</v>
      </c>
      <c r="N99" s="227"/>
      <c r="O99" s="228"/>
      <c r="Q99" s="239"/>
      <c r="R99" s="240"/>
    </row>
    <row r="100" spans="1:18" ht="17.25" customHeight="1" thickBot="1">
      <c r="A100" s="217" t="s">
        <v>18</v>
      </c>
      <c r="B100" s="218" t="s">
        <v>54</v>
      </c>
      <c r="C100" s="219"/>
      <c r="D100" s="241" t="s">
        <v>20</v>
      </c>
      <c r="E100" s="242"/>
      <c r="F100" s="243"/>
      <c r="G100" s="241" t="s">
        <v>15</v>
      </c>
      <c r="H100" s="242"/>
      <c r="I100" s="243"/>
      <c r="J100" s="221" t="s">
        <v>34</v>
      </c>
      <c r="K100" s="221"/>
      <c r="L100" s="221"/>
      <c r="M100" s="241" t="s">
        <v>54</v>
      </c>
      <c r="N100" s="242"/>
      <c r="O100" s="243"/>
      <c r="Q100" s="231"/>
      <c r="R100" s="232"/>
    </row>
    <row r="101" spans="1:18" ht="17.25" customHeight="1" thickBot="1">
      <c r="A101" s="217"/>
      <c r="B101" s="18" t="s">
        <v>67</v>
      </c>
      <c r="C101" s="4" t="s">
        <v>69</v>
      </c>
      <c r="D101" s="18" t="s">
        <v>67</v>
      </c>
      <c r="E101" s="4" t="s">
        <v>68</v>
      </c>
      <c r="F101" s="19" t="s">
        <v>70</v>
      </c>
      <c r="G101" s="18" t="s">
        <v>67</v>
      </c>
      <c r="H101" s="4" t="s">
        <v>68</v>
      </c>
      <c r="I101" s="19" t="s">
        <v>70</v>
      </c>
      <c r="J101" s="4" t="s">
        <v>67</v>
      </c>
      <c r="K101" s="4" t="s">
        <v>68</v>
      </c>
      <c r="L101" s="181" t="s">
        <v>70</v>
      </c>
      <c r="M101" s="18" t="s">
        <v>67</v>
      </c>
      <c r="N101" s="4" t="s">
        <v>68</v>
      </c>
      <c r="O101" s="182" t="s">
        <v>70</v>
      </c>
      <c r="Q101" s="231"/>
      <c r="R101" s="232"/>
    </row>
    <row r="102" spans="1:18" ht="17.25" customHeight="1">
      <c r="A102" s="9" t="s">
        <v>190</v>
      </c>
      <c r="B102" s="31">
        <v>8180</v>
      </c>
      <c r="C102" s="22">
        <v>0.7591397849</v>
      </c>
      <c r="D102" s="89">
        <v>9600</v>
      </c>
      <c r="E102" s="22">
        <f>IF(ISNUMBER(D102), (D102 - $B102) / $B102, "")</f>
        <v>0.17359413202933985</v>
      </c>
      <c r="F102" s="43">
        <f>IF(ISNUMBER(D102), $B112 * E102, "")</f>
        <v>52078.239608801952</v>
      </c>
      <c r="G102" s="89">
        <v>8505</v>
      </c>
      <c r="H102" s="22">
        <f>IF(ISNUMBER(G102), (G102 - $B102) / $B102, "")</f>
        <v>3.9731051344743279E-2</v>
      </c>
      <c r="I102" s="43">
        <f>IF(ISNUMBER(G102), $B112 * H102, "")</f>
        <v>11919.315403422983</v>
      </c>
      <c r="J102" s="89">
        <v>8075</v>
      </c>
      <c r="K102" s="22">
        <f>IF(ISNUMBER(J102), (J102 - $B102) / $B102, "")</f>
        <v>-1.2836185819070905E-2</v>
      </c>
      <c r="L102" s="43">
        <f>IF(ISNUMBER(J102), $B112 * K102, "")</f>
        <v>-3850.8557457212714</v>
      </c>
      <c r="M102" s="89"/>
      <c r="N102" s="22" t="str">
        <f>IF(ISNUMBER(M102), (M102 - $B102) / $B102, "")</f>
        <v/>
      </c>
      <c r="O102" s="43" t="str">
        <f>IF(ISNUMBER(M102), $B112 * N102, "")</f>
        <v/>
      </c>
      <c r="Q102" s="229"/>
      <c r="R102" s="230"/>
    </row>
    <row r="103" spans="1:18" ht="17.25" customHeight="1">
      <c r="A103" s="11" t="s">
        <v>97</v>
      </c>
      <c r="B103" s="32">
        <v>10070</v>
      </c>
      <c r="C103" s="5">
        <v>0.21765417170000001</v>
      </c>
      <c r="D103" s="36">
        <v>7465</v>
      </c>
      <c r="E103" s="5">
        <f t="shared" ref="E103:E111" si="30">IF(ISNUMBER(D103), (D103 - $B103) / $B103, "")</f>
        <v>-0.2586891757696127</v>
      </c>
      <c r="F103" s="44">
        <f>IF(ISNUMBER(D103), $B112 * E103, "")</f>
        <v>-77606.752730883803</v>
      </c>
      <c r="G103" s="36">
        <v>7890</v>
      </c>
      <c r="H103" s="5">
        <f t="shared" ref="H103:H111" si="31">IF(ISNUMBER(G103), (G103 - $B103) / $B103, "")</f>
        <v>-0.21648460774577954</v>
      </c>
      <c r="I103" s="44">
        <f>IF(ISNUMBER(G103), $B112 * H103, "")</f>
        <v>-64945.382323733866</v>
      </c>
      <c r="J103" s="36">
        <v>8965</v>
      </c>
      <c r="K103" s="5">
        <f t="shared" ref="K103:K111" si="32">IF(ISNUMBER(J103), (J103 - $B103) / $B103, "")</f>
        <v>-0.10973187686196624</v>
      </c>
      <c r="L103" s="44">
        <f>IF(ISNUMBER(J103), $B112 * K103, "")</f>
        <v>-32919.563058589869</v>
      </c>
      <c r="M103" s="36"/>
      <c r="N103" s="5" t="str">
        <f t="shared" ref="N103:N111" si="33">IF(ISNUMBER(M103), (M103 - $B103) / $B103, "")</f>
        <v/>
      </c>
      <c r="O103" s="44" t="str">
        <f>IF(ISNUMBER(M103), $B112 * N103, "")</f>
        <v/>
      </c>
      <c r="Q103" s="229"/>
      <c r="R103" s="230"/>
    </row>
    <row r="104" spans="1:18" ht="17.25" customHeight="1">
      <c r="A104" s="11" t="s">
        <v>191</v>
      </c>
      <c r="B104" s="32">
        <v>10830</v>
      </c>
      <c r="C104" s="5">
        <v>0.19933554819999999</v>
      </c>
      <c r="D104" s="36">
        <v>12560</v>
      </c>
      <c r="E104" s="5">
        <f t="shared" si="30"/>
        <v>0.15974145891043398</v>
      </c>
      <c r="F104" s="44">
        <f>IF(ISNUMBER(D104), $B112 * E104, "")</f>
        <v>47922.437673130196</v>
      </c>
      <c r="G104" s="36">
        <v>12240</v>
      </c>
      <c r="H104" s="5">
        <f t="shared" si="31"/>
        <v>0.13019390581717452</v>
      </c>
      <c r="I104" s="44">
        <f>IF(ISNUMBER(G104), $B112 * H104, "")</f>
        <v>39058.171745152358</v>
      </c>
      <c r="J104" s="36">
        <v>11960</v>
      </c>
      <c r="K104" s="5">
        <f t="shared" si="32"/>
        <v>0.10433979686057249</v>
      </c>
      <c r="L104" s="44">
        <f>IF(ISNUMBER(J104), $B112 * K104, "")</f>
        <v>31301.939058171745</v>
      </c>
      <c r="M104" s="36"/>
      <c r="N104" s="5" t="str">
        <f t="shared" si="33"/>
        <v/>
      </c>
      <c r="O104" s="44" t="str">
        <f>IF(ISNUMBER(M104), $B112 * N104, "")</f>
        <v/>
      </c>
      <c r="Q104" s="229"/>
      <c r="R104" s="230"/>
    </row>
    <row r="105" spans="1:18" ht="17.25" customHeight="1">
      <c r="A105" s="11" t="s">
        <v>192</v>
      </c>
      <c r="B105" s="32">
        <v>3040</v>
      </c>
      <c r="C105" s="5">
        <v>0.13221601490000001</v>
      </c>
      <c r="D105" s="36">
        <v>3235</v>
      </c>
      <c r="E105" s="5">
        <f t="shared" si="30"/>
        <v>6.4144736842105268E-2</v>
      </c>
      <c r="F105" s="44">
        <f>IF(ISNUMBER(D105), $B112 * E105, "")</f>
        <v>19243.42105263158</v>
      </c>
      <c r="G105" s="36">
        <v>3110</v>
      </c>
      <c r="H105" s="5">
        <f t="shared" si="31"/>
        <v>2.3026315789473683E-2</v>
      </c>
      <c r="I105" s="44">
        <f>IF(ISNUMBER(G105), $B112 * H105, "")</f>
        <v>6907.894736842105</v>
      </c>
      <c r="J105" s="36">
        <v>3015</v>
      </c>
      <c r="K105" s="5">
        <f t="shared" si="32"/>
        <v>-8.2236842105263153E-3</v>
      </c>
      <c r="L105" s="44">
        <f>IF(ISNUMBER(J105), $B112 * K105, "")</f>
        <v>-2467.1052631578946</v>
      </c>
      <c r="M105" s="36"/>
      <c r="N105" s="5" t="str">
        <f t="shared" si="33"/>
        <v/>
      </c>
      <c r="O105" s="44" t="str">
        <f>IF(ISNUMBER(M105), $B112 * N105, "")</f>
        <v/>
      </c>
      <c r="Q105" s="229"/>
      <c r="R105" s="230"/>
    </row>
    <row r="106" spans="1:18" ht="17.25" customHeight="1">
      <c r="A106" s="8" t="s">
        <v>106</v>
      </c>
      <c r="B106" s="33">
        <v>5070</v>
      </c>
      <c r="C106" s="24">
        <v>8.2177161200000001E-2</v>
      </c>
      <c r="D106" s="37">
        <v>3855</v>
      </c>
      <c r="E106" s="24">
        <f t="shared" si="30"/>
        <v>-0.23964497041420119</v>
      </c>
      <c r="F106" s="44">
        <f>IF(ISNUMBER(D106), $B112 * E106, "")</f>
        <v>-71893.491124260356</v>
      </c>
      <c r="G106" s="37">
        <v>4075</v>
      </c>
      <c r="H106" s="24">
        <f t="shared" si="31"/>
        <v>-0.19625246548323472</v>
      </c>
      <c r="I106" s="44">
        <f>IF(ISNUMBER(G106), $B112 * H106, "")</f>
        <v>-58875.739644970417</v>
      </c>
      <c r="J106" s="37">
        <v>4640</v>
      </c>
      <c r="K106" s="24">
        <f t="shared" si="32"/>
        <v>-8.4812623274161739E-2</v>
      </c>
      <c r="L106" s="44">
        <f>IF(ISNUMBER(J106), $B112 * K106, "")</f>
        <v>-25443.786982248523</v>
      </c>
      <c r="M106" s="37"/>
      <c r="N106" s="24" t="str">
        <f t="shared" si="33"/>
        <v/>
      </c>
      <c r="O106" s="44" t="str">
        <f>IF(ISNUMBER(M106), $B112 * N106, "")</f>
        <v/>
      </c>
      <c r="Q106" s="229"/>
      <c r="R106" s="230"/>
    </row>
    <row r="107" spans="1:18" ht="17.25" customHeight="1">
      <c r="A107" s="11" t="s">
        <v>94</v>
      </c>
      <c r="B107" s="32">
        <v>467</v>
      </c>
      <c r="C107" s="5">
        <v>7.60368664E-2</v>
      </c>
      <c r="D107" s="36">
        <v>510</v>
      </c>
      <c r="E107" s="5">
        <f t="shared" si="30"/>
        <v>9.2077087794432549E-2</v>
      </c>
      <c r="F107" s="48">
        <f>IF(ISNUMBER(D107), $B112 * E107, "")</f>
        <v>27623.126338329766</v>
      </c>
      <c r="G107" s="36">
        <v>482</v>
      </c>
      <c r="H107" s="5">
        <f t="shared" si="31"/>
        <v>3.2119914346895075E-2</v>
      </c>
      <c r="I107" s="48">
        <f>IF(ISNUMBER(G107), $B112 * H107, "")</f>
        <v>9635.9743040685225</v>
      </c>
      <c r="J107" s="36">
        <v>481</v>
      </c>
      <c r="K107" s="5">
        <f t="shared" si="32"/>
        <v>2.9978586723768737E-2</v>
      </c>
      <c r="L107" s="48">
        <f>IF(ISNUMBER(J107), $B112 * K107, "")</f>
        <v>8993.576017130621</v>
      </c>
      <c r="M107" s="36"/>
      <c r="N107" s="5" t="str">
        <f t="shared" si="33"/>
        <v/>
      </c>
      <c r="O107" s="48" t="str">
        <f>IF(ISNUMBER(M107), $B112 * N107, "")</f>
        <v/>
      </c>
      <c r="Q107" s="229"/>
      <c r="R107" s="230"/>
    </row>
    <row r="108" spans="1:18" ht="17.25" customHeight="1">
      <c r="A108" s="11" t="s">
        <v>210</v>
      </c>
      <c r="B108" s="32">
        <v>5225</v>
      </c>
      <c r="C108" s="5">
        <v>6.9600818800000006E-2</v>
      </c>
      <c r="D108" s="36">
        <v>4045</v>
      </c>
      <c r="E108" s="5">
        <f t="shared" si="30"/>
        <v>-0.22583732057416267</v>
      </c>
      <c r="F108" s="44">
        <f>IF(ISNUMBER(D108), $B112 * E108, "")</f>
        <v>-67751.196172248805</v>
      </c>
      <c r="G108" s="36">
        <v>4425</v>
      </c>
      <c r="H108" s="5">
        <f t="shared" si="31"/>
        <v>-0.15311004784688995</v>
      </c>
      <c r="I108" s="44">
        <f>IF(ISNUMBER(G108), $B112 * H108, "")</f>
        <v>-45933.014354066981</v>
      </c>
      <c r="J108" s="36">
        <v>5065</v>
      </c>
      <c r="K108" s="5">
        <f t="shared" si="32"/>
        <v>-3.0622009569377991E-2</v>
      </c>
      <c r="L108" s="44">
        <f>IF(ISNUMBER(J108), $B112 * K108, "")</f>
        <v>-9186.6028708133981</v>
      </c>
      <c r="M108" s="36"/>
      <c r="N108" s="5" t="str">
        <f t="shared" si="33"/>
        <v/>
      </c>
      <c r="O108" s="44" t="str">
        <f>IF(ISNUMBER(M108), $B112 * N108, "")</f>
        <v/>
      </c>
      <c r="Q108" s="229"/>
      <c r="R108" s="230"/>
    </row>
    <row r="109" spans="1:18" ht="17.25" customHeight="1">
      <c r="A109" s="11" t="s">
        <v>122</v>
      </c>
      <c r="B109" s="32">
        <v>316</v>
      </c>
      <c r="C109" s="5">
        <v>5.3333333300000001E-2</v>
      </c>
      <c r="D109" s="36">
        <v>276</v>
      </c>
      <c r="E109" s="5">
        <f t="shared" si="30"/>
        <v>-0.12658227848101267</v>
      </c>
      <c r="F109" s="44">
        <f>IF(ISNUMBER(D109), $B112 * E109, "")</f>
        <v>-37974.6835443038</v>
      </c>
      <c r="G109" s="36">
        <v>287</v>
      </c>
      <c r="H109" s="5">
        <f t="shared" si="31"/>
        <v>-9.1772151898734181E-2</v>
      </c>
      <c r="I109" s="44">
        <f>IF(ISNUMBER(G109), $B112 * H109, "")</f>
        <v>-27531.645569620254</v>
      </c>
      <c r="J109" s="36">
        <v>303</v>
      </c>
      <c r="K109" s="5">
        <f t="shared" si="32"/>
        <v>-4.1139240506329111E-2</v>
      </c>
      <c r="L109" s="44">
        <f>IF(ISNUMBER(J109), $B112 * K109, "")</f>
        <v>-12341.772151898733</v>
      </c>
      <c r="M109" s="36"/>
      <c r="N109" s="5" t="str">
        <f t="shared" si="33"/>
        <v/>
      </c>
      <c r="O109" s="44" t="str">
        <f>IF(ISNUMBER(M109), $B112 * N109, "")</f>
        <v/>
      </c>
      <c r="Q109" s="229"/>
      <c r="R109" s="230"/>
    </row>
    <row r="110" spans="1:18" ht="17.25" customHeight="1">
      <c r="A110" s="11" t="s">
        <v>189</v>
      </c>
      <c r="B110" s="32">
        <v>45510</v>
      </c>
      <c r="C110" s="5">
        <v>4.3567989000000001E-2</v>
      </c>
      <c r="D110" s="36">
        <v>46000</v>
      </c>
      <c r="E110" s="5">
        <f t="shared" si="30"/>
        <v>1.0766864425401011E-2</v>
      </c>
      <c r="F110" s="44">
        <f>IF(ISNUMBER(D110), $B112 * E110, "")</f>
        <v>3230.0593276203031</v>
      </c>
      <c r="G110" s="36">
        <v>45300</v>
      </c>
      <c r="H110" s="5">
        <f t="shared" si="31"/>
        <v>-4.6143704680290049E-3</v>
      </c>
      <c r="I110" s="44">
        <f>IF(ISNUMBER(G110), $B112 * H110, "")</f>
        <v>-1384.3111404087015</v>
      </c>
      <c r="J110" s="36">
        <v>45260</v>
      </c>
      <c r="K110" s="5">
        <f t="shared" si="32"/>
        <v>-5.4932981762250057E-3</v>
      </c>
      <c r="L110" s="44">
        <f>IF(ISNUMBER(J110), $B112 * K110, "")</f>
        <v>-1647.9894528675018</v>
      </c>
      <c r="M110" s="36"/>
      <c r="N110" s="5" t="str">
        <f t="shared" si="33"/>
        <v/>
      </c>
      <c r="O110" s="44" t="str">
        <f>IF(ISNUMBER(M110), $B112 * N110, "")</f>
        <v/>
      </c>
      <c r="Q110" s="231"/>
      <c r="R110" s="232"/>
    </row>
    <row r="111" spans="1:18" ht="17.25" customHeight="1" thickBot="1">
      <c r="A111" s="13" t="s">
        <v>137</v>
      </c>
      <c r="B111" s="34">
        <v>436</v>
      </c>
      <c r="C111" s="16">
        <v>3.8095238099999998E-2</v>
      </c>
      <c r="D111" s="38">
        <v>358</v>
      </c>
      <c r="E111" s="16">
        <f t="shared" si="30"/>
        <v>-0.17889908256880735</v>
      </c>
      <c r="F111" s="45">
        <f>IF(ISNUMBER(D111), $B112 * E111, "")</f>
        <v>-53669.724770642206</v>
      </c>
      <c r="G111" s="38">
        <v>394</v>
      </c>
      <c r="H111" s="16">
        <f t="shared" si="31"/>
        <v>-9.6330275229357804E-2</v>
      </c>
      <c r="I111" s="45">
        <f>IF(ISNUMBER(G111), $B112 * H111, "")</f>
        <v>-28899.082568807342</v>
      </c>
      <c r="J111" s="38">
        <v>422</v>
      </c>
      <c r="K111" s="16">
        <f t="shared" si="32"/>
        <v>-3.2110091743119268E-2</v>
      </c>
      <c r="L111" s="45">
        <f>IF(ISNUMBER(J111), $B112 * K111, "")</f>
        <v>-9633.0275229357812</v>
      </c>
      <c r="M111" s="38"/>
      <c r="N111" s="16" t="str">
        <f t="shared" si="33"/>
        <v/>
      </c>
      <c r="O111" s="45" t="str">
        <f>IF(ISNUMBER(M111), $B112 * N111, "")</f>
        <v/>
      </c>
      <c r="Q111" s="231"/>
      <c r="R111" s="232"/>
    </row>
    <row r="112" spans="1:18" ht="17.25" customHeight="1" thickBot="1">
      <c r="A112" s="57" t="s">
        <v>32</v>
      </c>
      <c r="B112" s="235">
        <v>300000</v>
      </c>
      <c r="C112" s="236"/>
      <c r="D112" s="57" t="s">
        <v>82</v>
      </c>
      <c r="E112" s="46">
        <f>IF(COUNT(E102:E111), SUM(E102:E111) / COUNT(E102:E111), 0)</f>
        <v>-5.2932854780608385E-2</v>
      </c>
      <c r="F112" s="47">
        <f>SUM(F102:F111)</f>
        <v>-158798.56434182517</v>
      </c>
      <c r="G112" s="57" t="s">
        <v>82</v>
      </c>
      <c r="H112" s="46">
        <f>IF(COUNT(H102:H111), SUM(H102:H111) / COUNT(H102:H111), 0)</f>
        <v>-5.3349273137373865E-2</v>
      </c>
      <c r="I112" s="47">
        <f>SUM(I102:I111)</f>
        <v>-160047.81941212161</v>
      </c>
      <c r="J112" s="57" t="s">
        <v>82</v>
      </c>
      <c r="K112" s="46">
        <f>IF(COUNT(K102:K111), SUM(K102:K111) / COUNT(K102:K111), 0)</f>
        <v>-1.9065062657643538E-2</v>
      </c>
      <c r="L112" s="47">
        <f>SUM(L102:L111)</f>
        <v>-57195.187972930602</v>
      </c>
      <c r="M112" s="57" t="s">
        <v>82</v>
      </c>
      <c r="N112" s="46">
        <f>IF(COUNT(N102:N111), SUM(N102:N111) / COUNT(N102:N111), 0)</f>
        <v>0</v>
      </c>
      <c r="O112" s="47">
        <f>SUM(O102:O111)</f>
        <v>0</v>
      </c>
      <c r="Q112" s="233"/>
      <c r="R112" s="234"/>
    </row>
  </sheetData>
  <mergeCells count="149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R16"/>
    <mergeCell ref="B14:C14"/>
    <mergeCell ref="D14:F14"/>
    <mergeCell ref="G14:I14"/>
    <mergeCell ref="J14:L14"/>
    <mergeCell ref="M14:O14"/>
    <mergeCell ref="Q17:Q20"/>
    <mergeCell ref="R17:R20"/>
    <mergeCell ref="Q21:Q24"/>
    <mergeCell ref="R21:R24"/>
    <mergeCell ref="Q25:R27"/>
    <mergeCell ref="B27:C27"/>
    <mergeCell ref="A15:A16"/>
    <mergeCell ref="B15:C15"/>
    <mergeCell ref="D15:F15"/>
    <mergeCell ref="G15:I15"/>
    <mergeCell ref="J15:L15"/>
    <mergeCell ref="M15:O15"/>
    <mergeCell ref="G32:I32"/>
    <mergeCell ref="J32:L32"/>
    <mergeCell ref="M32:O32"/>
    <mergeCell ref="Q34:Q37"/>
    <mergeCell ref="R34:R37"/>
    <mergeCell ref="Q38:Q41"/>
    <mergeCell ref="R38:R41"/>
    <mergeCell ref="A30:O30"/>
    <mergeCell ref="Q30:R33"/>
    <mergeCell ref="B31:C31"/>
    <mergeCell ref="D31:F31"/>
    <mergeCell ref="G31:I31"/>
    <mergeCell ref="J31:L31"/>
    <mergeCell ref="M31:O31"/>
    <mergeCell ref="A32:A33"/>
    <mergeCell ref="B32:C32"/>
    <mergeCell ref="D32:F32"/>
    <mergeCell ref="B49:C49"/>
    <mergeCell ref="D49:F49"/>
    <mergeCell ref="G49:I49"/>
    <mergeCell ref="J49:L49"/>
    <mergeCell ref="M49:O49"/>
    <mergeCell ref="Q51:Q54"/>
    <mergeCell ref="Q42:R44"/>
    <mergeCell ref="B44:C44"/>
    <mergeCell ref="A47:O47"/>
    <mergeCell ref="Q47:R50"/>
    <mergeCell ref="B48:C48"/>
    <mergeCell ref="D48:F48"/>
    <mergeCell ref="G48:I48"/>
    <mergeCell ref="J48:L48"/>
    <mergeCell ref="M48:O48"/>
    <mergeCell ref="A49:A50"/>
    <mergeCell ref="R51:R54"/>
    <mergeCell ref="Q55:Q58"/>
    <mergeCell ref="R55:R58"/>
    <mergeCell ref="Q59:R61"/>
    <mergeCell ref="B61:C61"/>
    <mergeCell ref="A64:O64"/>
    <mergeCell ref="Q64:R67"/>
    <mergeCell ref="B65:C65"/>
    <mergeCell ref="D65:F65"/>
    <mergeCell ref="G65:I65"/>
    <mergeCell ref="Q68:Q71"/>
    <mergeCell ref="R68:R71"/>
    <mergeCell ref="Q72:Q75"/>
    <mergeCell ref="R72:R75"/>
    <mergeCell ref="Q76:R78"/>
    <mergeCell ref="B78:C78"/>
    <mergeCell ref="J65:L65"/>
    <mergeCell ref="M65:O65"/>
    <mergeCell ref="A66:A67"/>
    <mergeCell ref="B66:C66"/>
    <mergeCell ref="D66:F66"/>
    <mergeCell ref="G66:I66"/>
    <mergeCell ref="J66:L66"/>
    <mergeCell ref="M66:O66"/>
    <mergeCell ref="G83:I83"/>
    <mergeCell ref="J83:L83"/>
    <mergeCell ref="M83:O83"/>
    <mergeCell ref="Q85:Q88"/>
    <mergeCell ref="R85:R88"/>
    <mergeCell ref="Q89:Q92"/>
    <mergeCell ref="R89:R92"/>
    <mergeCell ref="A81:O81"/>
    <mergeCell ref="Q81:R84"/>
    <mergeCell ref="B82:C82"/>
    <mergeCell ref="D82:F82"/>
    <mergeCell ref="G82:I82"/>
    <mergeCell ref="J82:L82"/>
    <mergeCell ref="M82:O82"/>
    <mergeCell ref="A83:A84"/>
    <mergeCell ref="B83:C83"/>
    <mergeCell ref="D83:F83"/>
    <mergeCell ref="Q93:R95"/>
    <mergeCell ref="B95:C95"/>
    <mergeCell ref="A98:O98"/>
    <mergeCell ref="Q98:R101"/>
    <mergeCell ref="B99:C99"/>
    <mergeCell ref="D99:F99"/>
    <mergeCell ref="G99:I99"/>
    <mergeCell ref="J99:L99"/>
    <mergeCell ref="M99:O99"/>
    <mergeCell ref="A100:A101"/>
    <mergeCell ref="R102:R105"/>
    <mergeCell ref="Q106:Q109"/>
    <mergeCell ref="R106:R109"/>
    <mergeCell ref="Q110:R112"/>
    <mergeCell ref="B112:C112"/>
    <mergeCell ref="B100:C100"/>
    <mergeCell ref="D100:F100"/>
    <mergeCell ref="G100:I100"/>
    <mergeCell ref="J100:L100"/>
    <mergeCell ref="M100:O100"/>
    <mergeCell ref="Q102:Q105"/>
  </mergeCells>
  <phoneticPr fontId="1" type="noConversion"/>
  <conditionalFormatting sqref="D15:F16 E27:F27">
    <cfRule type="expression" dxfId="97" priority="89">
      <formula>$E$27&gt;0</formula>
    </cfRule>
    <cfRule type="expression" dxfId="96" priority="90">
      <formula>$E$27&lt;0</formula>
    </cfRule>
  </conditionalFormatting>
  <conditionalFormatting sqref="G15:I16 H27:I27">
    <cfRule type="expression" dxfId="95" priority="87">
      <formula>$H$27&gt;0</formula>
    </cfRule>
    <cfRule type="expression" dxfId="94" priority="88">
      <formula>$H$27&lt;0</formula>
    </cfRule>
  </conditionalFormatting>
  <conditionalFormatting sqref="J15:L16 K27:L27">
    <cfRule type="expression" dxfId="93" priority="85">
      <formula>$K$27&gt;0</formula>
    </cfRule>
    <cfRule type="expression" dxfId="92" priority="86">
      <formula>$K$27&lt;0</formula>
    </cfRule>
  </conditionalFormatting>
  <conditionalFormatting sqref="M15:O16 N27:O27">
    <cfRule type="expression" dxfId="91" priority="83">
      <formula>$N$27&gt;0</formula>
    </cfRule>
    <cfRule type="expression" dxfId="90" priority="84">
      <formula>$N$27&lt;0</formula>
    </cfRule>
  </conditionalFormatting>
  <conditionalFormatting sqref="A17:O26 A34:O43">
    <cfRule type="expression" dxfId="89" priority="91">
      <formula>AND($N17 &gt; 0, ISNUMBER($N17))</formula>
    </cfRule>
    <cfRule type="expression" dxfId="88" priority="92">
      <formula>AND($N17 &lt; 0, ISNUMBER($N17))</formula>
    </cfRule>
    <cfRule type="expression" dxfId="87" priority="93">
      <formula>AND($K17 &gt; 0, ISNUMBER($K17))</formula>
    </cfRule>
    <cfRule type="expression" dxfId="86" priority="94">
      <formula>AND($K17 &lt; 0, ISNUMBER($K17))</formula>
    </cfRule>
    <cfRule type="expression" dxfId="85" priority="95">
      <formula>AND($H17 &gt; 0, ISNUMBER($H17))</formula>
    </cfRule>
    <cfRule type="expression" dxfId="84" priority="96">
      <formula>AND($H17 &lt; 0, ISNUMBER($H17))</formula>
    </cfRule>
    <cfRule type="expression" dxfId="83" priority="97">
      <formula>AND($E17 &gt; 0, ISNUMBER($E17))</formula>
    </cfRule>
    <cfRule type="expression" dxfId="82" priority="98">
      <formula>AND($E17 &lt; 0, ISNUMBER($E17))</formula>
    </cfRule>
  </conditionalFormatting>
  <conditionalFormatting sqref="D32:F33 E44:F44">
    <cfRule type="expression" dxfId="81" priority="81">
      <formula>$E$44&gt;0</formula>
    </cfRule>
    <cfRule type="expression" dxfId="80" priority="82">
      <formula>$E$44&lt;0</formula>
    </cfRule>
  </conditionalFormatting>
  <conditionalFormatting sqref="G32:I33 H44:I44">
    <cfRule type="expression" dxfId="79" priority="79">
      <formula>$H$44&gt;0</formula>
    </cfRule>
    <cfRule type="expression" dxfId="78" priority="80">
      <formula>$H$44&lt;0</formula>
    </cfRule>
  </conditionalFormatting>
  <conditionalFormatting sqref="J32:L33 K44:L44">
    <cfRule type="expression" dxfId="77" priority="77">
      <formula>$K$44&gt;0</formula>
    </cfRule>
    <cfRule type="expression" dxfId="76" priority="78">
      <formula>$K$44&lt;0</formula>
    </cfRule>
  </conditionalFormatting>
  <conditionalFormatting sqref="M32:O33 N44:O44">
    <cfRule type="expression" dxfId="75" priority="75">
      <formula>$N$44&gt;0</formula>
    </cfRule>
    <cfRule type="expression" dxfId="74" priority="76">
      <formula>$N$44&lt;0</formula>
    </cfRule>
  </conditionalFormatting>
  <conditionalFormatting sqref="A51:O60">
    <cfRule type="expression" dxfId="73" priority="67">
      <formula>AND($N51 &gt; 0, ISNUMBER($N51))</formula>
    </cfRule>
    <cfRule type="expression" dxfId="72" priority="68">
      <formula>AND($N51 &lt; 0, ISNUMBER($N51))</formula>
    </cfRule>
    <cfRule type="expression" dxfId="71" priority="69">
      <formula>AND($K51 &gt; 0, ISNUMBER($K51))</formula>
    </cfRule>
    <cfRule type="expression" dxfId="70" priority="70">
      <formula>AND($K51 &lt; 0, ISNUMBER($K51))</formula>
    </cfRule>
    <cfRule type="expression" dxfId="69" priority="71">
      <formula>AND($H51 &gt; 0, ISNUMBER($H51))</formula>
    </cfRule>
    <cfRule type="expression" dxfId="68" priority="72">
      <formula>AND($H51 &lt; 0, ISNUMBER($H51))</formula>
    </cfRule>
    <cfRule type="expression" dxfId="67" priority="73">
      <formula>AND($E51 &gt; 0, ISNUMBER($E51))</formula>
    </cfRule>
    <cfRule type="expression" dxfId="66" priority="74">
      <formula>AND($E51 &lt; 0, ISNUMBER($E51))</formula>
    </cfRule>
  </conditionalFormatting>
  <conditionalFormatting sqref="D49:F50 E61:F61">
    <cfRule type="expression" dxfId="65" priority="65">
      <formula>$E$61&gt;0</formula>
    </cfRule>
    <cfRule type="expression" dxfId="64" priority="66">
      <formula>$E$61&lt;0</formula>
    </cfRule>
  </conditionalFormatting>
  <conditionalFormatting sqref="G49:I50 H61:I61">
    <cfRule type="expression" dxfId="63" priority="63">
      <formula>$H$61&gt;0</formula>
    </cfRule>
    <cfRule type="expression" dxfId="62" priority="64">
      <formula>$H$61&lt;0</formula>
    </cfRule>
  </conditionalFormatting>
  <conditionalFormatting sqref="J49:L50 K61:L61">
    <cfRule type="expression" dxfId="61" priority="61">
      <formula>$K$61&gt;0</formula>
    </cfRule>
    <cfRule type="expression" dxfId="60" priority="62">
      <formula>$K$61&lt;0</formula>
    </cfRule>
  </conditionalFormatting>
  <conditionalFormatting sqref="M49:O50 N61:O61">
    <cfRule type="expression" dxfId="59" priority="59">
      <formula>$N$61&gt;0</formula>
    </cfRule>
    <cfRule type="expression" dxfId="58" priority="60">
      <formula>$N$61&lt;0</formula>
    </cfRule>
  </conditionalFormatting>
  <conditionalFormatting sqref="A68:O77">
    <cfRule type="expression" dxfId="57" priority="51">
      <formula>AND($N68 &gt; 0, ISNUMBER($N68))</formula>
    </cfRule>
    <cfRule type="expression" dxfId="56" priority="52">
      <formula>AND($N68 &lt; 0, ISNUMBER($N68))</formula>
    </cfRule>
    <cfRule type="expression" dxfId="55" priority="53">
      <formula>AND($K68 &gt; 0, ISNUMBER($K68))</formula>
    </cfRule>
    <cfRule type="expression" dxfId="54" priority="54">
      <formula>AND($K68 &lt; 0, ISNUMBER($K68))</formula>
    </cfRule>
    <cfRule type="expression" dxfId="53" priority="55">
      <formula>AND($H68 &gt; 0, ISNUMBER($H68))</formula>
    </cfRule>
    <cfRule type="expression" dxfId="52" priority="56">
      <formula>AND($H68 &lt; 0, ISNUMBER($H68))</formula>
    </cfRule>
    <cfRule type="expression" dxfId="51" priority="57">
      <formula>AND($E68 &gt; 0, ISNUMBER($E68))</formula>
    </cfRule>
    <cfRule type="expression" dxfId="50" priority="58">
      <formula>AND($E68 &lt; 0, ISNUMBER($E68))</formula>
    </cfRule>
  </conditionalFormatting>
  <conditionalFormatting sqref="D66:F67 E78:F78">
    <cfRule type="expression" dxfId="49" priority="49">
      <formula>$E$78&gt;0</formula>
    </cfRule>
    <cfRule type="expression" dxfId="48" priority="50">
      <formula>$E$78&lt;0</formula>
    </cfRule>
  </conditionalFormatting>
  <conditionalFormatting sqref="G66:I67 H78:I78">
    <cfRule type="expression" dxfId="47" priority="47">
      <formula>$H$78&gt;0</formula>
    </cfRule>
    <cfRule type="expression" dxfId="46" priority="48">
      <formula>$H$78&lt;0</formula>
    </cfRule>
  </conditionalFormatting>
  <conditionalFormatting sqref="J66:L67 K78:L78">
    <cfRule type="expression" dxfId="45" priority="45">
      <formula>$K$78&gt;0</formula>
    </cfRule>
    <cfRule type="expression" dxfId="44" priority="46">
      <formula>$K$78&lt;0</formula>
    </cfRule>
  </conditionalFormatting>
  <conditionalFormatting sqref="M66:O67 N78:O78">
    <cfRule type="expression" dxfId="43" priority="43">
      <formula>$N$78&gt;0</formula>
    </cfRule>
    <cfRule type="expression" dxfId="42" priority="44">
      <formula>$N$78&lt;0</formula>
    </cfRule>
  </conditionalFormatting>
  <conditionalFormatting sqref="A85:O94">
    <cfRule type="expression" dxfId="41" priority="35">
      <formula>AND($N85 &gt; 0, ISNUMBER($N85))</formula>
    </cfRule>
    <cfRule type="expression" dxfId="40" priority="36">
      <formula>AND($N85 &lt; 0, ISNUMBER($N85))</formula>
    </cfRule>
    <cfRule type="expression" dxfId="39" priority="37">
      <formula>AND($K85 &gt; 0, ISNUMBER($K85))</formula>
    </cfRule>
    <cfRule type="expression" dxfId="38" priority="38">
      <formula>AND($K85 &lt; 0, ISNUMBER($K85))</formula>
    </cfRule>
    <cfRule type="expression" dxfId="37" priority="39">
      <formula>AND($H85 &gt; 0, ISNUMBER($H85))</formula>
    </cfRule>
    <cfRule type="expression" dxfId="36" priority="40">
      <formula>AND($H85 &lt; 0, ISNUMBER($H85))</formula>
    </cfRule>
    <cfRule type="expression" dxfId="35" priority="41">
      <formula>AND($E85 &gt; 0, ISNUMBER($E85))</formula>
    </cfRule>
    <cfRule type="expression" dxfId="34" priority="42">
      <formula>AND($E85 &lt; 0, ISNUMBER($E85))</formula>
    </cfRule>
  </conditionalFormatting>
  <conditionalFormatting sqref="D83:F84 E95:F95">
    <cfRule type="expression" dxfId="33" priority="33">
      <formula>$E$95&gt;0</formula>
    </cfRule>
    <cfRule type="expression" dxfId="32" priority="34">
      <formula>$E$95&lt;0</formula>
    </cfRule>
  </conditionalFormatting>
  <conditionalFormatting sqref="G83:I84 H95:I95">
    <cfRule type="expression" dxfId="31" priority="31">
      <formula>$H$95&gt;0</formula>
    </cfRule>
    <cfRule type="expression" dxfId="30" priority="32">
      <formula>$H$95&lt;0</formula>
    </cfRule>
  </conditionalFormatting>
  <conditionalFormatting sqref="J83:L84 K95:L95">
    <cfRule type="expression" dxfId="29" priority="29">
      <formula>$K$95&gt;0</formula>
    </cfRule>
    <cfRule type="expression" dxfId="28" priority="30">
      <formula>$K$95&lt;0</formula>
    </cfRule>
  </conditionalFormatting>
  <conditionalFormatting sqref="M83:O84 N95:O95">
    <cfRule type="expression" dxfId="27" priority="27">
      <formula>$N$95&gt;0</formula>
    </cfRule>
    <cfRule type="expression" dxfId="26" priority="28">
      <formula>$N$95&lt;0</formula>
    </cfRule>
  </conditionalFormatting>
  <conditionalFormatting sqref="A102:O111">
    <cfRule type="expression" dxfId="25" priority="19">
      <formula>AND($N102 &gt; 0, ISNUMBER($N102))</formula>
    </cfRule>
    <cfRule type="expression" dxfId="24" priority="20">
      <formula>AND($N102 &lt; 0, ISNUMBER($N102))</formula>
    </cfRule>
    <cfRule type="expression" dxfId="23" priority="21">
      <formula>AND($K102 &gt; 0, ISNUMBER($K102))</formula>
    </cfRule>
    <cfRule type="expression" dxfId="22" priority="22">
      <formula>AND($K102 &lt; 0, ISNUMBER($K102))</formula>
    </cfRule>
    <cfRule type="expression" dxfId="21" priority="23">
      <formula>AND($H102 &gt; 0, ISNUMBER($H102))</formula>
    </cfRule>
    <cfRule type="expression" dxfId="20" priority="24">
      <formula>AND($H102 &lt; 0, ISNUMBER($H102))</formula>
    </cfRule>
    <cfRule type="expression" dxfId="19" priority="25">
      <formula>AND($E102 &gt; 0, ISNUMBER($E102))</formula>
    </cfRule>
    <cfRule type="expression" dxfId="18" priority="26">
      <formula>AND($E102 &lt; 0, ISNUMBER($E102))</formula>
    </cfRule>
  </conditionalFormatting>
  <conditionalFormatting sqref="D100:F101 E112:F112">
    <cfRule type="expression" dxfId="17" priority="17">
      <formula>$E$112&gt;0</formula>
    </cfRule>
    <cfRule type="expression" dxfId="16" priority="18">
      <formula>$E$112&lt;0</formula>
    </cfRule>
  </conditionalFormatting>
  <conditionalFormatting sqref="G100:I101 H112:I112">
    <cfRule type="expression" dxfId="15" priority="15">
      <formula>$H$112&gt;0</formula>
    </cfRule>
    <cfRule type="expression" dxfId="14" priority="16">
      <formula>$H$112&lt;0</formula>
    </cfRule>
  </conditionalFormatting>
  <conditionalFormatting sqref="J100:L101 K112:L112">
    <cfRule type="expression" dxfId="13" priority="13">
      <formula>$K$112&gt;0</formula>
    </cfRule>
    <cfRule type="expression" dxfId="12" priority="14">
      <formula>$K$112&lt;0</formula>
    </cfRule>
  </conditionalFormatting>
  <conditionalFormatting sqref="M100:O101 N112:O112">
    <cfRule type="expression" dxfId="11" priority="11">
      <formula>$N$112&gt;0</formula>
    </cfRule>
    <cfRule type="expression" dxfId="10" priority="12">
      <formula>$N$112&lt;0</formula>
    </cfRule>
  </conditionalFormatting>
  <conditionalFormatting sqref="G2:I3">
    <cfRule type="expression" dxfId="9" priority="9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CHOOSE(2,$E$44,$F$44,$H$44,$I$44,$K$44,$L$44,$N$44,$O$44))))&gt;0</formula>
    </cfRule>
    <cfRule type="expression" dxfId="8" priority="10">
      <formula>IF(CHOOSE(8,$E$44,$F$44,$H$44,$I$44,$K$44,$L$44,$N$44,$O$44)&lt;&gt;0,CHOOSE(8,$E$44,$F$44,$H$44,$I$44,$K$44,$L$44,$N$44,$O$44), IF(CHOOSE(6,$E$44,$F$44,$H$44,$I$44,$K$44,$L$44,$N$44,$O$44)&lt;&gt;0,CHOOSE(6,$E$44,$F$44,$H$44,$I$44,$K$44,$L$44,$N$44,$O$44), IF(CHOOSE(4,$E$44,$F$44,$H$44,$I$44,$K$44,$L$44,$N$44,$O$44)&lt;&gt;0,CHOOSE(4,$E$44,$F$44,$H$44,$I$44,$K$44,$L$44,$N$44,$O$44), CHOOSE(2,$E$44,$F$44,$H$44,$I$44,$K$44,$L$44,$N$44,$O$44))))&lt;0</formula>
    </cfRule>
  </conditionalFormatting>
  <conditionalFormatting sqref="G4:I5">
    <cfRule type="expression" dxfId="7" priority="7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CHOOSE(2,$E$61,$F$61,$H$61,$I$61,$K$61,$L$61,$N$61,$O$61))))&gt;0</formula>
    </cfRule>
    <cfRule type="expression" dxfId="6" priority="8">
      <formula>IF(CHOOSE(8,$E$61,$F$61,$H$61,$I$61,$K$61,$L$61,$N$61,$O$61)&lt;&gt;0,CHOOSE(8,$E$61,$F$61,$H$61,$I$61,$K$61,$L$61,$N$61,$O$61), IF(CHOOSE(6,$E$61,$F$61,$H$61,$I$61,$K$61,$L$61,$N$61,$O$61)&lt;&gt;0,CHOOSE(6,$E$61,$F$61,$H$61,$I$61,$K$61,$L$61,$N$61,$O$61), IF(CHOOSE(4,$E$61,$F$61,$H$61,$I$61,$K$61,$L$61,$N$61,$O$61)&lt;&gt;0,CHOOSE(4,$E$61,$F$61,$H$61,$I$61,$K$61,$L$61,$N$61,$O$61), CHOOSE(2,$E$61,$F$61,$H$61,$I$61,$K$61,$L$61,$N$61,$O$61))))&lt;0</formula>
    </cfRule>
  </conditionalFormatting>
  <conditionalFormatting sqref="G6:I7">
    <cfRule type="expression" dxfId="5" priority="5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CHOOSE(2,$E$78,$F$78,$H$78,$I$78,$K$78,$L$78,$N$78,$O$78))))&gt;0</formula>
    </cfRule>
    <cfRule type="expression" dxfId="4" priority="6">
      <formula>IF(CHOOSE(8,$E$78,$F$78,$H$78,$I$78,$K$78,$L$78,$N$78,$O$78)&lt;&gt;0,CHOOSE(8,$E$78,$F$78,$H$78,$I$78,$K$78,$L$78,$N$78,$O$78), IF(CHOOSE(6,$E$78,$F$78,$H$78,$I$78,$K$78,$L$78,$N$78,$O$78)&lt;&gt;0,CHOOSE(6,$E$78,$F$78,$H$78,$I$78,$K$78,$L$78,$N$78,$O$78), IF(CHOOSE(4,$E$78,$F$78,$H$78,$I$78,$K$78,$L$78,$N$78,$O$78)&lt;&gt;0,CHOOSE(4,$E$78,$F$78,$H$78,$I$78,$K$78,$L$78,$N$78,$O$78), CHOOSE(2,$E$78,$F$78,$H$78,$I$78,$K$78,$L$78,$N$78,$O$78))))&lt;0</formula>
    </cfRule>
  </conditionalFormatting>
  <conditionalFormatting sqref="G8:I9">
    <cfRule type="expression" dxfId="3" priority="3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CHOOSE(2,$E$95,$F$95,$H$95,$I$95,$K$95,$L$95,$N$95,$O$95))))&gt;0</formula>
    </cfRule>
    <cfRule type="expression" dxfId="2" priority="4">
      <formula>IF(CHOOSE(8,$E$95,$F$95,$H$95,$I$95,$K$95,$L$95,$N$95,$O$95)&lt;&gt;0,CHOOSE(8,$E$95,$F$95,$H$95,$I$95,$K$95,$L$95,$N$95,$O$95), IF(CHOOSE(6,$E$95,$F$95,$H$95,$I$95,$K$95,$L$95,$N$95,$O$95)&lt;&gt;0,CHOOSE(6,$E$95,$F$95,$H$95,$I$95,$K$95,$L$95,$N$95,$O$95), IF(CHOOSE(4,$E$95,$F$95,$H$95,$I$95,$K$95,$L$95,$N$95,$O$95)&lt;&gt;0,CHOOSE(4,$E$95,$F$95,$H$95,$I$95,$K$95,$L$95,$N$95,$O$95), CHOOSE(2,$E$95,$F$95,$H$95,$I$95,$K$95,$L$95,$N$95,$O$95))))&lt;0</formula>
    </cfRule>
  </conditionalFormatting>
  <conditionalFormatting sqref="G10:I11">
    <cfRule type="expression" dxfId="1" priority="1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CHOOSE(2,$E$112,$F$112,$H$112,$I$112,$K$112,$L$112,$N$112,$O$112))))&gt;0</formula>
    </cfRule>
    <cfRule type="expression" dxfId="0" priority="2">
      <formula>IF(CHOOSE(8,$E$112,$F$112,$H$112,$I$112,$K$112,$L$112,$N$112,$O$112)&lt;&gt;0,CHOOSE(8,$E$112,$F$112,$H$112,$I$112,$K$112,$L$112,$N$112,$O$112), IF(CHOOSE(6,$E$112,$F$112,$H$112,$I$112,$K$112,$L$112,$N$112,$O$112)&lt;&gt;0,CHOOSE(6,$E$112,$F$112,$H$112,$I$112,$K$112,$L$112,$N$112,$O$112), IF(CHOOSE(4,$E$112,$F$112,$H$112,$I$112,$K$112,$L$112,$N$112,$O$112)&lt;&gt;0,CHOOSE(4,$E$112,$F$112,$H$112,$I$112,$K$112,$L$112,$N$112,$O$112), CHOOSE(2,$E$112,$F$112,$H$112,$I$112,$K$112,$L$112,$N$112,$O$112))))&lt;0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셀이동_엽전코인0510">
                <anchor moveWithCells="1" sizeWithCells="1">
                  <from>
                    <xdr:col>15</xdr:col>
                    <xdr:colOff>685800</xdr:colOff>
                    <xdr:row>16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셀이동_엽전코인1015">
                <anchor moveWithCells="1" sizeWithCells="1">
                  <from>
                    <xdr:col>16</xdr:col>
                    <xdr:colOff>923925</xdr:colOff>
                    <xdr:row>16</xdr:row>
                    <xdr:rowOff>0</xdr:rowOff>
                  </from>
                  <to>
                    <xdr:col>17</xdr:col>
                    <xdr:colOff>923925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셀이동_동전코인0510">
                <anchor moveWithCells="1" sizeWithCells="1">
                  <from>
                    <xdr:col>15</xdr:col>
                    <xdr:colOff>685800</xdr:colOff>
                    <xdr:row>20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셀이동_동전코인1015">
                <anchor moveWithCells="1" sizeWithCells="1">
                  <from>
                    <xdr:col>16</xdr:col>
                    <xdr:colOff>923925</xdr:colOff>
                    <xdr:row>20</xdr:row>
                    <xdr:rowOff>0</xdr:rowOff>
                  </from>
                  <to>
                    <xdr:col>17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18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18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50</xdr:row>
                    <xdr:rowOff>0</xdr:rowOff>
                  </from>
                  <to>
                    <xdr:col>17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50</xdr:row>
                    <xdr:rowOff>0</xdr:rowOff>
                  </from>
                  <to>
                    <xdr:col>18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54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54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63</xdr:row>
                    <xdr:rowOff>0</xdr:rowOff>
                  </from>
                  <to>
                    <xdr:col>18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67</xdr:row>
                    <xdr:rowOff>0</xdr:rowOff>
                  </from>
                  <to>
                    <xdr:col>17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67</xdr:row>
                    <xdr:rowOff>0</xdr:rowOff>
                  </from>
                  <to>
                    <xdr:col>18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71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71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80</xdr:row>
                    <xdr:rowOff>0</xdr:rowOff>
                  </from>
                  <to>
                    <xdr:col>18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84</xdr:row>
                    <xdr:rowOff>0</xdr:rowOff>
                  </from>
                  <to>
                    <xdr:col>17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84</xdr:row>
                    <xdr:rowOff>0</xdr:rowOff>
                  </from>
                  <to>
                    <xdr:col>18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88</xdr:row>
                    <xdr:rowOff>0</xdr:rowOff>
                  </from>
                  <to>
                    <xdr:col>17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88</xdr:row>
                    <xdr:rowOff>0</xdr:rowOff>
                  </from>
                  <to>
                    <xdr:col>18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92</xdr:row>
                    <xdr:rowOff>0</xdr:rowOff>
                  </from>
                  <to>
                    <xdr:col>18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97</xdr:row>
                    <xdr:rowOff>0</xdr:rowOff>
                  </from>
                  <to>
                    <xdr:col>18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셀이동_엽전코인0510">
                <anchor moveWithCells="1" sizeWithCells="1">
                  <from>
                    <xdr:col>16</xdr:col>
                    <xdr:colOff>0</xdr:colOff>
                    <xdr:row>101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셀이동_엽전코인1015">
                <anchor moveWithCells="1" sizeWithCells="1">
                  <from>
                    <xdr:col>17</xdr:col>
                    <xdr:colOff>0</xdr:colOff>
                    <xdr:row>101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셀이동_동전코인0510">
                <anchor moveWithCells="1" sizeWithCells="1">
                  <from>
                    <xdr:col>16</xdr:col>
                    <xdr:colOff>0</xdr:colOff>
                    <xdr:row>105</xdr:row>
                    <xdr:rowOff>0</xdr:rowOff>
                  </from>
                  <to>
                    <xdr:col>17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셀이동_동전코인1015">
                <anchor moveWithCells="1" sizeWithCells="1">
                  <from>
                    <xdr:col>17</xdr:col>
                    <xdr:colOff>0</xdr:colOff>
                    <xdr:row>105</xdr:row>
                    <xdr:rowOff>0</xdr:rowOff>
                  </from>
                  <to>
                    <xdr:col>18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셀이동_전일대비상승률Top10">
                <anchor moveWithCells="1" sizeWithCells="1">
                  <from>
                    <xdr:col>16</xdr:col>
                    <xdr:colOff>0</xdr:colOff>
                    <xdr:row>109</xdr:row>
                    <xdr:rowOff>0</xdr:rowOff>
                  </from>
                  <to>
                    <xdr:col>18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B15E4-D735-4716-83DF-4F3F9A5C8EC1}">
  <sheetPr codeName="Sheet6"/>
  <dimension ref="A1:Q117"/>
  <sheetViews>
    <sheetView workbookViewId="0">
      <selection activeCell="H21" sqref="H21:H30"/>
    </sheetView>
  </sheetViews>
  <sheetFormatPr defaultRowHeight="16.5"/>
  <cols>
    <col min="1" max="1" width="13.5" bestFit="1" customWidth="1"/>
    <col min="2" max="2" width="23.5" bestFit="1" customWidth="1"/>
    <col min="4" max="4" width="9" style="90"/>
    <col min="7" max="7" width="17.375" customWidth="1"/>
    <col min="8" max="8" width="17.5" bestFit="1" customWidth="1"/>
    <col min="11" max="11" width="17.375" customWidth="1"/>
    <col min="12" max="12" width="13.125" bestFit="1" customWidth="1"/>
    <col min="15" max="15" width="17.375" customWidth="1"/>
    <col min="16" max="16" width="15" bestFit="1" customWidth="1"/>
  </cols>
  <sheetData>
    <row r="1" spans="1:17">
      <c r="A1" t="s">
        <v>207</v>
      </c>
      <c r="B1" t="s">
        <v>208</v>
      </c>
      <c r="C1">
        <v>69955000</v>
      </c>
      <c r="D1" s="90">
        <v>-2.10059337E-2</v>
      </c>
      <c r="E1" s="67"/>
      <c r="F1" s="67"/>
      <c r="G1" s="67"/>
      <c r="H1" s="67"/>
      <c r="I1" s="67"/>
    </row>
    <row r="2" spans="1:17" ht="17.25" thickBot="1">
      <c r="A2" t="s">
        <v>280</v>
      </c>
      <c r="B2" t="s">
        <v>221</v>
      </c>
      <c r="C2">
        <v>2733000</v>
      </c>
      <c r="D2" s="90">
        <v>-1.7259978400000001E-2</v>
      </c>
      <c r="E2" s="67"/>
      <c r="F2" s="67"/>
      <c r="G2" s="67"/>
      <c r="H2" s="67"/>
      <c r="I2" s="67"/>
    </row>
    <row r="3" spans="1:17" ht="17.25" thickBot="1">
      <c r="A3" t="s">
        <v>281</v>
      </c>
      <c r="B3" t="s">
        <v>209</v>
      </c>
      <c r="C3">
        <v>135750</v>
      </c>
      <c r="D3" s="90">
        <v>-3.55239787E-2</v>
      </c>
      <c r="E3" s="67"/>
      <c r="F3" s="67"/>
      <c r="G3" s="186" t="s">
        <v>203</v>
      </c>
      <c r="H3" s="187"/>
      <c r="I3" s="188"/>
      <c r="K3" s="186" t="s">
        <v>199</v>
      </c>
      <c r="L3" s="187"/>
      <c r="M3" s="188"/>
      <c r="O3" s="186" t="s">
        <v>84</v>
      </c>
      <c r="P3" s="187"/>
      <c r="Q3" s="188"/>
    </row>
    <row r="4" spans="1:17" ht="17.25" thickBot="1">
      <c r="A4" t="s">
        <v>282</v>
      </c>
      <c r="B4" t="s">
        <v>210</v>
      </c>
      <c r="C4">
        <v>5065</v>
      </c>
      <c r="D4" s="90">
        <v>7.1957672E-2</v>
      </c>
      <c r="E4" s="67"/>
      <c r="F4" s="67"/>
      <c r="G4" s="195" t="s">
        <v>205</v>
      </c>
      <c r="H4" s="196"/>
      <c r="I4" s="197"/>
      <c r="K4" s="195" t="s">
        <v>202</v>
      </c>
      <c r="L4" s="186" t="s">
        <v>359</v>
      </c>
      <c r="M4" s="188"/>
      <c r="O4" s="195" t="s">
        <v>202</v>
      </c>
      <c r="P4" s="186" t="s">
        <v>359</v>
      </c>
      <c r="Q4" s="188"/>
    </row>
    <row r="5" spans="1:17" ht="17.25" thickBot="1">
      <c r="A5" t="s">
        <v>283</v>
      </c>
      <c r="B5" t="s">
        <v>222</v>
      </c>
      <c r="C5">
        <v>318850</v>
      </c>
      <c r="D5" s="90">
        <v>-5.27332145E-2</v>
      </c>
      <c r="E5" s="67"/>
      <c r="F5" s="67"/>
      <c r="G5" s="201"/>
      <c r="H5" s="202"/>
      <c r="I5" s="203"/>
      <c r="K5" s="201"/>
      <c r="L5" s="75" t="s">
        <v>200</v>
      </c>
      <c r="M5" s="76" t="s">
        <v>201</v>
      </c>
      <c r="O5" s="201"/>
      <c r="P5" s="75" t="s">
        <v>200</v>
      </c>
      <c r="Q5" s="76" t="s">
        <v>201</v>
      </c>
    </row>
    <row r="6" spans="1:17" ht="17.25" thickBot="1">
      <c r="A6" t="s">
        <v>284</v>
      </c>
      <c r="B6" t="s">
        <v>206</v>
      </c>
      <c r="C6">
        <v>1620</v>
      </c>
      <c r="D6" s="90">
        <v>-4.1420118300000003E-2</v>
      </c>
      <c r="E6" s="67"/>
      <c r="F6" s="67"/>
      <c r="G6" s="105" t="s">
        <v>69</v>
      </c>
      <c r="H6" s="187" t="s">
        <v>67</v>
      </c>
      <c r="I6" s="188"/>
      <c r="K6" s="107" t="s">
        <v>103</v>
      </c>
      <c r="L6" s="77">
        <f t="shared" ref="L6:L15" si="0">_xlfn.IFNA(VLOOKUP(K6, $B$1:$D$200, 2, FALSE), "")</f>
        <v>93.6</v>
      </c>
      <c r="M6" s="78">
        <f t="shared" ref="M6:M15" si="1">_xlfn.IFNA(VLOOKUP(K6, $B$1:$D$200, 3, FALSE), "")</f>
        <v>-1.6806722699999999E-2</v>
      </c>
      <c r="O6" s="108" t="s">
        <v>158</v>
      </c>
      <c r="P6" s="77">
        <f>_xlfn.IFNA(VLOOKUP(O6, $B$1:$D$200, 2, FALSE), "")</f>
        <v>24.9</v>
      </c>
      <c r="Q6" s="78">
        <f>_xlfn.IFNA(VLOOKUP(O6, $B$1:$D$200, 3, FALSE), "")</f>
        <v>-5.3231939200000002E-2</v>
      </c>
    </row>
    <row r="7" spans="1:17">
      <c r="A7" t="s">
        <v>211</v>
      </c>
      <c r="B7" t="s">
        <v>212</v>
      </c>
      <c r="C7">
        <v>42060</v>
      </c>
      <c r="D7" s="90">
        <v>-3.28811221E-2</v>
      </c>
      <c r="E7" s="67"/>
      <c r="F7" s="67"/>
      <c r="G7" s="250">
        <f>_xlfn.IFNA(VLOOKUP(G4, $B$1:$D$200, 3, FALSE), "-")</f>
        <v>-2.10059337E-2</v>
      </c>
      <c r="H7" s="246">
        <f>_xlfn.IFNA(VLOOKUP(G4, $B$1:$D$200, 2, FALSE), "-")</f>
        <v>69955000</v>
      </c>
      <c r="I7" s="247"/>
      <c r="K7" s="108" t="s">
        <v>107</v>
      </c>
      <c r="L7" s="77">
        <f t="shared" si="0"/>
        <v>32.6</v>
      </c>
      <c r="M7" s="78">
        <f t="shared" si="1"/>
        <v>-5.2325581400000001E-2</v>
      </c>
      <c r="O7" s="108" t="s">
        <v>155</v>
      </c>
      <c r="P7" s="77">
        <f t="shared" ref="P7:P15" si="2">_xlfn.IFNA(VLOOKUP(O7, $B$1:$D$200, 2, FALSE), "")</f>
        <v>21.1</v>
      </c>
      <c r="Q7" s="78">
        <f t="shared" ref="Q7:Q15" si="3">_xlfn.IFNA(VLOOKUP(O7, $B$1:$D$200, 3, FALSE), "")</f>
        <v>-6.2222222200000003E-2</v>
      </c>
    </row>
    <row r="8" spans="1:17" ht="17.25" thickBot="1">
      <c r="A8" t="s">
        <v>285</v>
      </c>
      <c r="B8" t="s">
        <v>213</v>
      </c>
      <c r="C8">
        <v>9680</v>
      </c>
      <c r="D8" s="90">
        <v>-3.9682539699999998E-2</v>
      </c>
      <c r="E8" s="67"/>
      <c r="F8" s="67"/>
      <c r="G8" s="251"/>
      <c r="H8" s="248"/>
      <c r="I8" s="249"/>
      <c r="K8" s="108" t="s">
        <v>143</v>
      </c>
      <c r="L8" s="77">
        <f t="shared" si="0"/>
        <v>10</v>
      </c>
      <c r="M8" s="78">
        <f t="shared" si="1"/>
        <v>3.0090271000000001E-3</v>
      </c>
      <c r="O8" s="108" t="s">
        <v>132</v>
      </c>
      <c r="P8" s="77">
        <f t="shared" si="2"/>
        <v>28.3</v>
      </c>
      <c r="Q8" s="78">
        <f t="shared" si="3"/>
        <v>-4.0677966099999997E-2</v>
      </c>
    </row>
    <row r="9" spans="1:17" ht="17.25" thickBot="1">
      <c r="A9" t="s">
        <v>248</v>
      </c>
      <c r="B9" t="s">
        <v>214</v>
      </c>
      <c r="C9">
        <v>232</v>
      </c>
      <c r="D9" s="90">
        <v>-4.9180327900000001E-2</v>
      </c>
      <c r="E9" s="67"/>
      <c r="F9" s="67"/>
      <c r="K9" s="108" t="s">
        <v>133</v>
      </c>
      <c r="L9" s="77">
        <f t="shared" si="0"/>
        <v>20.7</v>
      </c>
      <c r="M9" s="78">
        <f t="shared" si="1"/>
        <v>-3.7209302299999997E-2</v>
      </c>
      <c r="O9" s="108" t="s">
        <v>123</v>
      </c>
      <c r="P9" s="77">
        <f t="shared" si="2"/>
        <v>62.1</v>
      </c>
      <c r="Q9" s="78">
        <f t="shared" si="3"/>
        <v>-4.4615384600000002E-2</v>
      </c>
    </row>
    <row r="10" spans="1:17" ht="17.25" thickBot="1">
      <c r="A10" t="s">
        <v>286</v>
      </c>
      <c r="B10" t="s">
        <v>176</v>
      </c>
      <c r="C10">
        <v>17330</v>
      </c>
      <c r="D10" s="90">
        <v>8.6520376199999999E-2</v>
      </c>
      <c r="E10" s="67"/>
      <c r="F10" s="67"/>
      <c r="G10" s="186" t="s">
        <v>204</v>
      </c>
      <c r="H10" s="187"/>
      <c r="I10" s="188"/>
      <c r="K10" s="108" t="s">
        <v>100</v>
      </c>
      <c r="L10" s="77">
        <f t="shared" si="0"/>
        <v>29.5</v>
      </c>
      <c r="M10" s="78">
        <f t="shared" si="1"/>
        <v>-3.2786885199999997E-2</v>
      </c>
      <c r="O10" s="108" t="s">
        <v>148</v>
      </c>
      <c r="P10" s="77">
        <f t="shared" si="2"/>
        <v>87.7</v>
      </c>
      <c r="Q10" s="78">
        <f t="shared" si="3"/>
        <v>-3.52035204E-2</v>
      </c>
    </row>
    <row r="11" spans="1:17">
      <c r="A11" t="s">
        <v>230</v>
      </c>
      <c r="B11" t="s">
        <v>175</v>
      </c>
      <c r="C11">
        <v>465</v>
      </c>
      <c r="D11" s="90">
        <v>-4.3209876500000001E-2</v>
      </c>
      <c r="E11" s="67"/>
      <c r="F11" s="67"/>
      <c r="G11" s="195" t="s">
        <v>205</v>
      </c>
      <c r="H11" s="196"/>
      <c r="I11" s="197"/>
      <c r="K11" s="108" t="s">
        <v>128</v>
      </c>
      <c r="L11" s="77">
        <f t="shared" si="0"/>
        <v>145</v>
      </c>
      <c r="M11" s="78">
        <f t="shared" si="1"/>
        <v>0.67824074069999996</v>
      </c>
      <c r="O11" s="108" t="s">
        <v>119</v>
      </c>
      <c r="P11" s="77">
        <f t="shared" si="2"/>
        <v>22.1</v>
      </c>
      <c r="Q11" s="78">
        <f t="shared" si="3"/>
        <v>-7.1428571400000002E-2</v>
      </c>
    </row>
    <row r="12" spans="1:17" ht="17.25" thickBot="1">
      <c r="A12" t="s">
        <v>249</v>
      </c>
      <c r="B12" t="s">
        <v>174</v>
      </c>
      <c r="C12">
        <v>21910</v>
      </c>
      <c r="D12" s="90">
        <v>-7.1610169500000001E-2</v>
      </c>
      <c r="E12" s="67"/>
      <c r="F12" s="67"/>
      <c r="G12" s="201"/>
      <c r="H12" s="202"/>
      <c r="I12" s="203"/>
      <c r="K12" s="108" t="s">
        <v>146</v>
      </c>
      <c r="L12" s="77">
        <f t="shared" si="0"/>
        <v>79.7</v>
      </c>
      <c r="M12" s="78">
        <f t="shared" si="1"/>
        <v>6.3131313000000001E-3</v>
      </c>
      <c r="O12" s="108" t="s">
        <v>163</v>
      </c>
      <c r="P12" s="77">
        <f t="shared" si="2"/>
        <v>52.8</v>
      </c>
      <c r="Q12" s="78">
        <f t="shared" si="3"/>
        <v>-6.7137809199999995E-2</v>
      </c>
    </row>
    <row r="13" spans="1:17" ht="17.25" thickBot="1">
      <c r="A13" t="s">
        <v>287</v>
      </c>
      <c r="B13" t="s">
        <v>288</v>
      </c>
      <c r="C13">
        <v>6925</v>
      </c>
      <c r="D13" s="90">
        <v>3.6231884E-3</v>
      </c>
      <c r="E13" s="67"/>
      <c r="F13" s="67"/>
      <c r="G13" s="105" t="s">
        <v>69</v>
      </c>
      <c r="H13" s="187" t="s">
        <v>67</v>
      </c>
      <c r="I13" s="188"/>
      <c r="K13" s="108" t="s">
        <v>136</v>
      </c>
      <c r="L13" s="77">
        <f t="shared" si="0"/>
        <v>23.4</v>
      </c>
      <c r="M13" s="78">
        <f t="shared" si="1"/>
        <v>-4.8780487800000001E-2</v>
      </c>
      <c r="O13" s="108" t="s">
        <v>95</v>
      </c>
      <c r="P13" s="77">
        <f t="shared" si="2"/>
        <v>31.7</v>
      </c>
      <c r="Q13" s="78">
        <f t="shared" si="3"/>
        <v>-5.9347180999999999E-2</v>
      </c>
    </row>
    <row r="14" spans="1:17">
      <c r="A14" t="s">
        <v>231</v>
      </c>
      <c r="B14" t="s">
        <v>173</v>
      </c>
      <c r="C14">
        <v>1215</v>
      </c>
      <c r="D14" s="90">
        <v>-3.187251E-2</v>
      </c>
      <c r="E14" s="67"/>
      <c r="F14" s="67"/>
      <c r="G14" s="250">
        <f>_xlfn.IFNA(VLOOKUP(G11, $B$1:$D$200, 3, FALSE), "-")</f>
        <v>-2.10059337E-2</v>
      </c>
      <c r="H14" s="246">
        <f>_xlfn.IFNA(VLOOKUP(G11, $B$1:$D$200, 2, FALSE), "-")</f>
        <v>69955000</v>
      </c>
      <c r="I14" s="247"/>
      <c r="K14" s="108" t="s">
        <v>135</v>
      </c>
      <c r="L14" s="77">
        <f t="shared" si="0"/>
        <v>24.8</v>
      </c>
      <c r="M14" s="78">
        <f t="shared" si="1"/>
        <v>-4.9808429100000003E-2</v>
      </c>
      <c r="O14" s="108"/>
      <c r="P14" s="77" t="str">
        <f t="shared" si="2"/>
        <v/>
      </c>
      <c r="Q14" s="78" t="str">
        <f t="shared" si="3"/>
        <v/>
      </c>
    </row>
    <row r="15" spans="1:17" ht="17.25" thickBot="1">
      <c r="A15" t="s">
        <v>289</v>
      </c>
      <c r="B15" t="s">
        <v>172</v>
      </c>
      <c r="C15">
        <v>621</v>
      </c>
      <c r="D15" s="90">
        <v>-1.1146496800000001E-2</v>
      </c>
      <c r="E15" s="67"/>
      <c r="F15" s="67"/>
      <c r="G15" s="251"/>
      <c r="H15" s="248"/>
      <c r="I15" s="249"/>
      <c r="K15" s="106" t="s">
        <v>145</v>
      </c>
      <c r="L15" s="79">
        <f t="shared" si="0"/>
        <v>40.6</v>
      </c>
      <c r="M15" s="80">
        <f t="shared" si="1"/>
        <v>-5.1401869199999999E-2</v>
      </c>
      <c r="O15" s="106"/>
      <c r="P15" s="79" t="str">
        <f t="shared" si="2"/>
        <v/>
      </c>
      <c r="Q15" s="80" t="str">
        <f t="shared" si="3"/>
        <v/>
      </c>
    </row>
    <row r="16" spans="1:17">
      <c r="A16" t="s">
        <v>232</v>
      </c>
      <c r="B16" t="s">
        <v>171</v>
      </c>
      <c r="C16">
        <v>513</v>
      </c>
      <c r="D16" s="90">
        <v>0.1056034483</v>
      </c>
      <c r="E16" s="67"/>
      <c r="F16" s="67"/>
      <c r="G16" s="67"/>
      <c r="H16" s="67"/>
      <c r="I16" s="67"/>
    </row>
    <row r="17" spans="1:17" ht="17.25" thickBot="1">
      <c r="A17" t="s">
        <v>290</v>
      </c>
      <c r="B17" t="s">
        <v>170</v>
      </c>
      <c r="C17">
        <v>3470</v>
      </c>
      <c r="D17" s="90">
        <v>-1.56028369E-2</v>
      </c>
      <c r="E17" s="67"/>
      <c r="F17" s="67"/>
      <c r="G17" s="67"/>
      <c r="H17" s="67"/>
      <c r="I17" s="67"/>
    </row>
    <row r="18" spans="1:17" ht="17.25" thickBot="1">
      <c r="A18" t="s">
        <v>250</v>
      </c>
      <c r="B18" t="s">
        <v>251</v>
      </c>
      <c r="C18">
        <v>2570</v>
      </c>
      <c r="D18" s="90">
        <v>2.3904382500000002E-2</v>
      </c>
      <c r="E18" s="67"/>
      <c r="F18" s="67"/>
      <c r="G18" s="186" t="s">
        <v>81</v>
      </c>
      <c r="H18" s="187"/>
      <c r="I18" s="188"/>
      <c r="K18" s="186" t="s">
        <v>85</v>
      </c>
      <c r="L18" s="187"/>
      <c r="M18" s="188"/>
      <c r="O18" s="186" t="s">
        <v>86</v>
      </c>
      <c r="P18" s="187"/>
      <c r="Q18" s="188"/>
    </row>
    <row r="19" spans="1:17" ht="17.25" thickBot="1">
      <c r="A19" t="s">
        <v>252</v>
      </c>
      <c r="B19" t="s">
        <v>253</v>
      </c>
      <c r="C19">
        <v>2330</v>
      </c>
      <c r="D19" s="90">
        <v>-2.51046025E-2</v>
      </c>
      <c r="E19" s="67"/>
      <c r="F19" s="67"/>
      <c r="G19" s="195" t="s">
        <v>202</v>
      </c>
      <c r="H19" s="186" t="s">
        <v>359</v>
      </c>
      <c r="I19" s="188"/>
      <c r="K19" s="195" t="s">
        <v>202</v>
      </c>
      <c r="L19" s="186" t="s">
        <v>359</v>
      </c>
      <c r="M19" s="188"/>
      <c r="O19" s="195" t="s">
        <v>202</v>
      </c>
      <c r="P19" s="186" t="s">
        <v>359</v>
      </c>
      <c r="Q19" s="188"/>
    </row>
    <row r="20" spans="1:17" ht="17.25" thickBot="1">
      <c r="A20" t="s">
        <v>233</v>
      </c>
      <c r="B20" t="s">
        <v>169</v>
      </c>
      <c r="C20">
        <v>1925</v>
      </c>
      <c r="D20" s="90">
        <v>0.1257309942</v>
      </c>
      <c r="E20" s="67"/>
      <c r="F20" s="67"/>
      <c r="G20" s="201"/>
      <c r="H20" s="75" t="s">
        <v>200</v>
      </c>
      <c r="I20" s="76" t="s">
        <v>201</v>
      </c>
      <c r="K20" s="201"/>
      <c r="L20" s="75" t="s">
        <v>200</v>
      </c>
      <c r="M20" s="76" t="s">
        <v>201</v>
      </c>
      <c r="O20" s="201"/>
      <c r="P20" s="75" t="s">
        <v>200</v>
      </c>
      <c r="Q20" s="76" t="s">
        <v>201</v>
      </c>
    </row>
    <row r="21" spans="1:17">
      <c r="A21" t="s">
        <v>254</v>
      </c>
      <c r="B21" t="s">
        <v>255</v>
      </c>
      <c r="C21">
        <v>48560</v>
      </c>
      <c r="D21" s="90">
        <v>-4.5222178500000001E-2</v>
      </c>
      <c r="E21" s="67"/>
      <c r="F21" s="67"/>
      <c r="G21" s="107" t="s">
        <v>190</v>
      </c>
      <c r="H21" s="77">
        <f t="shared" ref="H21:H30" si="4">_xlfn.IFNA(VLOOKUP(G21, $B$1:$D$200, 2, FALSE), "")</f>
        <v>8075</v>
      </c>
      <c r="I21" s="78">
        <f t="shared" ref="I21:I30" si="5">_xlfn.IFNA(VLOOKUP(G21, $B$1:$D$200, 3, FALSE), "")</f>
        <v>4.4631306599999997E-2</v>
      </c>
      <c r="K21" s="107" t="s">
        <v>94</v>
      </c>
      <c r="L21" s="77">
        <f t="shared" ref="L21:L30" si="6">_xlfn.IFNA(VLOOKUP(K21, $B$1:$D$200, 2, FALSE), "")</f>
        <v>481</v>
      </c>
      <c r="M21" s="78">
        <f t="shared" ref="M21:M30" si="7">_xlfn.IFNA(VLOOKUP(K21, $B$1:$D$200, 3, FALSE), "")</f>
        <v>-6.2378167599999999E-2</v>
      </c>
      <c r="O21" s="108" t="s">
        <v>99</v>
      </c>
      <c r="P21" s="77">
        <f>_xlfn.IFNA(VLOOKUP(O21, $B$1:$D$200, 2, FALSE), "")</f>
        <v>217</v>
      </c>
      <c r="Q21" s="78">
        <f>_xlfn.IFNA(VLOOKUP(O21, $B$1:$D$200, 3, FALSE), "")</f>
        <v>0</v>
      </c>
    </row>
    <row r="22" spans="1:17">
      <c r="A22" t="s">
        <v>291</v>
      </c>
      <c r="B22" t="s">
        <v>168</v>
      </c>
      <c r="C22">
        <v>841</v>
      </c>
      <c r="D22" s="90">
        <v>0.52909090910000001</v>
      </c>
      <c r="E22" s="67"/>
      <c r="F22" s="67"/>
      <c r="G22" s="108" t="s">
        <v>97</v>
      </c>
      <c r="H22" s="77">
        <f t="shared" si="4"/>
        <v>8965</v>
      </c>
      <c r="I22" s="78">
        <f t="shared" si="5"/>
        <v>1.3566987000000001E-2</v>
      </c>
      <c r="K22" s="108" t="s">
        <v>122</v>
      </c>
      <c r="L22" s="77">
        <f t="shared" si="6"/>
        <v>303</v>
      </c>
      <c r="M22" s="78">
        <f t="shared" si="7"/>
        <v>-5.0156739800000003E-2</v>
      </c>
      <c r="O22" s="108" t="s">
        <v>124</v>
      </c>
      <c r="P22" s="77">
        <f t="shared" ref="P22:P30" si="8">_xlfn.IFNA(VLOOKUP(O22, $B$1:$D$200, 2, FALSE), "")</f>
        <v>120</v>
      </c>
      <c r="Q22" s="78">
        <f t="shared" ref="Q22:Q30" si="9">_xlfn.IFNA(VLOOKUP(O22, $B$1:$D$200, 3, FALSE), "")</f>
        <v>-4.7619047599999999E-2</v>
      </c>
    </row>
    <row r="23" spans="1:17">
      <c r="A23" t="s">
        <v>256</v>
      </c>
      <c r="B23" t="s">
        <v>257</v>
      </c>
      <c r="C23">
        <v>1510</v>
      </c>
      <c r="D23" s="90">
        <v>-1.9480519500000001E-2</v>
      </c>
      <c r="E23" s="67"/>
      <c r="F23" s="67"/>
      <c r="G23" s="108" t="s">
        <v>191</v>
      </c>
      <c r="H23" s="77">
        <f t="shared" si="4"/>
        <v>11960</v>
      </c>
      <c r="I23" s="78">
        <f t="shared" si="5"/>
        <v>0.1544401544</v>
      </c>
      <c r="K23" s="108" t="s">
        <v>137</v>
      </c>
      <c r="L23" s="77">
        <f t="shared" si="6"/>
        <v>422</v>
      </c>
      <c r="M23" s="78">
        <f t="shared" si="7"/>
        <v>2.6763990299999998E-2</v>
      </c>
      <c r="O23" s="108" t="s">
        <v>129</v>
      </c>
      <c r="P23" s="77">
        <f t="shared" si="8"/>
        <v>142</v>
      </c>
      <c r="Q23" s="78">
        <f t="shared" si="9"/>
        <v>-5.9602649000000001E-2</v>
      </c>
    </row>
    <row r="24" spans="1:17">
      <c r="A24" t="s">
        <v>292</v>
      </c>
      <c r="B24" t="s">
        <v>167</v>
      </c>
      <c r="C24">
        <v>10650</v>
      </c>
      <c r="D24" s="90">
        <v>2.7992277999999999E-2</v>
      </c>
      <c r="E24" s="67"/>
      <c r="F24" s="67"/>
      <c r="G24" s="108" t="s">
        <v>192</v>
      </c>
      <c r="H24" s="77">
        <f t="shared" si="4"/>
        <v>3015</v>
      </c>
      <c r="I24" s="78">
        <f t="shared" si="5"/>
        <v>2.20338983E-2</v>
      </c>
      <c r="K24" s="108" t="s">
        <v>98</v>
      </c>
      <c r="L24" s="77">
        <f t="shared" si="6"/>
        <v>238</v>
      </c>
      <c r="M24" s="78">
        <f t="shared" si="7"/>
        <v>-1.2448132799999999E-2</v>
      </c>
      <c r="O24" s="108" t="s">
        <v>102</v>
      </c>
      <c r="P24" s="77">
        <f t="shared" si="8"/>
        <v>141</v>
      </c>
      <c r="Q24" s="78">
        <f t="shared" si="9"/>
        <v>-1.3986014E-2</v>
      </c>
    </row>
    <row r="25" spans="1:17">
      <c r="A25" t="s">
        <v>293</v>
      </c>
      <c r="B25" t="s">
        <v>166</v>
      </c>
      <c r="C25">
        <v>576</v>
      </c>
      <c r="D25" s="90">
        <v>6.07734807E-2</v>
      </c>
      <c r="E25" s="67"/>
      <c r="F25" s="67"/>
      <c r="G25" s="108" t="s">
        <v>106</v>
      </c>
      <c r="H25" s="77">
        <f t="shared" si="4"/>
        <v>4640</v>
      </c>
      <c r="I25" s="78">
        <f t="shared" si="5"/>
        <v>4.03587444E-2</v>
      </c>
      <c r="K25" s="108" t="s">
        <v>118</v>
      </c>
      <c r="L25" s="77">
        <f t="shared" si="6"/>
        <v>295</v>
      </c>
      <c r="M25" s="78">
        <f t="shared" si="7"/>
        <v>-6.6455696199999997E-2</v>
      </c>
      <c r="O25" s="108" t="s">
        <v>227</v>
      </c>
      <c r="P25" s="77">
        <f t="shared" si="8"/>
        <v>187</v>
      </c>
      <c r="Q25" s="78">
        <f t="shared" si="9"/>
        <v>-4.1025641000000002E-2</v>
      </c>
    </row>
    <row r="26" spans="1:17">
      <c r="A26" t="s">
        <v>258</v>
      </c>
      <c r="B26" t="s">
        <v>165</v>
      </c>
      <c r="C26">
        <v>116750</v>
      </c>
      <c r="D26" s="90">
        <v>3.4559149300000001E-2</v>
      </c>
      <c r="E26" s="67"/>
      <c r="F26" s="67"/>
      <c r="G26" s="108" t="s">
        <v>94</v>
      </c>
      <c r="H26" s="77">
        <f t="shared" si="4"/>
        <v>481</v>
      </c>
      <c r="I26" s="78">
        <f t="shared" si="5"/>
        <v>-6.2378167599999999E-2</v>
      </c>
      <c r="K26" s="108" t="s">
        <v>121</v>
      </c>
      <c r="L26" s="77">
        <f t="shared" si="6"/>
        <v>719</v>
      </c>
      <c r="M26" s="78">
        <f t="shared" si="7"/>
        <v>0.10276073619999999</v>
      </c>
      <c r="O26" s="108" t="s">
        <v>160</v>
      </c>
      <c r="P26" s="77">
        <f t="shared" si="8"/>
        <v>181</v>
      </c>
      <c r="Q26" s="78">
        <f t="shared" si="9"/>
        <v>-1.6304347800000001E-2</v>
      </c>
    </row>
    <row r="27" spans="1:17">
      <c r="A27" t="s">
        <v>294</v>
      </c>
      <c r="B27" t="s">
        <v>234</v>
      </c>
      <c r="C27">
        <v>2715</v>
      </c>
      <c r="D27" s="90">
        <v>-1.27272727E-2</v>
      </c>
      <c r="E27" s="67"/>
      <c r="F27" s="67"/>
      <c r="G27" s="108" t="s">
        <v>210</v>
      </c>
      <c r="H27" s="77">
        <f t="shared" si="4"/>
        <v>5065</v>
      </c>
      <c r="I27" s="78">
        <f t="shared" si="5"/>
        <v>7.1957672E-2</v>
      </c>
      <c r="K27" s="108" t="s">
        <v>134</v>
      </c>
      <c r="L27" s="77">
        <f t="shared" si="6"/>
        <v>336</v>
      </c>
      <c r="M27" s="78">
        <f t="shared" si="7"/>
        <v>-1.46627566E-2</v>
      </c>
      <c r="O27" s="108" t="s">
        <v>110</v>
      </c>
      <c r="P27" s="77">
        <f t="shared" si="8"/>
        <v>524</v>
      </c>
      <c r="Q27" s="78">
        <f t="shared" si="9"/>
        <v>-5.2441229700000001E-2</v>
      </c>
    </row>
    <row r="28" spans="1:17">
      <c r="A28" t="s">
        <v>295</v>
      </c>
      <c r="B28" t="s">
        <v>223</v>
      </c>
      <c r="C28">
        <v>8210</v>
      </c>
      <c r="D28" s="90">
        <v>-3.5252643899999998E-2</v>
      </c>
      <c r="E28" s="67"/>
      <c r="F28" s="67"/>
      <c r="G28" s="108" t="s">
        <v>122</v>
      </c>
      <c r="H28" s="77">
        <f t="shared" si="4"/>
        <v>303</v>
      </c>
      <c r="I28" s="78">
        <f t="shared" si="5"/>
        <v>-5.0156739800000003E-2</v>
      </c>
      <c r="K28" s="108" t="s">
        <v>111</v>
      </c>
      <c r="L28" s="77">
        <f t="shared" si="6"/>
        <v>525</v>
      </c>
      <c r="M28" s="78">
        <f t="shared" si="7"/>
        <v>-7.0796460199999994E-2</v>
      </c>
      <c r="O28" s="108" t="s">
        <v>127</v>
      </c>
      <c r="P28" s="77">
        <f t="shared" si="8"/>
        <v>183</v>
      </c>
      <c r="Q28" s="78">
        <f t="shared" si="9"/>
        <v>-4.1884816800000002E-2</v>
      </c>
    </row>
    <row r="29" spans="1:17">
      <c r="A29" t="s">
        <v>259</v>
      </c>
      <c r="B29" t="s">
        <v>164</v>
      </c>
      <c r="C29">
        <v>161</v>
      </c>
      <c r="D29" s="90">
        <v>-4.16666667E-2</v>
      </c>
      <c r="E29" s="67"/>
      <c r="F29" s="67"/>
      <c r="G29" s="108" t="s">
        <v>189</v>
      </c>
      <c r="H29" s="77">
        <f t="shared" si="4"/>
        <v>45260</v>
      </c>
      <c r="I29" s="78">
        <f t="shared" si="5"/>
        <v>2.7235587799999999E-2</v>
      </c>
      <c r="K29" s="108" t="s">
        <v>101</v>
      </c>
      <c r="L29" s="77">
        <f t="shared" si="6"/>
        <v>209</v>
      </c>
      <c r="M29" s="78">
        <f t="shared" si="7"/>
        <v>-0.05</v>
      </c>
      <c r="O29" s="108" t="s">
        <v>112</v>
      </c>
      <c r="P29" s="77">
        <f t="shared" si="8"/>
        <v>446</v>
      </c>
      <c r="Q29" s="78">
        <f t="shared" si="9"/>
        <v>-3.6717062600000003E-2</v>
      </c>
    </row>
    <row r="30" spans="1:17" ht="17.25" thickBot="1">
      <c r="A30" t="s">
        <v>296</v>
      </c>
      <c r="B30" t="s">
        <v>163</v>
      </c>
      <c r="C30">
        <v>52.8</v>
      </c>
      <c r="D30" s="90">
        <v>-6.7137809199999995E-2</v>
      </c>
      <c r="E30" s="67"/>
      <c r="F30" s="67"/>
      <c r="G30" s="106" t="s">
        <v>137</v>
      </c>
      <c r="H30" s="79">
        <f t="shared" si="4"/>
        <v>422</v>
      </c>
      <c r="I30" s="80">
        <f t="shared" si="5"/>
        <v>2.6763990299999998E-2</v>
      </c>
      <c r="K30" s="106" t="s">
        <v>161</v>
      </c>
      <c r="L30" s="79">
        <f t="shared" si="6"/>
        <v>528</v>
      </c>
      <c r="M30" s="80">
        <f t="shared" si="7"/>
        <v>1.7341040499999998E-2</v>
      </c>
      <c r="O30" s="106" t="s">
        <v>153</v>
      </c>
      <c r="P30" s="79">
        <f t="shared" si="8"/>
        <v>193</v>
      </c>
      <c r="Q30" s="80">
        <f t="shared" si="9"/>
        <v>-3.9800994999999999E-2</v>
      </c>
    </row>
    <row r="31" spans="1:17">
      <c r="A31" t="s">
        <v>260</v>
      </c>
      <c r="B31" t="s">
        <v>162</v>
      </c>
      <c r="C31">
        <v>197</v>
      </c>
      <c r="D31" s="90">
        <v>7.0652173900000004E-2</v>
      </c>
      <c r="E31" s="67"/>
      <c r="F31" s="67"/>
      <c r="G31" s="67"/>
      <c r="H31" s="67"/>
      <c r="I31" s="67"/>
    </row>
    <row r="32" spans="1:17">
      <c r="A32" t="s">
        <v>235</v>
      </c>
      <c r="B32" t="s">
        <v>236</v>
      </c>
      <c r="C32">
        <v>2645</v>
      </c>
      <c r="D32" s="90">
        <v>-3.4671532800000002E-2</v>
      </c>
      <c r="E32" s="67"/>
      <c r="F32" s="67"/>
      <c r="G32" s="67"/>
      <c r="H32" s="67"/>
      <c r="I32" s="67"/>
    </row>
    <row r="33" spans="1:9">
      <c r="A33" t="s">
        <v>237</v>
      </c>
      <c r="B33" t="s">
        <v>150</v>
      </c>
      <c r="C33">
        <v>227</v>
      </c>
      <c r="D33" s="90">
        <v>-2.99145299E-2</v>
      </c>
      <c r="E33" s="67"/>
      <c r="F33" s="67"/>
      <c r="G33" s="67"/>
      <c r="H33" s="67"/>
      <c r="I33" s="67"/>
    </row>
    <row r="34" spans="1:9">
      <c r="A34" t="s">
        <v>261</v>
      </c>
      <c r="B34" t="s">
        <v>161</v>
      </c>
      <c r="C34">
        <v>528</v>
      </c>
      <c r="D34" s="90">
        <v>1.7341040499999998E-2</v>
      </c>
      <c r="E34" s="67"/>
      <c r="F34" s="67"/>
      <c r="G34" s="67"/>
      <c r="H34" s="67"/>
      <c r="I34" s="67"/>
    </row>
    <row r="35" spans="1:9">
      <c r="A35" t="s">
        <v>238</v>
      </c>
      <c r="B35" t="s">
        <v>152</v>
      </c>
      <c r="C35">
        <v>2075</v>
      </c>
      <c r="D35" s="90">
        <v>1.46699267E-2</v>
      </c>
      <c r="E35" s="67"/>
      <c r="F35" s="67"/>
      <c r="G35" s="67"/>
      <c r="H35" s="67"/>
      <c r="I35" s="67"/>
    </row>
    <row r="36" spans="1:9">
      <c r="A36" t="s">
        <v>239</v>
      </c>
      <c r="B36" t="s">
        <v>160</v>
      </c>
      <c r="C36">
        <v>181</v>
      </c>
      <c r="D36" s="90">
        <v>-1.6304347800000001E-2</v>
      </c>
      <c r="E36" s="67"/>
      <c r="F36" s="67"/>
      <c r="G36" s="67"/>
      <c r="H36" s="67"/>
      <c r="I36" s="67"/>
    </row>
    <row r="37" spans="1:9">
      <c r="A37" t="s">
        <v>262</v>
      </c>
      <c r="B37" t="s">
        <v>224</v>
      </c>
      <c r="C37">
        <v>1172500</v>
      </c>
      <c r="D37" s="90">
        <v>2.3123909200000001E-2</v>
      </c>
      <c r="E37" s="67"/>
      <c r="F37" s="67"/>
      <c r="G37" s="67"/>
      <c r="H37" s="67"/>
      <c r="I37" s="67"/>
    </row>
    <row r="38" spans="1:9">
      <c r="A38" t="s">
        <v>263</v>
      </c>
      <c r="B38" t="s">
        <v>264</v>
      </c>
      <c r="C38">
        <v>1520</v>
      </c>
      <c r="D38" s="90">
        <v>9.9667773999999997E-3</v>
      </c>
      <c r="E38" s="67"/>
      <c r="F38" s="67"/>
      <c r="G38" s="67"/>
      <c r="H38" s="67"/>
      <c r="I38" s="67"/>
    </row>
    <row r="39" spans="1:9">
      <c r="A39" t="s">
        <v>265</v>
      </c>
      <c r="B39" t="s">
        <v>266</v>
      </c>
      <c r="C39">
        <v>1615</v>
      </c>
      <c r="D39" s="90">
        <v>-0.05</v>
      </c>
      <c r="E39" s="67"/>
      <c r="F39" s="67"/>
      <c r="G39" s="67"/>
      <c r="H39" s="67"/>
      <c r="I39" s="67"/>
    </row>
    <row r="40" spans="1:9">
      <c r="A40" t="s">
        <v>240</v>
      </c>
      <c r="B40" t="s">
        <v>148</v>
      </c>
      <c r="C40">
        <v>87.7</v>
      </c>
      <c r="D40" s="90">
        <v>-3.52035204E-2</v>
      </c>
      <c r="E40" s="67"/>
      <c r="F40" s="67"/>
      <c r="G40" s="67"/>
      <c r="H40" s="67"/>
      <c r="I40" s="67"/>
    </row>
    <row r="41" spans="1:9">
      <c r="A41" t="s">
        <v>297</v>
      </c>
      <c r="B41" t="s">
        <v>159</v>
      </c>
      <c r="C41">
        <v>1450</v>
      </c>
      <c r="D41" s="90">
        <v>3.5714285700000001E-2</v>
      </c>
      <c r="E41" s="67"/>
      <c r="F41" s="67"/>
      <c r="G41" s="67"/>
      <c r="H41" s="67"/>
      <c r="I41" s="67"/>
    </row>
    <row r="42" spans="1:9">
      <c r="A42" t="s">
        <v>298</v>
      </c>
      <c r="B42" t="s">
        <v>158</v>
      </c>
      <c r="C42">
        <v>24.9</v>
      </c>
      <c r="D42" s="90">
        <v>-5.3231939200000002E-2</v>
      </c>
      <c r="E42" s="67"/>
      <c r="F42" s="67"/>
      <c r="G42" s="67"/>
      <c r="H42" s="67"/>
      <c r="I42" s="67"/>
    </row>
    <row r="43" spans="1:9">
      <c r="A43" t="s">
        <v>299</v>
      </c>
      <c r="B43" t="s">
        <v>157</v>
      </c>
      <c r="C43">
        <v>743</v>
      </c>
      <c r="D43" s="90">
        <v>0.1223564955</v>
      </c>
      <c r="E43" s="67"/>
      <c r="F43" s="67"/>
      <c r="G43" s="67"/>
      <c r="H43" s="67"/>
      <c r="I43" s="67"/>
    </row>
    <row r="44" spans="1:9">
      <c r="A44" t="s">
        <v>241</v>
      </c>
      <c r="B44" t="s">
        <v>95</v>
      </c>
      <c r="C44">
        <v>31.7</v>
      </c>
      <c r="D44" s="90">
        <v>-5.9347180999999999E-2</v>
      </c>
      <c r="E44" s="67"/>
      <c r="F44" s="67"/>
      <c r="G44" s="67"/>
      <c r="H44" s="67"/>
      <c r="I44" s="67"/>
    </row>
    <row r="45" spans="1:9">
      <c r="A45" t="s">
        <v>300</v>
      </c>
      <c r="B45" t="s">
        <v>156</v>
      </c>
      <c r="C45">
        <v>2840</v>
      </c>
      <c r="D45" s="90">
        <v>3.5335688999999998E-3</v>
      </c>
      <c r="E45" s="67"/>
      <c r="F45" s="67"/>
      <c r="G45" s="67"/>
      <c r="H45" s="67"/>
      <c r="I45" s="67"/>
    </row>
    <row r="46" spans="1:9">
      <c r="A46" t="s">
        <v>301</v>
      </c>
      <c r="B46" t="s">
        <v>155</v>
      </c>
      <c r="C46">
        <v>21.1</v>
      </c>
      <c r="D46" s="90">
        <v>-6.2222222200000003E-2</v>
      </c>
      <c r="E46" s="67"/>
      <c r="F46" s="67"/>
      <c r="G46" s="67"/>
      <c r="H46" s="67"/>
      <c r="I46" s="67"/>
    </row>
    <row r="47" spans="1:9">
      <c r="A47" t="s">
        <v>302</v>
      </c>
      <c r="B47" t="s">
        <v>154</v>
      </c>
      <c r="C47">
        <v>1385</v>
      </c>
      <c r="D47" s="90">
        <v>-4.8109965599999999E-2</v>
      </c>
      <c r="E47" s="67"/>
      <c r="F47" s="67"/>
      <c r="G47" s="67"/>
      <c r="H47" s="67"/>
      <c r="I47" s="67"/>
    </row>
    <row r="48" spans="1:9">
      <c r="A48" t="s">
        <v>242</v>
      </c>
      <c r="B48" t="s">
        <v>243</v>
      </c>
      <c r="C48">
        <v>21380</v>
      </c>
      <c r="D48" s="90">
        <v>-6.7190226899999997E-2</v>
      </c>
      <c r="E48" s="67"/>
      <c r="F48" s="67"/>
      <c r="G48" s="67"/>
      <c r="H48" s="67"/>
      <c r="I48" s="67"/>
    </row>
    <row r="49" spans="1:9">
      <c r="A49" t="s">
        <v>303</v>
      </c>
      <c r="B49" t="s">
        <v>153</v>
      </c>
      <c r="C49">
        <v>193</v>
      </c>
      <c r="D49" s="90">
        <v>-3.9800994999999999E-2</v>
      </c>
      <c r="E49" s="67"/>
      <c r="F49" s="67"/>
      <c r="G49" s="67"/>
      <c r="H49" s="67"/>
      <c r="I49" s="67"/>
    </row>
    <row r="50" spans="1:9">
      <c r="A50" t="s">
        <v>304</v>
      </c>
      <c r="B50" t="s">
        <v>144</v>
      </c>
      <c r="C50">
        <v>568</v>
      </c>
      <c r="D50" s="90">
        <v>2.7124774000000001E-2</v>
      </c>
      <c r="E50" s="67"/>
      <c r="F50" s="67"/>
      <c r="G50" s="67"/>
      <c r="H50" s="67"/>
      <c r="I50" s="67"/>
    </row>
    <row r="51" spans="1:9">
      <c r="A51" t="s">
        <v>244</v>
      </c>
      <c r="B51" t="s">
        <v>151</v>
      </c>
      <c r="C51">
        <v>3470</v>
      </c>
      <c r="D51" s="90">
        <v>-3.74479889E-2</v>
      </c>
      <c r="E51" s="67"/>
      <c r="F51" s="67"/>
      <c r="G51" s="67"/>
      <c r="H51" s="67"/>
      <c r="I51" s="67"/>
    </row>
    <row r="52" spans="1:9">
      <c r="A52" t="s">
        <v>267</v>
      </c>
      <c r="B52" t="s">
        <v>149</v>
      </c>
      <c r="C52">
        <v>369150</v>
      </c>
      <c r="D52" s="90">
        <v>-3.1483667799999997E-2</v>
      </c>
      <c r="E52" s="67"/>
      <c r="F52" s="67"/>
      <c r="G52" s="67"/>
      <c r="H52" s="67"/>
      <c r="I52" s="67"/>
    </row>
    <row r="53" spans="1:9">
      <c r="A53" t="s">
        <v>268</v>
      </c>
      <c r="B53" t="s">
        <v>147</v>
      </c>
      <c r="C53">
        <v>13560</v>
      </c>
      <c r="D53" s="90">
        <v>-2.7956989200000001E-2</v>
      </c>
      <c r="E53" s="67"/>
      <c r="F53" s="67"/>
      <c r="G53" s="67"/>
      <c r="H53" s="67"/>
      <c r="I53" s="67"/>
    </row>
    <row r="54" spans="1:9">
      <c r="A54" t="s">
        <v>305</v>
      </c>
      <c r="B54" t="s">
        <v>146</v>
      </c>
      <c r="C54">
        <v>79.7</v>
      </c>
      <c r="D54" s="90">
        <v>6.3131313000000001E-3</v>
      </c>
      <c r="E54" s="67"/>
      <c r="F54" s="67"/>
      <c r="G54" s="67"/>
      <c r="H54" s="67"/>
      <c r="I54" s="67"/>
    </row>
    <row r="55" spans="1:9">
      <c r="A55" t="s">
        <v>306</v>
      </c>
      <c r="B55" t="s">
        <v>145</v>
      </c>
      <c r="C55">
        <v>40.6</v>
      </c>
      <c r="D55" s="90">
        <v>-5.1401869199999999E-2</v>
      </c>
      <c r="E55" s="67"/>
      <c r="F55" s="67"/>
      <c r="G55" s="67"/>
      <c r="H55" s="67"/>
      <c r="I55" s="67"/>
    </row>
    <row r="56" spans="1:9">
      <c r="A56" t="s">
        <v>307</v>
      </c>
      <c r="B56" t="s">
        <v>143</v>
      </c>
      <c r="C56">
        <v>10</v>
      </c>
      <c r="D56" s="90">
        <v>3.0090271000000001E-3</v>
      </c>
      <c r="E56" s="67"/>
      <c r="F56" s="67"/>
      <c r="G56" s="67"/>
      <c r="H56" s="67"/>
      <c r="I56" s="67"/>
    </row>
    <row r="57" spans="1:9">
      <c r="A57" t="s">
        <v>269</v>
      </c>
      <c r="B57" t="s">
        <v>142</v>
      </c>
      <c r="C57">
        <v>196</v>
      </c>
      <c r="D57" s="90">
        <v>-3.9215686299999997E-2</v>
      </c>
      <c r="E57" s="67"/>
      <c r="F57" s="67"/>
      <c r="G57" s="67"/>
      <c r="H57" s="67"/>
      <c r="I57" s="67"/>
    </row>
    <row r="58" spans="1:9">
      <c r="A58" t="s">
        <v>308</v>
      </c>
      <c r="B58" t="s">
        <v>141</v>
      </c>
      <c r="C58">
        <v>3115</v>
      </c>
      <c r="D58" s="90">
        <v>8.0906148999999993E-3</v>
      </c>
      <c r="E58" s="67"/>
      <c r="F58" s="67"/>
      <c r="G58" s="67"/>
      <c r="H58" s="67"/>
      <c r="I58" s="67"/>
    </row>
    <row r="59" spans="1:9">
      <c r="A59" t="s">
        <v>309</v>
      </c>
      <c r="B59" t="s">
        <v>140</v>
      </c>
      <c r="C59">
        <v>368</v>
      </c>
      <c r="D59" s="90">
        <v>-5.1546391800000001E-2</v>
      </c>
      <c r="E59" s="67"/>
      <c r="F59" s="67"/>
      <c r="G59" s="67"/>
      <c r="H59" s="67"/>
      <c r="I59" s="67"/>
    </row>
    <row r="60" spans="1:9">
      <c r="A60" t="s">
        <v>310</v>
      </c>
      <c r="B60" t="s">
        <v>139</v>
      </c>
      <c r="C60">
        <v>1650</v>
      </c>
      <c r="D60" s="90">
        <v>-1.7857142900000001E-2</v>
      </c>
      <c r="E60" s="67"/>
      <c r="F60" s="67"/>
      <c r="G60" s="67"/>
      <c r="H60" s="67"/>
      <c r="I60" s="67"/>
    </row>
    <row r="61" spans="1:9">
      <c r="A61" t="s">
        <v>311</v>
      </c>
      <c r="B61" t="s">
        <v>138</v>
      </c>
      <c r="C61">
        <v>187</v>
      </c>
      <c r="D61" s="90">
        <v>-3.1088082900000001E-2</v>
      </c>
      <c r="E61" s="67"/>
      <c r="F61" s="67"/>
      <c r="G61" s="67"/>
      <c r="H61" s="67"/>
      <c r="I61" s="67"/>
    </row>
    <row r="62" spans="1:9">
      <c r="A62" t="s">
        <v>312</v>
      </c>
      <c r="B62" t="s">
        <v>137</v>
      </c>
      <c r="C62">
        <v>422</v>
      </c>
      <c r="D62" s="90">
        <v>2.6763990299999998E-2</v>
      </c>
      <c r="E62" s="67"/>
      <c r="F62" s="67"/>
      <c r="G62" s="67"/>
      <c r="H62" s="67"/>
      <c r="I62" s="67"/>
    </row>
    <row r="63" spans="1:9">
      <c r="A63" t="s">
        <v>313</v>
      </c>
      <c r="B63" t="s">
        <v>314</v>
      </c>
      <c r="C63">
        <v>24830</v>
      </c>
      <c r="D63" s="90">
        <v>3.6378335000000002E-3</v>
      </c>
      <c r="E63" s="67"/>
      <c r="F63" s="67"/>
      <c r="G63" s="67"/>
      <c r="H63" s="67"/>
      <c r="I63" s="67"/>
    </row>
    <row r="64" spans="1:9">
      <c r="A64" t="s">
        <v>315</v>
      </c>
      <c r="B64" t="s">
        <v>136</v>
      </c>
      <c r="C64">
        <v>23.4</v>
      </c>
      <c r="D64" s="90">
        <v>-4.8780487800000001E-2</v>
      </c>
      <c r="E64" s="67"/>
      <c r="F64" s="67"/>
      <c r="G64" s="67"/>
      <c r="H64" s="67"/>
      <c r="I64" s="67"/>
    </row>
    <row r="65" spans="1:9">
      <c r="A65" t="s">
        <v>270</v>
      </c>
      <c r="B65" t="s">
        <v>135</v>
      </c>
      <c r="C65">
        <v>24.8</v>
      </c>
      <c r="D65" s="90">
        <v>-4.9808429100000003E-2</v>
      </c>
      <c r="E65" s="67"/>
      <c r="F65" s="67"/>
      <c r="G65" s="67"/>
      <c r="H65" s="67"/>
      <c r="I65" s="67"/>
    </row>
    <row r="66" spans="1:9">
      <c r="A66" t="s">
        <v>271</v>
      </c>
      <c r="B66" t="s">
        <v>134</v>
      </c>
      <c r="C66">
        <v>336</v>
      </c>
      <c r="D66" s="90">
        <v>-1.46627566E-2</v>
      </c>
      <c r="E66" s="67"/>
      <c r="F66" s="67"/>
      <c r="G66" s="67"/>
      <c r="H66" s="67"/>
      <c r="I66" s="67"/>
    </row>
    <row r="67" spans="1:9">
      <c r="A67" t="s">
        <v>316</v>
      </c>
      <c r="B67" t="s">
        <v>133</v>
      </c>
      <c r="C67">
        <v>20.7</v>
      </c>
      <c r="D67" s="90">
        <v>-3.7209302299999997E-2</v>
      </c>
      <c r="E67" s="67"/>
      <c r="F67" s="67"/>
      <c r="G67" s="67"/>
      <c r="H67" s="67"/>
      <c r="I67" s="67"/>
    </row>
    <row r="68" spans="1:9">
      <c r="A68" t="s">
        <v>317</v>
      </c>
      <c r="B68" t="s">
        <v>132</v>
      </c>
      <c r="C68">
        <v>28.3</v>
      </c>
      <c r="D68" s="90">
        <v>-4.0677966099999997E-2</v>
      </c>
      <c r="E68" s="67"/>
      <c r="F68" s="67"/>
      <c r="G68" s="67"/>
      <c r="H68" s="67"/>
      <c r="I68" s="67"/>
    </row>
    <row r="69" spans="1:9">
      <c r="A69" t="s">
        <v>318</v>
      </c>
      <c r="B69" t="s">
        <v>131</v>
      </c>
      <c r="C69">
        <v>253</v>
      </c>
      <c r="D69" s="90">
        <v>-4.8872180500000001E-2</v>
      </c>
      <c r="E69" s="67"/>
      <c r="F69" s="67"/>
      <c r="G69" s="67"/>
      <c r="H69" s="67"/>
      <c r="I69" s="67"/>
    </row>
    <row r="70" spans="1:9">
      <c r="A70" t="s">
        <v>319</v>
      </c>
      <c r="B70" t="s">
        <v>130</v>
      </c>
      <c r="C70">
        <v>385</v>
      </c>
      <c r="D70" s="90">
        <v>3.49462366E-2</v>
      </c>
      <c r="E70" s="67"/>
      <c r="F70" s="67"/>
      <c r="G70" s="67"/>
      <c r="H70" s="67"/>
      <c r="I70" s="67"/>
    </row>
    <row r="71" spans="1:9">
      <c r="A71" t="s">
        <v>272</v>
      </c>
      <c r="B71" t="s">
        <v>129</v>
      </c>
      <c r="C71">
        <v>142</v>
      </c>
      <c r="D71" s="90">
        <v>-5.9602649000000001E-2</v>
      </c>
      <c r="E71" s="67"/>
      <c r="F71" s="67"/>
      <c r="G71" s="67"/>
      <c r="H71" s="67"/>
      <c r="I71" s="67"/>
    </row>
    <row r="72" spans="1:9">
      <c r="A72" t="s">
        <v>273</v>
      </c>
      <c r="B72" t="s">
        <v>274</v>
      </c>
      <c r="C72">
        <v>2190</v>
      </c>
      <c r="D72" s="90">
        <v>-4.9891540099999999E-2</v>
      </c>
      <c r="E72" s="67"/>
      <c r="F72" s="67"/>
      <c r="G72" s="67"/>
      <c r="H72" s="67"/>
      <c r="I72" s="67"/>
    </row>
    <row r="73" spans="1:9">
      <c r="A73" t="s">
        <v>320</v>
      </c>
      <c r="B73" t="s">
        <v>128</v>
      </c>
      <c r="C73">
        <v>145</v>
      </c>
      <c r="D73" s="90">
        <v>0.67824074069999996</v>
      </c>
      <c r="E73" s="67"/>
      <c r="F73" s="67"/>
      <c r="G73" s="67"/>
      <c r="H73" s="67"/>
      <c r="I73" s="67"/>
    </row>
    <row r="74" spans="1:9">
      <c r="A74" t="s">
        <v>321</v>
      </c>
      <c r="B74" t="s">
        <v>127</v>
      </c>
      <c r="C74">
        <v>183</v>
      </c>
      <c r="D74" s="90">
        <v>-4.1884816800000002E-2</v>
      </c>
      <c r="E74" s="67"/>
      <c r="F74" s="67"/>
      <c r="G74" s="67"/>
      <c r="H74" s="67"/>
      <c r="I74" s="67"/>
    </row>
    <row r="75" spans="1:9">
      <c r="A75" t="s">
        <v>225</v>
      </c>
      <c r="B75" t="s">
        <v>126</v>
      </c>
      <c r="C75">
        <v>303</v>
      </c>
      <c r="D75" s="90">
        <v>2.7118644099999999E-2</v>
      </c>
      <c r="E75" s="67"/>
      <c r="F75" s="67"/>
      <c r="G75" s="67"/>
      <c r="H75" s="67"/>
      <c r="I75" s="67"/>
    </row>
    <row r="76" spans="1:9">
      <c r="A76" t="s">
        <v>322</v>
      </c>
      <c r="B76" t="s">
        <v>125</v>
      </c>
      <c r="C76">
        <v>663</v>
      </c>
      <c r="D76" s="90">
        <v>1.3761467899999999E-2</v>
      </c>
      <c r="E76" s="67"/>
      <c r="F76" s="67"/>
      <c r="G76" s="67"/>
      <c r="H76" s="67"/>
      <c r="I76" s="67"/>
    </row>
    <row r="77" spans="1:9">
      <c r="A77" t="s">
        <v>323</v>
      </c>
      <c r="B77" t="s">
        <v>124</v>
      </c>
      <c r="C77">
        <v>120</v>
      </c>
      <c r="D77" s="90">
        <v>-4.7619047599999999E-2</v>
      </c>
      <c r="E77" s="67"/>
      <c r="F77" s="67"/>
      <c r="G77" s="67"/>
      <c r="H77" s="67"/>
      <c r="I77" s="67"/>
    </row>
    <row r="78" spans="1:9">
      <c r="A78" t="s">
        <v>324</v>
      </c>
      <c r="B78" t="s">
        <v>123</v>
      </c>
      <c r="C78">
        <v>62.1</v>
      </c>
      <c r="D78" s="90">
        <v>-4.4615384600000002E-2</v>
      </c>
      <c r="E78" s="67"/>
      <c r="F78" s="67"/>
      <c r="G78" s="67"/>
      <c r="H78" s="67"/>
      <c r="I78" s="67"/>
    </row>
    <row r="79" spans="1:9">
      <c r="A79" t="s">
        <v>275</v>
      </c>
      <c r="B79" t="s">
        <v>122</v>
      </c>
      <c r="C79">
        <v>303</v>
      </c>
      <c r="D79" s="90">
        <v>-5.0156739800000003E-2</v>
      </c>
      <c r="E79" s="67"/>
      <c r="F79" s="67"/>
      <c r="G79" s="67"/>
      <c r="H79" s="67"/>
      <c r="I79" s="67"/>
    </row>
    <row r="80" spans="1:9">
      <c r="A80" t="s">
        <v>325</v>
      </c>
      <c r="B80" t="s">
        <v>121</v>
      </c>
      <c r="C80">
        <v>719</v>
      </c>
      <c r="D80" s="90">
        <v>0.10276073619999999</v>
      </c>
      <c r="E80" s="67"/>
      <c r="F80" s="67"/>
      <c r="G80" s="67"/>
      <c r="H80" s="67"/>
      <c r="I80" s="67"/>
    </row>
    <row r="81" spans="1:9">
      <c r="A81" t="s">
        <v>326</v>
      </c>
      <c r="B81" t="s">
        <v>120</v>
      </c>
      <c r="C81">
        <v>6205</v>
      </c>
      <c r="D81" s="90">
        <v>-2.6666666700000001E-2</v>
      </c>
      <c r="E81" s="67"/>
      <c r="F81" s="67"/>
      <c r="G81" s="67"/>
      <c r="H81" s="67"/>
      <c r="I81" s="67"/>
    </row>
    <row r="82" spans="1:9">
      <c r="A82" t="s">
        <v>327</v>
      </c>
      <c r="B82" t="s">
        <v>119</v>
      </c>
      <c r="C82">
        <v>22.1</v>
      </c>
      <c r="D82" s="90">
        <v>-7.1428571400000002E-2</v>
      </c>
      <c r="E82" s="67"/>
      <c r="F82" s="67"/>
      <c r="G82" s="67"/>
      <c r="H82" s="67"/>
      <c r="I82" s="67"/>
    </row>
    <row r="83" spans="1:9">
      <c r="A83" t="s">
        <v>328</v>
      </c>
      <c r="B83" t="s">
        <v>226</v>
      </c>
      <c r="C83">
        <v>46480</v>
      </c>
      <c r="D83" s="90">
        <v>7.3688772999999999E-3</v>
      </c>
      <c r="E83" s="67"/>
      <c r="F83" s="67"/>
      <c r="G83" s="67"/>
      <c r="H83" s="67"/>
      <c r="I83" s="67"/>
    </row>
    <row r="84" spans="1:9">
      <c r="A84" t="s">
        <v>329</v>
      </c>
      <c r="B84" t="s">
        <v>330</v>
      </c>
      <c r="C84">
        <v>6955</v>
      </c>
      <c r="D84" s="90">
        <v>-1.7655367200000001E-2</v>
      </c>
      <c r="E84" s="67"/>
      <c r="F84" s="67"/>
      <c r="G84" s="67"/>
      <c r="H84" s="67"/>
      <c r="I84" s="67"/>
    </row>
    <row r="85" spans="1:9">
      <c r="A85" t="s">
        <v>331</v>
      </c>
      <c r="B85" t="s">
        <v>118</v>
      </c>
      <c r="C85">
        <v>295</v>
      </c>
      <c r="D85" s="90">
        <v>-6.6455696199999997E-2</v>
      </c>
      <c r="E85" s="67"/>
      <c r="F85" s="67"/>
      <c r="G85" s="67"/>
      <c r="H85" s="67"/>
      <c r="I85" s="67"/>
    </row>
    <row r="86" spans="1:9">
      <c r="A86" t="s">
        <v>276</v>
      </c>
      <c r="B86" t="s">
        <v>117</v>
      </c>
      <c r="C86">
        <v>169</v>
      </c>
      <c r="D86" s="90">
        <v>-5.5865921800000003E-2</v>
      </c>
      <c r="E86" s="67"/>
      <c r="F86" s="67"/>
      <c r="G86" s="67"/>
      <c r="H86" s="67"/>
      <c r="I86" s="67"/>
    </row>
    <row r="87" spans="1:9">
      <c r="A87" t="s">
        <v>277</v>
      </c>
      <c r="B87" t="s">
        <v>116</v>
      </c>
      <c r="C87">
        <v>241</v>
      </c>
      <c r="D87" s="90">
        <v>-3.9840637499999998E-2</v>
      </c>
      <c r="E87" s="67"/>
      <c r="F87" s="67"/>
      <c r="G87" s="67"/>
      <c r="H87" s="67"/>
      <c r="I87" s="67"/>
    </row>
    <row r="88" spans="1:9">
      <c r="A88" t="s">
        <v>332</v>
      </c>
      <c r="B88" t="s">
        <v>115</v>
      </c>
      <c r="C88">
        <v>15770</v>
      </c>
      <c r="D88" s="90">
        <v>6.3816209E-3</v>
      </c>
      <c r="E88" s="67"/>
      <c r="F88" s="67"/>
      <c r="G88" s="67"/>
      <c r="H88" s="67"/>
      <c r="I88" s="67"/>
    </row>
    <row r="89" spans="1:9">
      <c r="A89" t="s">
        <v>278</v>
      </c>
      <c r="B89" t="s">
        <v>114</v>
      </c>
      <c r="C89">
        <v>4725</v>
      </c>
      <c r="D89" s="90">
        <v>1.0593219999999999E-3</v>
      </c>
      <c r="E89" s="67"/>
      <c r="F89" s="67"/>
      <c r="G89" s="67"/>
      <c r="H89" s="67"/>
      <c r="I89" s="67"/>
    </row>
    <row r="90" spans="1:9">
      <c r="A90" t="s">
        <v>333</v>
      </c>
      <c r="B90" t="s">
        <v>113</v>
      </c>
      <c r="C90">
        <v>109</v>
      </c>
      <c r="D90" s="90">
        <v>1.8691588799999999E-2</v>
      </c>
      <c r="E90" s="67"/>
      <c r="F90" s="67"/>
      <c r="G90" s="67"/>
      <c r="H90" s="67"/>
      <c r="I90" s="67"/>
    </row>
    <row r="91" spans="1:9">
      <c r="A91" t="s">
        <v>334</v>
      </c>
      <c r="B91" t="s">
        <v>112</v>
      </c>
      <c r="C91">
        <v>446</v>
      </c>
      <c r="D91" s="90">
        <v>-3.6717062600000003E-2</v>
      </c>
      <c r="E91" s="67"/>
      <c r="F91" s="67"/>
      <c r="G91" s="67"/>
      <c r="H91" s="67"/>
      <c r="I91" s="67"/>
    </row>
    <row r="92" spans="1:9">
      <c r="A92" t="s">
        <v>335</v>
      </c>
      <c r="B92" t="s">
        <v>111</v>
      </c>
      <c r="C92">
        <v>525</v>
      </c>
      <c r="D92" s="90">
        <v>-7.0796460199999994E-2</v>
      </c>
      <c r="E92" s="67"/>
      <c r="F92" s="67"/>
      <c r="G92" s="67"/>
      <c r="H92" s="67"/>
      <c r="I92" s="67"/>
    </row>
    <row r="93" spans="1:9">
      <c r="A93" t="s">
        <v>336</v>
      </c>
      <c r="B93" t="s">
        <v>110</v>
      </c>
      <c r="C93">
        <v>524</v>
      </c>
      <c r="D93" s="90">
        <v>-5.2441229700000001E-2</v>
      </c>
      <c r="E93" s="67"/>
      <c r="F93" s="67"/>
      <c r="G93" s="67"/>
      <c r="H93" s="67"/>
      <c r="I93" s="67"/>
    </row>
    <row r="94" spans="1:9">
      <c r="A94" t="s">
        <v>337</v>
      </c>
      <c r="B94" t="s">
        <v>338</v>
      </c>
      <c r="C94">
        <v>42620</v>
      </c>
      <c r="D94" s="90">
        <v>-4.7171920399999998E-2</v>
      </c>
      <c r="E94" s="67"/>
      <c r="F94" s="67"/>
      <c r="G94" s="67"/>
      <c r="H94" s="67"/>
      <c r="I94" s="67"/>
    </row>
    <row r="95" spans="1:9">
      <c r="A95" t="s">
        <v>109</v>
      </c>
      <c r="B95" t="s">
        <v>108</v>
      </c>
      <c r="C95">
        <v>7120</v>
      </c>
      <c r="D95" s="90">
        <v>-4.2367182199999999E-2</v>
      </c>
      <c r="E95" s="67"/>
      <c r="F95" s="67"/>
      <c r="G95" s="67"/>
      <c r="H95" s="67"/>
      <c r="I95" s="67"/>
    </row>
    <row r="96" spans="1:9">
      <c r="A96" t="s">
        <v>339</v>
      </c>
      <c r="B96" t="s">
        <v>107</v>
      </c>
      <c r="C96">
        <v>32.6</v>
      </c>
      <c r="D96" s="90">
        <v>-5.2325581400000001E-2</v>
      </c>
      <c r="E96" s="67"/>
      <c r="F96" s="67"/>
      <c r="G96" s="67"/>
      <c r="H96" s="67"/>
      <c r="I96" s="67"/>
    </row>
    <row r="97" spans="1:9">
      <c r="A97" t="s">
        <v>340</v>
      </c>
      <c r="B97" t="s">
        <v>341</v>
      </c>
      <c r="C97">
        <v>2140</v>
      </c>
      <c r="D97" s="90">
        <v>-5.7268722500000001E-2</v>
      </c>
      <c r="E97" s="67"/>
      <c r="F97" s="67"/>
      <c r="G97" s="67"/>
      <c r="H97" s="67"/>
      <c r="I97" s="67"/>
    </row>
    <row r="98" spans="1:9">
      <c r="A98" t="s">
        <v>245</v>
      </c>
      <c r="B98" t="s">
        <v>106</v>
      </c>
      <c r="C98">
        <v>4640</v>
      </c>
      <c r="D98" s="90">
        <v>4.03587444E-2</v>
      </c>
      <c r="E98" s="67"/>
      <c r="F98" s="67"/>
      <c r="G98" s="67"/>
      <c r="H98" s="67"/>
      <c r="I98" s="67"/>
    </row>
    <row r="99" spans="1:9">
      <c r="A99" t="s">
        <v>342</v>
      </c>
      <c r="B99" t="s">
        <v>343</v>
      </c>
      <c r="C99">
        <v>9955</v>
      </c>
      <c r="D99" s="90">
        <v>0.20447670900000001</v>
      </c>
      <c r="E99" s="67"/>
      <c r="F99" s="67"/>
      <c r="G99" s="67"/>
      <c r="H99" s="67"/>
      <c r="I99" s="67"/>
    </row>
    <row r="100" spans="1:9">
      <c r="A100" t="s">
        <v>344</v>
      </c>
      <c r="B100" t="s">
        <v>105</v>
      </c>
      <c r="C100">
        <v>53070</v>
      </c>
      <c r="D100" s="90">
        <v>-4.44724523E-2</v>
      </c>
      <c r="E100" s="67"/>
      <c r="F100" s="67"/>
      <c r="G100" s="67"/>
      <c r="H100" s="67"/>
      <c r="I100" s="67"/>
    </row>
    <row r="101" spans="1:9">
      <c r="A101" t="s">
        <v>345</v>
      </c>
      <c r="B101" t="s">
        <v>104</v>
      </c>
      <c r="C101">
        <v>591</v>
      </c>
      <c r="D101" s="90">
        <v>3.3216783200000002E-2</v>
      </c>
      <c r="E101" s="67"/>
      <c r="F101" s="67"/>
      <c r="G101" s="67"/>
      <c r="H101" s="67"/>
      <c r="I101" s="67"/>
    </row>
    <row r="102" spans="1:9">
      <c r="A102" t="s">
        <v>346</v>
      </c>
      <c r="B102" t="s">
        <v>103</v>
      </c>
      <c r="C102">
        <v>93.6</v>
      </c>
      <c r="D102" s="90">
        <v>-1.6806722699999999E-2</v>
      </c>
      <c r="E102" s="67"/>
      <c r="F102" s="67"/>
      <c r="G102" s="67"/>
      <c r="H102" s="67"/>
      <c r="I102" s="67"/>
    </row>
    <row r="103" spans="1:9">
      <c r="A103" t="s">
        <v>246</v>
      </c>
      <c r="B103" t="s">
        <v>102</v>
      </c>
      <c r="C103">
        <v>141</v>
      </c>
      <c r="D103" s="90">
        <v>-1.3986014E-2</v>
      </c>
      <c r="E103" s="67"/>
      <c r="F103" s="67"/>
      <c r="G103" s="67"/>
      <c r="H103" s="67"/>
      <c r="I103" s="67"/>
    </row>
    <row r="104" spans="1:9">
      <c r="A104" t="s">
        <v>347</v>
      </c>
      <c r="B104" t="s">
        <v>101</v>
      </c>
      <c r="C104">
        <v>209</v>
      </c>
      <c r="D104" s="90">
        <v>-0.05</v>
      </c>
      <c r="E104" s="67"/>
      <c r="F104" s="67"/>
      <c r="G104" s="67"/>
      <c r="H104" s="67"/>
      <c r="I104" s="67"/>
    </row>
    <row r="105" spans="1:9">
      <c r="A105" t="s">
        <v>348</v>
      </c>
      <c r="B105" t="s">
        <v>100</v>
      </c>
      <c r="C105">
        <v>29.5</v>
      </c>
      <c r="D105" s="90">
        <v>-3.2786885199999997E-2</v>
      </c>
      <c r="E105" s="67"/>
      <c r="F105" s="67"/>
      <c r="G105" s="67"/>
      <c r="H105" s="67"/>
      <c r="I105" s="67"/>
    </row>
    <row r="106" spans="1:9">
      <c r="A106" t="s">
        <v>349</v>
      </c>
      <c r="B106" t="s">
        <v>99</v>
      </c>
      <c r="C106">
        <v>217</v>
      </c>
      <c r="D106" s="90">
        <v>0</v>
      </c>
      <c r="E106" s="67"/>
      <c r="F106" s="67"/>
      <c r="G106" s="67"/>
      <c r="H106" s="67"/>
      <c r="I106" s="67"/>
    </row>
    <row r="107" spans="1:9">
      <c r="A107" t="s">
        <v>350</v>
      </c>
      <c r="B107" t="s">
        <v>98</v>
      </c>
      <c r="C107">
        <v>238</v>
      </c>
      <c r="D107" s="90">
        <v>-1.2448132799999999E-2</v>
      </c>
      <c r="E107" s="67"/>
      <c r="F107" s="67"/>
      <c r="G107" s="67"/>
      <c r="H107" s="67"/>
      <c r="I107" s="67"/>
    </row>
    <row r="108" spans="1:9">
      <c r="A108" t="s">
        <v>247</v>
      </c>
      <c r="B108" t="s">
        <v>97</v>
      </c>
      <c r="C108">
        <v>8965</v>
      </c>
      <c r="D108" s="90">
        <v>1.3566987000000001E-2</v>
      </c>
      <c r="E108" s="67"/>
      <c r="F108" s="67"/>
      <c r="G108" s="67"/>
      <c r="H108" s="67"/>
      <c r="I108" s="67"/>
    </row>
    <row r="109" spans="1:9">
      <c r="A109" t="s">
        <v>351</v>
      </c>
      <c r="B109" t="s">
        <v>96</v>
      </c>
      <c r="C109">
        <v>625</v>
      </c>
      <c r="D109" s="90">
        <v>-5.7315233799999997E-2</v>
      </c>
    </row>
    <row r="110" spans="1:9">
      <c r="A110" t="s">
        <v>352</v>
      </c>
      <c r="B110" t="s">
        <v>227</v>
      </c>
      <c r="C110">
        <v>187</v>
      </c>
      <c r="D110" s="90">
        <v>-4.1025641000000002E-2</v>
      </c>
    </row>
    <row r="111" spans="1:9">
      <c r="A111" t="s">
        <v>353</v>
      </c>
      <c r="B111" t="s">
        <v>94</v>
      </c>
      <c r="C111">
        <v>481</v>
      </c>
      <c r="D111" s="90">
        <v>-6.2378167599999999E-2</v>
      </c>
    </row>
    <row r="112" spans="1:9">
      <c r="A112" t="s">
        <v>354</v>
      </c>
      <c r="B112" t="s">
        <v>93</v>
      </c>
      <c r="C112">
        <v>62990</v>
      </c>
      <c r="D112" s="90">
        <v>-6.0831966600000002E-2</v>
      </c>
    </row>
    <row r="113" spans="1:4">
      <c r="A113" t="s">
        <v>279</v>
      </c>
      <c r="B113" t="s">
        <v>92</v>
      </c>
      <c r="C113">
        <v>4065</v>
      </c>
      <c r="D113" s="90">
        <v>-2.4539877000000002E-3</v>
      </c>
    </row>
    <row r="114" spans="1:4">
      <c r="A114" t="s">
        <v>355</v>
      </c>
      <c r="B114" t="s">
        <v>189</v>
      </c>
      <c r="C114">
        <v>45260</v>
      </c>
      <c r="D114" s="90">
        <v>2.7235587799999999E-2</v>
      </c>
    </row>
    <row r="115" spans="1:4">
      <c r="A115" t="s">
        <v>356</v>
      </c>
      <c r="B115" t="s">
        <v>190</v>
      </c>
      <c r="C115">
        <v>8075</v>
      </c>
      <c r="D115" s="90">
        <v>4.4631306599999997E-2</v>
      </c>
    </row>
    <row r="116" spans="1:4">
      <c r="A116" t="s">
        <v>357</v>
      </c>
      <c r="B116" t="s">
        <v>191</v>
      </c>
      <c r="C116">
        <v>11960</v>
      </c>
      <c r="D116" s="90">
        <v>0.1544401544</v>
      </c>
    </row>
    <row r="117" spans="1:4">
      <c r="A117" t="s">
        <v>358</v>
      </c>
      <c r="B117" t="s">
        <v>192</v>
      </c>
      <c r="C117">
        <v>3015</v>
      </c>
      <c r="D117" s="90">
        <v>2.20338983E-2</v>
      </c>
    </row>
  </sheetData>
  <autoFilter ref="A1:D200" xr:uid="{14AEFAED-F8D0-499D-B306-448A9878D59D}">
    <sortState xmlns:xlrd2="http://schemas.microsoft.com/office/spreadsheetml/2017/richdata2" ref="A2:D117">
      <sortCondition descending="1" ref="D1:D200"/>
    </sortState>
  </autoFilter>
  <mergeCells count="25">
    <mergeCell ref="G4:I5"/>
    <mergeCell ref="G3:I3"/>
    <mergeCell ref="G18:I18"/>
    <mergeCell ref="G10:I10"/>
    <mergeCell ref="G11:I12"/>
    <mergeCell ref="H13:I13"/>
    <mergeCell ref="G7:G8"/>
    <mergeCell ref="G14:G15"/>
    <mergeCell ref="H14:I15"/>
    <mergeCell ref="G19:G20"/>
    <mergeCell ref="H19:I19"/>
    <mergeCell ref="O3:Q3"/>
    <mergeCell ref="O4:O5"/>
    <mergeCell ref="P4:Q4"/>
    <mergeCell ref="K3:M3"/>
    <mergeCell ref="K4:K5"/>
    <mergeCell ref="L4:M4"/>
    <mergeCell ref="L19:M19"/>
    <mergeCell ref="K19:K20"/>
    <mergeCell ref="K18:M18"/>
    <mergeCell ref="H6:I6"/>
    <mergeCell ref="O18:Q18"/>
    <mergeCell ref="O19:O20"/>
    <mergeCell ref="P19:Q19"/>
    <mergeCell ref="H7:I8"/>
  </mergeCells>
  <phoneticPr fontId="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DB7DB1-7814-46D2-B0E6-BE832A5AEA2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투자전략1</vt:lpstr>
      <vt:lpstr>2021.04.02</vt:lpstr>
      <vt:lpstr>2021.04.03</vt:lpstr>
      <vt:lpstr>2021.04.04</vt:lpstr>
      <vt:lpstr>2021.04.05</vt:lpstr>
      <vt:lpstr>2021.04.06</vt:lpstr>
      <vt:lpstr>2021.04.07</vt:lpstr>
      <vt:lpstr>2021.04.08</vt:lpstr>
      <vt:lpstr>2021.04.09</vt:lpstr>
      <vt:lpstr>2021.04.10</vt:lpstr>
      <vt:lpstr>2021.04.11</vt:lpstr>
      <vt:lpstr>2021.04.12</vt:lpstr>
      <vt:lpstr>2021.04.13</vt:lpstr>
      <vt:lpstr>2021.04.14</vt:lpstr>
      <vt:lpstr>2021.04.15</vt:lpstr>
      <vt:lpstr>2021.04.16</vt:lpstr>
      <vt:lpstr>2021.04.17</vt:lpstr>
      <vt:lpstr>2021.04.18</vt:lpstr>
      <vt:lpstr>2021.04.19</vt:lpstr>
      <vt:lpstr>2021.04.20</vt:lpstr>
      <vt:lpstr>현재가테이블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YJ</cp:lastModifiedBy>
  <dcterms:created xsi:type="dcterms:W3CDTF">2021-04-01T15:08:20Z</dcterms:created>
  <dcterms:modified xsi:type="dcterms:W3CDTF">2021-04-20T12:58:10Z</dcterms:modified>
</cp:coreProperties>
</file>