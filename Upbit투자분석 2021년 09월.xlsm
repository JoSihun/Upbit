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7BFCFE5F-F7DA-4A73-8565-A877FEB2DDA4}" xr6:coauthVersionLast="47" xr6:coauthVersionMax="47" xr10:uidLastSave="{00000000-0000-0000-0000-000000000000}"/>
  <bookViews>
    <workbookView xWindow="28680" yWindow="-120" windowWidth="29040" windowHeight="15840" firstSheet="1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5" l="1"/>
  <c r="O198" i="25"/>
  <c r="N198" i="25"/>
  <c r="L198" i="25"/>
  <c r="K198" i="25"/>
  <c r="H198" i="25"/>
  <c r="I198" i="25" s="1"/>
  <c r="F198" i="25"/>
  <c r="E198" i="25"/>
  <c r="O197" i="25"/>
  <c r="N197" i="25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O195" i="25"/>
  <c r="N195" i="25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O191" i="25"/>
  <c r="N191" i="25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O186" i="25"/>
  <c r="N186" i="25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O184" i="25"/>
  <c r="N184" i="25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O182" i="25"/>
  <c r="N182" i="25"/>
  <c r="L182" i="25"/>
  <c r="K182" i="25"/>
  <c r="H182" i="25"/>
  <c r="I182" i="25" s="1"/>
  <c r="F182" i="25"/>
  <c r="E182" i="25"/>
  <c r="O181" i="25"/>
  <c r="N181" i="25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O179" i="25"/>
  <c r="O199" i="25" s="1"/>
  <c r="N179" i="25"/>
  <c r="N199" i="25" s="1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O172" i="25" s="1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O140" i="25"/>
  <c r="N140" i="25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O138" i="25"/>
  <c r="N138" i="25"/>
  <c r="L138" i="25"/>
  <c r="K138" i="25"/>
  <c r="H138" i="25"/>
  <c r="I138" i="25" s="1"/>
  <c r="E138" i="25"/>
  <c r="F138" i="25" s="1"/>
  <c r="O137" i="25"/>
  <c r="N137" i="25"/>
  <c r="K137" i="25"/>
  <c r="L137" i="25" s="1"/>
  <c r="H137" i="25"/>
  <c r="I137" i="25" s="1"/>
  <c r="E137" i="25"/>
  <c r="F137" i="25" s="1"/>
  <c r="O136" i="25"/>
  <c r="N136" i="25"/>
  <c r="L136" i="25"/>
  <c r="K136" i="25"/>
  <c r="I136" i="25"/>
  <c r="H136" i="25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O132" i="25"/>
  <c r="N132" i="25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H129" i="25"/>
  <c r="I129" i="25" s="1"/>
  <c r="E129" i="25"/>
  <c r="F129" i="25" s="1"/>
  <c r="O128" i="25"/>
  <c r="N128" i="25"/>
  <c r="L128" i="25"/>
  <c r="K128" i="25"/>
  <c r="I128" i="25"/>
  <c r="H128" i="25"/>
  <c r="E128" i="25"/>
  <c r="F128" i="25" s="1"/>
  <c r="O127" i="25"/>
  <c r="N127" i="25"/>
  <c r="K127" i="25"/>
  <c r="L127" i="25" s="1"/>
  <c r="I127" i="25"/>
  <c r="H127" i="25"/>
  <c r="E127" i="25"/>
  <c r="F127" i="25" s="1"/>
  <c r="O126" i="25"/>
  <c r="N126" i="25"/>
  <c r="K126" i="25"/>
  <c r="L126" i="25" s="1"/>
  <c r="H126" i="25"/>
  <c r="I126" i="25" s="1"/>
  <c r="E126" i="25"/>
  <c r="F126" i="25" s="1"/>
  <c r="O125" i="25"/>
  <c r="O145" i="25" s="1"/>
  <c r="N125" i="25"/>
  <c r="N145" i="25" s="1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O116" i="25"/>
  <c r="N116" i="25"/>
  <c r="L116" i="25"/>
  <c r="K116" i="25"/>
  <c r="I116" i="25"/>
  <c r="H116" i="25"/>
  <c r="F116" i="25"/>
  <c r="E116" i="25"/>
  <c r="O115" i="25"/>
  <c r="N115" i="25"/>
  <c r="L115" i="25"/>
  <c r="K115" i="25"/>
  <c r="I115" i="25"/>
  <c r="H115" i="25"/>
  <c r="F115" i="25"/>
  <c r="E115" i="25"/>
  <c r="O114" i="25"/>
  <c r="N114" i="25"/>
  <c r="L114" i="25"/>
  <c r="K114" i="25"/>
  <c r="I114" i="25"/>
  <c r="H114" i="25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I106" i="25"/>
  <c r="H106" i="25"/>
  <c r="F106" i="25"/>
  <c r="E106" i="25"/>
  <c r="O105" i="25"/>
  <c r="N105" i="25"/>
  <c r="L105" i="25"/>
  <c r="K105" i="25"/>
  <c r="I105" i="25"/>
  <c r="H105" i="25"/>
  <c r="F105" i="25"/>
  <c r="E105" i="25"/>
  <c r="O104" i="25"/>
  <c r="N104" i="25"/>
  <c r="L104" i="25"/>
  <c r="K104" i="25"/>
  <c r="I104" i="25"/>
  <c r="H104" i="25"/>
  <c r="F104" i="25"/>
  <c r="E104" i="25"/>
  <c r="O103" i="25"/>
  <c r="N103" i="25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O101" i="25"/>
  <c r="N101" i="25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O98" i="25"/>
  <c r="O118" i="25" s="1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O88" i="25"/>
  <c r="N88" i="25"/>
  <c r="K88" i="25"/>
  <c r="L88" i="25" s="1"/>
  <c r="H88" i="25"/>
  <c r="I88" i="25" s="1"/>
  <c r="E88" i="25"/>
  <c r="F88" i="25" s="1"/>
  <c r="O87" i="25"/>
  <c r="N87" i="25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O85" i="25"/>
  <c r="N85" i="25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O83" i="25"/>
  <c r="N83" i="25"/>
  <c r="K83" i="25"/>
  <c r="L83" i="25" s="1"/>
  <c r="I83" i="25"/>
  <c r="H83" i="25"/>
  <c r="E83" i="25"/>
  <c r="F83" i="25" s="1"/>
  <c r="O82" i="25"/>
  <c r="N82" i="25"/>
  <c r="K82" i="25"/>
  <c r="L82" i="25" s="1"/>
  <c r="I82" i="25"/>
  <c r="H82" i="25"/>
  <c r="E82" i="25"/>
  <c r="F82" i="25" s="1"/>
  <c r="O81" i="25"/>
  <c r="N81" i="25"/>
  <c r="K81" i="25"/>
  <c r="L81" i="25" s="1"/>
  <c r="H81" i="25"/>
  <c r="I81" i="25" s="1"/>
  <c r="E81" i="25"/>
  <c r="F81" i="25" s="1"/>
  <c r="O80" i="25"/>
  <c r="N80" i="25"/>
  <c r="K80" i="25"/>
  <c r="L80" i="25" s="1"/>
  <c r="H80" i="25"/>
  <c r="I80" i="25" s="1"/>
  <c r="E80" i="25"/>
  <c r="F80" i="25" s="1"/>
  <c r="O79" i="25"/>
  <c r="N79" i="25"/>
  <c r="K79" i="25"/>
  <c r="L79" i="25" s="1"/>
  <c r="I79" i="25"/>
  <c r="H79" i="25"/>
  <c r="E79" i="25"/>
  <c r="F79" i="25" s="1"/>
  <c r="O78" i="25"/>
  <c r="N78" i="25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O76" i="25"/>
  <c r="N76" i="25"/>
  <c r="K76" i="25"/>
  <c r="L76" i="25" s="1"/>
  <c r="H76" i="25"/>
  <c r="I76" i="25" s="1"/>
  <c r="E76" i="25"/>
  <c r="F76" i="25" s="1"/>
  <c r="O75" i="25"/>
  <c r="N75" i="25"/>
  <c r="K75" i="25"/>
  <c r="L75" i="25" s="1"/>
  <c r="H75" i="25"/>
  <c r="I75" i="25" s="1"/>
  <c r="E75" i="25"/>
  <c r="F75" i="25" s="1"/>
  <c r="O74" i="25"/>
  <c r="N74" i="25"/>
  <c r="K74" i="25"/>
  <c r="L74" i="25" s="1"/>
  <c r="I74" i="25"/>
  <c r="H74" i="25"/>
  <c r="E74" i="25"/>
  <c r="F74" i="25" s="1"/>
  <c r="O73" i="25"/>
  <c r="N73" i="25"/>
  <c r="L73" i="25"/>
  <c r="K73" i="25"/>
  <c r="H73" i="25"/>
  <c r="I73" i="25" s="1"/>
  <c r="E73" i="25"/>
  <c r="F73" i="25" s="1"/>
  <c r="O72" i="25"/>
  <c r="N72" i="25"/>
  <c r="K72" i="25"/>
  <c r="L72" i="25" s="1"/>
  <c r="H72" i="25"/>
  <c r="I72" i="25" s="1"/>
  <c r="E72" i="25"/>
  <c r="F72" i="25" s="1"/>
  <c r="O71" i="25"/>
  <c r="O91" i="25" s="1"/>
  <c r="N71" i="25"/>
  <c r="N91" i="25" s="1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O60" i="25"/>
  <c r="N60" i="25"/>
  <c r="K60" i="25"/>
  <c r="L60" i="25" s="1"/>
  <c r="I60" i="25"/>
  <c r="H60" i="25"/>
  <c r="F60" i="25"/>
  <c r="E60" i="25"/>
  <c r="O59" i="25"/>
  <c r="N59" i="25"/>
  <c r="K59" i="25"/>
  <c r="L59" i="25" s="1"/>
  <c r="I59" i="25"/>
  <c r="H59" i="25"/>
  <c r="F59" i="25"/>
  <c r="E59" i="25"/>
  <c r="O58" i="25"/>
  <c r="N58" i="25"/>
  <c r="K58" i="25"/>
  <c r="L58" i="25" s="1"/>
  <c r="I58" i="25"/>
  <c r="H58" i="25"/>
  <c r="E58" i="25"/>
  <c r="F58" i="25" s="1"/>
  <c r="O57" i="25"/>
  <c r="N57" i="25"/>
  <c r="K57" i="25"/>
  <c r="L57" i="25" s="1"/>
  <c r="H57" i="25"/>
  <c r="I57" i="25" s="1"/>
  <c r="F57" i="25"/>
  <c r="E57" i="25"/>
  <c r="O56" i="25"/>
  <c r="N56" i="25"/>
  <c r="L56" i="25"/>
  <c r="K56" i="25"/>
  <c r="H56" i="25"/>
  <c r="I56" i="25" s="1"/>
  <c r="F56" i="25"/>
  <c r="E56" i="25"/>
  <c r="O55" i="25"/>
  <c r="N55" i="25"/>
  <c r="K55" i="25"/>
  <c r="L55" i="25" s="1"/>
  <c r="H55" i="25"/>
  <c r="I55" i="25" s="1"/>
  <c r="F55" i="25"/>
  <c r="E55" i="25"/>
  <c r="O54" i="25"/>
  <c r="N54" i="25"/>
  <c r="K54" i="25"/>
  <c r="L54" i="25" s="1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O52" i="25"/>
  <c r="N52" i="25"/>
  <c r="L52" i="25"/>
  <c r="K52" i="25"/>
  <c r="H52" i="25"/>
  <c r="I52" i="25" s="1"/>
  <c r="F52" i="25"/>
  <c r="E52" i="25"/>
  <c r="O51" i="25"/>
  <c r="N51" i="25"/>
  <c r="K51" i="25"/>
  <c r="L51" i="25" s="1"/>
  <c r="H51" i="25"/>
  <c r="I51" i="25" s="1"/>
  <c r="F51" i="25"/>
  <c r="E51" i="25"/>
  <c r="O50" i="25"/>
  <c r="N50" i="25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O48" i="25"/>
  <c r="N48" i="25"/>
  <c r="L48" i="25"/>
  <c r="K48" i="25"/>
  <c r="H48" i="25"/>
  <c r="I48" i="25" s="1"/>
  <c r="F48" i="25"/>
  <c r="E48" i="25"/>
  <c r="O47" i="25"/>
  <c r="N47" i="25"/>
  <c r="K47" i="25"/>
  <c r="L47" i="25" s="1"/>
  <c r="H47" i="25"/>
  <c r="I47" i="25" s="1"/>
  <c r="F47" i="25"/>
  <c r="E47" i="25"/>
  <c r="O46" i="25"/>
  <c r="N46" i="25"/>
  <c r="K46" i="25"/>
  <c r="L46" i="25" s="1"/>
  <c r="H46" i="25"/>
  <c r="I46" i="25" s="1"/>
  <c r="F46" i="25"/>
  <c r="E46" i="25"/>
  <c r="O45" i="25"/>
  <c r="N45" i="25"/>
  <c r="K45" i="25"/>
  <c r="L45" i="25" s="1"/>
  <c r="H45" i="25"/>
  <c r="I45" i="25" s="1"/>
  <c r="F45" i="25"/>
  <c r="E45" i="25"/>
  <c r="O44" i="25"/>
  <c r="O64" i="25" s="1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O194" i="24"/>
  <c r="N194" i="24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O190" i="24"/>
  <c r="N190" i="24"/>
  <c r="L190" i="24"/>
  <c r="K190" i="24"/>
  <c r="H190" i="24"/>
  <c r="I190" i="24" s="1"/>
  <c r="F190" i="24"/>
  <c r="E190" i="24"/>
  <c r="O189" i="24"/>
  <c r="N189" i="24"/>
  <c r="K189" i="24"/>
  <c r="L189" i="24" s="1"/>
  <c r="H189" i="24"/>
  <c r="I189" i="24" s="1"/>
  <c r="F189" i="24"/>
  <c r="E189" i="24"/>
  <c r="N188" i="24"/>
  <c r="O188" i="24" s="1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I187" i="24" s="1"/>
  <c r="F187" i="24"/>
  <c r="E187" i="24"/>
  <c r="N186" i="24"/>
  <c r="O186" i="24" s="1"/>
  <c r="L186" i="24"/>
  <c r="K186" i="24"/>
  <c r="H186" i="24"/>
  <c r="I186" i="24" s="1"/>
  <c r="F186" i="24"/>
  <c r="E186" i="24"/>
  <c r="O185" i="24"/>
  <c r="N185" i="24"/>
  <c r="K185" i="24"/>
  <c r="L185" i="24" s="1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O171" i="24"/>
  <c r="N171" i="24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L169" i="24"/>
  <c r="K169" i="24"/>
  <c r="H169" i="24"/>
  <c r="I169" i="24" s="1"/>
  <c r="F169" i="24"/>
  <c r="E169" i="24"/>
  <c r="O168" i="24"/>
  <c r="N168" i="24"/>
  <c r="K168" i="24"/>
  <c r="L168" i="24" s="1"/>
  <c r="H168" i="24"/>
  <c r="I168" i="24" s="1"/>
  <c r="F168" i="24"/>
  <c r="E168" i="24"/>
  <c r="N167" i="24"/>
  <c r="O167" i="24" s="1"/>
  <c r="L167" i="24"/>
  <c r="K167" i="24"/>
  <c r="H167" i="24"/>
  <c r="I167" i="24" s="1"/>
  <c r="F167" i="24"/>
  <c r="E167" i="24"/>
  <c r="O166" i="24"/>
  <c r="N166" i="24"/>
  <c r="K166" i="24"/>
  <c r="L166" i="24" s="1"/>
  <c r="H166" i="24"/>
  <c r="I166" i="24" s="1"/>
  <c r="F166" i="24"/>
  <c r="E166" i="24"/>
  <c r="N165" i="24"/>
  <c r="O165" i="24" s="1"/>
  <c r="L165" i="24"/>
  <c r="K165" i="24"/>
  <c r="H165" i="24"/>
  <c r="I165" i="24" s="1"/>
  <c r="F165" i="24"/>
  <c r="E165" i="24"/>
  <c r="N164" i="24"/>
  <c r="O164" i="24" s="1"/>
  <c r="K164" i="24"/>
  <c r="L164" i="24" s="1"/>
  <c r="H164" i="24"/>
  <c r="I164" i="24" s="1"/>
  <c r="F164" i="24"/>
  <c r="E164" i="24"/>
  <c r="O163" i="24"/>
  <c r="N163" i="24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O161" i="24"/>
  <c r="N161" i="24"/>
  <c r="L161" i="24"/>
  <c r="K161" i="24"/>
  <c r="H161" i="24"/>
  <c r="I161" i="24" s="1"/>
  <c r="F161" i="24"/>
  <c r="E161" i="24"/>
  <c r="O160" i="24"/>
  <c r="N160" i="24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O158" i="24"/>
  <c r="N158" i="24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L141" i="24" s="1"/>
  <c r="I141" i="24"/>
  <c r="H141" i="24"/>
  <c r="E141" i="24"/>
  <c r="F141" i="24" s="1"/>
  <c r="O140" i="24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I117" i="24"/>
  <c r="H117" i="24"/>
  <c r="E117" i="24"/>
  <c r="F117" i="24" s="1"/>
  <c r="O116" i="24"/>
  <c r="N116" i="24"/>
  <c r="K116" i="24"/>
  <c r="L116" i="24" s="1"/>
  <c r="H116" i="24"/>
  <c r="I116" i="24" s="1"/>
  <c r="E116" i="24"/>
  <c r="F116" i="24" s="1"/>
  <c r="N115" i="24"/>
  <c r="O115" i="24" s="1"/>
  <c r="K115" i="24"/>
  <c r="L115" i="24" s="1"/>
  <c r="I115" i="24"/>
  <c r="H115" i="24"/>
  <c r="E115" i="24"/>
  <c r="F115" i="24" s="1"/>
  <c r="N114" i="24"/>
  <c r="O114" i="24" s="1"/>
  <c r="L114" i="24"/>
  <c r="K114" i="24"/>
  <c r="H114" i="24"/>
  <c r="I114" i="24" s="1"/>
  <c r="E114" i="24"/>
  <c r="F114" i="24" s="1"/>
  <c r="N113" i="24"/>
  <c r="O113" i="24" s="1"/>
  <c r="L113" i="24"/>
  <c r="K113" i="24"/>
  <c r="I113" i="24"/>
  <c r="H113" i="24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I111" i="24"/>
  <c r="H111" i="24"/>
  <c r="E111" i="24"/>
  <c r="F111" i="24" s="1"/>
  <c r="N110" i="24"/>
  <c r="O110" i="24" s="1"/>
  <c r="L110" i="24"/>
  <c r="K110" i="24"/>
  <c r="H110" i="24"/>
  <c r="I110" i="24" s="1"/>
  <c r="E110" i="24"/>
  <c r="F110" i="24" s="1"/>
  <c r="N109" i="24"/>
  <c r="O109" i="24" s="1"/>
  <c r="L109" i="24"/>
  <c r="K109" i="24"/>
  <c r="I109" i="24"/>
  <c r="H109" i="24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F118" i="24" s="1"/>
  <c r="M96" i="24"/>
  <c r="J96" i="24"/>
  <c r="G96" i="24"/>
  <c r="D96" i="24"/>
  <c r="B96" i="24"/>
  <c r="M95" i="24"/>
  <c r="G95" i="24"/>
  <c r="B91" i="24"/>
  <c r="O90" i="24"/>
  <c r="N90" i="24"/>
  <c r="K90" i="24"/>
  <c r="L90" i="24" s="1"/>
  <c r="H90" i="24"/>
  <c r="I90" i="24" s="1"/>
  <c r="F90" i="24"/>
  <c r="E90" i="24"/>
  <c r="N89" i="24"/>
  <c r="O89" i="24" s="1"/>
  <c r="L89" i="24"/>
  <c r="K89" i="24"/>
  <c r="H89" i="24"/>
  <c r="I89" i="24" s="1"/>
  <c r="F89" i="24"/>
  <c r="E89" i="24"/>
  <c r="N88" i="24"/>
  <c r="O88" i="24" s="1"/>
  <c r="K88" i="24"/>
  <c r="L88" i="24" s="1"/>
  <c r="H88" i="24"/>
  <c r="I88" i="24" s="1"/>
  <c r="F88" i="24"/>
  <c r="E88" i="24"/>
  <c r="N87" i="24"/>
  <c r="O87" i="24" s="1"/>
  <c r="K87" i="24"/>
  <c r="L87" i="24" s="1"/>
  <c r="H87" i="24"/>
  <c r="I87" i="24" s="1"/>
  <c r="F87" i="24"/>
  <c r="E87" i="24"/>
  <c r="N86" i="24"/>
  <c r="O86" i="24" s="1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F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25" l="1"/>
  <c r="L179" i="25"/>
  <c r="L199" i="25" s="1"/>
  <c r="G9" i="25" s="1"/>
  <c r="L145" i="25"/>
  <c r="K145" i="25"/>
  <c r="K118" i="25"/>
  <c r="L98" i="25"/>
  <c r="L118" i="25" s="1"/>
  <c r="L91" i="25"/>
  <c r="K91" i="25"/>
  <c r="L64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I64" i="25" s="1"/>
  <c r="F125" i="25"/>
  <c r="F145" i="25" s="1"/>
  <c r="F118" i="25"/>
  <c r="F71" i="25"/>
  <c r="F91" i="25" s="1"/>
  <c r="F64" i="25"/>
  <c r="N199" i="24"/>
  <c r="O179" i="24"/>
  <c r="O199" i="24" s="1"/>
  <c r="O172" i="24"/>
  <c r="N172" i="24"/>
  <c r="O145" i="24"/>
  <c r="O118" i="24"/>
  <c r="N118" i="24"/>
  <c r="O71" i="24"/>
  <c r="O91" i="24" s="1"/>
  <c r="O64" i="24"/>
  <c r="N64" i="24"/>
  <c r="K37" i="25"/>
  <c r="O37" i="25"/>
  <c r="F37" i="25"/>
  <c r="N37" i="25"/>
  <c r="H37" i="25"/>
  <c r="L37" i="25"/>
  <c r="E37" i="25"/>
  <c r="I37" i="25"/>
  <c r="G5" i="25"/>
  <c r="G3" i="25"/>
  <c r="K199" i="24"/>
  <c r="L179" i="24"/>
  <c r="L199" i="24" s="1"/>
  <c r="K172" i="24"/>
  <c r="L152" i="24"/>
  <c r="L172" i="24" s="1"/>
  <c r="L125" i="24"/>
  <c r="L145" i="24" s="1"/>
  <c r="K118" i="24"/>
  <c r="L118" i="24"/>
  <c r="K91" i="24"/>
  <c r="L71" i="24"/>
  <c r="L91" i="24" s="1"/>
  <c r="K64" i="24"/>
  <c r="L64" i="24"/>
  <c r="G5" i="24" s="1"/>
  <c r="I179" i="24"/>
  <c r="I199" i="24" s="1"/>
  <c r="I152" i="24"/>
  <c r="I172" i="24" s="1"/>
  <c r="I145" i="24"/>
  <c r="H145" i="24"/>
  <c r="H118" i="24"/>
  <c r="I98" i="24"/>
  <c r="I118" i="24" s="1"/>
  <c r="G3" i="24" s="1"/>
  <c r="I71" i="24"/>
  <c r="I91" i="24" s="1"/>
  <c r="I44" i="24"/>
  <c r="I64" i="24" s="1"/>
  <c r="F125" i="24"/>
  <c r="F145" i="24" s="1"/>
  <c r="E118" i="24"/>
  <c r="F64" i="24"/>
  <c r="G9" i="24"/>
  <c r="K37" i="24"/>
  <c r="O37" i="24"/>
  <c r="H37" i="24"/>
  <c r="L37" i="24"/>
  <c r="E37" i="24"/>
  <c r="I37" i="24"/>
  <c r="F37" i="24"/>
  <c r="N37" i="24"/>
  <c r="G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7" i="25" l="1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109" i="9"/>
  <c r="L187" i="9"/>
  <c r="N149" i="9"/>
  <c r="H163" i="9"/>
  <c r="N263" i="9"/>
  <c r="N229" i="9"/>
  <c r="O64" i="3"/>
  <c r="C61" i="9"/>
  <c r="I269" i="9"/>
  <c r="O268" i="9"/>
  <c r="H40" i="9"/>
  <c r="F190" i="9"/>
  <c r="I146" i="9"/>
  <c r="F222" i="9"/>
  <c r="H41" i="9"/>
  <c r="H197" i="9"/>
  <c r="K272" i="9"/>
  <c r="K198" i="9"/>
  <c r="K143" i="9"/>
  <c r="L74" i="9"/>
  <c r="E63" i="9"/>
  <c r="I127" i="9"/>
  <c r="L104" i="9"/>
  <c r="O113" i="9"/>
  <c r="C76" i="9"/>
  <c r="F99" i="9"/>
  <c r="C242" i="9"/>
  <c r="O40" i="3"/>
  <c r="K142" i="9"/>
  <c r="I141" i="9"/>
  <c r="C157" i="9"/>
  <c r="C118" i="9"/>
  <c r="N115" i="9"/>
  <c r="N109" i="9"/>
  <c r="N22" i="9"/>
  <c r="N219" i="9"/>
  <c r="I32" i="9"/>
  <c r="L188" i="9"/>
  <c r="K271" i="9"/>
  <c r="F45" i="9"/>
  <c r="K67" i="3"/>
  <c r="E22" i="9"/>
  <c r="L69" i="9"/>
  <c r="O241" i="9"/>
  <c r="I80" i="9"/>
  <c r="O108" i="9"/>
  <c r="O35" i="3"/>
  <c r="E234" i="9"/>
  <c r="K26" i="9"/>
  <c r="H61" i="9"/>
  <c r="L38" i="9"/>
  <c r="F204" i="9"/>
  <c r="L124" i="9"/>
  <c r="O65" i="9"/>
  <c r="K221" i="9"/>
  <c r="L24" i="9"/>
  <c r="O82" i="9"/>
  <c r="O79" i="9"/>
  <c r="N144" i="9"/>
  <c r="L240" i="9"/>
  <c r="I136" i="9"/>
  <c r="N180" i="9"/>
  <c r="F100" i="9"/>
  <c r="C259" i="9"/>
  <c r="C127" i="9"/>
  <c r="H109" i="9"/>
  <c r="C151" i="9"/>
  <c r="E252" i="9"/>
  <c r="F239" i="9"/>
  <c r="L181" i="9"/>
  <c r="E24" i="9"/>
  <c r="C177" i="9"/>
  <c r="O66" i="3"/>
  <c r="O56" i="3"/>
  <c r="K68" i="9"/>
  <c r="O30" i="9"/>
  <c r="K216" i="9"/>
  <c r="I268" i="9"/>
  <c r="O197" i="9"/>
  <c r="I73" i="9"/>
  <c r="K266" i="9"/>
  <c r="N214" i="9"/>
  <c r="H126" i="9"/>
  <c r="L239" i="9"/>
  <c r="E157" i="9"/>
  <c r="H102" i="9"/>
  <c r="H188" i="9"/>
  <c r="F39" i="9"/>
  <c r="K268" i="9"/>
  <c r="N253" i="9"/>
  <c r="K224" i="9"/>
  <c r="N260" i="9"/>
  <c r="K155" i="9"/>
  <c r="K27" i="9"/>
  <c r="H225" i="9"/>
  <c r="O163" i="9"/>
  <c r="F193" i="9"/>
  <c r="E265" i="9"/>
  <c r="F46" i="9"/>
  <c r="E82" i="9"/>
  <c r="O125" i="9"/>
  <c r="E255" i="9"/>
  <c r="L175" i="9"/>
  <c r="E83" i="9"/>
  <c r="F28" i="9"/>
  <c r="N101" i="9"/>
  <c r="L217" i="9"/>
  <c r="I227" i="9"/>
  <c r="E159" i="9"/>
  <c r="E235" i="9"/>
  <c r="E267" i="9"/>
  <c r="F280" i="9"/>
  <c r="C80" i="9"/>
  <c r="E192" i="9"/>
  <c r="K81" i="9"/>
  <c r="K98" i="9"/>
  <c r="E212" i="9"/>
  <c r="O236" i="9"/>
  <c r="L102" i="9"/>
  <c r="N71" i="9"/>
  <c r="L224" i="9"/>
  <c r="I44" i="9"/>
  <c r="O70" i="3"/>
  <c r="F164" i="9"/>
  <c r="O182" i="9"/>
  <c r="I147" i="9"/>
  <c r="H227" i="9"/>
  <c r="K105" i="9"/>
  <c r="O279" i="9"/>
  <c r="H140" i="9"/>
  <c r="N117" i="9"/>
  <c r="E103" i="9"/>
  <c r="I236" i="9"/>
  <c r="L185" i="9"/>
  <c r="O71" i="9"/>
  <c r="H153" i="9"/>
  <c r="H272" i="9"/>
  <c r="O59" i="3"/>
  <c r="L160" i="9"/>
  <c r="O49" i="3"/>
  <c r="L30" i="9"/>
  <c r="O162" i="9"/>
  <c r="L250" i="9"/>
  <c r="L218" i="9"/>
  <c r="E204" i="9"/>
  <c r="C117" i="9"/>
  <c r="L143" i="9"/>
  <c r="I274" i="9"/>
  <c r="F142" i="9"/>
  <c r="C100" i="9"/>
  <c r="I77" i="9"/>
  <c r="L228" i="9"/>
  <c r="H87" i="9"/>
  <c r="N239" i="9"/>
  <c r="C50" i="9"/>
  <c r="L158" i="9"/>
  <c r="E49" i="9"/>
  <c r="O112" i="9"/>
  <c r="H230" i="9"/>
  <c r="F259" i="9"/>
  <c r="F255" i="9"/>
  <c r="F153" i="9"/>
  <c r="F226" i="9"/>
  <c r="O257" i="9"/>
  <c r="N163" i="9"/>
  <c r="K228" i="9"/>
  <c r="N82" i="9"/>
  <c r="E32" i="9"/>
  <c r="O87" i="9"/>
  <c r="I177" i="9"/>
  <c r="E223" i="9"/>
  <c r="E256" i="9"/>
  <c r="L39" i="9"/>
  <c r="I107" i="9"/>
  <c r="F234" i="9"/>
  <c r="I261" i="9"/>
  <c r="E39" i="9"/>
  <c r="F178" i="9"/>
  <c r="E148" i="9"/>
  <c r="C273" i="9"/>
  <c r="C278" i="9"/>
  <c r="F29" i="9"/>
  <c r="F104" i="9"/>
  <c r="N277" i="9"/>
  <c r="L255" i="9"/>
  <c r="I35" i="9"/>
  <c r="F83" i="9"/>
  <c r="F230" i="9"/>
  <c r="K141" i="9"/>
  <c r="F98" i="9"/>
  <c r="F162" i="9"/>
  <c r="K21" i="5"/>
  <c r="F276" i="9"/>
  <c r="C115" i="9"/>
  <c r="L120" i="9"/>
  <c r="C78" i="9"/>
  <c r="O270" i="9"/>
  <c r="K218" i="9"/>
  <c r="H79" i="9"/>
  <c r="I124" i="9"/>
  <c r="E260" i="9"/>
  <c r="E102" i="9"/>
  <c r="O32" i="3"/>
  <c r="N186" i="9"/>
  <c r="F120" i="9"/>
  <c r="C154" i="9"/>
  <c r="C63" i="9"/>
  <c r="H183" i="9"/>
  <c r="F147" i="9"/>
  <c r="O23" i="9"/>
  <c r="G35" i="3"/>
  <c r="L278" i="9"/>
  <c r="F196" i="9"/>
  <c r="E153" i="9"/>
  <c r="I109" i="9"/>
  <c r="N119" i="9"/>
  <c r="F278" i="9"/>
  <c r="L242" i="9"/>
  <c r="H241" i="9"/>
  <c r="E85" i="9"/>
  <c r="H103" i="9"/>
  <c r="N125" i="9"/>
  <c r="C272" i="9"/>
  <c r="K111" i="9"/>
  <c r="K176" i="9"/>
  <c r="H32" i="9"/>
  <c r="L44" i="9"/>
  <c r="H164" i="9"/>
  <c r="K73" i="3"/>
  <c r="H28" i="9"/>
  <c r="K23" i="3"/>
  <c r="H275" i="9"/>
  <c r="K161" i="9"/>
  <c r="H145" i="9"/>
  <c r="L114" i="9"/>
  <c r="I191" i="9"/>
  <c r="K114" i="9"/>
  <c r="I157" i="9"/>
  <c r="H185" i="9"/>
  <c r="K74" i="9"/>
  <c r="F44" i="9"/>
  <c r="L71" i="9"/>
  <c r="K13" i="3"/>
  <c r="C23" i="9"/>
  <c r="E47" i="9"/>
  <c r="L99" i="9"/>
  <c r="F75" i="9"/>
  <c r="F235" i="9"/>
  <c r="I150" i="9"/>
  <c r="G62" i="3"/>
  <c r="G32" i="3"/>
  <c r="N108" i="9"/>
  <c r="O48" i="3"/>
  <c r="O276" i="9"/>
  <c r="F256" i="9"/>
  <c r="K38" i="3"/>
  <c r="O38" i="3"/>
  <c r="K83" i="9"/>
  <c r="C189" i="9"/>
  <c r="E81" i="9"/>
  <c r="K280" i="9"/>
  <c r="O33" i="3"/>
  <c r="O153" i="9"/>
  <c r="L40" i="9"/>
  <c r="G59" i="3"/>
  <c r="N164" i="9"/>
  <c r="F69" i="9"/>
  <c r="O26" i="9"/>
  <c r="C119" i="9"/>
  <c r="K12" i="3"/>
  <c r="F265" i="9"/>
  <c r="N32" i="9"/>
  <c r="G46" i="3"/>
  <c r="I188" i="9"/>
  <c r="K227" i="9"/>
  <c r="K40" i="9"/>
  <c r="L64" i="9"/>
  <c r="L275" i="9"/>
  <c r="K162" i="9"/>
  <c r="F51" i="9"/>
  <c r="I65" i="9"/>
  <c r="H174" i="9"/>
  <c r="N232" i="9"/>
  <c r="H119" i="9"/>
  <c r="H72" i="9"/>
  <c r="C228" i="9"/>
  <c r="H182" i="9"/>
  <c r="H257" i="9"/>
  <c r="E175" i="9"/>
  <c r="H200" i="9"/>
  <c r="E65" i="9"/>
  <c r="F159" i="9"/>
  <c r="N45" i="9"/>
  <c r="F253" i="9"/>
  <c r="H141" i="9"/>
  <c r="K101" i="9"/>
  <c r="L269" i="9"/>
  <c r="G34" i="3"/>
  <c r="I250" i="9"/>
  <c r="I204" i="9"/>
  <c r="F228" i="9"/>
  <c r="I186" i="9"/>
  <c r="K45" i="9"/>
  <c r="C66" i="9"/>
  <c r="E269" i="9"/>
  <c r="K23" i="9"/>
  <c r="I25" i="9"/>
  <c r="K278" i="9"/>
  <c r="H83" i="9"/>
  <c r="K71" i="3"/>
  <c r="H75" i="9"/>
  <c r="N233" i="9"/>
  <c r="O25" i="9"/>
  <c r="N28" i="9"/>
  <c r="H33" i="9"/>
  <c r="F254" i="9"/>
  <c r="O278" i="9"/>
  <c r="H137" i="9"/>
  <c r="N188" i="9"/>
  <c r="N272" i="9"/>
  <c r="N267" i="9"/>
  <c r="E271" i="9"/>
  <c r="L147" i="9"/>
  <c r="E125" i="9"/>
  <c r="O202" i="9"/>
  <c r="E270" i="9"/>
  <c r="F267" i="9"/>
  <c r="N120" i="9"/>
  <c r="K157" i="9"/>
  <c r="C223" i="9"/>
  <c r="N42" i="9"/>
  <c r="I178" i="9"/>
  <c r="I66" i="9"/>
  <c r="H213" i="9"/>
  <c r="O233" i="9"/>
  <c r="G36" i="3"/>
  <c r="K8" i="3"/>
  <c r="K43" i="9"/>
  <c r="O147" i="9"/>
  <c r="H176" i="9"/>
  <c r="F165" i="9"/>
  <c r="H115" i="9"/>
  <c r="I60" i="9"/>
  <c r="E185" i="9"/>
  <c r="L163" i="9"/>
  <c r="C71" i="9"/>
  <c r="F128" i="9"/>
  <c r="H193" i="9"/>
  <c r="L229" i="9"/>
  <c r="N280" i="9"/>
  <c r="I138" i="9"/>
  <c r="O166" i="9"/>
  <c r="I63" i="9"/>
  <c r="I61" i="9"/>
  <c r="I238" i="9"/>
  <c r="L262" i="9"/>
  <c r="L165" i="9"/>
  <c r="E25" i="9"/>
  <c r="K33" i="3"/>
  <c r="F106" i="9"/>
  <c r="O65" i="3"/>
  <c r="L198" i="9"/>
  <c r="C150" i="9"/>
  <c r="I50" i="9"/>
  <c r="I83" i="9"/>
  <c r="O146" i="9"/>
  <c r="H223" i="9"/>
  <c r="I39" i="9"/>
  <c r="K66" i="9"/>
  <c r="E143" i="9"/>
  <c r="K16" i="3"/>
  <c r="O39" i="3"/>
  <c r="I125" i="9"/>
  <c r="O251" i="9"/>
  <c r="N127" i="9"/>
  <c r="E214" i="9"/>
  <c r="F137" i="9"/>
  <c r="L48" i="9"/>
  <c r="K273" i="9"/>
  <c r="I165" i="9"/>
  <c r="N145" i="9"/>
  <c r="I82" i="9"/>
  <c r="O111" i="9"/>
  <c r="C241" i="9"/>
  <c r="O196" i="9"/>
  <c r="O176" i="9"/>
  <c r="F110" i="9"/>
  <c r="L70" i="9"/>
  <c r="I265" i="9"/>
  <c r="O116" i="9"/>
  <c r="L116" i="9"/>
  <c r="O78" i="9"/>
  <c r="H266" i="9"/>
  <c r="L88" i="9"/>
  <c r="N151" i="9"/>
  <c r="K152" i="9"/>
  <c r="K44" i="3"/>
  <c r="I185" i="9"/>
  <c r="L204" i="9"/>
  <c r="F138" i="9"/>
  <c r="E146" i="9"/>
  <c r="I202" i="9"/>
  <c r="E84" i="9"/>
  <c r="N238" i="9"/>
  <c r="E179" i="9"/>
  <c r="E188" i="9"/>
  <c r="F30" i="9"/>
  <c r="L47" i="9"/>
  <c r="L23" i="9"/>
  <c r="N49" i="9"/>
  <c r="L25" i="9"/>
  <c r="F108" i="9"/>
  <c r="F35" i="9"/>
  <c r="C79" i="9"/>
  <c r="N242" i="9"/>
  <c r="E191" i="9"/>
  <c r="K69" i="3"/>
  <c r="L196" i="9"/>
  <c r="G60" i="3"/>
  <c r="K164" i="9"/>
  <c r="H233" i="9"/>
  <c r="E226" i="9"/>
  <c r="O137" i="9"/>
  <c r="L183" i="9"/>
  <c r="I252" i="9"/>
  <c r="K39" i="3"/>
  <c r="K196" i="9"/>
  <c r="I144" i="9"/>
  <c r="I220" i="9"/>
  <c r="K184" i="9"/>
  <c r="L215" i="9"/>
  <c r="H86" i="9"/>
  <c r="K187" i="9"/>
  <c r="K215" i="9"/>
  <c r="K110" i="9"/>
  <c r="E37" i="9"/>
  <c r="O103" i="9"/>
  <c r="N265" i="9"/>
  <c r="N88" i="9"/>
  <c r="F89" i="9"/>
  <c r="K32" i="3"/>
  <c r="H76" i="9"/>
  <c r="H204" i="9"/>
  <c r="L263" i="9"/>
  <c r="K59" i="3"/>
  <c r="K277" i="9"/>
  <c r="O104" i="9"/>
  <c r="I76" i="9"/>
  <c r="E27" i="9"/>
  <c r="L164" i="9"/>
  <c r="F223" i="9"/>
  <c r="O195" i="9"/>
  <c r="H148" i="9"/>
  <c r="O88" i="9"/>
  <c r="E275" i="9"/>
  <c r="H38" i="9"/>
  <c r="E40" i="9"/>
  <c r="H267" i="9"/>
  <c r="E117" i="9"/>
  <c r="C224" i="9"/>
  <c r="K264" i="9"/>
  <c r="E126" i="9"/>
  <c r="C116" i="9"/>
  <c r="F79" i="9"/>
  <c r="N106" i="9"/>
  <c r="F88" i="9"/>
  <c r="N48" i="9"/>
  <c r="H155" i="9"/>
  <c r="C104" i="9"/>
  <c r="N27" i="9"/>
  <c r="C144" i="9"/>
  <c r="H98" i="9"/>
  <c r="K223" i="9"/>
  <c r="N72" i="9"/>
  <c r="L63" i="9"/>
  <c r="H179" i="9"/>
  <c r="H158" i="9"/>
  <c r="O118" i="9"/>
  <c r="O34" i="3"/>
  <c r="O50" i="9"/>
  <c r="I187" i="9"/>
  <c r="E195" i="9"/>
  <c r="H234" i="9"/>
  <c r="N199" i="9"/>
  <c r="I253" i="9"/>
  <c r="I42" i="9"/>
  <c r="O37" i="3"/>
  <c r="K158" i="9"/>
  <c r="O269" i="9"/>
  <c r="N183" i="9"/>
  <c r="I52" i="9"/>
  <c r="K225" i="9"/>
  <c r="F183" i="9"/>
  <c r="E197" i="9"/>
  <c r="C181" i="9"/>
  <c r="F202" i="9"/>
  <c r="N79" i="9"/>
  <c r="I278" i="9"/>
  <c r="O214" i="9"/>
  <c r="H238" i="9"/>
  <c r="F176" i="9"/>
  <c r="F40" i="9"/>
  <c r="O139" i="9"/>
  <c r="O164" i="9"/>
  <c r="L121" i="9"/>
  <c r="O152" i="9"/>
  <c r="H73" i="9"/>
  <c r="H189" i="9"/>
  <c r="F90" i="9"/>
  <c r="N74" i="9"/>
  <c r="O140" i="9"/>
  <c r="C67" i="9"/>
  <c r="K45" i="3"/>
  <c r="C276" i="9"/>
  <c r="N197" i="9"/>
  <c r="I38" i="9"/>
  <c r="L236" i="9"/>
  <c r="K62" i="3"/>
  <c r="O160" i="9"/>
  <c r="E163" i="9"/>
  <c r="N230" i="9"/>
  <c r="K199" i="9"/>
  <c r="E41" i="9"/>
  <c r="I229" i="9"/>
  <c r="F82" i="9"/>
  <c r="N275" i="9"/>
  <c r="N104" i="9"/>
  <c r="I232" i="9"/>
  <c r="L41" i="9"/>
  <c r="C83" i="9"/>
  <c r="L222" i="9"/>
  <c r="O46" i="9"/>
  <c r="I26" i="9"/>
  <c r="I106" i="9"/>
  <c r="C275" i="9"/>
  <c r="K86" i="9"/>
  <c r="F279" i="9"/>
  <c r="K148" i="9"/>
  <c r="H156" i="9"/>
  <c r="C202" i="9"/>
  <c r="N40" i="9"/>
  <c r="K116" i="9"/>
  <c r="E259" i="9"/>
  <c r="L184" i="9"/>
  <c r="K136" i="9"/>
  <c r="O218" i="9"/>
  <c r="N225" i="9"/>
  <c r="N114" i="9"/>
  <c r="I255" i="9"/>
  <c r="H222" i="9"/>
  <c r="K31" i="3"/>
  <c r="L60" i="9"/>
  <c r="C234" i="9"/>
  <c r="I194" i="9"/>
  <c r="H88" i="9"/>
  <c r="C240" i="9"/>
  <c r="I266" i="9"/>
  <c r="O159" i="9"/>
  <c r="I154" i="9"/>
  <c r="H47" i="9"/>
  <c r="L161" i="9"/>
  <c r="O121" i="9"/>
  <c r="K276" i="9"/>
  <c r="I22" i="9"/>
  <c r="F184" i="9"/>
  <c r="N202" i="9"/>
  <c r="H149" i="9"/>
  <c r="F213" i="9"/>
  <c r="C111" i="9"/>
  <c r="E183" i="9"/>
  <c r="G71" i="3"/>
  <c r="I271" i="9"/>
  <c r="C156" i="9"/>
  <c r="F214" i="9"/>
  <c r="L193" i="9"/>
  <c r="I195" i="9"/>
  <c r="O41" i="3"/>
  <c r="I183" i="9"/>
  <c r="K70" i="9"/>
  <c r="E79" i="9"/>
  <c r="E99" i="9"/>
  <c r="I201" i="9"/>
  <c r="O39" i="9"/>
  <c r="H50" i="9"/>
  <c r="H255" i="9"/>
  <c r="H258" i="9"/>
  <c r="E113" i="9"/>
  <c r="K102" i="9"/>
  <c r="O186" i="9"/>
  <c r="O24" i="9"/>
  <c r="K107" i="9"/>
  <c r="N73" i="9"/>
  <c r="N107" i="9"/>
  <c r="H110" i="9"/>
  <c r="O198" i="9"/>
  <c r="H165" i="9"/>
  <c r="I151" i="9"/>
  <c r="O119" i="9"/>
  <c r="L233" i="9"/>
  <c r="C179" i="9"/>
  <c r="O204" i="9"/>
  <c r="O47" i="3"/>
  <c r="F23" i="9"/>
  <c r="C142" i="9"/>
  <c r="O179" i="9"/>
  <c r="N269" i="9"/>
  <c r="E222" i="9"/>
  <c r="O226" i="9"/>
  <c r="G65" i="3"/>
  <c r="C82" i="9"/>
  <c r="L232" i="9"/>
  <c r="F217" i="9"/>
  <c r="F50" i="9"/>
  <c r="H26" i="9"/>
  <c r="F257" i="9"/>
  <c r="N50" i="9"/>
  <c r="C166" i="9"/>
  <c r="C188" i="9"/>
  <c r="E165" i="9"/>
  <c r="C269" i="9"/>
  <c r="F151" i="9"/>
  <c r="O156" i="9"/>
  <c r="C43" i="9"/>
  <c r="H60" i="9"/>
  <c r="O264" i="9"/>
  <c r="F156" i="9"/>
  <c r="I101" i="9"/>
  <c r="K127" i="9"/>
  <c r="C280" i="9"/>
  <c r="L42" i="9"/>
  <c r="F113" i="9"/>
  <c r="K84" i="9"/>
  <c r="K22" i="9"/>
  <c r="C161" i="9"/>
  <c r="O98" i="9"/>
  <c r="C277" i="9"/>
  <c r="E174" i="9"/>
  <c r="K258" i="9"/>
  <c r="L28" i="9"/>
  <c r="L197" i="9"/>
  <c r="I159" i="9"/>
  <c r="L182" i="9"/>
  <c r="K100" i="9"/>
  <c r="K166" i="9"/>
  <c r="O189" i="9"/>
  <c r="L272" i="9"/>
  <c r="L195" i="9"/>
  <c r="H104" i="9"/>
  <c r="H108" i="9"/>
  <c r="O201" i="9"/>
  <c r="O36" i="9"/>
  <c r="K237" i="9"/>
  <c r="F218" i="9"/>
  <c r="K22" i="3"/>
  <c r="C107" i="9"/>
  <c r="K25" i="3"/>
  <c r="I122" i="9"/>
  <c r="H111" i="9"/>
  <c r="I276" i="9"/>
  <c r="E268" i="9"/>
  <c r="L90" i="9"/>
  <c r="K52" i="9"/>
  <c r="E264" i="9"/>
  <c r="O106" i="9"/>
  <c r="L100" i="9"/>
  <c r="K47" i="3"/>
  <c r="N154" i="9"/>
  <c r="E121" i="9"/>
  <c r="K182" i="9"/>
  <c r="K240" i="9"/>
  <c r="E50" i="9"/>
  <c r="L237" i="9"/>
  <c r="E151" i="9"/>
  <c r="E213" i="9"/>
  <c r="H274" i="9"/>
  <c r="I175" i="9"/>
  <c r="F216" i="9"/>
  <c r="I264" i="9"/>
  <c r="O105" i="9"/>
  <c r="C183" i="9"/>
  <c r="H114" i="9"/>
  <c r="K190" i="9"/>
  <c r="K31" i="9"/>
  <c r="O181" i="9"/>
  <c r="F111" i="9"/>
  <c r="O227" i="9"/>
  <c r="K75" i="3"/>
  <c r="E144" i="9"/>
  <c r="E273" i="9"/>
  <c r="L159" i="9"/>
  <c r="I273" i="9"/>
  <c r="L85" i="9"/>
  <c r="O203" i="9"/>
  <c r="K65" i="3"/>
  <c r="E71" i="9"/>
  <c r="F63" i="9"/>
  <c r="C37" i="9"/>
  <c r="O267" i="9"/>
  <c r="K33" i="9"/>
  <c r="O151" i="9"/>
  <c r="N223" i="9"/>
  <c r="K220" i="9"/>
  <c r="C42" i="9"/>
  <c r="N237" i="9"/>
  <c r="K24" i="5"/>
  <c r="N156" i="9"/>
  <c r="L258" i="9"/>
  <c r="H157" i="9"/>
  <c r="O72" i="9"/>
  <c r="N25" i="9"/>
  <c r="K73" i="9"/>
  <c r="L118" i="9"/>
  <c r="K255" i="9"/>
  <c r="L78" i="9"/>
  <c r="K263" i="9"/>
  <c r="L72" i="9"/>
  <c r="C110" i="9"/>
  <c r="I72" i="9"/>
  <c r="K118" i="9"/>
  <c r="N68" i="9"/>
  <c r="I64" i="9"/>
  <c r="F212" i="9"/>
  <c r="N195" i="9"/>
  <c r="O142" i="9"/>
  <c r="O232" i="9"/>
  <c r="N161" i="9"/>
  <c r="K150" i="9"/>
  <c r="L103" i="9"/>
  <c r="N279" i="9"/>
  <c r="I29" i="9"/>
  <c r="L68" i="9"/>
  <c r="H85" i="9"/>
  <c r="L43" i="9"/>
  <c r="C35" i="9"/>
  <c r="H99" i="9"/>
  <c r="K238" i="9"/>
  <c r="E138" i="9"/>
  <c r="K17" i="5"/>
  <c r="C163" i="9"/>
  <c r="L146" i="9"/>
  <c r="C24" i="9"/>
  <c r="H44" i="9"/>
  <c r="E119" i="9"/>
  <c r="F34" i="9"/>
  <c r="N30" i="9"/>
  <c r="K146" i="9"/>
  <c r="O199" i="9"/>
  <c r="C85" i="9"/>
  <c r="E108" i="9"/>
  <c r="N255" i="9"/>
  <c r="H101" i="9"/>
  <c r="I120" i="9"/>
  <c r="E239" i="9"/>
  <c r="I161" i="9"/>
  <c r="I241" i="9"/>
  <c r="G50" i="3"/>
  <c r="C159" i="9"/>
  <c r="G74" i="3"/>
  <c r="E203" i="9"/>
  <c r="K23" i="5"/>
  <c r="N121" i="9"/>
  <c r="N235" i="9"/>
  <c r="G31" i="3"/>
  <c r="C143" i="9"/>
  <c r="E257" i="9"/>
  <c r="C256" i="9"/>
  <c r="O22" i="9"/>
  <c r="N276" i="9"/>
  <c r="H220" i="9"/>
  <c r="E137" i="9"/>
  <c r="I231" i="9"/>
  <c r="E182" i="9"/>
  <c r="I28" i="9"/>
  <c r="I99" i="9"/>
  <c r="N159" i="9"/>
  <c r="L221" i="9"/>
  <c r="N29" i="9"/>
  <c r="E261" i="9"/>
  <c r="H269" i="9"/>
  <c r="N83" i="9"/>
  <c r="I257" i="9"/>
  <c r="K67" i="9"/>
  <c r="H268" i="9"/>
  <c r="E276" i="9"/>
  <c r="K115" i="9"/>
  <c r="E109" i="9"/>
  <c r="K32" i="9"/>
  <c r="I145" i="9"/>
  <c r="N41" i="9"/>
  <c r="N185" i="9"/>
  <c r="I184" i="9"/>
  <c r="F115" i="9"/>
  <c r="O109" i="9"/>
  <c r="E158" i="9"/>
  <c r="C199" i="9"/>
  <c r="I84" i="9"/>
  <c r="N162" i="9"/>
  <c r="H43" i="9"/>
  <c r="E147" i="9"/>
  <c r="L186" i="9"/>
  <c r="C139" i="9"/>
  <c r="O107" i="9"/>
  <c r="F152" i="9"/>
  <c r="K16" i="5"/>
  <c r="O57" i="3"/>
  <c r="E253" i="9"/>
  <c r="E280" i="9"/>
  <c r="N266" i="9"/>
  <c r="L98" i="9"/>
  <c r="H253" i="9"/>
  <c r="C62" i="9"/>
  <c r="I272" i="9"/>
  <c r="N51" i="9"/>
  <c r="I126" i="9"/>
  <c r="H77" i="9"/>
  <c r="K151" i="9"/>
  <c r="K24" i="9"/>
  <c r="C198" i="9"/>
  <c r="C51" i="9"/>
  <c r="H118" i="9"/>
  <c r="N176" i="9"/>
  <c r="F145" i="9"/>
  <c r="O271" i="9"/>
  <c r="H49" i="9"/>
  <c r="F185" i="9"/>
  <c r="I137" i="9"/>
  <c r="C203" i="9"/>
  <c r="I49" i="9"/>
  <c r="F71" i="9"/>
  <c r="K261" i="9"/>
  <c r="C230" i="9"/>
  <c r="I71" i="9"/>
  <c r="O35" i="9"/>
  <c r="C226" i="9"/>
  <c r="O27" i="9"/>
  <c r="C105" i="9"/>
  <c r="O34" i="9"/>
  <c r="N250" i="9"/>
  <c r="C220" i="9"/>
  <c r="O136" i="9"/>
  <c r="C70" i="9"/>
  <c r="E31" i="9"/>
  <c r="E180" i="9"/>
  <c r="F26" i="9"/>
  <c r="C175" i="9"/>
  <c r="E114" i="9"/>
  <c r="H124" i="9"/>
  <c r="E238" i="9"/>
  <c r="I100" i="9"/>
  <c r="N86" i="9"/>
  <c r="E88" i="9"/>
  <c r="I192" i="9"/>
  <c r="K11" i="5"/>
  <c r="O62" i="9"/>
  <c r="O45" i="3"/>
  <c r="F258" i="9"/>
  <c r="F220" i="9"/>
  <c r="F74" i="9"/>
  <c r="N217" i="9"/>
  <c r="K20" i="3"/>
  <c r="K253" i="9"/>
  <c r="H24" i="9"/>
  <c r="K239" i="9"/>
  <c r="O185" i="9"/>
  <c r="K214" i="9"/>
  <c r="L199" i="9"/>
  <c r="C25" i="9"/>
  <c r="C49" i="9"/>
  <c r="E123" i="9"/>
  <c r="K124" i="9"/>
  <c r="I67" i="9"/>
  <c r="O231" i="9"/>
  <c r="O230" i="9"/>
  <c r="H45" i="9"/>
  <c r="E61" i="9"/>
  <c r="E236" i="9"/>
  <c r="H66" i="9"/>
  <c r="H215" i="9"/>
  <c r="L178" i="9"/>
  <c r="H180" i="9"/>
  <c r="C68" i="9"/>
  <c r="K235" i="9"/>
  <c r="K37" i="9"/>
  <c r="F117" i="9"/>
  <c r="N273" i="9"/>
  <c r="F78" i="9"/>
  <c r="E196" i="9"/>
  <c r="N63" i="9"/>
  <c r="L251" i="9"/>
  <c r="G66" i="3"/>
  <c r="F182" i="9"/>
  <c r="I193" i="9"/>
  <c r="O178" i="9"/>
  <c r="K179" i="9"/>
  <c r="F160" i="9"/>
  <c r="I139" i="9"/>
  <c r="C266" i="9"/>
  <c r="C265" i="9"/>
  <c r="O86" i="9"/>
  <c r="C86" i="9"/>
  <c r="F215" i="9"/>
  <c r="O174" i="9"/>
  <c r="F47" i="9"/>
  <c r="C238" i="9"/>
  <c r="H30" i="9"/>
  <c r="F77" i="9"/>
  <c r="C231" i="9"/>
  <c r="K117" i="9"/>
  <c r="E176" i="9"/>
  <c r="K20" i="5"/>
  <c r="C112" i="9"/>
  <c r="H216" i="9"/>
  <c r="K251" i="9"/>
  <c r="O68" i="3"/>
  <c r="C160" i="9"/>
  <c r="K21" i="3"/>
  <c r="E60" i="9"/>
  <c r="O84" i="9"/>
  <c r="K24" i="3"/>
  <c r="O263" i="9"/>
  <c r="H90" i="9"/>
  <c r="I148" i="9"/>
  <c r="E181" i="9"/>
  <c r="I74" i="9"/>
  <c r="I213" i="9"/>
  <c r="L87" i="9"/>
  <c r="F175" i="9"/>
  <c r="F102" i="9"/>
  <c r="C72" i="9"/>
  <c r="L46" i="9"/>
  <c r="I224" i="9"/>
  <c r="I163" i="9"/>
  <c r="C33" i="9"/>
  <c r="E215" i="9"/>
  <c r="L149" i="9"/>
  <c r="I45" i="9"/>
  <c r="G58" i="3"/>
  <c r="I51" i="9"/>
  <c r="E274" i="9"/>
  <c r="K163" i="9"/>
  <c r="F191" i="9"/>
  <c r="F187" i="9"/>
  <c r="E44" i="9"/>
  <c r="K144" i="9"/>
  <c r="H78" i="9"/>
  <c r="N193" i="9"/>
  <c r="I30" i="9"/>
  <c r="I153" i="9"/>
  <c r="K76" i="9"/>
  <c r="F127" i="9"/>
  <c r="C123" i="9"/>
  <c r="O42" i="9"/>
  <c r="K35" i="3"/>
  <c r="K145" i="9"/>
  <c r="F73" i="9"/>
  <c r="O99" i="9"/>
  <c r="I102" i="9"/>
  <c r="L273" i="9"/>
  <c r="O60" i="9"/>
  <c r="H240" i="9"/>
  <c r="H63" i="9"/>
  <c r="N152" i="9"/>
  <c r="F84" i="9"/>
  <c r="F141" i="9"/>
  <c r="K178" i="9"/>
  <c r="H151" i="9"/>
  <c r="K19" i="5"/>
  <c r="E115" i="9"/>
  <c r="O29" i="9"/>
  <c r="C186" i="9"/>
  <c r="N213" i="9"/>
  <c r="O128" i="9"/>
  <c r="F126" i="9"/>
  <c r="C149" i="9"/>
  <c r="L22" i="9"/>
  <c r="K25" i="5"/>
  <c r="N226" i="9"/>
  <c r="E38" i="9"/>
  <c r="C103" i="9"/>
  <c r="L110" i="9"/>
  <c r="O42" i="3"/>
  <c r="I267" i="9"/>
  <c r="L154" i="9"/>
  <c r="H264" i="9"/>
  <c r="K104" i="9"/>
  <c r="I118" i="9"/>
  <c r="L201" i="9"/>
  <c r="O126" i="9"/>
  <c r="K108" i="9"/>
  <c r="K42" i="9"/>
  <c r="L267" i="9"/>
  <c r="C30" i="9"/>
  <c r="E242" i="9"/>
  <c r="C26" i="9"/>
  <c r="K11" i="3"/>
  <c r="H280" i="9"/>
  <c r="E110" i="9"/>
  <c r="I37" i="9"/>
  <c r="F233" i="9"/>
  <c r="O165" i="9"/>
  <c r="F275" i="9"/>
  <c r="C235" i="9"/>
  <c r="L261" i="9"/>
  <c r="C84" i="9"/>
  <c r="F121" i="9"/>
  <c r="L264" i="9"/>
  <c r="O253" i="9"/>
  <c r="C255" i="9"/>
  <c r="K241" i="9"/>
  <c r="N44" i="9"/>
  <c r="E23" i="9"/>
  <c r="F27" i="9"/>
  <c r="E227" i="9"/>
  <c r="L86" i="9"/>
  <c r="F114" i="9"/>
  <c r="K265" i="9"/>
  <c r="L252" i="9"/>
  <c r="N26" i="9"/>
  <c r="K234" i="9"/>
  <c r="I79" i="9"/>
  <c r="G72" i="3"/>
  <c r="O150" i="9"/>
  <c r="C113" i="9"/>
  <c r="N150" i="9"/>
  <c r="E43" i="9"/>
  <c r="O60" i="3"/>
  <c r="E141" i="9"/>
  <c r="L266" i="9"/>
  <c r="F67" i="9"/>
  <c r="N153" i="9"/>
  <c r="K186" i="9"/>
  <c r="F52" i="9"/>
  <c r="N200" i="9"/>
  <c r="E166" i="9"/>
  <c r="O274" i="9"/>
  <c r="I174" i="9"/>
  <c r="L65" i="9"/>
  <c r="G70" i="3"/>
  <c r="O51" i="9"/>
  <c r="E45" i="9"/>
  <c r="L256" i="9"/>
  <c r="K64" i="9"/>
  <c r="N198" i="9"/>
  <c r="H51" i="9"/>
  <c r="F139" i="9"/>
  <c r="O221" i="9"/>
  <c r="L150" i="9"/>
  <c r="E90" i="9"/>
  <c r="E262" i="9"/>
  <c r="I142" i="9"/>
  <c r="C227" i="9"/>
  <c r="L82" i="9"/>
  <c r="K60" i="9"/>
  <c r="I31" i="9"/>
  <c r="G42" i="3"/>
  <c r="K7" i="3"/>
  <c r="N212" i="9"/>
  <c r="G75" i="3"/>
  <c r="H139" i="9"/>
  <c r="E189" i="9"/>
  <c r="F240" i="9"/>
  <c r="N128" i="9"/>
  <c r="N259" i="9"/>
  <c r="K185" i="9"/>
  <c r="C52" i="9"/>
  <c r="K50" i="3"/>
  <c r="K257" i="9"/>
  <c r="H42" i="9"/>
  <c r="H52" i="9"/>
  <c r="K279" i="9"/>
  <c r="N39" i="9"/>
  <c r="N262" i="9"/>
  <c r="C99" i="9"/>
  <c r="N99" i="9"/>
  <c r="L37" i="9"/>
  <c r="F33" i="9"/>
  <c r="L50" i="9"/>
  <c r="C77" i="9"/>
  <c r="O280" i="9"/>
  <c r="N90" i="9"/>
  <c r="O70" i="9"/>
  <c r="H152" i="9"/>
  <c r="K89" i="9"/>
  <c r="L128" i="9"/>
  <c r="F149" i="9"/>
  <c r="K79" i="9"/>
  <c r="N196" i="9"/>
  <c r="F161" i="9"/>
  <c r="G73" i="3"/>
  <c r="F192" i="9"/>
  <c r="L253" i="9"/>
  <c r="F177" i="9"/>
  <c r="H34" i="9"/>
  <c r="G47" i="3"/>
  <c r="I226" i="9"/>
  <c r="K69" i="9"/>
  <c r="O161" i="9"/>
  <c r="I239" i="9"/>
  <c r="I149" i="9"/>
  <c r="C108" i="9"/>
  <c r="E277" i="9"/>
  <c r="O187" i="9"/>
  <c r="E216" i="9"/>
  <c r="O273" i="9"/>
  <c r="L141" i="9"/>
  <c r="H117" i="9"/>
  <c r="E156" i="9"/>
  <c r="N192" i="9"/>
  <c r="K153" i="9"/>
  <c r="H138" i="9"/>
  <c r="E120" i="9"/>
  <c r="N142" i="9"/>
  <c r="K236" i="9"/>
  <c r="H219" i="9"/>
  <c r="I259" i="9"/>
  <c r="L157" i="9"/>
  <c r="F174" i="9"/>
  <c r="I235" i="9"/>
  <c r="K14" i="3"/>
  <c r="H64" i="9"/>
  <c r="H271" i="9"/>
  <c r="N234" i="9"/>
  <c r="L145" i="9"/>
  <c r="I143" i="9"/>
  <c r="F227" i="9"/>
  <c r="C192" i="9"/>
  <c r="C221" i="9"/>
  <c r="F194" i="9"/>
  <c r="E111" i="9"/>
  <c r="O32" i="9"/>
  <c r="C152" i="9"/>
  <c r="C215" i="9"/>
  <c r="K7" i="5"/>
  <c r="N203" i="9"/>
  <c r="L35" i="9"/>
  <c r="O36" i="3"/>
  <c r="K219" i="9"/>
  <c r="C87" i="9"/>
  <c r="F263" i="9"/>
  <c r="C252" i="9"/>
  <c r="L105" i="9"/>
  <c r="C48" i="9"/>
  <c r="N175" i="9"/>
  <c r="O256" i="9"/>
  <c r="H31" i="9"/>
  <c r="H212" i="9"/>
  <c r="I223" i="9"/>
  <c r="F66" i="9"/>
  <c r="N278" i="9"/>
  <c r="C162" i="9"/>
  <c r="H196" i="9"/>
  <c r="E77" i="9"/>
  <c r="L259" i="9"/>
  <c r="C257" i="9"/>
  <c r="I230" i="9"/>
  <c r="H251" i="9"/>
  <c r="L190" i="9"/>
  <c r="O44" i="3"/>
  <c r="I113" i="9"/>
  <c r="N24" i="9"/>
  <c r="C200" i="9"/>
  <c r="F36" i="9"/>
  <c r="F199" i="9"/>
  <c r="H27" i="9"/>
  <c r="C239" i="9"/>
  <c r="N182" i="9"/>
  <c r="E229" i="9"/>
  <c r="I162" i="9"/>
  <c r="H71" i="9"/>
  <c r="O149" i="9"/>
  <c r="E48" i="9"/>
  <c r="H221" i="9"/>
  <c r="N75" i="9"/>
  <c r="G63" i="3"/>
  <c r="O238" i="9"/>
  <c r="K269" i="9"/>
  <c r="F158" i="9"/>
  <c r="F225" i="9"/>
  <c r="K13" i="5"/>
  <c r="K61" i="9"/>
  <c r="E142" i="9"/>
  <c r="H35" i="9"/>
  <c r="C140" i="9"/>
  <c r="O72" i="3"/>
  <c r="I152" i="9"/>
  <c r="H112" i="9"/>
  <c r="L27" i="9"/>
  <c r="E87" i="9"/>
  <c r="K66" i="3"/>
  <c r="N84" i="9"/>
  <c r="K28" i="9"/>
  <c r="F81" i="9"/>
  <c r="H65" i="9"/>
  <c r="K137" i="9"/>
  <c r="E104" i="9"/>
  <c r="C22" i="9"/>
  <c r="O44" i="9"/>
  <c r="C101" i="9"/>
  <c r="E100" i="9"/>
  <c r="E140" i="9"/>
  <c r="L148" i="9"/>
  <c r="H235" i="9"/>
  <c r="K44" i="9"/>
  <c r="N136" i="9"/>
  <c r="F109" i="9"/>
  <c r="I263" i="9"/>
  <c r="K18" i="3"/>
  <c r="O102" i="9"/>
  <c r="I117" i="9"/>
  <c r="E263" i="9"/>
  <c r="E136" i="9"/>
  <c r="K149" i="9"/>
  <c r="N191" i="9"/>
  <c r="L202" i="9"/>
  <c r="I47" i="9"/>
  <c r="O266" i="9"/>
  <c r="O43" i="9"/>
  <c r="O75" i="3"/>
  <c r="N227" i="9"/>
  <c r="E33" i="9"/>
  <c r="E272" i="9"/>
  <c r="L117" i="9"/>
  <c r="E193" i="9"/>
  <c r="I219" i="9"/>
  <c r="F163" i="9"/>
  <c r="N122" i="9"/>
  <c r="O48" i="9"/>
  <c r="C262" i="9"/>
  <c r="E72" i="9"/>
  <c r="F146" i="9"/>
  <c r="L192" i="9"/>
  <c r="C237" i="9"/>
  <c r="C191" i="9"/>
  <c r="N139" i="9"/>
  <c r="C201" i="9"/>
  <c r="C268" i="9"/>
  <c r="L89" i="9"/>
  <c r="I254" i="9"/>
  <c r="K46" i="3"/>
  <c r="K64" i="3"/>
  <c r="F224" i="9"/>
  <c r="L227" i="9"/>
  <c r="K72" i="3"/>
  <c r="O31" i="9"/>
  <c r="F48" i="9"/>
  <c r="N43" i="9"/>
  <c r="H144" i="9"/>
  <c r="E164" i="9"/>
  <c r="H191" i="9"/>
  <c r="E29" i="9"/>
  <c r="H23" i="9"/>
  <c r="F116" i="9"/>
  <c r="N141" i="9"/>
  <c r="H25" i="9"/>
  <c r="O61" i="9"/>
  <c r="H48" i="9"/>
  <c r="K34" i="3"/>
  <c r="K15" i="3"/>
  <c r="G61" i="3"/>
  <c r="C219" i="9"/>
  <c r="C274" i="9"/>
  <c r="C264" i="9"/>
  <c r="O158" i="9"/>
  <c r="N143" i="9"/>
  <c r="L162" i="9"/>
  <c r="E101" i="9"/>
  <c r="I85" i="9"/>
  <c r="O81" i="9"/>
  <c r="I182" i="9"/>
  <c r="E68" i="9"/>
  <c r="K191" i="9"/>
  <c r="F122" i="9"/>
  <c r="F76" i="9"/>
  <c r="I41" i="9"/>
  <c r="C222" i="9"/>
  <c r="H252" i="9"/>
  <c r="N112" i="9"/>
  <c r="H128" i="9"/>
  <c r="F123" i="9"/>
  <c r="I140" i="9"/>
  <c r="C236" i="9"/>
  <c r="O190" i="9"/>
  <c r="H263" i="9"/>
  <c r="K6" i="5"/>
  <c r="F86" i="9"/>
  <c r="L81" i="9"/>
  <c r="F43" i="9"/>
  <c r="N271" i="9"/>
  <c r="L136" i="9"/>
  <c r="F25" i="9"/>
  <c r="C193" i="9"/>
  <c r="O188" i="9"/>
  <c r="K201" i="9"/>
  <c r="C28" i="9"/>
  <c r="F241" i="9"/>
  <c r="E161" i="9"/>
  <c r="N138" i="9"/>
  <c r="H142" i="9"/>
  <c r="H198" i="9"/>
  <c r="O237" i="9"/>
  <c r="K9" i="3"/>
  <c r="N37" i="9"/>
  <c r="C126" i="9"/>
  <c r="E225" i="9"/>
  <c r="C194" i="9"/>
  <c r="E74" i="9"/>
  <c r="O68" i="9"/>
  <c r="I176" i="9"/>
  <c r="C109" i="9"/>
  <c r="C271" i="9"/>
  <c r="C38" i="9"/>
  <c r="F195" i="9"/>
  <c r="L112" i="9"/>
  <c r="H150" i="9"/>
  <c r="E202" i="9"/>
  <c r="F188" i="9"/>
  <c r="C120" i="9"/>
  <c r="C165" i="9"/>
  <c r="O183" i="9"/>
  <c r="O272" i="9"/>
  <c r="C174" i="9"/>
  <c r="O83" i="9"/>
  <c r="N105" i="9"/>
  <c r="O235" i="9"/>
  <c r="F118" i="9"/>
  <c r="N157" i="9"/>
  <c r="E62" i="9"/>
  <c r="O31" i="3"/>
  <c r="N61" i="9"/>
  <c r="H265" i="9"/>
  <c r="F125" i="9"/>
  <c r="K74" i="3"/>
  <c r="N85" i="9"/>
  <c r="L234" i="9"/>
  <c r="K128" i="9"/>
  <c r="K231" i="9"/>
  <c r="F42" i="9"/>
  <c r="F266" i="9"/>
  <c r="I212" i="9"/>
  <c r="O260" i="9"/>
  <c r="I234" i="9"/>
  <c r="G69" i="3"/>
  <c r="H261" i="9"/>
  <c r="E122" i="9"/>
  <c r="I160" i="9"/>
  <c r="C204" i="9"/>
  <c r="I87" i="9"/>
  <c r="E200" i="9"/>
  <c r="L144" i="9"/>
  <c r="K47" i="9"/>
  <c r="H270" i="9"/>
  <c r="O63" i="3"/>
  <c r="C254" i="9"/>
  <c r="L213" i="9"/>
  <c r="O138" i="9"/>
  <c r="K233" i="9"/>
  <c r="H239" i="9"/>
  <c r="K41" i="3"/>
  <c r="H228" i="9"/>
  <c r="K51" i="9"/>
  <c r="C39" i="9"/>
  <c r="C153" i="9"/>
  <c r="K229" i="9"/>
  <c r="H125" i="9"/>
  <c r="F261" i="9"/>
  <c r="O275" i="9"/>
  <c r="C36" i="9"/>
  <c r="N98" i="9"/>
  <c r="E240" i="9"/>
  <c r="H273" i="9"/>
  <c r="L212" i="9"/>
  <c r="K203" i="9"/>
  <c r="K195" i="9"/>
  <c r="H277" i="9"/>
  <c r="I215" i="9"/>
  <c r="O261" i="9"/>
  <c r="K121" i="9"/>
  <c r="O225" i="9"/>
  <c r="I116" i="9"/>
  <c r="O254" i="9"/>
  <c r="C253" i="9"/>
  <c r="L125" i="9"/>
  <c r="E230" i="9"/>
  <c r="K140" i="9"/>
  <c r="K40" i="3"/>
  <c r="I36" i="9"/>
  <c r="O184" i="9"/>
  <c r="L166" i="9"/>
  <c r="N66" i="9"/>
  <c r="H116" i="9"/>
  <c r="L107" i="9"/>
  <c r="N60" i="9"/>
  <c r="F148" i="9"/>
  <c r="G67" i="3"/>
  <c r="L77" i="9"/>
  <c r="H181" i="9"/>
  <c r="E237" i="9"/>
  <c r="O75" i="9"/>
  <c r="N190" i="9"/>
  <c r="H106" i="9"/>
  <c r="N146" i="9"/>
  <c r="H120" i="9"/>
  <c r="K10" i="3"/>
  <c r="N111" i="9"/>
  <c r="L76" i="9"/>
  <c r="H187" i="9"/>
  <c r="I277" i="9"/>
  <c r="O73" i="9"/>
  <c r="E258" i="9"/>
  <c r="F140" i="9"/>
  <c r="K139" i="9"/>
  <c r="H68" i="9"/>
  <c r="L225" i="9"/>
  <c r="F65" i="9"/>
  <c r="K192" i="9"/>
  <c r="E73" i="9"/>
  <c r="O192" i="9"/>
  <c r="C270" i="9"/>
  <c r="K193" i="9"/>
  <c r="I214" i="9"/>
  <c r="I258" i="9"/>
  <c r="I46" i="9"/>
  <c r="F219" i="9"/>
  <c r="H278" i="9"/>
  <c r="L231" i="9"/>
  <c r="O127" i="9"/>
  <c r="E26" i="9"/>
  <c r="H160" i="9"/>
  <c r="C187" i="9"/>
  <c r="H36" i="9"/>
  <c r="H29" i="9"/>
  <c r="C180" i="9"/>
  <c r="O157" i="9"/>
  <c r="E118" i="9"/>
  <c r="K72" i="9"/>
  <c r="E28" i="9"/>
  <c r="F87" i="9"/>
  <c r="C138" i="9"/>
  <c r="I225" i="9"/>
  <c r="C90" i="9"/>
  <c r="O101" i="9"/>
  <c r="C69" i="9"/>
  <c r="K254" i="9"/>
  <c r="N256" i="9"/>
  <c r="F180" i="9"/>
  <c r="F80" i="9"/>
  <c r="H260" i="9"/>
  <c r="I216" i="9"/>
  <c r="F200" i="9"/>
  <c r="C121" i="9"/>
  <c r="H256" i="9"/>
  <c r="E152" i="9"/>
  <c r="C88" i="9"/>
  <c r="K217" i="9"/>
  <c r="K177" i="9"/>
  <c r="I156" i="9"/>
  <c r="L80" i="9"/>
  <c r="I228" i="9"/>
  <c r="K41" i="9"/>
  <c r="E42" i="9"/>
  <c r="E190" i="9"/>
  <c r="N76" i="9"/>
  <c r="I237" i="9"/>
  <c r="K85" i="9"/>
  <c r="L274" i="9"/>
  <c r="I262" i="9"/>
  <c r="K19" i="3"/>
  <c r="L73" i="9"/>
  <c r="F103" i="9"/>
  <c r="H262" i="9"/>
  <c r="F231" i="9"/>
  <c r="C147" i="9"/>
  <c r="O155" i="9"/>
  <c r="O89" i="9"/>
  <c r="N241" i="9"/>
  <c r="N102" i="9"/>
  <c r="L123" i="9"/>
  <c r="O191" i="9"/>
  <c r="O250" i="9"/>
  <c r="K63" i="9"/>
  <c r="H123" i="9"/>
  <c r="K159" i="9"/>
  <c r="H74" i="9"/>
  <c r="L230" i="9"/>
  <c r="E69" i="9"/>
  <c r="K68" i="3"/>
  <c r="K88" i="9"/>
  <c r="N118" i="9"/>
  <c r="K213" i="9"/>
  <c r="O69" i="3"/>
  <c r="F72" i="9"/>
  <c r="F238" i="9"/>
  <c r="K106" i="9"/>
  <c r="L84" i="9"/>
  <c r="O228" i="9"/>
  <c r="O61" i="3"/>
  <c r="L174" i="9"/>
  <c r="L34" i="9"/>
  <c r="H62" i="9"/>
  <c r="N103" i="9"/>
  <c r="K125" i="9"/>
  <c r="F32" i="9"/>
  <c r="I69" i="9"/>
  <c r="L189" i="9"/>
  <c r="E86" i="9"/>
  <c r="I166" i="9"/>
  <c r="K99" i="9"/>
  <c r="N231" i="9"/>
  <c r="I155" i="9"/>
  <c r="I280" i="9"/>
  <c r="E184" i="9"/>
  <c r="L122" i="9"/>
  <c r="E194" i="9"/>
  <c r="E149" i="9"/>
  <c r="H201" i="9"/>
  <c r="O213" i="9"/>
  <c r="O216" i="9"/>
  <c r="F251" i="9"/>
  <c r="H250" i="9"/>
  <c r="L153" i="9"/>
  <c r="K275" i="9"/>
  <c r="H195" i="9"/>
  <c r="F203" i="9"/>
  <c r="O262" i="9"/>
  <c r="K90" i="9"/>
  <c r="O110" i="9"/>
  <c r="O80" i="9"/>
  <c r="L106" i="9"/>
  <c r="I203" i="9"/>
  <c r="C41" i="9"/>
  <c r="C125" i="9"/>
  <c r="I270" i="9"/>
  <c r="O90" i="9"/>
  <c r="H136" i="9"/>
  <c r="O145" i="9"/>
  <c r="E36" i="9"/>
  <c r="E52" i="9"/>
  <c r="K39" i="9"/>
  <c r="E187" i="9"/>
  <c r="H46" i="9"/>
  <c r="N252" i="9"/>
  <c r="F271" i="9"/>
  <c r="F181" i="9"/>
  <c r="F166" i="9"/>
  <c r="H194" i="9"/>
  <c r="H178" i="9"/>
  <c r="L265" i="9"/>
  <c r="E154" i="9"/>
  <c r="K42" i="3"/>
  <c r="L33" i="9"/>
  <c r="L180" i="9"/>
  <c r="C27" i="9"/>
  <c r="C261" i="9"/>
  <c r="G39" i="3"/>
  <c r="N116" i="9"/>
  <c r="I81" i="9"/>
  <c r="C260" i="9"/>
  <c r="H127" i="9"/>
  <c r="F272" i="9"/>
  <c r="I108" i="9"/>
  <c r="O85" i="9"/>
  <c r="E34" i="9"/>
  <c r="H67" i="9"/>
  <c r="F105" i="9"/>
  <c r="E80" i="9"/>
  <c r="O58" i="3"/>
  <c r="N147" i="9"/>
  <c r="F236" i="9"/>
  <c r="O229" i="9"/>
  <c r="O45" i="9"/>
  <c r="H147" i="9"/>
  <c r="N221" i="9"/>
  <c r="C124" i="9"/>
  <c r="N64" i="9"/>
  <c r="O67" i="9"/>
  <c r="K147" i="9"/>
  <c r="C176" i="9"/>
  <c r="C184" i="9"/>
  <c r="N160" i="9"/>
  <c r="O120" i="9"/>
  <c r="O175" i="9"/>
  <c r="K126" i="9"/>
  <c r="N194" i="9"/>
  <c r="F107" i="9"/>
  <c r="E279" i="9"/>
  <c r="O33" i="9"/>
  <c r="L29" i="9"/>
  <c r="F24" i="9"/>
  <c r="F252" i="9"/>
  <c r="L45" i="9"/>
  <c r="K71" i="9"/>
  <c r="I34" i="9"/>
  <c r="K175" i="9"/>
  <c r="K262" i="9"/>
  <c r="O277" i="9"/>
  <c r="L214" i="9"/>
  <c r="E219" i="9"/>
  <c r="O46" i="3"/>
  <c r="O62" i="3"/>
  <c r="N155" i="9"/>
  <c r="O240" i="9"/>
  <c r="C263" i="9"/>
  <c r="I198" i="9"/>
  <c r="E220" i="9"/>
  <c r="E98" i="9"/>
  <c r="I158" i="9"/>
  <c r="I179" i="9"/>
  <c r="H162" i="9"/>
  <c r="F70" i="9"/>
  <c r="K62" i="9"/>
  <c r="K22" i="5"/>
  <c r="K36" i="3"/>
  <c r="L257" i="9"/>
  <c r="L280" i="9"/>
  <c r="I199" i="9"/>
  <c r="K256" i="9"/>
  <c r="I115" i="9"/>
  <c r="N69" i="9"/>
  <c r="K232" i="9"/>
  <c r="F41" i="9"/>
  <c r="H184" i="9"/>
  <c r="K109" i="9"/>
  <c r="O194" i="9"/>
  <c r="E155" i="9"/>
  <c r="O220" i="9"/>
  <c r="H217" i="9"/>
  <c r="E186" i="9"/>
  <c r="F62" i="9"/>
  <c r="C29" i="9"/>
  <c r="K119" i="9"/>
  <c r="K17" i="3"/>
  <c r="C34" i="9"/>
  <c r="O234" i="9"/>
  <c r="N254" i="9"/>
  <c r="N201" i="9"/>
  <c r="C190" i="9"/>
  <c r="O239" i="9"/>
  <c r="N181" i="9"/>
  <c r="N215" i="9"/>
  <c r="E232" i="9"/>
  <c r="G37" i="3"/>
  <c r="H276" i="9"/>
  <c r="O215" i="9"/>
  <c r="I24" i="9"/>
  <c r="G68" i="3"/>
  <c r="N124" i="9"/>
  <c r="H122" i="9"/>
  <c r="E89" i="9"/>
  <c r="N268" i="9"/>
  <c r="E233" i="9"/>
  <c r="N87" i="9"/>
  <c r="O77" i="9"/>
  <c r="G43" i="3"/>
  <c r="C106" i="9"/>
  <c r="O123" i="9"/>
  <c r="N80" i="9"/>
  <c r="E139" i="9"/>
  <c r="F144" i="9"/>
  <c r="L216" i="9"/>
  <c r="E254" i="9"/>
  <c r="O38" i="9"/>
  <c r="I251" i="9"/>
  <c r="F273" i="9"/>
  <c r="I123" i="9"/>
  <c r="L137" i="9"/>
  <c r="L223" i="9"/>
  <c r="N148" i="9"/>
  <c r="L49" i="9"/>
  <c r="E224" i="9"/>
  <c r="I110" i="9"/>
  <c r="O222" i="9"/>
  <c r="K80" i="9"/>
  <c r="G44" i="3"/>
  <c r="O212" i="9"/>
  <c r="N38" i="9"/>
  <c r="C148" i="9"/>
  <c r="H242" i="9"/>
  <c r="C141" i="9"/>
  <c r="C89" i="9"/>
  <c r="F264" i="9"/>
  <c r="E51" i="9"/>
  <c r="O193" i="9"/>
  <c r="O74" i="9"/>
  <c r="N65" i="9"/>
  <c r="F38" i="9"/>
  <c r="K49" i="3"/>
  <c r="K43" i="3"/>
  <c r="K194" i="9"/>
  <c r="C158" i="9"/>
  <c r="H224" i="9"/>
  <c r="H100" i="9"/>
  <c r="I88" i="9"/>
  <c r="K181" i="9"/>
  <c r="C214" i="9"/>
  <c r="L271" i="9"/>
  <c r="H214" i="9"/>
  <c r="K8" i="5"/>
  <c r="N81" i="9"/>
  <c r="C44" i="9"/>
  <c r="N158" i="9"/>
  <c r="H279" i="9"/>
  <c r="C197" i="9"/>
  <c r="O69" i="9"/>
  <c r="C65" i="9"/>
  <c r="E70" i="9"/>
  <c r="N261" i="9"/>
  <c r="N47" i="9"/>
  <c r="K63" i="3"/>
  <c r="K37" i="3"/>
  <c r="F277" i="9"/>
  <c r="E105" i="9"/>
  <c r="O224" i="9"/>
  <c r="N184" i="9"/>
  <c r="F155" i="9"/>
  <c r="L177" i="9"/>
  <c r="O148" i="9"/>
  <c r="C250" i="9"/>
  <c r="N274" i="9"/>
  <c r="H236" i="9"/>
  <c r="O124" i="9"/>
  <c r="L138" i="9"/>
  <c r="F61" i="9"/>
  <c r="H202" i="9"/>
  <c r="I114" i="9"/>
  <c r="K18" i="5"/>
  <c r="E201" i="9"/>
  <c r="O76" i="9"/>
  <c r="K274" i="9"/>
  <c r="O40" i="9"/>
  <c r="E266" i="9"/>
  <c r="F112" i="9"/>
  <c r="F237" i="9"/>
  <c r="E162" i="9"/>
  <c r="F101" i="9"/>
  <c r="N137" i="9"/>
  <c r="I233" i="9"/>
  <c r="N270" i="9"/>
  <c r="C114" i="9"/>
  <c r="K242" i="9"/>
  <c r="K14" i="5"/>
  <c r="G57" i="3"/>
  <c r="O49" i="9"/>
  <c r="F60" i="9"/>
  <c r="F198" i="9"/>
  <c r="K222" i="9"/>
  <c r="O177" i="9"/>
  <c r="N62" i="9"/>
  <c r="H113" i="9"/>
  <c r="L51" i="9"/>
  <c r="I105" i="9"/>
  <c r="I275" i="9"/>
  <c r="E221" i="9"/>
  <c r="H203" i="9"/>
  <c r="E124" i="9"/>
  <c r="C182" i="9"/>
  <c r="C155" i="9"/>
  <c r="K189" i="9"/>
  <c r="O66" i="9"/>
  <c r="F157" i="9"/>
  <c r="K56" i="3"/>
  <c r="C102" i="9"/>
  <c r="L176" i="9"/>
  <c r="N189" i="9"/>
  <c r="L226" i="9"/>
  <c r="N89" i="9"/>
  <c r="F68" i="9"/>
  <c r="L219" i="9"/>
  <c r="K38" i="9"/>
  <c r="H166" i="9"/>
  <c r="G33" i="3"/>
  <c r="E217" i="9"/>
  <c r="O43" i="3"/>
  <c r="H199" i="9"/>
  <c r="O259" i="9"/>
  <c r="K260" i="9"/>
  <c r="C81" i="9"/>
  <c r="H143" i="9"/>
  <c r="F143" i="9"/>
  <c r="C98" i="9"/>
  <c r="N204" i="9"/>
  <c r="O28" i="9"/>
  <c r="K34" i="9"/>
  <c r="C196" i="9"/>
  <c r="O50" i="3"/>
  <c r="K78" i="9"/>
  <c r="H69" i="9"/>
  <c r="C225" i="9"/>
  <c r="C216" i="9"/>
  <c r="N110" i="9"/>
  <c r="F250" i="9"/>
  <c r="L126" i="9"/>
  <c r="I89" i="9"/>
  <c r="F201" i="9"/>
  <c r="K160" i="9"/>
  <c r="I98" i="9"/>
  <c r="N179" i="9"/>
  <c r="L111" i="9"/>
  <c r="O47" i="9"/>
  <c r="N35" i="9"/>
  <c r="E66" i="9"/>
  <c r="K15" i="5"/>
  <c r="L260" i="9"/>
  <c r="O242" i="9"/>
  <c r="K122" i="9"/>
  <c r="I197" i="9"/>
  <c r="N264" i="9"/>
  <c r="I121" i="9"/>
  <c r="G56" i="3"/>
  <c r="N220" i="9"/>
  <c r="C45" i="9"/>
  <c r="K202" i="9"/>
  <c r="K120" i="9"/>
  <c r="O74" i="3"/>
  <c r="F268" i="9"/>
  <c r="O122" i="9"/>
  <c r="F274" i="9"/>
  <c r="E241" i="9"/>
  <c r="C128" i="9"/>
  <c r="C233" i="9"/>
  <c r="K30" i="9"/>
  <c r="I128" i="9"/>
  <c r="I27" i="9"/>
  <c r="I78" i="9"/>
  <c r="C64" i="9"/>
  <c r="H39" i="9"/>
  <c r="F85" i="9"/>
  <c r="F154" i="9"/>
  <c r="O200" i="9"/>
  <c r="I180" i="9"/>
  <c r="H154" i="9"/>
  <c r="K58" i="3"/>
  <c r="I218" i="9"/>
  <c r="C145" i="9"/>
  <c r="F262" i="9"/>
  <c r="K200" i="9"/>
  <c r="H190" i="9"/>
  <c r="K48" i="3"/>
  <c r="O71" i="3"/>
  <c r="H82" i="9"/>
  <c r="N257" i="9"/>
  <c r="I279" i="9"/>
  <c r="C229" i="9"/>
  <c r="O67" i="3"/>
  <c r="K230" i="9"/>
  <c r="K112" i="9"/>
  <c r="L191" i="9"/>
  <c r="O255" i="9"/>
  <c r="K65" i="9"/>
  <c r="L220" i="9"/>
  <c r="F136" i="9"/>
  <c r="L203" i="9"/>
  <c r="F189" i="9"/>
  <c r="K29" i="9"/>
  <c r="I256" i="9"/>
  <c r="L270" i="9"/>
  <c r="N258" i="9"/>
  <c r="N100" i="9"/>
  <c r="O223" i="9"/>
  <c r="K183" i="9"/>
  <c r="L32" i="9"/>
  <c r="K75" i="9"/>
  <c r="L31" i="9"/>
  <c r="I48" i="9"/>
  <c r="K113" i="9"/>
  <c r="K156" i="9"/>
  <c r="N67" i="9"/>
  <c r="L127" i="9"/>
  <c r="L61" i="9"/>
  <c r="F124" i="9"/>
  <c r="N34" i="9"/>
  <c r="H161" i="9"/>
  <c r="K35" i="9"/>
  <c r="C75" i="9"/>
  <c r="K154" i="9"/>
  <c r="C40" i="9"/>
  <c r="N216" i="9"/>
  <c r="O37" i="9"/>
  <c r="K48" i="9"/>
  <c r="K46" i="9"/>
  <c r="L62" i="9"/>
  <c r="I23" i="9"/>
  <c r="O73" i="3"/>
  <c r="E106" i="9"/>
  <c r="C232" i="9"/>
  <c r="O63" i="9"/>
  <c r="O115" i="9"/>
  <c r="G48" i="3"/>
  <c r="L26" i="9"/>
  <c r="F242" i="9"/>
  <c r="O100" i="9"/>
  <c r="E112" i="9"/>
  <c r="L235" i="9"/>
  <c r="I222" i="9"/>
  <c r="K50" i="9"/>
  <c r="F221" i="9"/>
  <c r="K138" i="9"/>
  <c r="K174" i="9"/>
  <c r="C136" i="9"/>
  <c r="G38" i="3"/>
  <c r="N165" i="9"/>
  <c r="L194" i="9"/>
  <c r="H89" i="9"/>
  <c r="I103" i="9"/>
  <c r="C251" i="9"/>
  <c r="G41" i="3"/>
  <c r="H177" i="9"/>
  <c r="H70" i="9"/>
  <c r="F150" i="9"/>
  <c r="I70" i="9"/>
  <c r="N177" i="9"/>
  <c r="K270" i="9"/>
  <c r="L152" i="9"/>
  <c r="I240" i="9"/>
  <c r="L52" i="9"/>
  <c r="E231" i="9"/>
  <c r="N174" i="9"/>
  <c r="H237" i="9"/>
  <c r="F64" i="9"/>
  <c r="I190" i="9"/>
  <c r="K82" i="9"/>
  <c r="N70" i="9"/>
  <c r="C213" i="9"/>
  <c r="C146" i="9"/>
  <c r="I242" i="9"/>
  <c r="K226" i="9"/>
  <c r="H22" i="9"/>
  <c r="F31" i="9"/>
  <c r="E64" i="9"/>
  <c r="G64" i="3"/>
  <c r="F260" i="9"/>
  <c r="E251" i="9"/>
  <c r="O180" i="9"/>
  <c r="L66" i="9"/>
  <c r="N218" i="9"/>
  <c r="E76" i="9"/>
  <c r="N240" i="9"/>
  <c r="L238" i="9"/>
  <c r="L156" i="9"/>
  <c r="K49" i="9"/>
  <c r="N78" i="9"/>
  <c r="H218" i="9"/>
  <c r="H254" i="9"/>
  <c r="F179" i="9"/>
  <c r="H84" i="9"/>
  <c r="H80" i="9"/>
  <c r="C122" i="9"/>
  <c r="I68" i="9"/>
  <c r="K204" i="9"/>
  <c r="L115" i="9"/>
  <c r="I200" i="9"/>
  <c r="N140" i="9"/>
  <c r="G40" i="3"/>
  <c r="C185" i="9"/>
  <c r="H229" i="9"/>
  <c r="C47" i="9"/>
  <c r="L179" i="9"/>
  <c r="K252" i="9"/>
  <c r="F232" i="9"/>
  <c r="L140" i="9"/>
  <c r="F22" i="9"/>
  <c r="N228" i="9"/>
  <c r="K180" i="9"/>
  <c r="K87" i="9"/>
  <c r="K70" i="3"/>
  <c r="E160" i="9"/>
  <c r="E199" i="9"/>
  <c r="E198" i="9"/>
  <c r="E228" i="9"/>
  <c r="C217" i="9"/>
  <c r="C258" i="9"/>
  <c r="C212" i="9"/>
  <c r="E128" i="9"/>
  <c r="K57" i="3"/>
  <c r="N23" i="9"/>
  <c r="C267" i="9"/>
  <c r="I189" i="9"/>
  <c r="I33" i="9"/>
  <c r="N224" i="9"/>
  <c r="L241" i="9"/>
  <c r="N126" i="9"/>
  <c r="H81" i="9"/>
  <c r="E35" i="9"/>
  <c r="K212" i="9"/>
  <c r="N123" i="9"/>
  <c r="H186" i="9"/>
  <c r="C164" i="9"/>
  <c r="O52" i="9"/>
  <c r="E67" i="9"/>
  <c r="F186" i="9"/>
  <c r="G49" i="3"/>
  <c r="K267" i="9"/>
  <c r="C218" i="9"/>
  <c r="I86" i="9"/>
  <c r="K36" i="9"/>
  <c r="O143" i="9"/>
  <c r="E250" i="9"/>
  <c r="G45" i="3"/>
  <c r="E116" i="9"/>
  <c r="I221" i="9"/>
  <c r="I181" i="9"/>
  <c r="I104" i="9"/>
  <c r="F270" i="9"/>
  <c r="L139" i="9"/>
  <c r="N251" i="9"/>
  <c r="O258" i="9"/>
  <c r="C32" i="9"/>
  <c r="O252" i="9"/>
  <c r="I90" i="9"/>
  <c r="K77" i="9"/>
  <c r="L142" i="9"/>
  <c r="O219" i="9"/>
  <c r="N33" i="9"/>
  <c r="E177" i="9"/>
  <c r="L108" i="9"/>
  <c r="K61" i="3"/>
  <c r="N77" i="9"/>
  <c r="N31" i="9"/>
  <c r="K188" i="9"/>
  <c r="I62" i="9"/>
  <c r="K25" i="9"/>
  <c r="L36" i="9"/>
  <c r="O117" i="9"/>
  <c r="C60" i="9"/>
  <c r="C31" i="9"/>
  <c r="C195" i="9"/>
  <c r="C46" i="9"/>
  <c r="F49" i="9"/>
  <c r="L276" i="9"/>
  <c r="H121" i="9"/>
  <c r="I75" i="9"/>
  <c r="H259" i="9"/>
  <c r="I260" i="9"/>
  <c r="E30" i="9"/>
  <c r="K60" i="3"/>
  <c r="H232" i="9"/>
  <c r="E78" i="9"/>
  <c r="K6" i="3"/>
  <c r="L67" i="9"/>
  <c r="H226" i="9"/>
  <c r="K12" i="5"/>
  <c r="O265" i="9"/>
  <c r="L119" i="9"/>
  <c r="O114" i="9"/>
  <c r="K123" i="9"/>
  <c r="C178" i="9"/>
  <c r="H192" i="9"/>
  <c r="L277" i="9"/>
  <c r="H146" i="9"/>
  <c r="N187" i="9"/>
  <c r="C137" i="9"/>
  <c r="E46" i="9"/>
  <c r="I119" i="9"/>
  <c r="E75" i="9"/>
  <c r="E218" i="9"/>
  <c r="L79" i="9"/>
  <c r="L83" i="9"/>
  <c r="H231" i="9"/>
  <c r="E145" i="9"/>
  <c r="L101" i="9"/>
  <c r="O64" i="9"/>
  <c r="N166" i="9"/>
  <c r="K165" i="9"/>
  <c r="O41" i="9"/>
  <c r="F37" i="9"/>
  <c r="H175" i="9"/>
  <c r="K197" i="9"/>
  <c r="K250" i="9"/>
  <c r="N52" i="9"/>
  <c r="K9" i="5"/>
  <c r="E107" i="9"/>
  <c r="I40" i="9"/>
  <c r="L113" i="9"/>
  <c r="L254" i="9"/>
  <c r="C279" i="9"/>
  <c r="L200" i="9"/>
  <c r="F119" i="9"/>
  <c r="I112" i="9"/>
  <c r="N178" i="9"/>
  <c r="I217" i="9"/>
  <c r="L75" i="9"/>
  <c r="I111" i="9"/>
  <c r="E150" i="9"/>
  <c r="L279" i="9"/>
  <c r="C73" i="9"/>
  <c r="K259" i="9"/>
  <c r="N46" i="9"/>
  <c r="K103" i="9"/>
  <c r="E178" i="9"/>
  <c r="H105" i="9"/>
  <c r="N36" i="9"/>
  <c r="O141" i="9"/>
  <c r="O217" i="9"/>
  <c r="H159" i="9"/>
  <c r="I43" i="9"/>
  <c r="L155" i="9"/>
  <c r="I196" i="9"/>
  <c r="N222" i="9"/>
  <c r="F269" i="9"/>
  <c r="K10" i="5"/>
  <c r="E127" i="9"/>
  <c r="L268" i="9"/>
  <c r="I164" i="9"/>
  <c r="O154" i="9"/>
  <c r="N236" i="9"/>
  <c r="E278" i="9"/>
  <c r="O144" i="9"/>
  <c r="H37" i="9"/>
  <c r="F229" i="9"/>
  <c r="H107" i="9"/>
  <c r="N113" i="9"/>
  <c r="C74" i="9"/>
  <c r="L151" i="9"/>
  <c r="F197" i="9"/>
  <c r="J74" i="9" l="1"/>
  <c r="G74" i="9"/>
  <c r="M74" i="9"/>
  <c r="D74" i="9"/>
  <c r="M10" i="5"/>
  <c r="N10" i="5"/>
  <c r="L10" i="5"/>
  <c r="J73" i="9"/>
  <c r="D73" i="9"/>
  <c r="M73" i="9"/>
  <c r="G73" i="9"/>
  <c r="G279" i="9"/>
  <c r="J279" i="9"/>
  <c r="M279" i="9"/>
  <c r="D279" i="9"/>
  <c r="L9" i="5"/>
  <c r="M9" i="5"/>
  <c r="N9" i="5"/>
  <c r="J137" i="9"/>
  <c r="M137" i="9"/>
  <c r="G137" i="9"/>
  <c r="D137" i="9"/>
  <c r="G178" i="9"/>
  <c r="M178" i="9"/>
  <c r="J178" i="9"/>
  <c r="D178" i="9"/>
  <c r="M12" i="5"/>
  <c r="L12" i="5"/>
  <c r="N12" i="5"/>
  <c r="N6" i="3"/>
  <c r="M6" i="3"/>
  <c r="L6" i="3"/>
  <c r="L60" i="3"/>
  <c r="M60" i="3"/>
  <c r="N60" i="3"/>
  <c r="M46" i="9"/>
  <c r="D46" i="9"/>
  <c r="G46" i="9"/>
  <c r="J46" i="9"/>
  <c r="J195" i="9"/>
  <c r="M195" i="9"/>
  <c r="D195" i="9"/>
  <c r="G195" i="9"/>
  <c r="D31" i="9"/>
  <c r="G31" i="9"/>
  <c r="M31" i="9"/>
  <c r="J31" i="9"/>
  <c r="M60" i="9"/>
  <c r="C92" i="9"/>
  <c r="J60" i="9"/>
  <c r="G60" i="9"/>
  <c r="D60" i="9"/>
  <c r="M61" i="3"/>
  <c r="L61" i="3"/>
  <c r="N61" i="3"/>
  <c r="G32" i="9"/>
  <c r="D32" i="9"/>
  <c r="J32" i="9"/>
  <c r="M32" i="9"/>
  <c r="J45" i="3"/>
  <c r="H45" i="3"/>
  <c r="I45" i="3"/>
  <c r="G218" i="9"/>
  <c r="M218" i="9"/>
  <c r="J218" i="9"/>
  <c r="D218" i="9"/>
  <c r="H49" i="3"/>
  <c r="I49" i="3"/>
  <c r="J49" i="3"/>
  <c r="J164" i="9"/>
  <c r="D164" i="9"/>
  <c r="G164" i="9"/>
  <c r="M164" i="9"/>
  <c r="D267" i="9"/>
  <c r="G267" i="9"/>
  <c r="J267" i="9"/>
  <c r="M267" i="9"/>
  <c r="L57" i="3"/>
  <c r="M57" i="3"/>
  <c r="N57" i="3"/>
  <c r="M212" i="9"/>
  <c r="C244" i="9"/>
  <c r="D212" i="9"/>
  <c r="J212" i="9"/>
  <c r="G212" i="9"/>
  <c r="J258" i="9"/>
  <c r="D258" i="9"/>
  <c r="G258" i="9"/>
  <c r="M258" i="9"/>
  <c r="M217" i="9"/>
  <c r="G217" i="9"/>
  <c r="D217" i="9"/>
  <c r="J217" i="9"/>
  <c r="M70" i="3"/>
  <c r="N70" i="3"/>
  <c r="L70" i="3"/>
  <c r="F54" i="9"/>
  <c r="G47" i="9"/>
  <c r="M47" i="9"/>
  <c r="J47" i="9"/>
  <c r="D47" i="9"/>
  <c r="D185" i="9"/>
  <c r="M185" i="9"/>
  <c r="J185" i="9"/>
  <c r="G185" i="9"/>
  <c r="J40" i="3"/>
  <c r="I40" i="3"/>
  <c r="H40" i="3"/>
  <c r="M122" i="9"/>
  <c r="G122" i="9"/>
  <c r="J122" i="9"/>
  <c r="D122" i="9"/>
  <c r="J64" i="3"/>
  <c r="I64" i="3"/>
  <c r="H64" i="3"/>
  <c r="J146" i="9"/>
  <c r="M146" i="9"/>
  <c r="D146" i="9"/>
  <c r="G146" i="9"/>
  <c r="M213" i="9"/>
  <c r="D213" i="9"/>
  <c r="J213" i="9"/>
  <c r="G213" i="9"/>
  <c r="H41" i="3"/>
  <c r="J41" i="3"/>
  <c r="I41" i="3"/>
  <c r="M251" i="9"/>
  <c r="D251" i="9"/>
  <c r="J251" i="9"/>
  <c r="G251" i="9"/>
  <c r="H38" i="3"/>
  <c r="J38" i="3"/>
  <c r="I38" i="3"/>
  <c r="C168" i="9"/>
  <c r="M136" i="9"/>
  <c r="G136" i="9"/>
  <c r="D136" i="9"/>
  <c r="J136" i="9"/>
  <c r="I48" i="3"/>
  <c r="H48" i="3"/>
  <c r="J48" i="3"/>
  <c r="G232" i="9"/>
  <c r="M232" i="9"/>
  <c r="D232" i="9"/>
  <c r="J232" i="9"/>
  <c r="P73" i="3"/>
  <c r="R73" i="3"/>
  <c r="Q73" i="3"/>
  <c r="D40" i="9"/>
  <c r="G40" i="9"/>
  <c r="J40" i="9"/>
  <c r="M40" i="9"/>
  <c r="M75" i="9"/>
  <c r="J75" i="9"/>
  <c r="D75" i="9"/>
  <c r="G75" i="9"/>
  <c r="F168" i="9"/>
  <c r="E168" i="9" s="1"/>
  <c r="D12" i="9" s="1"/>
  <c r="Q67" i="3"/>
  <c r="P67" i="3"/>
  <c r="R67" i="3"/>
  <c r="D229" i="9"/>
  <c r="G229" i="9"/>
  <c r="J229" i="9"/>
  <c r="M229" i="9"/>
  <c r="P71" i="3"/>
  <c r="Q71" i="3"/>
  <c r="R71" i="3"/>
  <c r="L48" i="3"/>
  <c r="N48" i="3"/>
  <c r="M48" i="3"/>
  <c r="J145" i="9"/>
  <c r="D145" i="9"/>
  <c r="G145" i="9"/>
  <c r="M145" i="9"/>
  <c r="M58" i="3"/>
  <c r="L58" i="3"/>
  <c r="N58" i="3"/>
  <c r="J64" i="9"/>
  <c r="G64" i="9"/>
  <c r="M64" i="9"/>
  <c r="D64" i="9"/>
  <c r="G233" i="9"/>
  <c r="J233" i="9"/>
  <c r="D233" i="9"/>
  <c r="M233" i="9"/>
  <c r="D128" i="9"/>
  <c r="M128" i="9"/>
  <c r="G128" i="9"/>
  <c r="J128" i="9"/>
  <c r="R74" i="3"/>
  <c r="P74" i="3"/>
  <c r="Q74" i="3"/>
  <c r="J45" i="9"/>
  <c r="M45" i="9"/>
  <c r="D45" i="9"/>
  <c r="G45" i="9"/>
  <c r="I56" i="3"/>
  <c r="J56" i="3"/>
  <c r="H56" i="3"/>
  <c r="N15" i="5"/>
  <c r="M15" i="5"/>
  <c r="L15" i="5"/>
  <c r="I130" i="9"/>
  <c r="H130" i="9" s="1"/>
  <c r="G6" i="9" s="1"/>
  <c r="F282" i="9"/>
  <c r="E282" i="9" s="1"/>
  <c r="D14" i="9" s="1"/>
  <c r="G216" i="9"/>
  <c r="M216" i="9"/>
  <c r="D216" i="9"/>
  <c r="J216" i="9"/>
  <c r="D225" i="9"/>
  <c r="J225" i="9"/>
  <c r="M225" i="9"/>
  <c r="G225" i="9"/>
  <c r="P50" i="3"/>
  <c r="Q50" i="3"/>
  <c r="R50" i="3"/>
  <c r="J196" i="9"/>
  <c r="M196" i="9"/>
  <c r="D196" i="9"/>
  <c r="G196" i="9"/>
  <c r="M98" i="9"/>
  <c r="J98" i="9"/>
  <c r="D98" i="9"/>
  <c r="C130" i="9"/>
  <c r="G98" i="9"/>
  <c r="D81" i="9"/>
  <c r="M81" i="9"/>
  <c r="G81" i="9"/>
  <c r="J81" i="9"/>
  <c r="R43" i="3"/>
  <c r="P43" i="3"/>
  <c r="Q43" i="3"/>
  <c r="H33" i="3"/>
  <c r="J33" i="3"/>
  <c r="I33" i="3"/>
  <c r="G102" i="9"/>
  <c r="D102" i="9"/>
  <c r="M102" i="9"/>
  <c r="J102" i="9"/>
  <c r="N56" i="3"/>
  <c r="M56" i="3"/>
  <c r="L56" i="3"/>
  <c r="G155" i="9"/>
  <c r="D155" i="9"/>
  <c r="M155" i="9"/>
  <c r="J155" i="9"/>
  <c r="J182" i="9"/>
  <c r="G182" i="9"/>
  <c r="M182" i="9"/>
  <c r="D182" i="9"/>
  <c r="F92" i="9"/>
  <c r="E92" i="9" s="1"/>
  <c r="D4" i="9" s="1"/>
  <c r="H57" i="3"/>
  <c r="J57" i="3"/>
  <c r="I57" i="3"/>
  <c r="L14" i="5"/>
  <c r="N14" i="5"/>
  <c r="M14" i="5"/>
  <c r="D114" i="9"/>
  <c r="J114" i="9"/>
  <c r="G114" i="9"/>
  <c r="M114" i="9"/>
  <c r="L18" i="5"/>
  <c r="M18" i="5"/>
  <c r="N18" i="5"/>
  <c r="J250" i="9"/>
  <c r="G250" i="9"/>
  <c r="C282" i="9"/>
  <c r="D250" i="9"/>
  <c r="M250" i="9"/>
  <c r="N37" i="3"/>
  <c r="M37" i="3"/>
  <c r="L37" i="3"/>
  <c r="M63" i="3"/>
  <c r="L63" i="3"/>
  <c r="N63" i="3"/>
  <c r="J65" i="9"/>
  <c r="M65" i="9"/>
  <c r="D65" i="9"/>
  <c r="G65" i="9"/>
  <c r="M197" i="9"/>
  <c r="D197" i="9"/>
  <c r="G197" i="9"/>
  <c r="J197" i="9"/>
  <c r="D44" i="9"/>
  <c r="G44" i="9"/>
  <c r="M44" i="9"/>
  <c r="J44" i="9"/>
  <c r="N8" i="5"/>
  <c r="L8" i="5"/>
  <c r="M8" i="5"/>
  <c r="M214" i="9"/>
  <c r="G214" i="9"/>
  <c r="J214" i="9"/>
  <c r="D214" i="9"/>
  <c r="M158" i="9"/>
  <c r="G158" i="9"/>
  <c r="D158" i="9"/>
  <c r="J158" i="9"/>
  <c r="M43" i="3"/>
  <c r="N43" i="3"/>
  <c r="L43" i="3"/>
  <c r="L49" i="3"/>
  <c r="N49" i="3"/>
  <c r="M49" i="3"/>
  <c r="D89" i="9"/>
  <c r="M89" i="9"/>
  <c r="G89" i="9"/>
  <c r="J89" i="9"/>
  <c r="M141" i="9"/>
  <c r="D141" i="9"/>
  <c r="G141" i="9"/>
  <c r="J141" i="9"/>
  <c r="M148" i="9"/>
  <c r="J148" i="9"/>
  <c r="D148" i="9"/>
  <c r="G148" i="9"/>
  <c r="O244" i="9"/>
  <c r="N244" i="9" s="1"/>
  <c r="M10" i="9" s="1"/>
  <c r="J44" i="3"/>
  <c r="H44" i="3"/>
  <c r="I44" i="3"/>
  <c r="D106" i="9"/>
  <c r="G106" i="9"/>
  <c r="J106" i="9"/>
  <c r="M106" i="9"/>
  <c r="J43" i="3"/>
  <c r="I43" i="3"/>
  <c r="H43" i="3"/>
  <c r="I68" i="3"/>
  <c r="J68" i="3"/>
  <c r="H68" i="3"/>
  <c r="H37" i="3"/>
  <c r="J37" i="3"/>
  <c r="I37" i="3"/>
  <c r="J190" i="9"/>
  <c r="D190" i="9"/>
  <c r="M190" i="9"/>
  <c r="G190" i="9"/>
  <c r="M34" i="9"/>
  <c r="J34" i="9"/>
  <c r="G34" i="9"/>
  <c r="D34" i="9"/>
  <c r="M17" i="3"/>
  <c r="N17" i="3"/>
  <c r="L17" i="3"/>
  <c r="G29" i="9"/>
  <c r="D29" i="9"/>
  <c r="M29" i="9"/>
  <c r="J29" i="9"/>
  <c r="M36" i="3"/>
  <c r="N36" i="3"/>
  <c r="L36" i="3"/>
  <c r="M22" i="5"/>
  <c r="L22" i="5"/>
  <c r="N22" i="5"/>
  <c r="G263" i="9"/>
  <c r="D263" i="9"/>
  <c r="M263" i="9"/>
  <c r="J263" i="9"/>
  <c r="Q62" i="3"/>
  <c r="P62" i="3"/>
  <c r="R62" i="3"/>
  <c r="R46" i="3"/>
  <c r="P46" i="3"/>
  <c r="Q46" i="3"/>
  <c r="J184" i="9"/>
  <c r="M184" i="9"/>
  <c r="G184" i="9"/>
  <c r="D184" i="9"/>
  <c r="J176" i="9"/>
  <c r="M176" i="9"/>
  <c r="D176" i="9"/>
  <c r="G176" i="9"/>
  <c r="M124" i="9"/>
  <c r="J124" i="9"/>
  <c r="D124" i="9"/>
  <c r="G124" i="9"/>
  <c r="P58" i="3"/>
  <c r="R58" i="3"/>
  <c r="Q58" i="3"/>
  <c r="D260" i="9"/>
  <c r="G260" i="9"/>
  <c r="J260" i="9"/>
  <c r="M260" i="9"/>
  <c r="H39" i="3"/>
  <c r="J39" i="3"/>
  <c r="I39" i="3"/>
  <c r="M261" i="9"/>
  <c r="G261" i="9"/>
  <c r="D261" i="9"/>
  <c r="J261" i="9"/>
  <c r="M27" i="9"/>
  <c r="G27" i="9"/>
  <c r="D27" i="9"/>
  <c r="J27" i="9"/>
  <c r="N42" i="3"/>
  <c r="L42" i="3"/>
  <c r="M42" i="3"/>
  <c r="M125" i="9"/>
  <c r="J125" i="9"/>
  <c r="G125" i="9"/>
  <c r="D125" i="9"/>
  <c r="J41" i="9"/>
  <c r="M41" i="9"/>
  <c r="G41" i="9"/>
  <c r="D41" i="9"/>
  <c r="L206" i="9"/>
  <c r="K206" i="9" s="1"/>
  <c r="J8" i="9" s="1"/>
  <c r="Q61" i="3"/>
  <c r="P61" i="3"/>
  <c r="R61" i="3"/>
  <c r="Q69" i="3"/>
  <c r="R69" i="3"/>
  <c r="P69" i="3"/>
  <c r="N68" i="3"/>
  <c r="L68" i="3"/>
  <c r="M68" i="3"/>
  <c r="O282" i="9"/>
  <c r="N282" i="9" s="1"/>
  <c r="M14" i="9" s="1"/>
  <c r="J147" i="9"/>
  <c r="M147" i="9"/>
  <c r="D147" i="9"/>
  <c r="G147" i="9"/>
  <c r="M19" i="3"/>
  <c r="L19" i="3"/>
  <c r="N19" i="3"/>
  <c r="J88" i="9"/>
  <c r="M88" i="9"/>
  <c r="D88" i="9"/>
  <c r="G88" i="9"/>
  <c r="D121" i="9"/>
  <c r="M121" i="9"/>
  <c r="J121" i="9"/>
  <c r="G121" i="9"/>
  <c r="M69" i="9"/>
  <c r="J69" i="9"/>
  <c r="D69" i="9"/>
  <c r="G69" i="9"/>
  <c r="M90" i="9"/>
  <c r="J90" i="9"/>
  <c r="D90" i="9"/>
  <c r="G90" i="9"/>
  <c r="D138" i="9"/>
  <c r="M138" i="9"/>
  <c r="G138" i="9"/>
  <c r="J138" i="9"/>
  <c r="D180" i="9"/>
  <c r="M180" i="9"/>
  <c r="G180" i="9"/>
  <c r="J180" i="9"/>
  <c r="G187" i="9"/>
  <c r="M187" i="9"/>
  <c r="D187" i="9"/>
  <c r="J187" i="9"/>
  <c r="J270" i="9"/>
  <c r="G270" i="9"/>
  <c r="M270" i="9"/>
  <c r="D270" i="9"/>
  <c r="L10" i="3"/>
  <c r="M10" i="3"/>
  <c r="N10" i="3"/>
  <c r="H67" i="3"/>
  <c r="J67" i="3"/>
  <c r="I67" i="3"/>
  <c r="L40" i="3"/>
  <c r="M40" i="3"/>
  <c r="N40" i="3"/>
  <c r="M253" i="9"/>
  <c r="G253" i="9"/>
  <c r="D253" i="9"/>
  <c r="J253" i="9"/>
  <c r="L244" i="9"/>
  <c r="K244" i="9" s="1"/>
  <c r="J10" i="9" s="1"/>
  <c r="G36" i="9"/>
  <c r="D36" i="9"/>
  <c r="M36" i="9"/>
  <c r="J36" i="9"/>
  <c r="D153" i="9"/>
  <c r="J153" i="9"/>
  <c r="M153" i="9"/>
  <c r="G153" i="9"/>
  <c r="M39" i="9"/>
  <c r="J39" i="9"/>
  <c r="G39" i="9"/>
  <c r="D39" i="9"/>
  <c r="L41" i="3"/>
  <c r="M41" i="3"/>
  <c r="N41" i="3"/>
  <c r="M254" i="9"/>
  <c r="G254" i="9"/>
  <c r="J254" i="9"/>
  <c r="D254" i="9"/>
  <c r="R63" i="3"/>
  <c r="P63" i="3"/>
  <c r="Q63" i="3"/>
  <c r="J204" i="9"/>
  <c r="M204" i="9"/>
  <c r="D204" i="9"/>
  <c r="G204" i="9"/>
  <c r="H69" i="3"/>
  <c r="I69" i="3"/>
  <c r="J69" i="3"/>
  <c r="I244" i="9"/>
  <c r="H244" i="9" s="1"/>
  <c r="G10" i="9" s="1"/>
  <c r="L74" i="3"/>
  <c r="N74" i="3"/>
  <c r="M74" i="3"/>
  <c r="Q31" i="3"/>
  <c r="R31" i="3"/>
  <c r="P31" i="3"/>
  <c r="C206" i="9"/>
  <c r="J174" i="9"/>
  <c r="M174" i="9"/>
  <c r="G174" i="9"/>
  <c r="D174" i="9"/>
  <c r="D165" i="9"/>
  <c r="G165" i="9"/>
  <c r="M165" i="9"/>
  <c r="J165" i="9"/>
  <c r="G120" i="9"/>
  <c r="J120" i="9"/>
  <c r="D120" i="9"/>
  <c r="M120" i="9"/>
  <c r="J38" i="9"/>
  <c r="M38" i="9"/>
  <c r="G38" i="9"/>
  <c r="D38" i="9"/>
  <c r="M271" i="9"/>
  <c r="G271" i="9"/>
  <c r="D271" i="9"/>
  <c r="J271" i="9"/>
  <c r="D109" i="9"/>
  <c r="M109" i="9"/>
  <c r="G109" i="9"/>
  <c r="J109" i="9"/>
  <c r="D194" i="9"/>
  <c r="J194" i="9"/>
  <c r="G194" i="9"/>
  <c r="M194" i="9"/>
  <c r="J126" i="9"/>
  <c r="G126" i="9"/>
  <c r="M126" i="9"/>
  <c r="D126" i="9"/>
  <c r="M9" i="3"/>
  <c r="N9" i="3"/>
  <c r="L9" i="3"/>
  <c r="J28" i="9"/>
  <c r="M28" i="9"/>
  <c r="D28" i="9"/>
  <c r="G28" i="9"/>
  <c r="J193" i="9"/>
  <c r="D193" i="9"/>
  <c r="G193" i="9"/>
  <c r="M193" i="9"/>
  <c r="L168" i="9"/>
  <c r="K168" i="9" s="1"/>
  <c r="J12" i="9" s="1"/>
  <c r="N6" i="5"/>
  <c r="M6" i="5"/>
  <c r="L6" i="5"/>
  <c r="G236" i="9"/>
  <c r="M236" i="9"/>
  <c r="D236" i="9"/>
  <c r="J236" i="9"/>
  <c r="M222" i="9"/>
  <c r="G222" i="9"/>
  <c r="D222" i="9"/>
  <c r="J222" i="9"/>
  <c r="J264" i="9"/>
  <c r="M264" i="9"/>
  <c r="G264" i="9"/>
  <c r="D264" i="9"/>
  <c r="M274" i="9"/>
  <c r="J274" i="9"/>
  <c r="G274" i="9"/>
  <c r="D274" i="9"/>
  <c r="G219" i="9"/>
  <c r="D219" i="9"/>
  <c r="J219" i="9"/>
  <c r="M219" i="9"/>
  <c r="J61" i="3"/>
  <c r="H61" i="3"/>
  <c r="I61" i="3"/>
  <c r="L15" i="3"/>
  <c r="M15" i="3"/>
  <c r="N15" i="3"/>
  <c r="N34" i="3"/>
  <c r="L34" i="3"/>
  <c r="M34" i="3"/>
  <c r="L72" i="3"/>
  <c r="N72" i="3"/>
  <c r="M72" i="3"/>
  <c r="N64" i="3"/>
  <c r="M64" i="3"/>
  <c r="L64" i="3"/>
  <c r="L46" i="3"/>
  <c r="M46" i="3"/>
  <c r="N46" i="3"/>
  <c r="G268" i="9"/>
  <c r="D268" i="9"/>
  <c r="J268" i="9"/>
  <c r="M268" i="9"/>
  <c r="G201" i="9"/>
  <c r="J201" i="9"/>
  <c r="D201" i="9"/>
  <c r="M201" i="9"/>
  <c r="J191" i="9"/>
  <c r="G191" i="9"/>
  <c r="D191" i="9"/>
  <c r="M191" i="9"/>
  <c r="M237" i="9"/>
  <c r="J237" i="9"/>
  <c r="G237" i="9"/>
  <c r="D237" i="9"/>
  <c r="M262" i="9"/>
  <c r="J262" i="9"/>
  <c r="D262" i="9"/>
  <c r="G262" i="9"/>
  <c r="Q75" i="3"/>
  <c r="P75" i="3"/>
  <c r="R75" i="3"/>
  <c r="M18" i="3"/>
  <c r="L18" i="3"/>
  <c r="N18" i="3"/>
  <c r="J101" i="9"/>
  <c r="D101" i="9"/>
  <c r="M101" i="9"/>
  <c r="G101" i="9"/>
  <c r="G22" i="9"/>
  <c r="C54" i="9"/>
  <c r="M22" i="9"/>
  <c r="J22" i="9"/>
  <c r="D22" i="9"/>
  <c r="M66" i="3"/>
  <c r="L66" i="3"/>
  <c r="N66" i="3"/>
  <c r="R72" i="3"/>
  <c r="Q72" i="3"/>
  <c r="P72" i="3"/>
  <c r="M140" i="9"/>
  <c r="J140" i="9"/>
  <c r="D140" i="9"/>
  <c r="G140" i="9"/>
  <c r="L13" i="5"/>
  <c r="N13" i="5"/>
  <c r="M13" i="5"/>
  <c r="H63" i="3"/>
  <c r="I63" i="3"/>
  <c r="J63" i="3"/>
  <c r="J239" i="9"/>
  <c r="D239" i="9"/>
  <c r="M239" i="9"/>
  <c r="G239" i="9"/>
  <c r="D200" i="9"/>
  <c r="M200" i="9"/>
  <c r="J200" i="9"/>
  <c r="G200" i="9"/>
  <c r="R44" i="3"/>
  <c r="Q44" i="3"/>
  <c r="P44" i="3"/>
  <c r="D257" i="9"/>
  <c r="M257" i="9"/>
  <c r="G257" i="9"/>
  <c r="J257" i="9"/>
  <c r="J162" i="9"/>
  <c r="M162" i="9"/>
  <c r="D162" i="9"/>
  <c r="G162" i="9"/>
  <c r="J48" i="9"/>
  <c r="D48" i="9"/>
  <c r="G48" i="9"/>
  <c r="M48" i="9"/>
  <c r="J252" i="9"/>
  <c r="M252" i="9"/>
  <c r="D252" i="9"/>
  <c r="G252" i="9"/>
  <c r="J87" i="9"/>
  <c r="G87" i="9"/>
  <c r="D87" i="9"/>
  <c r="M87" i="9"/>
  <c r="R36" i="3"/>
  <c r="P36" i="3"/>
  <c r="Q36" i="3"/>
  <c r="L7" i="5"/>
  <c r="M7" i="5"/>
  <c r="N7" i="5"/>
  <c r="J215" i="9"/>
  <c r="G215" i="9"/>
  <c r="D215" i="9"/>
  <c r="M215" i="9"/>
  <c r="J152" i="9"/>
  <c r="M152" i="9"/>
  <c r="D152" i="9"/>
  <c r="G152" i="9"/>
  <c r="G221" i="9"/>
  <c r="J221" i="9"/>
  <c r="M221" i="9"/>
  <c r="D221" i="9"/>
  <c r="M192" i="9"/>
  <c r="G192" i="9"/>
  <c r="J192" i="9"/>
  <c r="D192" i="9"/>
  <c r="M14" i="3"/>
  <c r="L14" i="3"/>
  <c r="N14" i="3"/>
  <c r="F206" i="9"/>
  <c r="E206" i="9" s="1"/>
  <c r="D8" i="9" s="1"/>
  <c r="D108" i="9"/>
  <c r="M108" i="9"/>
  <c r="J108" i="9"/>
  <c r="G108" i="9"/>
  <c r="I47" i="3"/>
  <c r="J47" i="3"/>
  <c r="H47" i="3"/>
  <c r="I73" i="3"/>
  <c r="H73" i="3"/>
  <c r="J73" i="3"/>
  <c r="M77" i="9"/>
  <c r="G77" i="9"/>
  <c r="D77" i="9"/>
  <c r="J77" i="9"/>
  <c r="G99" i="9"/>
  <c r="J99" i="9"/>
  <c r="M99" i="9"/>
  <c r="D99" i="9"/>
  <c r="M50" i="3"/>
  <c r="L50" i="3"/>
  <c r="N50" i="3"/>
  <c r="D52" i="9"/>
  <c r="M52" i="9"/>
  <c r="J52" i="9"/>
  <c r="G52" i="9"/>
  <c r="H75" i="3"/>
  <c r="J75" i="3"/>
  <c r="I75" i="3"/>
  <c r="M7" i="3"/>
  <c r="L7" i="3"/>
  <c r="N7" i="3"/>
  <c r="I42" i="3"/>
  <c r="H42" i="3"/>
  <c r="J42" i="3"/>
  <c r="G227" i="9"/>
  <c r="M227" i="9"/>
  <c r="D227" i="9"/>
  <c r="J227" i="9"/>
  <c r="J70" i="3"/>
  <c r="I70" i="3"/>
  <c r="H70" i="3"/>
  <c r="I206" i="9"/>
  <c r="H206" i="9" s="1"/>
  <c r="G8" i="9" s="1"/>
  <c r="R60" i="3"/>
  <c r="Q60" i="3"/>
  <c r="P60" i="3"/>
  <c r="M113" i="9"/>
  <c r="D113" i="9"/>
  <c r="G113" i="9"/>
  <c r="J113" i="9"/>
  <c r="H72" i="3"/>
  <c r="J72" i="3"/>
  <c r="I72" i="3"/>
  <c r="D255" i="9"/>
  <c r="G255" i="9"/>
  <c r="J255" i="9"/>
  <c r="M255" i="9"/>
  <c r="M84" i="9"/>
  <c r="J84" i="9"/>
  <c r="G84" i="9"/>
  <c r="D84" i="9"/>
  <c r="D235" i="9"/>
  <c r="G235" i="9"/>
  <c r="M235" i="9"/>
  <c r="J235" i="9"/>
  <c r="N11" i="3"/>
  <c r="L11" i="3"/>
  <c r="M11" i="3"/>
  <c r="G26" i="9"/>
  <c r="D26" i="9"/>
  <c r="J26" i="9"/>
  <c r="M26" i="9"/>
  <c r="M30" i="9"/>
  <c r="J30" i="9"/>
  <c r="D30" i="9"/>
  <c r="G30" i="9"/>
  <c r="R42" i="3"/>
  <c r="Q42" i="3"/>
  <c r="P42" i="3"/>
  <c r="J103" i="9"/>
  <c r="G103" i="9"/>
  <c r="M103" i="9"/>
  <c r="D103" i="9"/>
  <c r="M25" i="5"/>
  <c r="L25" i="5"/>
  <c r="N25" i="5"/>
  <c r="L54" i="9"/>
  <c r="K54" i="9" s="1"/>
  <c r="J16" i="9" s="1"/>
  <c r="J149" i="9"/>
  <c r="D149" i="9"/>
  <c r="M149" i="9"/>
  <c r="G149" i="9"/>
  <c r="G186" i="9"/>
  <c r="J186" i="9"/>
  <c r="M186" i="9"/>
  <c r="D186" i="9"/>
  <c r="L19" i="5"/>
  <c r="N19" i="5"/>
  <c r="M19" i="5"/>
  <c r="O92" i="9"/>
  <c r="N92" i="9" s="1"/>
  <c r="M4" i="9" s="1"/>
  <c r="L35" i="3"/>
  <c r="M35" i="3"/>
  <c r="N35" i="3"/>
  <c r="G123" i="9"/>
  <c r="D123" i="9"/>
  <c r="M123" i="9"/>
  <c r="J123" i="9"/>
  <c r="H58" i="3"/>
  <c r="I58" i="3"/>
  <c r="J58" i="3"/>
  <c r="J33" i="9"/>
  <c r="M33" i="9"/>
  <c r="G33" i="9"/>
  <c r="D33" i="9"/>
  <c r="J72" i="9"/>
  <c r="D72" i="9"/>
  <c r="G72" i="9"/>
  <c r="M72" i="9"/>
  <c r="L24" i="3"/>
  <c r="M24" i="3"/>
  <c r="N24" i="3"/>
  <c r="N21" i="3"/>
  <c r="M21" i="3"/>
  <c r="L21" i="3"/>
  <c r="D160" i="9"/>
  <c r="J160" i="9"/>
  <c r="M160" i="9"/>
  <c r="G160" i="9"/>
  <c r="Q68" i="3"/>
  <c r="P68" i="3"/>
  <c r="R68" i="3"/>
  <c r="M112" i="9"/>
  <c r="D112" i="9"/>
  <c r="G112" i="9"/>
  <c r="J112" i="9"/>
  <c r="M20" i="5"/>
  <c r="N20" i="5"/>
  <c r="L20" i="5"/>
  <c r="G231" i="9"/>
  <c r="D231" i="9"/>
  <c r="M231" i="9"/>
  <c r="J231" i="9"/>
  <c r="M238" i="9"/>
  <c r="G238" i="9"/>
  <c r="D238" i="9"/>
  <c r="J238" i="9"/>
  <c r="O206" i="9"/>
  <c r="N206" i="9" s="1"/>
  <c r="M8" i="9" s="1"/>
  <c r="D86" i="9"/>
  <c r="M86" i="9"/>
  <c r="J86" i="9"/>
  <c r="G86" i="9"/>
  <c r="G265" i="9"/>
  <c r="M265" i="9"/>
  <c r="J265" i="9"/>
  <c r="D265" i="9"/>
  <c r="G266" i="9"/>
  <c r="M266" i="9"/>
  <c r="J266" i="9"/>
  <c r="D266" i="9"/>
  <c r="H66" i="3"/>
  <c r="J66" i="3"/>
  <c r="I66" i="3"/>
  <c r="G68" i="9"/>
  <c r="D68" i="9"/>
  <c r="J68" i="9"/>
  <c r="M68" i="9"/>
  <c r="G49" i="9"/>
  <c r="M49" i="9"/>
  <c r="D49" i="9"/>
  <c r="J49" i="9"/>
  <c r="G25" i="9"/>
  <c r="J25" i="9"/>
  <c r="M25" i="9"/>
  <c r="D25" i="9"/>
  <c r="M20" i="3"/>
  <c r="L20" i="3"/>
  <c r="N20" i="3"/>
  <c r="P45" i="3"/>
  <c r="R45" i="3"/>
  <c r="Q45" i="3"/>
  <c r="M11" i="5"/>
  <c r="N11" i="5"/>
  <c r="L11" i="5"/>
  <c r="M175" i="9"/>
  <c r="D175" i="9"/>
  <c r="G175" i="9"/>
  <c r="J175" i="9"/>
  <c r="J70" i="9"/>
  <c r="D70" i="9"/>
  <c r="M70" i="9"/>
  <c r="G70" i="9"/>
  <c r="O168" i="9"/>
  <c r="N168" i="9" s="1"/>
  <c r="M12" i="9" s="1"/>
  <c r="D220" i="9"/>
  <c r="J220" i="9"/>
  <c r="M220" i="9"/>
  <c r="G220" i="9"/>
  <c r="J105" i="9"/>
  <c r="M105" i="9"/>
  <c r="G105" i="9"/>
  <c r="D105" i="9"/>
  <c r="M226" i="9"/>
  <c r="D226" i="9"/>
  <c r="G226" i="9"/>
  <c r="J226" i="9"/>
  <c r="G230" i="9"/>
  <c r="J230" i="9"/>
  <c r="M230" i="9"/>
  <c r="D230" i="9"/>
  <c r="G203" i="9"/>
  <c r="J203" i="9"/>
  <c r="M203" i="9"/>
  <c r="D203" i="9"/>
  <c r="D51" i="9"/>
  <c r="M51" i="9"/>
  <c r="J51" i="9"/>
  <c r="G51" i="9"/>
  <c r="G198" i="9"/>
  <c r="M198" i="9"/>
  <c r="D198" i="9"/>
  <c r="J198" i="9"/>
  <c r="D62" i="9"/>
  <c r="M62" i="9"/>
  <c r="G62" i="9"/>
  <c r="J62" i="9"/>
  <c r="L130" i="9"/>
  <c r="K130" i="9" s="1"/>
  <c r="J6" i="9" s="1"/>
  <c r="R57" i="3"/>
  <c r="P57" i="3"/>
  <c r="Q57" i="3"/>
  <c r="N16" i="5"/>
  <c r="L16" i="5"/>
  <c r="M16" i="5"/>
  <c r="G139" i="9"/>
  <c r="D139" i="9"/>
  <c r="J139" i="9"/>
  <c r="M139" i="9"/>
  <c r="D199" i="9"/>
  <c r="J199" i="9"/>
  <c r="M199" i="9"/>
  <c r="G199" i="9"/>
  <c r="O54" i="9"/>
  <c r="N54" i="9" s="1"/>
  <c r="M16" i="9" s="1"/>
  <c r="J256" i="9"/>
  <c r="G256" i="9"/>
  <c r="D256" i="9"/>
  <c r="M256" i="9"/>
  <c r="G143" i="9"/>
  <c r="M143" i="9"/>
  <c r="D143" i="9"/>
  <c r="J143" i="9"/>
  <c r="H31" i="3"/>
  <c r="I31" i="3"/>
  <c r="J31" i="3"/>
  <c r="N23" i="5"/>
  <c r="M23" i="5"/>
  <c r="L23" i="5"/>
  <c r="I74" i="3"/>
  <c r="H74" i="3"/>
  <c r="J74" i="3"/>
  <c r="J159" i="9"/>
  <c r="M159" i="9"/>
  <c r="G159" i="9"/>
  <c r="D159" i="9"/>
  <c r="H50" i="3"/>
  <c r="J50" i="3"/>
  <c r="I50" i="3"/>
  <c r="G85" i="9"/>
  <c r="D85" i="9"/>
  <c r="J85" i="9"/>
  <c r="M85" i="9"/>
  <c r="J24" i="9"/>
  <c r="M24" i="9"/>
  <c r="D24" i="9"/>
  <c r="G24" i="9"/>
  <c r="J163" i="9"/>
  <c r="M163" i="9"/>
  <c r="D163" i="9"/>
  <c r="G163" i="9"/>
  <c r="L17" i="5"/>
  <c r="M17" i="5"/>
  <c r="N17" i="5"/>
  <c r="J35" i="9"/>
  <c r="G35" i="9"/>
  <c r="M35" i="9"/>
  <c r="D35" i="9"/>
  <c r="F244" i="9"/>
  <c r="E244" i="9" s="1"/>
  <c r="D10" i="9" s="1"/>
  <c r="J110" i="9"/>
  <c r="D110" i="9"/>
  <c r="G110" i="9"/>
  <c r="M110" i="9"/>
  <c r="L24" i="5"/>
  <c r="M24" i="5"/>
  <c r="N24" i="5"/>
  <c r="J42" i="9"/>
  <c r="G42" i="9"/>
  <c r="D42" i="9"/>
  <c r="M42" i="9"/>
  <c r="G37" i="9"/>
  <c r="M37" i="9"/>
  <c r="D37" i="9"/>
  <c r="J37" i="9"/>
  <c r="N65" i="3"/>
  <c r="M65" i="3"/>
  <c r="L65" i="3"/>
  <c r="M75" i="3"/>
  <c r="N75" i="3"/>
  <c r="L75" i="3"/>
  <c r="D183" i="9"/>
  <c r="M183" i="9"/>
  <c r="J183" i="9"/>
  <c r="G183" i="9"/>
  <c r="M47" i="3"/>
  <c r="N47" i="3"/>
  <c r="L47" i="3"/>
  <c r="L25" i="3"/>
  <c r="N25" i="3"/>
  <c r="M25" i="3"/>
  <c r="G107" i="9"/>
  <c r="D107" i="9"/>
  <c r="J107" i="9"/>
  <c r="M107" i="9"/>
  <c r="L22" i="3"/>
  <c r="M22" i="3"/>
  <c r="N22" i="3"/>
  <c r="J277" i="9"/>
  <c r="M277" i="9"/>
  <c r="D277" i="9"/>
  <c r="G277" i="9"/>
  <c r="O130" i="9"/>
  <c r="N130" i="9" s="1"/>
  <c r="M6" i="9" s="1"/>
  <c r="J161" i="9"/>
  <c r="G161" i="9"/>
  <c r="M161" i="9"/>
  <c r="D161" i="9"/>
  <c r="J280" i="9"/>
  <c r="D280" i="9"/>
  <c r="G280" i="9"/>
  <c r="M280" i="9"/>
  <c r="D43" i="9"/>
  <c r="M43" i="9"/>
  <c r="J43" i="9"/>
  <c r="G43" i="9"/>
  <c r="G269" i="9"/>
  <c r="J269" i="9"/>
  <c r="D269" i="9"/>
  <c r="M269" i="9"/>
  <c r="M188" i="9"/>
  <c r="D188" i="9"/>
  <c r="G188" i="9"/>
  <c r="J188" i="9"/>
  <c r="M166" i="9"/>
  <c r="G166" i="9"/>
  <c r="D166" i="9"/>
  <c r="J166" i="9"/>
  <c r="J82" i="9"/>
  <c r="D82" i="9"/>
  <c r="M82" i="9"/>
  <c r="G82" i="9"/>
  <c r="J65" i="3"/>
  <c r="I65" i="3"/>
  <c r="H65" i="3"/>
  <c r="D142" i="9"/>
  <c r="M142" i="9"/>
  <c r="G142" i="9"/>
  <c r="J142" i="9"/>
  <c r="P47" i="3"/>
  <c r="Q47" i="3"/>
  <c r="R47" i="3"/>
  <c r="D179" i="9"/>
  <c r="M179" i="9"/>
  <c r="J179" i="9"/>
  <c r="G179" i="9"/>
  <c r="R41" i="3"/>
  <c r="P41" i="3"/>
  <c r="Q41" i="3"/>
  <c r="G156" i="9"/>
  <c r="J156" i="9"/>
  <c r="M156" i="9"/>
  <c r="D156" i="9"/>
  <c r="I71" i="3"/>
  <c r="H71" i="3"/>
  <c r="J71" i="3"/>
  <c r="J111" i="9"/>
  <c r="G111" i="9"/>
  <c r="D111" i="9"/>
  <c r="M111" i="9"/>
  <c r="I54" i="9"/>
  <c r="H54" i="9" s="1"/>
  <c r="G16" i="9" s="1"/>
  <c r="G240" i="9"/>
  <c r="M240" i="9"/>
  <c r="J240" i="9"/>
  <c r="D240" i="9"/>
  <c r="D234" i="9"/>
  <c r="M234" i="9"/>
  <c r="J234" i="9"/>
  <c r="G234" i="9"/>
  <c r="L92" i="9"/>
  <c r="K92" i="9" s="1"/>
  <c r="J4" i="9" s="1"/>
  <c r="M31" i="3"/>
  <c r="L31" i="3"/>
  <c r="N31" i="3"/>
  <c r="M202" i="9"/>
  <c r="D202" i="9"/>
  <c r="J202" i="9"/>
  <c r="G202" i="9"/>
  <c r="J275" i="9"/>
  <c r="D275" i="9"/>
  <c r="M275" i="9"/>
  <c r="G275" i="9"/>
  <c r="D83" i="9"/>
  <c r="G83" i="9"/>
  <c r="M83" i="9"/>
  <c r="J83" i="9"/>
  <c r="N62" i="3"/>
  <c r="L62" i="3"/>
  <c r="M62" i="3"/>
  <c r="M276" i="9"/>
  <c r="J276" i="9"/>
  <c r="D276" i="9"/>
  <c r="G276" i="9"/>
  <c r="M45" i="3"/>
  <c r="L45" i="3"/>
  <c r="N45" i="3"/>
  <c r="J67" i="9"/>
  <c r="G67" i="9"/>
  <c r="M67" i="9"/>
  <c r="D67" i="9"/>
  <c r="G181" i="9"/>
  <c r="M181" i="9"/>
  <c r="J181" i="9"/>
  <c r="D181" i="9"/>
  <c r="R37" i="3"/>
  <c r="Q37" i="3"/>
  <c r="P37" i="3"/>
  <c r="P34" i="3"/>
  <c r="R34" i="3"/>
  <c r="Q34" i="3"/>
  <c r="G144" i="9"/>
  <c r="D144" i="9"/>
  <c r="M144" i="9"/>
  <c r="J144" i="9"/>
  <c r="J104" i="9"/>
  <c r="D104" i="9"/>
  <c r="G104" i="9"/>
  <c r="M104" i="9"/>
  <c r="D116" i="9"/>
  <c r="M116" i="9"/>
  <c r="J116" i="9"/>
  <c r="G116" i="9"/>
  <c r="G224" i="9"/>
  <c r="D224" i="9"/>
  <c r="J224" i="9"/>
  <c r="M224" i="9"/>
  <c r="L59" i="3"/>
  <c r="N59" i="3"/>
  <c r="M59" i="3"/>
  <c r="L32" i="3"/>
  <c r="M32" i="3"/>
  <c r="N32" i="3"/>
  <c r="N39" i="3"/>
  <c r="L39" i="3"/>
  <c r="M39" i="3"/>
  <c r="I60" i="3"/>
  <c r="H60" i="3"/>
  <c r="J60" i="3"/>
  <c r="L69" i="3"/>
  <c r="N69" i="3"/>
  <c r="M69" i="3"/>
  <c r="D79" i="9"/>
  <c r="M79" i="9"/>
  <c r="G79" i="9"/>
  <c r="J79" i="9"/>
  <c r="M44" i="3"/>
  <c r="L44" i="3"/>
  <c r="N44" i="3"/>
  <c r="D241" i="9"/>
  <c r="G241" i="9"/>
  <c r="M241" i="9"/>
  <c r="J241" i="9"/>
  <c r="R39" i="3"/>
  <c r="Q39" i="3"/>
  <c r="P39" i="3"/>
  <c r="N16" i="3"/>
  <c r="M16" i="3"/>
  <c r="L16" i="3"/>
  <c r="D150" i="9"/>
  <c r="G150" i="9"/>
  <c r="J150" i="9"/>
  <c r="M150" i="9"/>
  <c r="Q65" i="3"/>
  <c r="P65" i="3"/>
  <c r="R65" i="3"/>
  <c r="L33" i="3"/>
  <c r="N33" i="3"/>
  <c r="M33" i="3"/>
  <c r="J71" i="9"/>
  <c r="M71" i="9"/>
  <c r="G71" i="9"/>
  <c r="D71" i="9"/>
  <c r="I92" i="9"/>
  <c r="H92" i="9" s="1"/>
  <c r="G4" i="9" s="1"/>
  <c r="L8" i="3"/>
  <c r="M8" i="3"/>
  <c r="N8" i="3"/>
  <c r="H36" i="3"/>
  <c r="I36" i="3"/>
  <c r="J36" i="3"/>
  <c r="D223" i="9"/>
  <c r="M223" i="9"/>
  <c r="G223" i="9"/>
  <c r="J223" i="9"/>
  <c r="L71" i="3"/>
  <c r="N71" i="3"/>
  <c r="M71" i="3"/>
  <c r="M66" i="9"/>
  <c r="D66" i="9"/>
  <c r="G66" i="9"/>
  <c r="J66" i="9"/>
  <c r="I282" i="9"/>
  <c r="H282" i="9" s="1"/>
  <c r="G14" i="9" s="1"/>
  <c r="I34" i="3"/>
  <c r="H34" i="3"/>
  <c r="J34" i="3"/>
  <c r="G228" i="9"/>
  <c r="D228" i="9"/>
  <c r="J228" i="9"/>
  <c r="M228" i="9"/>
  <c r="I46" i="3"/>
  <c r="J46" i="3"/>
  <c r="H46" i="3"/>
  <c r="N12" i="3"/>
  <c r="M12" i="3"/>
  <c r="L12" i="3"/>
  <c r="M119" i="9"/>
  <c r="J119" i="9"/>
  <c r="D119" i="9"/>
  <c r="G119" i="9"/>
  <c r="I59" i="3"/>
  <c r="H59" i="3"/>
  <c r="J59" i="3"/>
  <c r="R33" i="3"/>
  <c r="Q33" i="3"/>
  <c r="P33" i="3"/>
  <c r="D189" i="9"/>
  <c r="M189" i="9"/>
  <c r="J189" i="9"/>
  <c r="G189" i="9"/>
  <c r="Q38" i="3"/>
  <c r="R38" i="3"/>
  <c r="P38" i="3"/>
  <c r="M38" i="3"/>
  <c r="N38" i="3"/>
  <c r="L38" i="3"/>
  <c r="P48" i="3"/>
  <c r="Q48" i="3"/>
  <c r="R48" i="3"/>
  <c r="I32" i="3"/>
  <c r="H32" i="3"/>
  <c r="J32" i="3"/>
  <c r="H62" i="3"/>
  <c r="I62" i="3"/>
  <c r="J62" i="3"/>
  <c r="M23" i="9"/>
  <c r="G23" i="9"/>
  <c r="J23" i="9"/>
  <c r="D23" i="9"/>
  <c r="N13" i="3"/>
  <c r="L13" i="3"/>
  <c r="M13" i="3"/>
  <c r="M23" i="3"/>
  <c r="N23" i="3"/>
  <c r="L23" i="3"/>
  <c r="M73" i="3"/>
  <c r="L73" i="3"/>
  <c r="N73" i="3"/>
  <c r="G272" i="9"/>
  <c r="J272" i="9"/>
  <c r="M272" i="9"/>
  <c r="D272" i="9"/>
  <c r="I35" i="3"/>
  <c r="H35" i="3"/>
  <c r="J35" i="3"/>
  <c r="M63" i="9"/>
  <c r="D63" i="9"/>
  <c r="J63" i="9"/>
  <c r="G63" i="9"/>
  <c r="G154" i="9"/>
  <c r="J154" i="9"/>
  <c r="M154" i="9"/>
  <c r="D154" i="9"/>
  <c r="P32" i="3"/>
  <c r="R32" i="3"/>
  <c r="Q32" i="3"/>
  <c r="J78" i="9"/>
  <c r="G78" i="9"/>
  <c r="M78" i="9"/>
  <c r="D78" i="9"/>
  <c r="M115" i="9"/>
  <c r="G115" i="9"/>
  <c r="D115" i="9"/>
  <c r="J115" i="9"/>
  <c r="L21" i="5"/>
  <c r="N21" i="5"/>
  <c r="M21" i="5"/>
  <c r="F130" i="9"/>
  <c r="E130" i="9" s="1"/>
  <c r="D6" i="9" s="1"/>
  <c r="G278" i="9"/>
  <c r="M278" i="9"/>
  <c r="D278" i="9"/>
  <c r="J278" i="9"/>
  <c r="J273" i="9"/>
  <c r="D273" i="9"/>
  <c r="M273" i="9"/>
  <c r="G273" i="9"/>
  <c r="J50" i="9"/>
  <c r="G50" i="9"/>
  <c r="D50" i="9"/>
  <c r="M50" i="9"/>
  <c r="J100" i="9"/>
  <c r="D100" i="9"/>
  <c r="M100" i="9"/>
  <c r="G100" i="9"/>
  <c r="D117" i="9"/>
  <c r="M117" i="9"/>
  <c r="J117" i="9"/>
  <c r="G117" i="9"/>
  <c r="L282" i="9"/>
  <c r="K282" i="9" s="1"/>
  <c r="J14" i="9" s="1"/>
  <c r="R49" i="3"/>
  <c r="P49" i="3"/>
  <c r="Q49" i="3"/>
  <c r="P59" i="3"/>
  <c r="R59" i="3"/>
  <c r="Q59" i="3"/>
  <c r="R70" i="3"/>
  <c r="Q70" i="3"/>
  <c r="P70" i="3"/>
  <c r="D80" i="9"/>
  <c r="J80" i="9"/>
  <c r="G80" i="9"/>
  <c r="M80" i="9"/>
  <c r="P56" i="3"/>
  <c r="R56" i="3"/>
  <c r="Q56" i="3"/>
  <c r="P66" i="3"/>
  <c r="Q66" i="3"/>
  <c r="R66" i="3"/>
  <c r="G177" i="9"/>
  <c r="M177" i="9"/>
  <c r="J177" i="9"/>
  <c r="D177" i="9"/>
  <c r="D151" i="9"/>
  <c r="J151" i="9"/>
  <c r="G151" i="9"/>
  <c r="M151" i="9"/>
  <c r="D127" i="9"/>
  <c r="M127" i="9"/>
  <c r="J127" i="9"/>
  <c r="G127" i="9"/>
  <c r="J259" i="9"/>
  <c r="G259" i="9"/>
  <c r="D259" i="9"/>
  <c r="M259" i="9"/>
  <c r="I168" i="9"/>
  <c r="H168" i="9" s="1"/>
  <c r="G12" i="9" s="1"/>
  <c r="Q35" i="3"/>
  <c r="P35" i="3"/>
  <c r="R35" i="3"/>
  <c r="N67" i="3"/>
  <c r="M67" i="3"/>
  <c r="L67" i="3"/>
  <c r="G118" i="9"/>
  <c r="J118" i="9"/>
  <c r="M118" i="9"/>
  <c r="D118" i="9"/>
  <c r="D157" i="9"/>
  <c r="G157" i="9"/>
  <c r="J157" i="9"/>
  <c r="M157" i="9"/>
  <c r="Q40" i="3"/>
  <c r="P40" i="3"/>
  <c r="R40" i="3"/>
  <c r="G242" i="9"/>
  <c r="J242" i="9"/>
  <c r="M242" i="9"/>
  <c r="D242" i="9"/>
  <c r="J76" i="9"/>
  <c r="G76" i="9"/>
  <c r="M76" i="9"/>
  <c r="D76" i="9"/>
  <c r="G61" i="9"/>
  <c r="J61" i="9"/>
  <c r="D61" i="9"/>
  <c r="M61" i="9"/>
  <c r="R64" i="3"/>
  <c r="P64" i="3"/>
  <c r="Q64" i="3"/>
  <c r="G168" i="9" l="1"/>
  <c r="D92" i="9"/>
  <c r="M54" i="9"/>
  <c r="M206" i="9"/>
  <c r="D282" i="9"/>
  <c r="M168" i="9"/>
  <c r="D244" i="9"/>
  <c r="G92" i="9"/>
  <c r="J54" i="9"/>
  <c r="G206" i="9"/>
  <c r="M282" i="9"/>
  <c r="G130" i="9"/>
  <c r="M130" i="9"/>
  <c r="J244" i="9"/>
  <c r="J206" i="9"/>
  <c r="D130" i="9"/>
  <c r="J168" i="9"/>
  <c r="J92" i="9"/>
  <c r="J282" i="9"/>
  <c r="M92" i="9"/>
  <c r="D54" i="9"/>
  <c r="G54" i="9"/>
  <c r="D206" i="9"/>
  <c r="G282" i="9"/>
  <c r="J130" i="9"/>
  <c r="D168" i="9"/>
  <c r="E54" i="9"/>
  <c r="D16" i="9" s="1"/>
  <c r="B12" i="9" s="1"/>
  <c r="B5" i="9"/>
  <c r="G244" i="9"/>
  <c r="M244" i="9"/>
  <c r="B10" i="9" l="1"/>
  <c r="B15" i="9"/>
  <c r="B11" i="9"/>
  <c r="B9" i="9"/>
  <c r="B6" i="9"/>
  <c r="B7" i="9"/>
  <c r="B4" i="9"/>
  <c r="B13" i="9"/>
  <c r="B16" i="9"/>
  <c r="B14" i="9"/>
  <c r="B3" i="9"/>
  <c r="B8" i="9"/>
</calcChain>
</file>

<file path=xl/sharedStrings.xml><?xml version="1.0" encoding="utf-8"?>
<sst xmlns="http://schemas.openxmlformats.org/spreadsheetml/2006/main" count="2095" uniqueCount="331">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</sst>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96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7" t="s">
        <v>0</v>
      </c>
      <c r="B1" s="188"/>
      <c r="C1" s="188"/>
      <c r="D1" s="188"/>
      <c r="E1" s="188"/>
      <c r="F1" s="189"/>
      <c r="G1" s="218">
        <v>44287</v>
      </c>
      <c r="H1" s="219"/>
      <c r="I1" s="220"/>
      <c r="J1" s="187" t="s">
        <v>1</v>
      </c>
      <c r="K1" s="188"/>
      <c r="L1" s="188"/>
      <c r="M1" s="188"/>
      <c r="N1" s="188"/>
      <c r="O1" s="189"/>
      <c r="Q1" s="187" t="s">
        <v>2</v>
      </c>
      <c r="R1" s="189"/>
    </row>
    <row r="2" spans="1:19" ht="17.25" customHeight="1">
      <c r="A2" s="1" t="s">
        <v>3</v>
      </c>
      <c r="B2" s="221" t="s">
        <v>4</v>
      </c>
      <c r="C2" s="222"/>
      <c r="D2" s="222"/>
      <c r="E2" s="222"/>
      <c r="F2" s="223"/>
      <c r="G2" s="215" t="s">
        <v>46</v>
      </c>
      <c r="H2" s="216"/>
      <c r="I2" s="217"/>
      <c r="J2" s="1" t="s">
        <v>3</v>
      </c>
      <c r="K2" s="221" t="s">
        <v>5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4" t="s">
        <v>7</v>
      </c>
      <c r="B3" s="212" t="s">
        <v>8</v>
      </c>
      <c r="C3" s="213"/>
      <c r="D3" s="213"/>
      <c r="E3" s="213"/>
      <c r="F3" s="214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9"/>
      <c r="I3" s="210"/>
      <c r="J3" s="4" t="s">
        <v>7</v>
      </c>
      <c r="K3" s="212" t="s">
        <v>9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2" t="s">
        <v>12</v>
      </c>
      <c r="C4" s="213"/>
      <c r="D4" s="213"/>
      <c r="E4" s="213"/>
      <c r="F4" s="214"/>
      <c r="G4" s="215" t="s">
        <v>44</v>
      </c>
      <c r="H4" s="216"/>
      <c r="I4" s="217"/>
      <c r="J4" s="4" t="s">
        <v>11</v>
      </c>
      <c r="K4" s="212" t="s">
        <v>13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2" t="s">
        <v>16</v>
      </c>
      <c r="C5" s="213"/>
      <c r="D5" s="213"/>
      <c r="E5" s="213"/>
      <c r="F5" s="214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9"/>
      <c r="I5" s="210"/>
      <c r="J5" s="4" t="s">
        <v>15</v>
      </c>
      <c r="K5" s="212" t="s">
        <v>17</v>
      </c>
      <c r="L5" s="213"/>
      <c r="M5" s="213"/>
      <c r="N5" s="213"/>
      <c r="O5" s="214"/>
    </row>
    <row r="6" spans="1:19">
      <c r="A6" s="4" t="s">
        <v>18</v>
      </c>
      <c r="B6" s="212" t="s">
        <v>19</v>
      </c>
      <c r="C6" s="213"/>
      <c r="D6" s="213"/>
      <c r="E6" s="213"/>
      <c r="F6" s="214"/>
      <c r="G6" s="215" t="s">
        <v>45</v>
      </c>
      <c r="H6" s="216"/>
      <c r="I6" s="217"/>
      <c r="J6" s="4" t="s">
        <v>18</v>
      </c>
      <c r="K6" s="212" t="s">
        <v>20</v>
      </c>
      <c r="L6" s="213"/>
      <c r="M6" s="213"/>
      <c r="N6" s="213"/>
      <c r="O6" s="214"/>
    </row>
    <row r="7" spans="1:19" ht="17.25" thickBot="1">
      <c r="A7" s="4" t="s">
        <v>21</v>
      </c>
      <c r="B7" s="212" t="s">
        <v>22</v>
      </c>
      <c r="C7" s="213"/>
      <c r="D7" s="213"/>
      <c r="E7" s="213"/>
      <c r="F7" s="214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9"/>
      <c r="I7" s="210"/>
      <c r="J7" s="4" t="s">
        <v>21</v>
      </c>
      <c r="K7" s="212" t="s">
        <v>23</v>
      </c>
      <c r="L7" s="213"/>
      <c r="M7" s="213"/>
      <c r="N7" s="213"/>
      <c r="O7" s="214"/>
    </row>
    <row r="8" spans="1:19" ht="17.25" thickBot="1">
      <c r="A8" s="4" t="s">
        <v>24</v>
      </c>
      <c r="B8" s="212" t="s">
        <v>25</v>
      </c>
      <c r="C8" s="213"/>
      <c r="D8" s="213"/>
      <c r="E8" s="213"/>
      <c r="F8" s="214"/>
      <c r="G8" s="215" t="s">
        <v>255</v>
      </c>
      <c r="H8" s="216"/>
      <c r="I8" s="217"/>
      <c r="J8" s="4" t="s">
        <v>24</v>
      </c>
      <c r="K8" s="212" t="s">
        <v>26</v>
      </c>
      <c r="L8" s="213"/>
      <c r="M8" s="213"/>
      <c r="N8" s="213"/>
      <c r="O8" s="214"/>
      <c r="Q8" s="187" t="s">
        <v>27</v>
      </c>
      <c r="R8" s="189"/>
    </row>
    <row r="9" spans="1:19" ht="17.25" thickBot="1">
      <c r="A9" s="4" t="s">
        <v>28</v>
      </c>
      <c r="B9" s="212"/>
      <c r="C9" s="213"/>
      <c r="D9" s="213"/>
      <c r="E9" s="213"/>
      <c r="F9" s="214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9"/>
      <c r="I9" s="210"/>
      <c r="J9" s="4" t="s">
        <v>28</v>
      </c>
      <c r="K9" s="212" t="s">
        <v>263</v>
      </c>
      <c r="L9" s="213"/>
      <c r="M9" s="213"/>
      <c r="N9" s="213"/>
      <c r="O9" s="214"/>
      <c r="Q9" s="2" t="s">
        <v>29</v>
      </c>
      <c r="R9" s="6">
        <v>10</v>
      </c>
    </row>
    <row r="10" spans="1:19">
      <c r="A10" s="4" t="s">
        <v>30</v>
      </c>
      <c r="B10" s="212"/>
      <c r="C10" s="213"/>
      <c r="D10" s="213"/>
      <c r="E10" s="213"/>
      <c r="F10" s="214"/>
      <c r="G10" s="215" t="s">
        <v>47</v>
      </c>
      <c r="H10" s="216"/>
      <c r="I10" s="217"/>
      <c r="J10" s="4" t="s">
        <v>30</v>
      </c>
      <c r="K10" s="212"/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7" t="s">
        <v>32</v>
      </c>
      <c r="B11" s="205"/>
      <c r="C11" s="206"/>
      <c r="D11" s="206"/>
      <c r="E11" s="206"/>
      <c r="F11" s="207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05"/>
      <c r="L11" s="206"/>
      <c r="M11" s="206"/>
      <c r="N11" s="206"/>
      <c r="O11" s="207"/>
      <c r="Q11" s="65" t="s">
        <v>33</v>
      </c>
      <c r="R11" s="8">
        <v>1000</v>
      </c>
    </row>
    <row r="12" spans="1:19" ht="17.25" thickBot="1"/>
    <row r="13" spans="1:19" ht="17.25" customHeight="1" thickBot="1">
      <c r="A13" s="187" t="s">
        <v>34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186"/>
      <c r="R13" s="186"/>
      <c r="S13" s="186"/>
    </row>
    <row r="14" spans="1:19" ht="17.25" customHeight="1" thickBot="1">
      <c r="A14" s="111" t="s">
        <v>35</v>
      </c>
      <c r="B14" s="187" t="s">
        <v>36</v>
      </c>
      <c r="C14" s="189"/>
      <c r="D14" s="187" t="s">
        <v>37</v>
      </c>
      <c r="E14" s="188"/>
      <c r="F14" s="189"/>
      <c r="G14" s="190">
        <f>_xlfn.IFNA(VLOOKUP(B14, 현재가테이블!$B$2:$D$200, 2, FALSE), "-")</f>
        <v>57970000</v>
      </c>
      <c r="H14" s="191"/>
      <c r="I14" s="192"/>
      <c r="J14" s="187" t="s">
        <v>38</v>
      </c>
      <c r="K14" s="188"/>
      <c r="L14" s="189"/>
      <c r="M14" s="193">
        <f>_xlfn.IFNA(VLOOKUP(B14, 현재가테이블!$B$2:$D$200, 3, FALSE), "-")</f>
        <v>2.6835532700000001E-2</v>
      </c>
      <c r="N14" s="194"/>
      <c r="O14" s="195"/>
      <c r="Q14" s="186"/>
      <c r="R14" s="186"/>
      <c r="S14" s="186"/>
    </row>
    <row r="15" spans="1:19" ht="17.25" customHeight="1" thickBot="1">
      <c r="A15" s="211" t="s">
        <v>39</v>
      </c>
      <c r="B15" s="203" t="str">
        <f>TEXT($G$1, "[$-ko-KR]yyyy-mm-dd(ddd) ") &amp; "오전 00:00"</f>
        <v>2021-04-01(목) 오전 00:00</v>
      </c>
      <c r="C15" s="204"/>
      <c r="D15" s="200" t="str">
        <f>TEXT($G$1, "[$-ko-KR]yyyy-mm-dd(ddd) ") &amp; "오후 14:00"</f>
        <v>2021-04-01(목) 오후 14:00</v>
      </c>
      <c r="E15" s="201"/>
      <c r="F15" s="202"/>
      <c r="G15" s="200" t="str">
        <f>TEXT($G$1, "[$-ko-KR]yyyy-mm-dd(ddd) ") &amp; "오후 19:00"</f>
        <v>2021-04-01(목) 오후 19:00</v>
      </c>
      <c r="H15" s="201"/>
      <c r="I15" s="202"/>
      <c r="J15" s="200" t="str">
        <f>TEXT($G$1, "[$-ko-KR]yyyy-mm-dd(ddd) ") &amp; "오후 21:00"</f>
        <v>2021-04-01(목) 오후 21:00</v>
      </c>
      <c r="K15" s="201"/>
      <c r="L15" s="202"/>
      <c r="M15" s="200" t="str">
        <f>TEXT($G$1+1, "[$-ko-KR]yyyy-mm-dd(ddd) ") &amp; "오전 00:00"</f>
        <v>2021-04-02(금) 오전 00:00</v>
      </c>
      <c r="N15" s="201"/>
      <c r="O15" s="202"/>
      <c r="Q15" s="186"/>
      <c r="R15" s="186"/>
      <c r="S15" s="186"/>
    </row>
    <row r="16" spans="1:19" ht="17.25" customHeight="1" thickBot="1">
      <c r="A16" s="21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6"/>
      <c r="R16" s="176"/>
      <c r="S16" s="17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6"/>
      <c r="R17" s="186"/>
      <c r="S17" s="18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6"/>
      <c r="R18" s="186"/>
      <c r="S18" s="18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6"/>
      <c r="R19" s="176"/>
      <c r="S19" s="17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6"/>
      <c r="R20" s="176"/>
      <c r="S20" s="17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6"/>
      <c r="R21" s="176"/>
      <c r="S21" s="17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6"/>
      <c r="R22" s="176"/>
      <c r="S22" s="17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6"/>
      <c r="R23" s="176"/>
      <c r="S23" s="17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6"/>
      <c r="R24" s="176"/>
      <c r="S24" s="17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7"/>
      <c r="R26" s="178"/>
      <c r="S26" s="17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0"/>
      <c r="R27" s="181"/>
      <c r="S27" s="18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3"/>
      <c r="R28" s="184"/>
      <c r="S28" s="18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6"/>
      <c r="R29" s="176"/>
      <c r="S29" s="17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6"/>
      <c r="R30" s="186"/>
      <c r="S30" s="18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6"/>
      <c r="R31" s="186"/>
      <c r="S31" s="18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6"/>
      <c r="R32" s="176"/>
      <c r="S32" s="17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6"/>
      <c r="R33" s="176"/>
      <c r="S33" s="17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6"/>
      <c r="R34" s="176"/>
      <c r="S34" s="17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5"/>
      <c r="R35" s="166"/>
      <c r="S35" s="16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8"/>
      <c r="R36" s="169"/>
      <c r="S36" s="170"/>
    </row>
    <row r="37" spans="1:19" ht="17.25" customHeight="1" thickBot="1">
      <c r="A37" s="26" t="s">
        <v>42</v>
      </c>
      <c r="B37" s="174">
        <v>300000</v>
      </c>
      <c r="C37" s="17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71"/>
      <c r="R37" s="172"/>
      <c r="S37" s="173"/>
    </row>
    <row r="38" spans="1:19" ht="17.25" customHeight="1"/>
    <row r="39" spans="1:19" ht="17.25" customHeight="1" thickBot="1"/>
    <row r="40" spans="1:19" ht="17.25" customHeight="1" thickBot="1">
      <c r="A40" s="187" t="s">
        <v>44</v>
      </c>
      <c r="B40" s="188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  <c r="N40" s="188"/>
      <c r="O40" s="189"/>
      <c r="Q40" s="186"/>
      <c r="R40" s="186"/>
      <c r="S40" s="186"/>
    </row>
    <row r="41" spans="1:19" ht="17.25" customHeight="1" thickBot="1">
      <c r="A41" s="111" t="s">
        <v>267</v>
      </c>
      <c r="B41" s="187" t="s">
        <v>49</v>
      </c>
      <c r="C41" s="189"/>
      <c r="D41" s="187" t="s">
        <v>58</v>
      </c>
      <c r="E41" s="188"/>
      <c r="F41" s="189"/>
      <c r="G41" s="190">
        <f>_xlfn.IFNA(VLOOKUP(B41, 현재가테이블!$B$2:$D$200, 2, FALSE), "-")</f>
        <v>57970000</v>
      </c>
      <c r="H41" s="191"/>
      <c r="I41" s="192"/>
      <c r="J41" s="187" t="s">
        <v>59</v>
      </c>
      <c r="K41" s="188"/>
      <c r="L41" s="189"/>
      <c r="M41" s="193">
        <f>_xlfn.IFNA(VLOOKUP(B41, 현재가테이블!$B$2:$D$200, 3, FALSE), "-")</f>
        <v>2.6835532700000001E-2</v>
      </c>
      <c r="N41" s="194"/>
      <c r="O41" s="195"/>
      <c r="Q41" s="186"/>
      <c r="R41" s="186"/>
      <c r="S41" s="186"/>
    </row>
    <row r="42" spans="1:19" ht="17.25" customHeight="1" thickBot="1">
      <c r="A42" s="196" t="s">
        <v>55</v>
      </c>
      <c r="B42" s="198" t="str">
        <f>TEXT($G$1, "[$-ko-KR]yyyy-mm-dd(ddd) ") &amp; "오전 00:00"</f>
        <v>2021-04-01(목) 오전 00:00</v>
      </c>
      <c r="C42" s="199"/>
      <c r="D42" s="200" t="str">
        <f>TEXT($G$1, "[$-ko-KR]yyyy-mm-dd(ddd) ") &amp; "오후 14:00"</f>
        <v>2021-04-01(목) 오후 14:00</v>
      </c>
      <c r="E42" s="201"/>
      <c r="F42" s="202"/>
      <c r="G42" s="200" t="str">
        <f>TEXT($G$1, "[$-ko-KR]yyyy-mm-dd(ddd) ") &amp; "오후 19:00"</f>
        <v>2021-04-01(목) 오후 19:00</v>
      </c>
      <c r="H42" s="201"/>
      <c r="I42" s="202"/>
      <c r="J42" s="200" t="str">
        <f>TEXT($G$1, "[$-ko-KR]yyyy-mm-dd(ddd) ") &amp; "오후 21:00"</f>
        <v>2021-04-01(목) 오후 21:00</v>
      </c>
      <c r="K42" s="201"/>
      <c r="L42" s="202"/>
      <c r="M42" s="200" t="str">
        <f>TEXT($G$1+1, "[$-ko-KR]yyyy-mm-dd(ddd) ") &amp; "오전 00:00"</f>
        <v>2021-04-02(금) 오전 00:00</v>
      </c>
      <c r="N42" s="201"/>
      <c r="O42" s="202"/>
      <c r="Q42" s="186"/>
      <c r="R42" s="186"/>
      <c r="S42" s="186"/>
    </row>
    <row r="43" spans="1:19" ht="17.25" customHeight="1" thickBot="1">
      <c r="A43" s="197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76"/>
      <c r="R43" s="176"/>
      <c r="S43" s="17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6"/>
      <c r="R44" s="186"/>
      <c r="S44" s="18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6"/>
      <c r="R45" s="186"/>
      <c r="S45" s="18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6"/>
      <c r="R46" s="176"/>
      <c r="S46" s="17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6"/>
      <c r="R47" s="176"/>
      <c r="S47" s="17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6"/>
      <c r="R48" s="176"/>
      <c r="S48" s="17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6"/>
      <c r="R49" s="176"/>
      <c r="S49" s="17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6"/>
      <c r="R50" s="176"/>
      <c r="S50" s="17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6"/>
      <c r="R51" s="176"/>
      <c r="S51" s="17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7"/>
      <c r="R53" s="178"/>
      <c r="S53" s="17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0"/>
      <c r="R54" s="181"/>
      <c r="S54" s="18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3"/>
      <c r="R55" s="184"/>
      <c r="S55" s="18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6"/>
      <c r="R56" s="176"/>
      <c r="S56" s="17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6"/>
      <c r="R57" s="186"/>
      <c r="S57" s="18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6"/>
      <c r="R58" s="186"/>
      <c r="S58" s="18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6"/>
      <c r="R59" s="176"/>
      <c r="S59" s="17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6"/>
      <c r="R60" s="176"/>
      <c r="S60" s="17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6"/>
      <c r="R61" s="176"/>
      <c r="S61" s="17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5"/>
      <c r="R62" s="166"/>
      <c r="S62" s="16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8"/>
      <c r="R63" s="169"/>
      <c r="S63" s="170"/>
    </row>
    <row r="64" spans="1:19" ht="17.25" customHeight="1" thickBot="1">
      <c r="A64" s="26" t="s">
        <v>270</v>
      </c>
      <c r="B64" s="174">
        <f>$B$37</f>
        <v>300000</v>
      </c>
      <c r="C64" s="175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71"/>
      <c r="R64" s="172"/>
      <c r="S64" s="173"/>
    </row>
    <row r="65" spans="1:19" ht="17.25" customHeight="1"/>
    <row r="66" spans="1:19" ht="17.25" customHeight="1" thickBot="1"/>
    <row r="67" spans="1:19" ht="17.25" thickBot="1">
      <c r="A67" s="187" t="s">
        <v>45</v>
      </c>
      <c r="B67" s="188"/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9"/>
      <c r="Q67" s="186"/>
      <c r="R67" s="186"/>
      <c r="S67" s="186"/>
    </row>
    <row r="68" spans="1:19" ht="17.25" thickBot="1">
      <c r="A68" s="111" t="s">
        <v>267</v>
      </c>
      <c r="B68" s="187" t="s">
        <v>49</v>
      </c>
      <c r="C68" s="189"/>
      <c r="D68" s="187" t="s">
        <v>58</v>
      </c>
      <c r="E68" s="188"/>
      <c r="F68" s="189"/>
      <c r="G68" s="190">
        <f>_xlfn.IFNA(VLOOKUP(B68, 현재가테이블!$B$2:$D$200, 2, FALSE), "-")</f>
        <v>57970000</v>
      </c>
      <c r="H68" s="191"/>
      <c r="I68" s="192"/>
      <c r="J68" s="187" t="s">
        <v>59</v>
      </c>
      <c r="K68" s="188"/>
      <c r="L68" s="189"/>
      <c r="M68" s="193">
        <f>_xlfn.IFNA(VLOOKUP(B68, 현재가테이블!$B$2:$D$200, 3, FALSE), "-")</f>
        <v>2.6835532700000001E-2</v>
      </c>
      <c r="N68" s="194"/>
      <c r="O68" s="195"/>
      <c r="Q68" s="186"/>
      <c r="R68" s="186"/>
      <c r="S68" s="186"/>
    </row>
    <row r="69" spans="1:19" ht="17.25" thickBot="1">
      <c r="A69" s="196" t="s">
        <v>55</v>
      </c>
      <c r="B69" s="198" t="str">
        <f>TEXT($G$1, "[$-ko-KR]yyyy-mm-dd(ddd) ") &amp; "오전 00:00"</f>
        <v>2021-04-01(목) 오전 00:00</v>
      </c>
      <c r="C69" s="199"/>
      <c r="D69" s="200" t="str">
        <f>TEXT($G$1, "[$-ko-KR]yyyy-mm-dd(ddd) ") &amp; "오후 14:00"</f>
        <v>2021-04-01(목) 오후 14:00</v>
      </c>
      <c r="E69" s="201"/>
      <c r="F69" s="202"/>
      <c r="G69" s="200" t="str">
        <f>TEXT($G$1, "[$-ko-KR]yyyy-mm-dd(ddd) ") &amp; "오후 19:00"</f>
        <v>2021-04-01(목) 오후 19:00</v>
      </c>
      <c r="H69" s="201"/>
      <c r="I69" s="202"/>
      <c r="J69" s="200" t="str">
        <f>TEXT($G$1, "[$-ko-KR]yyyy-mm-dd(ddd) ") &amp; "오후 21:00"</f>
        <v>2021-04-01(목) 오후 21:00</v>
      </c>
      <c r="K69" s="201"/>
      <c r="L69" s="202"/>
      <c r="M69" s="200" t="str">
        <f>TEXT($G$1+1, "[$-ko-KR]yyyy-mm-dd(ddd) ") &amp; "오전 00:00"</f>
        <v>2021-04-02(금) 오전 00:00</v>
      </c>
      <c r="N69" s="201"/>
      <c r="O69" s="202"/>
      <c r="Q69" s="186"/>
      <c r="R69" s="186"/>
      <c r="S69" s="186"/>
    </row>
    <row r="70" spans="1:19" ht="17.25" thickBot="1">
      <c r="A70" s="197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76"/>
      <c r="R70" s="176"/>
      <c r="S70" s="17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6"/>
      <c r="R71" s="186"/>
      <c r="S71" s="18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6"/>
      <c r="R72" s="186"/>
      <c r="S72" s="18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6"/>
      <c r="R73" s="176"/>
      <c r="S73" s="17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6"/>
      <c r="R74" s="176"/>
      <c r="S74" s="17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6"/>
      <c r="R75" s="176"/>
      <c r="S75" s="17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6"/>
      <c r="R76" s="176"/>
      <c r="S76" s="17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6"/>
      <c r="R77" s="176"/>
      <c r="S77" s="17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6"/>
      <c r="R78" s="176"/>
      <c r="S78" s="17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7"/>
      <c r="R80" s="178"/>
      <c r="S80" s="17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0"/>
      <c r="R81" s="181"/>
      <c r="S81" s="18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3"/>
      <c r="R82" s="184"/>
      <c r="S82" s="18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6"/>
      <c r="R83" s="176"/>
      <c r="S83" s="17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6"/>
      <c r="R84" s="186"/>
      <c r="S84" s="18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6"/>
      <c r="R85" s="186"/>
      <c r="S85" s="18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6"/>
      <c r="R86" s="176"/>
      <c r="S86" s="17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6"/>
      <c r="R87" s="176"/>
      <c r="S87" s="17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6"/>
      <c r="R88" s="176"/>
      <c r="S88" s="17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5"/>
      <c r="R89" s="166"/>
      <c r="S89" s="16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8"/>
      <c r="R90" s="169"/>
      <c r="S90" s="170"/>
    </row>
    <row r="91" spans="1:19" ht="17.25" thickBot="1">
      <c r="A91" s="26" t="s">
        <v>270</v>
      </c>
      <c r="B91" s="174">
        <f>$B$37</f>
        <v>300000</v>
      </c>
      <c r="C91" s="175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71"/>
      <c r="R91" s="172"/>
      <c r="S91" s="173"/>
    </row>
    <row r="93" spans="1:19" ht="17.25" thickBot="1"/>
    <row r="94" spans="1:19" ht="17.25" thickBot="1">
      <c r="A94" s="187" t="s">
        <v>46</v>
      </c>
      <c r="B94" s="188"/>
      <c r="C94" s="188"/>
      <c r="D94" s="188"/>
      <c r="E94" s="188"/>
      <c r="F94" s="188"/>
      <c r="G94" s="188"/>
      <c r="H94" s="188"/>
      <c r="I94" s="188"/>
      <c r="J94" s="188"/>
      <c r="K94" s="188"/>
      <c r="L94" s="188"/>
      <c r="M94" s="188"/>
      <c r="N94" s="188"/>
      <c r="O94" s="189"/>
      <c r="Q94" s="186"/>
      <c r="R94" s="186"/>
      <c r="S94" s="186"/>
    </row>
    <row r="95" spans="1:19" ht="17.25" thickBot="1">
      <c r="A95" s="111" t="s">
        <v>267</v>
      </c>
      <c r="B95" s="187" t="s">
        <v>49</v>
      </c>
      <c r="C95" s="189"/>
      <c r="D95" s="187" t="s">
        <v>58</v>
      </c>
      <c r="E95" s="188"/>
      <c r="F95" s="189"/>
      <c r="G95" s="190">
        <f>_xlfn.IFNA(VLOOKUP(B95, 현재가테이블!$B$2:$D$200, 2, FALSE), "-")</f>
        <v>57970000</v>
      </c>
      <c r="H95" s="191"/>
      <c r="I95" s="192"/>
      <c r="J95" s="187" t="s">
        <v>59</v>
      </c>
      <c r="K95" s="188"/>
      <c r="L95" s="189"/>
      <c r="M95" s="193">
        <f>_xlfn.IFNA(VLOOKUP(B95, 현재가테이블!$B$2:$D$200, 3, FALSE), "-")</f>
        <v>2.6835532700000001E-2</v>
      </c>
      <c r="N95" s="194"/>
      <c r="O95" s="195"/>
      <c r="Q95" s="186"/>
      <c r="R95" s="186"/>
      <c r="S95" s="186"/>
    </row>
    <row r="96" spans="1:19" ht="17.25" thickBot="1">
      <c r="A96" s="196" t="s">
        <v>55</v>
      </c>
      <c r="B96" s="198" t="str">
        <f>TEXT($G$1, "[$-ko-KR]yyyy-mm-dd(ddd) ") &amp; "오전 00:00"</f>
        <v>2021-04-01(목) 오전 00:00</v>
      </c>
      <c r="C96" s="199"/>
      <c r="D96" s="200" t="str">
        <f>TEXT($G$1, "[$-ko-KR]yyyy-mm-dd(ddd) ") &amp; "오후 14:00"</f>
        <v>2021-04-01(목) 오후 14:00</v>
      </c>
      <c r="E96" s="201"/>
      <c r="F96" s="202"/>
      <c r="G96" s="200" t="str">
        <f>TEXT($G$1, "[$-ko-KR]yyyy-mm-dd(ddd) ") &amp; "오후 19:00"</f>
        <v>2021-04-01(목) 오후 19:00</v>
      </c>
      <c r="H96" s="201"/>
      <c r="I96" s="202"/>
      <c r="J96" s="200" t="str">
        <f>TEXT($G$1, "[$-ko-KR]yyyy-mm-dd(ddd) ") &amp; "오후 21:00"</f>
        <v>2021-04-01(목) 오후 21:00</v>
      </c>
      <c r="K96" s="201"/>
      <c r="L96" s="202"/>
      <c r="M96" s="200" t="str">
        <f>TEXT($G$1+1, "[$-ko-KR]yyyy-mm-dd(ddd) ") &amp; "오전 00:00"</f>
        <v>2021-04-02(금) 오전 00:00</v>
      </c>
      <c r="N96" s="201"/>
      <c r="O96" s="202"/>
      <c r="Q96" s="186"/>
      <c r="R96" s="186"/>
      <c r="S96" s="186"/>
    </row>
    <row r="97" spans="1:19" ht="17.25" thickBot="1">
      <c r="A97" s="197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76"/>
      <c r="R97" s="176"/>
      <c r="S97" s="17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6"/>
      <c r="R98" s="186"/>
      <c r="S98" s="18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6"/>
      <c r="R99" s="186"/>
      <c r="S99" s="18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6"/>
      <c r="R100" s="176"/>
      <c r="S100" s="17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6"/>
      <c r="R101" s="176"/>
      <c r="S101" s="17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6"/>
      <c r="R102" s="176"/>
      <c r="S102" s="17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6"/>
      <c r="R103" s="176"/>
      <c r="S103" s="17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6"/>
      <c r="R104" s="176"/>
      <c r="S104" s="17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6"/>
      <c r="R105" s="176"/>
      <c r="S105" s="17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7"/>
      <c r="R107" s="178"/>
      <c r="S107" s="17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0"/>
      <c r="R108" s="181"/>
      <c r="S108" s="18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3"/>
      <c r="R109" s="184"/>
      <c r="S109" s="18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6"/>
      <c r="R110" s="176"/>
      <c r="S110" s="17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6"/>
      <c r="R111" s="186"/>
      <c r="S111" s="18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6"/>
      <c r="R112" s="186"/>
      <c r="S112" s="18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6"/>
      <c r="R113" s="176"/>
      <c r="S113" s="17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6"/>
      <c r="R114" s="176"/>
      <c r="S114" s="17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6"/>
      <c r="R115" s="176"/>
      <c r="S115" s="17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5"/>
      <c r="R116" s="166"/>
      <c r="S116" s="16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8"/>
      <c r="R117" s="169"/>
      <c r="S117" s="170"/>
    </row>
    <row r="118" spans="1:19" ht="17.25" thickBot="1">
      <c r="A118" s="26" t="s">
        <v>270</v>
      </c>
      <c r="B118" s="174">
        <f>$B$37</f>
        <v>300000</v>
      </c>
      <c r="C118" s="175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71"/>
      <c r="R118" s="172"/>
      <c r="S118" s="173"/>
    </row>
    <row r="120" spans="1:19" ht="17.25" thickBot="1"/>
    <row r="121" spans="1:19" ht="17.25" thickBot="1">
      <c r="A121" s="187" t="s">
        <v>258</v>
      </c>
      <c r="B121" s="188"/>
      <c r="C121" s="188"/>
      <c r="D121" s="188"/>
      <c r="E121" s="188"/>
      <c r="F121" s="188"/>
      <c r="G121" s="188"/>
      <c r="H121" s="188"/>
      <c r="I121" s="188"/>
      <c r="J121" s="188"/>
      <c r="K121" s="188"/>
      <c r="L121" s="188"/>
      <c r="M121" s="188"/>
      <c r="N121" s="188"/>
      <c r="O121" s="189"/>
      <c r="Q121" s="186"/>
      <c r="R121" s="186"/>
      <c r="S121" s="186"/>
    </row>
    <row r="122" spans="1:19" ht="17.25" thickBot="1">
      <c r="A122" s="111" t="s">
        <v>267</v>
      </c>
      <c r="B122" s="187" t="s">
        <v>49</v>
      </c>
      <c r="C122" s="189"/>
      <c r="D122" s="187" t="s">
        <v>58</v>
      </c>
      <c r="E122" s="188"/>
      <c r="F122" s="189"/>
      <c r="G122" s="190">
        <f>_xlfn.IFNA(VLOOKUP(B122, 현재가테이블!$B$2:$D$200, 2, FALSE), "-")</f>
        <v>57970000</v>
      </c>
      <c r="H122" s="191"/>
      <c r="I122" s="192"/>
      <c r="J122" s="187" t="s">
        <v>59</v>
      </c>
      <c r="K122" s="188"/>
      <c r="L122" s="189"/>
      <c r="M122" s="193">
        <f>_xlfn.IFNA(VLOOKUP(B122, 현재가테이블!$B$2:$D$200, 3, FALSE), "-")</f>
        <v>2.6835532700000001E-2</v>
      </c>
      <c r="N122" s="194"/>
      <c r="O122" s="195"/>
      <c r="Q122" s="186"/>
      <c r="R122" s="186"/>
      <c r="S122" s="186"/>
    </row>
    <row r="123" spans="1:19" ht="17.25" thickBot="1">
      <c r="A123" s="196" t="s">
        <v>55</v>
      </c>
      <c r="B123" s="198" t="str">
        <f>TEXT($G$1, "[$-ko-KR]yyyy-mm-dd(ddd) ") &amp; "오전 00:00"</f>
        <v>2021-04-01(목) 오전 00:00</v>
      </c>
      <c r="C123" s="199"/>
      <c r="D123" s="200" t="str">
        <f>TEXT($G$1, "[$-ko-KR]yyyy-mm-dd(ddd) ") &amp; "오후 14:00"</f>
        <v>2021-04-01(목) 오후 14:00</v>
      </c>
      <c r="E123" s="201"/>
      <c r="F123" s="202"/>
      <c r="G123" s="200" t="str">
        <f>TEXT($G$1, "[$-ko-KR]yyyy-mm-dd(ddd) ") &amp; "오후 19:00"</f>
        <v>2021-04-01(목) 오후 19:00</v>
      </c>
      <c r="H123" s="201"/>
      <c r="I123" s="202"/>
      <c r="J123" s="200" t="str">
        <f>TEXT($G$1, "[$-ko-KR]yyyy-mm-dd(ddd) ") &amp; "오후 21:00"</f>
        <v>2021-04-01(목) 오후 21:00</v>
      </c>
      <c r="K123" s="201"/>
      <c r="L123" s="202"/>
      <c r="M123" s="200" t="str">
        <f>TEXT($G$1+1, "[$-ko-KR]yyyy-mm-dd(ddd) ") &amp; "오전 00:00"</f>
        <v>2021-04-02(금) 오전 00:00</v>
      </c>
      <c r="N123" s="201"/>
      <c r="O123" s="202"/>
      <c r="Q123" s="186"/>
      <c r="R123" s="186"/>
      <c r="S123" s="186"/>
    </row>
    <row r="124" spans="1:19" ht="17.25" thickBot="1">
      <c r="A124" s="197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76"/>
      <c r="R124" s="176"/>
      <c r="S124" s="17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6"/>
      <c r="R125" s="186"/>
      <c r="S125" s="18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6"/>
      <c r="R126" s="186"/>
      <c r="S126" s="18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6"/>
      <c r="R127" s="176"/>
      <c r="S127" s="17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6"/>
      <c r="R128" s="176"/>
      <c r="S128" s="17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6"/>
      <c r="R129" s="176"/>
      <c r="S129" s="17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6"/>
      <c r="R130" s="176"/>
      <c r="S130" s="17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6"/>
      <c r="R131" s="176"/>
      <c r="S131" s="17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6"/>
      <c r="R132" s="176"/>
      <c r="S132" s="17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7"/>
      <c r="R134" s="178"/>
      <c r="S134" s="17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0"/>
      <c r="R135" s="181"/>
      <c r="S135" s="18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3"/>
      <c r="R136" s="184"/>
      <c r="S136" s="18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6"/>
      <c r="R137" s="176"/>
      <c r="S137" s="17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6"/>
      <c r="R138" s="186"/>
      <c r="S138" s="18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6"/>
      <c r="R139" s="186"/>
      <c r="S139" s="18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6"/>
      <c r="R140" s="176"/>
      <c r="S140" s="17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6"/>
      <c r="R141" s="176"/>
      <c r="S141" s="17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6"/>
      <c r="R142" s="176"/>
      <c r="S142" s="17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5"/>
      <c r="R143" s="166"/>
      <c r="S143" s="16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8"/>
      <c r="R144" s="169"/>
      <c r="S144" s="170"/>
    </row>
    <row r="145" spans="1:19" ht="17.25" thickBot="1">
      <c r="A145" s="26" t="s">
        <v>270</v>
      </c>
      <c r="B145" s="174">
        <f>$B$37</f>
        <v>300000</v>
      </c>
      <c r="C145" s="175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71"/>
      <c r="R145" s="172"/>
      <c r="S145" s="173"/>
    </row>
    <row r="147" spans="1:19" ht="17.25" thickBot="1"/>
    <row r="148" spans="1:19" ht="17.25" thickBot="1">
      <c r="A148" s="187" t="s">
        <v>259</v>
      </c>
      <c r="B148" s="188"/>
      <c r="C148" s="188"/>
      <c r="D148" s="188"/>
      <c r="E148" s="188"/>
      <c r="F148" s="188"/>
      <c r="G148" s="188"/>
      <c r="H148" s="188"/>
      <c r="I148" s="188"/>
      <c r="J148" s="188"/>
      <c r="K148" s="188"/>
      <c r="L148" s="188"/>
      <c r="M148" s="188"/>
      <c r="N148" s="188"/>
      <c r="O148" s="189"/>
      <c r="Q148" s="186"/>
      <c r="R148" s="186"/>
      <c r="S148" s="186"/>
    </row>
    <row r="149" spans="1:19" ht="17.25" thickBot="1">
      <c r="A149" s="111" t="s">
        <v>267</v>
      </c>
      <c r="B149" s="187" t="s">
        <v>49</v>
      </c>
      <c r="C149" s="189"/>
      <c r="D149" s="187" t="s">
        <v>58</v>
      </c>
      <c r="E149" s="188"/>
      <c r="F149" s="189"/>
      <c r="G149" s="190">
        <f>_xlfn.IFNA(VLOOKUP(B149, 현재가테이블!$B$2:$D$200, 2, FALSE), "-")</f>
        <v>57970000</v>
      </c>
      <c r="H149" s="191"/>
      <c r="I149" s="192"/>
      <c r="J149" s="187" t="s">
        <v>59</v>
      </c>
      <c r="K149" s="188"/>
      <c r="L149" s="189"/>
      <c r="M149" s="193">
        <f>_xlfn.IFNA(VLOOKUP(B149, 현재가테이블!$B$2:$D$200, 3, FALSE), "-")</f>
        <v>2.6835532700000001E-2</v>
      </c>
      <c r="N149" s="194"/>
      <c r="O149" s="195"/>
      <c r="Q149" s="186"/>
      <c r="R149" s="186"/>
      <c r="S149" s="186"/>
    </row>
    <row r="150" spans="1:19" ht="17.25" thickBot="1">
      <c r="A150" s="196" t="s">
        <v>55</v>
      </c>
      <c r="B150" s="198" t="str">
        <f>TEXT($G$1, "[$-ko-KR]yyyy-mm-dd(ddd) ") &amp; "오전 00:00"</f>
        <v>2021-04-01(목) 오전 00:00</v>
      </c>
      <c r="C150" s="199"/>
      <c r="D150" s="200" t="str">
        <f>TEXT($G$1, "[$-ko-KR]yyyy-mm-dd(ddd) ") &amp; "오후 14:00"</f>
        <v>2021-04-01(목) 오후 14:00</v>
      </c>
      <c r="E150" s="201"/>
      <c r="F150" s="202"/>
      <c r="G150" s="200" t="str">
        <f>TEXT($G$1, "[$-ko-KR]yyyy-mm-dd(ddd) ") &amp; "오후 19:00"</f>
        <v>2021-04-01(목) 오후 19:00</v>
      </c>
      <c r="H150" s="201"/>
      <c r="I150" s="202"/>
      <c r="J150" s="200" t="str">
        <f>TEXT($G$1, "[$-ko-KR]yyyy-mm-dd(ddd) ") &amp; "오후 21:00"</f>
        <v>2021-04-01(목) 오후 21:00</v>
      </c>
      <c r="K150" s="201"/>
      <c r="L150" s="202"/>
      <c r="M150" s="200" t="str">
        <f>TEXT($G$1+1, "[$-ko-KR]yyyy-mm-dd(ddd) ") &amp; "오전 00:00"</f>
        <v>2021-04-02(금) 오전 00:00</v>
      </c>
      <c r="N150" s="201"/>
      <c r="O150" s="202"/>
      <c r="Q150" s="186"/>
      <c r="R150" s="186"/>
      <c r="S150" s="186"/>
    </row>
    <row r="151" spans="1:19" ht="17.25" thickBot="1">
      <c r="A151" s="197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76"/>
      <c r="R151" s="176"/>
      <c r="S151" s="17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6"/>
      <c r="R152" s="186"/>
      <c r="S152" s="18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6"/>
      <c r="R153" s="186"/>
      <c r="S153" s="18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6"/>
      <c r="R154" s="176"/>
      <c r="S154" s="17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6"/>
      <c r="R155" s="176"/>
      <c r="S155" s="17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6"/>
      <c r="R156" s="176"/>
      <c r="S156" s="17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6"/>
      <c r="R157" s="176"/>
      <c r="S157" s="17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6"/>
      <c r="R158" s="176"/>
      <c r="S158" s="17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6"/>
      <c r="R159" s="176"/>
      <c r="S159" s="17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7"/>
      <c r="R161" s="178"/>
      <c r="S161" s="17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0"/>
      <c r="R162" s="181"/>
      <c r="S162" s="18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3"/>
      <c r="R163" s="184"/>
      <c r="S163" s="18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6"/>
      <c r="R164" s="176"/>
      <c r="S164" s="17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6"/>
      <c r="R165" s="186"/>
      <c r="S165" s="18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6"/>
      <c r="R166" s="186"/>
      <c r="S166" s="18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6"/>
      <c r="R167" s="176"/>
      <c r="S167" s="17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6"/>
      <c r="R168" s="176"/>
      <c r="S168" s="17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6"/>
      <c r="R169" s="176"/>
      <c r="S169" s="17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5"/>
      <c r="R170" s="166"/>
      <c r="S170" s="16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8"/>
      <c r="R171" s="169"/>
      <c r="S171" s="170"/>
    </row>
    <row r="172" spans="1:19" ht="17.25" thickBot="1">
      <c r="A172" s="26" t="s">
        <v>270</v>
      </c>
      <c r="B172" s="174">
        <f>$B$37</f>
        <v>300000</v>
      </c>
      <c r="C172" s="175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71"/>
      <c r="R172" s="172"/>
      <c r="S172" s="173"/>
    </row>
    <row r="174" spans="1:19" ht="17.25" thickBot="1"/>
    <row r="175" spans="1:19" ht="17.25" thickBot="1">
      <c r="A175" s="187" t="s">
        <v>255</v>
      </c>
      <c r="B175" s="188"/>
      <c r="C175" s="188"/>
      <c r="D175" s="188"/>
      <c r="E175" s="188"/>
      <c r="F175" s="188"/>
      <c r="G175" s="188"/>
      <c r="H175" s="188"/>
      <c r="I175" s="188"/>
      <c r="J175" s="188"/>
      <c r="K175" s="188"/>
      <c r="L175" s="188"/>
      <c r="M175" s="188"/>
      <c r="N175" s="188"/>
      <c r="O175" s="189"/>
      <c r="Q175" s="186"/>
      <c r="R175" s="186"/>
      <c r="S175" s="186"/>
    </row>
    <row r="176" spans="1:19" ht="17.25" thickBot="1">
      <c r="A176" s="111" t="s">
        <v>267</v>
      </c>
      <c r="B176" s="187" t="s">
        <v>49</v>
      </c>
      <c r="C176" s="189"/>
      <c r="D176" s="187" t="s">
        <v>58</v>
      </c>
      <c r="E176" s="188"/>
      <c r="F176" s="189"/>
      <c r="G176" s="190">
        <f>_xlfn.IFNA(VLOOKUP(B176, 현재가테이블!$B$2:$D$200, 2, FALSE), "-")</f>
        <v>57970000</v>
      </c>
      <c r="H176" s="191"/>
      <c r="I176" s="192"/>
      <c r="J176" s="187" t="s">
        <v>59</v>
      </c>
      <c r="K176" s="188"/>
      <c r="L176" s="189"/>
      <c r="M176" s="193">
        <f>_xlfn.IFNA(VLOOKUP(B176, 현재가테이블!$B$2:$D$200, 3, FALSE), "-")</f>
        <v>2.6835532700000001E-2</v>
      </c>
      <c r="N176" s="194"/>
      <c r="O176" s="195"/>
      <c r="Q176" s="186"/>
      <c r="R176" s="186"/>
      <c r="S176" s="186"/>
    </row>
    <row r="177" spans="1:19" ht="17.25" thickBot="1">
      <c r="A177" s="196" t="s">
        <v>55</v>
      </c>
      <c r="B177" s="198" t="str">
        <f>TEXT($G$1, "[$-ko-KR]yyyy-mm-dd(ddd) ") &amp; "오전 00:00"</f>
        <v>2021-04-01(목) 오전 00:00</v>
      </c>
      <c r="C177" s="199"/>
      <c r="D177" s="200" t="str">
        <f>TEXT($G$1, "[$-ko-KR]yyyy-mm-dd(ddd) ") &amp; "오후 14:00"</f>
        <v>2021-04-01(목) 오후 14:00</v>
      </c>
      <c r="E177" s="201"/>
      <c r="F177" s="202"/>
      <c r="G177" s="200" t="str">
        <f>TEXT($G$1, "[$-ko-KR]yyyy-mm-dd(ddd) ") &amp; "오후 19:00"</f>
        <v>2021-04-01(목) 오후 19:00</v>
      </c>
      <c r="H177" s="201"/>
      <c r="I177" s="202"/>
      <c r="J177" s="200" t="str">
        <f>TEXT($G$1, "[$-ko-KR]yyyy-mm-dd(ddd) ") &amp; "오후 21:00"</f>
        <v>2021-04-01(목) 오후 21:00</v>
      </c>
      <c r="K177" s="201"/>
      <c r="L177" s="202"/>
      <c r="M177" s="200" t="str">
        <f>TEXT($G$1+1, "[$-ko-KR]yyyy-mm-dd(ddd) ") &amp; "오전 00:00"</f>
        <v>2021-04-02(금) 오전 00:00</v>
      </c>
      <c r="N177" s="201"/>
      <c r="O177" s="202"/>
      <c r="Q177" s="186"/>
      <c r="R177" s="186"/>
      <c r="S177" s="186"/>
    </row>
    <row r="178" spans="1:19" ht="17.25" thickBot="1">
      <c r="A178" s="197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76"/>
      <c r="R178" s="176"/>
      <c r="S178" s="17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6"/>
      <c r="R179" s="186"/>
      <c r="S179" s="18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6"/>
      <c r="R180" s="186"/>
      <c r="S180" s="18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6"/>
      <c r="R181" s="176"/>
      <c r="S181" s="17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6"/>
      <c r="R182" s="176"/>
      <c r="S182" s="17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6"/>
      <c r="R183" s="176"/>
      <c r="S183" s="17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6"/>
      <c r="R184" s="176"/>
      <c r="S184" s="17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6"/>
      <c r="R185" s="176"/>
      <c r="S185" s="17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6"/>
      <c r="R186" s="176"/>
      <c r="S186" s="17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7"/>
      <c r="R188" s="178"/>
      <c r="S188" s="17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0"/>
      <c r="R189" s="181"/>
      <c r="S189" s="18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3"/>
      <c r="R190" s="184"/>
      <c r="S190" s="18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6"/>
      <c r="R191" s="176"/>
      <c r="S191" s="17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6"/>
      <c r="R192" s="186"/>
      <c r="S192" s="18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6"/>
      <c r="R193" s="186"/>
      <c r="S193" s="18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6"/>
      <c r="R194" s="176"/>
      <c r="S194" s="17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6"/>
      <c r="R195" s="176"/>
      <c r="S195" s="17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6"/>
      <c r="R196" s="176"/>
      <c r="S196" s="17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5"/>
      <c r="R197" s="166"/>
      <c r="S197" s="16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8"/>
      <c r="R198" s="169"/>
      <c r="S198" s="170"/>
    </row>
    <row r="199" spans="1:19" ht="17.25" thickBot="1">
      <c r="A199" s="26" t="s">
        <v>270</v>
      </c>
      <c r="B199" s="174">
        <f>$B$37</f>
        <v>300000</v>
      </c>
      <c r="C199" s="175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71"/>
      <c r="R199" s="172"/>
      <c r="S199" s="17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6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6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6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6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5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5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5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5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5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5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53" priority="157">
      <formula>AND($N17 &gt; 0, ISNUMBER($N17))</formula>
    </cfRule>
    <cfRule type="expression" dxfId="952" priority="158">
      <formula>AND($N17 = 0 * ISNUMBER($N17))</formula>
    </cfRule>
    <cfRule type="expression" dxfId="951" priority="159">
      <formula>AND($N17 &lt; 0, ISNUMBER($N17))</formula>
    </cfRule>
  </conditionalFormatting>
  <conditionalFormatting sqref="A17:F36">
    <cfRule type="expression" dxfId="950" priority="166">
      <formula>AND($E17 &gt; 0, ISNUMBER($E17))</formula>
    </cfRule>
    <cfRule type="expression" dxfId="949" priority="167">
      <formula>AND($E17 = 0 * ISNUMBER($E17))</formula>
    </cfRule>
    <cfRule type="expression" dxfId="948" priority="168">
      <formula>AND($E17 &lt; 0, ISNUMBER($E17))</formula>
    </cfRule>
  </conditionalFormatting>
  <conditionalFormatting sqref="A17:C36 G17:I36">
    <cfRule type="expression" dxfId="947" priority="163">
      <formula>AND($H17 &gt; 0, ISNUMBER($H17))</formula>
    </cfRule>
    <cfRule type="expression" dxfId="946" priority="164">
      <formula>AND($H17 = 0 * ISNUMBER($H17))</formula>
    </cfRule>
    <cfRule type="expression" dxfId="945" priority="165">
      <formula>AND($H17 &lt; 0, ISNUMBER($H17))</formula>
    </cfRule>
  </conditionalFormatting>
  <conditionalFormatting sqref="A17:C36 J17:L36">
    <cfRule type="expression" dxfId="944" priority="160">
      <formula>AND($K17 &gt; 0, ISNUMBER($K17))</formula>
    </cfRule>
    <cfRule type="expression" dxfId="943" priority="161">
      <formula>AND($K17 = 0 * ISNUMBER($K17))</formula>
    </cfRule>
    <cfRule type="expression" dxfId="942" priority="162">
      <formula>AND($K17 &lt; 0, ISNUMBER($K17))</formula>
    </cfRule>
  </conditionalFormatting>
  <conditionalFormatting sqref="D15:F16 E37:F37">
    <cfRule type="expression" dxfId="941" priority="154">
      <formula>$E$37 &gt; 0</formula>
    </cfRule>
    <cfRule type="expression" dxfId="940" priority="155">
      <formula>$E$37 = 0</formula>
    </cfRule>
    <cfRule type="expression" dxfId="939" priority="156">
      <formula>$E$37 &lt; 0</formula>
    </cfRule>
  </conditionalFormatting>
  <conditionalFormatting sqref="G15:I16 H37:I37">
    <cfRule type="expression" dxfId="938" priority="151">
      <formula>$H$37 &gt; 0</formula>
    </cfRule>
    <cfRule type="expression" dxfId="937" priority="152">
      <formula>$H$37 = 0</formula>
    </cfRule>
    <cfRule type="expression" dxfId="936" priority="153">
      <formula>$H$37 &lt; 0</formula>
    </cfRule>
  </conditionalFormatting>
  <conditionalFormatting sqref="J15:L16 K37:L37">
    <cfRule type="expression" dxfId="935" priority="148">
      <formula>$K$37 &gt; 0</formula>
    </cfRule>
    <cfRule type="expression" dxfId="934" priority="149">
      <formula>$K$37 = 0</formula>
    </cfRule>
    <cfRule type="expression" dxfId="933" priority="150">
      <formula>$K$37 &lt; 0</formula>
    </cfRule>
  </conditionalFormatting>
  <conditionalFormatting sqref="M15:O16 N37:O37">
    <cfRule type="expression" dxfId="932" priority="145">
      <formula>$N$37 &gt; 0</formula>
    </cfRule>
    <cfRule type="expression" dxfId="931" priority="146">
      <formula>$N$37 = 0</formula>
    </cfRule>
    <cfRule type="expression" dxfId="930" priority="147">
      <formula>$N$37 &lt; 0</formula>
    </cfRule>
  </conditionalFormatting>
  <conditionalFormatting sqref="A44:C63 M44:O63">
    <cfRule type="expression" dxfId="929" priority="133">
      <formula>AND($N44 &gt; 0, ISNUMBER($N44))</formula>
    </cfRule>
    <cfRule type="expression" dxfId="928" priority="134">
      <formula>AND($N44 = 0 * ISNUMBER($N44))</formula>
    </cfRule>
    <cfRule type="expression" dxfId="927" priority="135">
      <formula>AND($N44 &lt; 0, ISNUMBER($N44))</formula>
    </cfRule>
  </conditionalFormatting>
  <conditionalFormatting sqref="A44:F63">
    <cfRule type="expression" dxfId="926" priority="142">
      <formula>AND($E44 &gt; 0, ISNUMBER($E44))</formula>
    </cfRule>
    <cfRule type="expression" dxfId="925" priority="143">
      <formula>AND($E44 = 0 * ISNUMBER($E44))</formula>
    </cfRule>
    <cfRule type="expression" dxfId="924" priority="144">
      <formula>AND($E44 &lt; 0, ISNUMBER($E44))</formula>
    </cfRule>
  </conditionalFormatting>
  <conditionalFormatting sqref="A44:C63 G44:I63">
    <cfRule type="expression" dxfId="923" priority="139">
      <formula>AND($H44 &gt; 0, ISNUMBER($H44))</formula>
    </cfRule>
    <cfRule type="expression" dxfId="922" priority="140">
      <formula>AND($H44 = 0 * ISNUMBER($H44))</formula>
    </cfRule>
    <cfRule type="expression" dxfId="921" priority="141">
      <formula>AND($H44 &lt; 0, ISNUMBER($H44))</formula>
    </cfRule>
  </conditionalFormatting>
  <conditionalFormatting sqref="A44:C63 J44:L63">
    <cfRule type="expression" dxfId="920" priority="136">
      <formula>AND($K44 &gt; 0, ISNUMBER($K44))</formula>
    </cfRule>
    <cfRule type="expression" dxfId="919" priority="137">
      <formula>AND($K44 = 0 * ISNUMBER($K44))</formula>
    </cfRule>
    <cfRule type="expression" dxfId="918" priority="138">
      <formula>AND($K44 &lt; 0, ISNUMBER($K44))</formula>
    </cfRule>
  </conditionalFormatting>
  <conditionalFormatting sqref="D42:F43 E64:F64">
    <cfRule type="expression" dxfId="917" priority="130">
      <formula>$E$64 &gt; 0</formula>
    </cfRule>
    <cfRule type="expression" dxfId="916" priority="131">
      <formula>$E$64 = 0</formula>
    </cfRule>
    <cfRule type="expression" dxfId="915" priority="132">
      <formula>$E$64 &lt; 0</formula>
    </cfRule>
  </conditionalFormatting>
  <conditionalFormatting sqref="G42:I43 H64:I64">
    <cfRule type="expression" dxfId="914" priority="127">
      <formula>$H$64 &gt; 0</formula>
    </cfRule>
    <cfRule type="expression" dxfId="913" priority="128">
      <formula>$H$64 = 0</formula>
    </cfRule>
    <cfRule type="expression" dxfId="912" priority="129">
      <formula>$H$64 &lt; 0</formula>
    </cfRule>
  </conditionalFormatting>
  <conditionalFormatting sqref="J42:L43 K64:L64">
    <cfRule type="expression" dxfId="911" priority="124">
      <formula>$K$64 &gt; 0</formula>
    </cfRule>
    <cfRule type="expression" dxfId="910" priority="125">
      <formula>$K$64 = 0</formula>
    </cfRule>
    <cfRule type="expression" dxfId="909" priority="126">
      <formula>$K$64 &lt; 0</formula>
    </cfRule>
  </conditionalFormatting>
  <conditionalFormatting sqref="M42:O43 N64:O64">
    <cfRule type="expression" dxfId="908" priority="121">
      <formula>$N$64 &gt; 0</formula>
    </cfRule>
    <cfRule type="expression" dxfId="907" priority="122">
      <formula>$N$64 = 0</formula>
    </cfRule>
    <cfRule type="expression" dxfId="906" priority="123">
      <formula>$N$64 &lt; 0</formula>
    </cfRule>
  </conditionalFormatting>
  <conditionalFormatting sqref="A71:C90 M71:O90">
    <cfRule type="expression" dxfId="905" priority="109">
      <formula>AND($N71 &gt; 0, ISNUMBER($N71))</formula>
    </cfRule>
    <cfRule type="expression" dxfId="904" priority="110">
      <formula>AND($N71 = 0 * ISNUMBER($N71))</formula>
    </cfRule>
    <cfRule type="expression" dxfId="903" priority="111">
      <formula>AND($N71 &lt; 0, ISNUMBER($N71))</formula>
    </cfRule>
  </conditionalFormatting>
  <conditionalFormatting sqref="A71:F90">
    <cfRule type="expression" dxfId="902" priority="118">
      <formula>AND($E71 &gt; 0, ISNUMBER($E71))</formula>
    </cfRule>
    <cfRule type="expression" dxfId="901" priority="119">
      <formula>AND($E71 = 0 * ISNUMBER($E71))</formula>
    </cfRule>
    <cfRule type="expression" dxfId="900" priority="120">
      <formula>AND($E71 &lt; 0, ISNUMBER($E71))</formula>
    </cfRule>
  </conditionalFormatting>
  <conditionalFormatting sqref="A71:C90 G71:I90">
    <cfRule type="expression" dxfId="899" priority="115">
      <formula>AND($H71 &gt; 0, ISNUMBER($H71))</formula>
    </cfRule>
    <cfRule type="expression" dxfId="898" priority="116">
      <formula>AND($H71 = 0 * ISNUMBER($H71))</formula>
    </cfRule>
    <cfRule type="expression" dxfId="897" priority="117">
      <formula>AND($H71 &lt; 0, ISNUMBER($H71))</formula>
    </cfRule>
  </conditionalFormatting>
  <conditionalFormatting sqref="A71:C90 J71:L90">
    <cfRule type="expression" dxfId="896" priority="112">
      <formula>AND($K71 &gt; 0, ISNUMBER($K71))</formula>
    </cfRule>
    <cfRule type="expression" dxfId="895" priority="113">
      <formula>AND($K71 = 0 * ISNUMBER($K71))</formula>
    </cfRule>
    <cfRule type="expression" dxfId="894" priority="114">
      <formula>AND($K71 &lt; 0, ISNUMBER($K71))</formula>
    </cfRule>
  </conditionalFormatting>
  <conditionalFormatting sqref="D69:F70 E91:F91">
    <cfRule type="expression" dxfId="893" priority="106">
      <formula>$E$91 &gt; 0</formula>
    </cfRule>
    <cfRule type="expression" dxfId="892" priority="107">
      <formula>$E$91 = 0</formula>
    </cfRule>
    <cfRule type="expression" dxfId="891" priority="108">
      <formula>$E$91 &lt; 0</formula>
    </cfRule>
  </conditionalFormatting>
  <conditionalFormatting sqref="G69:I70 H91:I91">
    <cfRule type="expression" dxfId="890" priority="103">
      <formula>$H$91 &gt; 0</formula>
    </cfRule>
    <cfRule type="expression" dxfId="889" priority="104">
      <formula>$H$91 = 0</formula>
    </cfRule>
    <cfRule type="expression" dxfId="888" priority="105">
      <formula>$H$91 &lt; 0</formula>
    </cfRule>
  </conditionalFormatting>
  <conditionalFormatting sqref="J69:L70 K91:L91">
    <cfRule type="expression" dxfId="887" priority="100">
      <formula>$K$91 &gt; 0</formula>
    </cfRule>
    <cfRule type="expression" dxfId="886" priority="101">
      <formula>$K$91 = 0</formula>
    </cfRule>
    <cfRule type="expression" dxfId="885" priority="102">
      <formula>$K$91 &lt; 0</formula>
    </cfRule>
  </conditionalFormatting>
  <conditionalFormatting sqref="M69:O70 N91:O91">
    <cfRule type="expression" dxfId="884" priority="97">
      <formula>$N$91 &gt; 0</formula>
    </cfRule>
    <cfRule type="expression" dxfId="883" priority="98">
      <formula>$N$91 = 0</formula>
    </cfRule>
    <cfRule type="expression" dxfId="882" priority="99">
      <formula>$N$91 &lt; 0</formula>
    </cfRule>
  </conditionalFormatting>
  <conditionalFormatting sqref="A98:C117 M98:O117">
    <cfRule type="expression" dxfId="881" priority="85">
      <formula>AND($N98 &gt; 0, ISNUMBER($N98))</formula>
    </cfRule>
    <cfRule type="expression" dxfId="880" priority="86">
      <formula>AND($N98 = 0 * ISNUMBER($N98))</formula>
    </cfRule>
    <cfRule type="expression" dxfId="879" priority="87">
      <formula>AND($N98 &lt; 0, ISNUMBER($N98))</formula>
    </cfRule>
  </conditionalFormatting>
  <conditionalFormatting sqref="A98:F117">
    <cfRule type="expression" dxfId="878" priority="94">
      <formula>AND($E98 &gt; 0, ISNUMBER($E98))</formula>
    </cfRule>
    <cfRule type="expression" dxfId="877" priority="95">
      <formula>AND($E98 = 0 * ISNUMBER($E98))</formula>
    </cfRule>
    <cfRule type="expression" dxfId="876" priority="96">
      <formula>AND($E98 &lt; 0, ISNUMBER($E98))</formula>
    </cfRule>
  </conditionalFormatting>
  <conditionalFormatting sqref="A98:C117 G98:I117">
    <cfRule type="expression" dxfId="875" priority="91">
      <formula>AND($H98 &gt; 0, ISNUMBER($H98))</formula>
    </cfRule>
    <cfRule type="expression" dxfId="874" priority="92">
      <formula>AND($H98 = 0 * ISNUMBER($H98))</formula>
    </cfRule>
    <cfRule type="expression" dxfId="873" priority="93">
      <formula>AND($H98 &lt; 0, ISNUMBER($H98))</formula>
    </cfRule>
  </conditionalFormatting>
  <conditionalFormatting sqref="A98:C117 J98:L117">
    <cfRule type="expression" dxfId="872" priority="88">
      <formula>AND($K98 &gt; 0, ISNUMBER($K98))</formula>
    </cfRule>
    <cfRule type="expression" dxfId="871" priority="89">
      <formula>AND($K98 = 0 * ISNUMBER($K98))</formula>
    </cfRule>
    <cfRule type="expression" dxfId="870" priority="90">
      <formula>AND($K98 &lt; 0, ISNUMBER($K98))</formula>
    </cfRule>
  </conditionalFormatting>
  <conditionalFormatting sqref="D96:F97 E118:F118">
    <cfRule type="expression" dxfId="869" priority="82">
      <formula>$E$118 &gt; 0</formula>
    </cfRule>
    <cfRule type="expression" dxfId="868" priority="83">
      <formula>$E$118 = 0</formula>
    </cfRule>
    <cfRule type="expression" dxfId="867" priority="84">
      <formula>$E$118 &lt; 0</formula>
    </cfRule>
  </conditionalFormatting>
  <conditionalFormatting sqref="G96:I97 H118:I118">
    <cfRule type="expression" dxfId="866" priority="79">
      <formula>$H$118 &gt; 0</formula>
    </cfRule>
    <cfRule type="expression" dxfId="865" priority="80">
      <formula>$H$118 = 0</formula>
    </cfRule>
    <cfRule type="expression" dxfId="864" priority="81">
      <formula>$H$118 &lt; 0</formula>
    </cfRule>
  </conditionalFormatting>
  <conditionalFormatting sqref="J96:L97 K118:L118">
    <cfRule type="expression" dxfId="863" priority="76">
      <formula>$K$118 &gt; 0</formula>
    </cfRule>
    <cfRule type="expression" dxfId="862" priority="77">
      <formula>$K$118 = 0</formula>
    </cfRule>
    <cfRule type="expression" dxfId="861" priority="78">
      <formula>$K$118 &lt; 0</formula>
    </cfRule>
  </conditionalFormatting>
  <conditionalFormatting sqref="M96:O97 N118:O118">
    <cfRule type="expression" dxfId="860" priority="73">
      <formula>$N$118 &gt; 0</formula>
    </cfRule>
    <cfRule type="expression" dxfId="859" priority="74">
      <formula>$N$118 = 0</formula>
    </cfRule>
    <cfRule type="expression" dxfId="858" priority="75">
      <formula>$N$118 &lt; 0</formula>
    </cfRule>
  </conditionalFormatting>
  <conditionalFormatting sqref="A125:C144 M125:O144">
    <cfRule type="expression" dxfId="857" priority="61">
      <formula>AND($N125 &gt; 0, ISNUMBER($N125))</formula>
    </cfRule>
    <cfRule type="expression" dxfId="856" priority="62">
      <formula>AND($N125 = 0 * ISNUMBER($N125))</formula>
    </cfRule>
    <cfRule type="expression" dxfId="855" priority="63">
      <formula>AND($N125 &lt; 0, ISNUMBER($N125))</formula>
    </cfRule>
  </conditionalFormatting>
  <conditionalFormatting sqref="A125:F144">
    <cfRule type="expression" dxfId="854" priority="70">
      <formula>AND($E125 &gt; 0, ISNUMBER($E125))</formula>
    </cfRule>
    <cfRule type="expression" dxfId="853" priority="71">
      <formula>AND($E125 = 0 * ISNUMBER($E125))</formula>
    </cfRule>
    <cfRule type="expression" dxfId="852" priority="72">
      <formula>AND($E125 &lt; 0, ISNUMBER($E125))</formula>
    </cfRule>
  </conditionalFormatting>
  <conditionalFormatting sqref="A125:C144 G125:I144">
    <cfRule type="expression" dxfId="851" priority="67">
      <formula>AND($H125 &gt; 0, ISNUMBER($H125))</formula>
    </cfRule>
    <cfRule type="expression" dxfId="850" priority="68">
      <formula>AND($H125 = 0 * ISNUMBER($H125))</formula>
    </cfRule>
    <cfRule type="expression" dxfId="849" priority="69">
      <formula>AND($H125 &lt; 0, ISNUMBER($H125))</formula>
    </cfRule>
  </conditionalFormatting>
  <conditionalFormatting sqref="A125:C144 J125:L144">
    <cfRule type="expression" dxfId="848" priority="64">
      <formula>AND($K125 &gt; 0, ISNUMBER($K125))</formula>
    </cfRule>
    <cfRule type="expression" dxfId="847" priority="65">
      <formula>AND($K125 = 0 * ISNUMBER($K125))</formula>
    </cfRule>
    <cfRule type="expression" dxfId="846" priority="66">
      <formula>AND($K125 &lt; 0, ISNUMBER($K125))</formula>
    </cfRule>
  </conditionalFormatting>
  <conditionalFormatting sqref="D123:F124 E145:F145">
    <cfRule type="expression" dxfId="845" priority="58">
      <formula>$E$145 &gt; 0</formula>
    </cfRule>
    <cfRule type="expression" dxfId="844" priority="59">
      <formula>$E$145 = 0</formula>
    </cfRule>
    <cfRule type="expression" dxfId="843" priority="60">
      <formula>$E$145 &lt; 0</formula>
    </cfRule>
  </conditionalFormatting>
  <conditionalFormatting sqref="G123:I124 H145:I145">
    <cfRule type="expression" dxfId="842" priority="55">
      <formula>$H$145 &gt; 0</formula>
    </cfRule>
    <cfRule type="expression" dxfId="841" priority="56">
      <formula>$H$145 = 0</formula>
    </cfRule>
    <cfRule type="expression" dxfId="840" priority="57">
      <formula>$H$145 &lt; 0</formula>
    </cfRule>
  </conditionalFormatting>
  <conditionalFormatting sqref="J123:L124 K145:L145">
    <cfRule type="expression" dxfId="839" priority="52">
      <formula>$K$145 &gt; 0</formula>
    </cfRule>
    <cfRule type="expression" dxfId="838" priority="53">
      <formula>$K$145 = 0</formula>
    </cfRule>
    <cfRule type="expression" dxfId="837" priority="54">
      <formula>$K$145 &lt; 0</formula>
    </cfRule>
  </conditionalFormatting>
  <conditionalFormatting sqref="M123:O124 N145:O145">
    <cfRule type="expression" dxfId="836" priority="49">
      <formula>$N$145 &gt; 0</formula>
    </cfRule>
    <cfRule type="expression" dxfId="835" priority="50">
      <formula>$N$145 = 0</formula>
    </cfRule>
    <cfRule type="expression" dxfId="834" priority="51">
      <formula>$N$145 &lt; 0</formula>
    </cfRule>
  </conditionalFormatting>
  <conditionalFormatting sqref="A152:C171 M152:O171">
    <cfRule type="expression" dxfId="833" priority="37">
      <formula>AND($N152 &gt; 0, ISNUMBER($N152))</formula>
    </cfRule>
    <cfRule type="expression" dxfId="832" priority="38">
      <formula>AND($N152 = 0 * ISNUMBER($N152))</formula>
    </cfRule>
    <cfRule type="expression" dxfId="831" priority="39">
      <formula>AND($N152 &lt; 0, ISNUMBER($N152))</formula>
    </cfRule>
  </conditionalFormatting>
  <conditionalFormatting sqref="A152:F171">
    <cfRule type="expression" dxfId="830" priority="46">
      <formula>AND($E152 &gt; 0, ISNUMBER($E152))</formula>
    </cfRule>
    <cfRule type="expression" dxfId="829" priority="47">
      <formula>AND($E152 = 0 * ISNUMBER($E152))</formula>
    </cfRule>
    <cfRule type="expression" dxfId="828" priority="48">
      <formula>AND($E152 &lt; 0, ISNUMBER($E152))</formula>
    </cfRule>
  </conditionalFormatting>
  <conditionalFormatting sqref="A152:C171 G152:I171">
    <cfRule type="expression" dxfId="827" priority="43">
      <formula>AND($H152 &gt; 0, ISNUMBER($H152))</formula>
    </cfRule>
    <cfRule type="expression" dxfId="826" priority="44">
      <formula>AND($H152 = 0 * ISNUMBER($H152))</formula>
    </cfRule>
    <cfRule type="expression" dxfId="825" priority="45">
      <formula>AND($H152 &lt; 0, ISNUMBER($H152))</formula>
    </cfRule>
  </conditionalFormatting>
  <conditionalFormatting sqref="A152:C171 J152:L171">
    <cfRule type="expression" dxfId="824" priority="40">
      <formula>AND($K152 &gt; 0, ISNUMBER($K152))</formula>
    </cfRule>
    <cfRule type="expression" dxfId="823" priority="41">
      <formula>AND($K152 = 0 * ISNUMBER($K152))</formula>
    </cfRule>
    <cfRule type="expression" dxfId="822" priority="42">
      <formula>AND($K152 &lt; 0, ISNUMBER($K152))</formula>
    </cfRule>
  </conditionalFormatting>
  <conditionalFormatting sqref="D150:F151 E172:F172">
    <cfRule type="expression" dxfId="821" priority="34">
      <formula>$E$172 &gt; 0</formula>
    </cfRule>
    <cfRule type="expression" dxfId="820" priority="35">
      <formula>$E$172 = 0</formula>
    </cfRule>
    <cfRule type="expression" dxfId="819" priority="36">
      <formula>$E$172 &lt; 0</formula>
    </cfRule>
  </conditionalFormatting>
  <conditionalFormatting sqref="G150:I151 H172:I172">
    <cfRule type="expression" dxfId="818" priority="31">
      <formula>$H$172 &gt; 0</formula>
    </cfRule>
    <cfRule type="expression" dxfId="817" priority="32">
      <formula>$H$172 = 0</formula>
    </cfRule>
    <cfRule type="expression" dxfId="816" priority="33">
      <formula>$H$172 &lt; 0</formula>
    </cfRule>
  </conditionalFormatting>
  <conditionalFormatting sqref="J150:L151 K172:L172">
    <cfRule type="expression" dxfId="815" priority="28">
      <formula>$K$172 &gt; 0</formula>
    </cfRule>
    <cfRule type="expression" dxfId="814" priority="29">
      <formula>$K$172 = 0</formula>
    </cfRule>
    <cfRule type="expression" dxfId="813" priority="30">
      <formula>$K$172 &lt; 0</formula>
    </cfRule>
  </conditionalFormatting>
  <conditionalFormatting sqref="M150:O151 N172:O172">
    <cfRule type="expression" dxfId="812" priority="25">
      <formula>$N$172 &gt; 0</formula>
    </cfRule>
    <cfRule type="expression" dxfId="811" priority="26">
      <formula>$N$172 = 0</formula>
    </cfRule>
    <cfRule type="expression" dxfId="810" priority="27">
      <formula>$N$172 &lt; 0</formula>
    </cfRule>
  </conditionalFormatting>
  <conditionalFormatting sqref="A179:C198 M179:O198">
    <cfRule type="expression" dxfId="809" priority="13">
      <formula>AND($N179 &gt; 0, ISNUMBER($N179))</formula>
    </cfRule>
    <cfRule type="expression" dxfId="808" priority="14">
      <formula>AND($N179 = 0 * ISNUMBER($N179))</formula>
    </cfRule>
    <cfRule type="expression" dxfId="807" priority="15">
      <formula>AND($N179 &lt; 0, ISNUMBER($N179))</formula>
    </cfRule>
  </conditionalFormatting>
  <conditionalFormatting sqref="A179:F198">
    <cfRule type="expression" dxfId="806" priority="22">
      <formula>AND($E179 &gt; 0, ISNUMBER($E179))</formula>
    </cfRule>
    <cfRule type="expression" dxfId="805" priority="23">
      <formula>AND($E179 = 0 * ISNUMBER($E179))</formula>
    </cfRule>
    <cfRule type="expression" dxfId="804" priority="24">
      <formula>AND($E179 &lt; 0, ISNUMBER($E179))</formula>
    </cfRule>
  </conditionalFormatting>
  <conditionalFormatting sqref="A179:C198 G179:I198">
    <cfRule type="expression" dxfId="803" priority="19">
      <formula>AND($H179 &gt; 0, ISNUMBER($H179))</formula>
    </cfRule>
    <cfRule type="expression" dxfId="802" priority="20">
      <formula>AND($H179 = 0 * ISNUMBER($H179))</formula>
    </cfRule>
    <cfRule type="expression" dxfId="801" priority="21">
      <formula>AND($H179 &lt; 0, ISNUMBER($H179))</formula>
    </cfRule>
  </conditionalFormatting>
  <conditionalFormatting sqref="A179:C198 J179:L198">
    <cfRule type="expression" dxfId="800" priority="16">
      <formula>AND($K179 &gt; 0, ISNUMBER($K179))</formula>
    </cfRule>
    <cfRule type="expression" dxfId="799" priority="17">
      <formula>AND($K179 = 0 * ISNUMBER($K179))</formula>
    </cfRule>
    <cfRule type="expression" dxfId="798" priority="18">
      <formula>AND($K179 &lt; 0, ISNUMBER($K179))</formula>
    </cfRule>
  </conditionalFormatting>
  <conditionalFormatting sqref="D177:F178 E199:F199">
    <cfRule type="expression" dxfId="797" priority="10">
      <formula>$E$199 &gt; 0</formula>
    </cfRule>
    <cfRule type="expression" dxfId="796" priority="11">
      <formula>$E$199 = 0</formula>
    </cfRule>
    <cfRule type="expression" dxfId="795" priority="12">
      <formula>$E$199 &lt; 0</formula>
    </cfRule>
  </conditionalFormatting>
  <conditionalFormatting sqref="G177:I178 H199:I199">
    <cfRule type="expression" dxfId="794" priority="7">
      <formula>$H$199 &gt; 0</formula>
    </cfRule>
    <cfRule type="expression" dxfId="793" priority="8">
      <formula>$H$199 = 0</formula>
    </cfRule>
    <cfRule type="expression" dxfId="792" priority="9">
      <formula>$H$199 &lt; 0</formula>
    </cfRule>
  </conditionalFormatting>
  <conditionalFormatting sqref="J177:L178 K199:L199">
    <cfRule type="expression" dxfId="791" priority="4">
      <formula>$K$199 &gt; 0</formula>
    </cfRule>
    <cfRule type="expression" dxfId="790" priority="5">
      <formula>$K$199 = 0</formula>
    </cfRule>
    <cfRule type="expression" dxfId="789" priority="6">
      <formula>$K$199 &lt; 0</formula>
    </cfRule>
  </conditionalFormatting>
  <conditionalFormatting sqref="M177:O178 N199:O199">
    <cfRule type="expression" dxfId="788" priority="1">
      <formula>$N$199 &gt; 0</formula>
    </cfRule>
    <cfRule type="expression" dxfId="787" priority="2">
      <formula>$N$199 = 0</formula>
    </cfRule>
    <cfRule type="expression" dxfId="78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7" t="s">
        <v>0</v>
      </c>
      <c r="B1" s="188"/>
      <c r="C1" s="188"/>
      <c r="D1" s="188"/>
      <c r="E1" s="188"/>
      <c r="F1" s="189"/>
      <c r="G1" s="218">
        <v>44440</v>
      </c>
      <c r="H1" s="219"/>
      <c r="I1" s="220"/>
      <c r="J1" s="187" t="s">
        <v>1</v>
      </c>
      <c r="K1" s="188"/>
      <c r="L1" s="188"/>
      <c r="M1" s="188"/>
      <c r="N1" s="188"/>
      <c r="O1" s="189"/>
      <c r="Q1" s="187" t="s">
        <v>2</v>
      </c>
      <c r="R1" s="189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15" t="s">
        <v>46</v>
      </c>
      <c r="H2" s="216"/>
      <c r="I2" s="217"/>
      <c r="J2" s="1" t="s">
        <v>3</v>
      </c>
      <c r="K2" s="221" t="s">
        <v>320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12" t="s">
        <v>328</v>
      </c>
      <c r="C3" s="213"/>
      <c r="D3" s="213"/>
      <c r="E3" s="213"/>
      <c r="F3" s="214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9"/>
      <c r="I3" s="210"/>
      <c r="J3" s="4" t="s">
        <v>7</v>
      </c>
      <c r="K3" s="212" t="s">
        <v>321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2" t="s">
        <v>16</v>
      </c>
      <c r="C4" s="213"/>
      <c r="D4" s="213"/>
      <c r="E4" s="213"/>
      <c r="F4" s="214"/>
      <c r="G4" s="215" t="s">
        <v>44</v>
      </c>
      <c r="H4" s="216"/>
      <c r="I4" s="217"/>
      <c r="J4" s="4" t="s">
        <v>11</v>
      </c>
      <c r="K4" s="212" t="s">
        <v>322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2" t="s">
        <v>319</v>
      </c>
      <c r="C5" s="213"/>
      <c r="D5" s="213"/>
      <c r="E5" s="213"/>
      <c r="F5" s="214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9"/>
      <c r="I5" s="210"/>
      <c r="J5" s="4" t="s">
        <v>15</v>
      </c>
      <c r="K5" s="212" t="s">
        <v>323</v>
      </c>
      <c r="L5" s="213"/>
      <c r="M5" s="213"/>
      <c r="N5" s="213"/>
      <c r="O5" s="214"/>
    </row>
    <row r="6" spans="1:19">
      <c r="A6" s="118" t="s">
        <v>18</v>
      </c>
      <c r="B6" s="212"/>
      <c r="C6" s="213"/>
      <c r="D6" s="213"/>
      <c r="E6" s="213"/>
      <c r="F6" s="214"/>
      <c r="G6" s="215" t="s">
        <v>45</v>
      </c>
      <c r="H6" s="216"/>
      <c r="I6" s="217"/>
      <c r="J6" s="4" t="s">
        <v>18</v>
      </c>
      <c r="K6" s="212" t="s">
        <v>324</v>
      </c>
      <c r="L6" s="213"/>
      <c r="M6" s="213"/>
      <c r="N6" s="213"/>
      <c r="O6" s="214"/>
    </row>
    <row r="7" spans="1:19" ht="17.25" thickBot="1">
      <c r="A7" s="118" t="s">
        <v>21</v>
      </c>
      <c r="B7" s="212"/>
      <c r="C7" s="213"/>
      <c r="D7" s="213"/>
      <c r="E7" s="213"/>
      <c r="F7" s="214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9"/>
      <c r="I7" s="210"/>
      <c r="J7" s="4" t="s">
        <v>21</v>
      </c>
      <c r="K7" s="212" t="s">
        <v>325</v>
      </c>
      <c r="L7" s="213"/>
      <c r="M7" s="213"/>
      <c r="N7" s="213"/>
      <c r="O7" s="214"/>
    </row>
    <row r="8" spans="1:19" ht="17.25" thickBot="1">
      <c r="A8" s="118" t="s">
        <v>24</v>
      </c>
      <c r="B8" s="212"/>
      <c r="C8" s="213"/>
      <c r="D8" s="213"/>
      <c r="E8" s="213"/>
      <c r="F8" s="214"/>
      <c r="G8" s="215" t="s">
        <v>255</v>
      </c>
      <c r="H8" s="216"/>
      <c r="I8" s="217"/>
      <c r="J8" s="4" t="s">
        <v>24</v>
      </c>
      <c r="K8" s="212"/>
      <c r="L8" s="213"/>
      <c r="M8" s="213"/>
      <c r="N8" s="213"/>
      <c r="O8" s="214"/>
      <c r="Q8" s="187" t="s">
        <v>27</v>
      </c>
      <c r="R8" s="189"/>
    </row>
    <row r="9" spans="1:19" ht="17.25" thickBot="1">
      <c r="A9" s="118" t="s">
        <v>28</v>
      </c>
      <c r="B9" s="212"/>
      <c r="C9" s="213"/>
      <c r="D9" s="213"/>
      <c r="E9" s="213"/>
      <c r="F9" s="214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9"/>
      <c r="I9" s="210"/>
      <c r="J9" s="4" t="s">
        <v>28</v>
      </c>
      <c r="K9" s="212"/>
      <c r="L9" s="213"/>
      <c r="M9" s="213"/>
      <c r="N9" s="213"/>
      <c r="O9" s="214"/>
      <c r="Q9" s="2" t="s">
        <v>29</v>
      </c>
      <c r="R9" s="6">
        <v>10</v>
      </c>
    </row>
    <row r="10" spans="1:19">
      <c r="A10" s="118" t="s">
        <v>30</v>
      </c>
      <c r="B10" s="212"/>
      <c r="C10" s="213"/>
      <c r="D10" s="213"/>
      <c r="E10" s="213"/>
      <c r="F10" s="214"/>
      <c r="G10" s="215" t="s">
        <v>47</v>
      </c>
      <c r="H10" s="216"/>
      <c r="I10" s="217"/>
      <c r="J10" s="4" t="s">
        <v>30</v>
      </c>
      <c r="K10" s="212" t="s">
        <v>326</v>
      </c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119" t="s">
        <v>32</v>
      </c>
      <c r="B11" s="205" t="s">
        <v>327</v>
      </c>
      <c r="C11" s="206"/>
      <c r="D11" s="206"/>
      <c r="E11" s="206"/>
      <c r="F11" s="207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05" t="s">
        <v>318</v>
      </c>
      <c r="L11" s="206"/>
      <c r="M11" s="206"/>
      <c r="N11" s="206"/>
      <c r="O11" s="207"/>
      <c r="Q11" s="65" t="s">
        <v>33</v>
      </c>
      <c r="R11" s="8">
        <v>1000</v>
      </c>
    </row>
    <row r="12" spans="1:19" ht="17.25" thickBot="1"/>
    <row r="13" spans="1:19" ht="17.25" customHeight="1" thickBot="1">
      <c r="A13" s="187" t="s">
        <v>34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186"/>
      <c r="R13" s="186"/>
      <c r="S13" s="186"/>
    </row>
    <row r="14" spans="1:19" ht="17.25" customHeight="1" thickBot="1">
      <c r="A14" s="116" t="s">
        <v>35</v>
      </c>
      <c r="B14" s="187" t="s">
        <v>36</v>
      </c>
      <c r="C14" s="189"/>
      <c r="D14" s="187" t="s">
        <v>37</v>
      </c>
      <c r="E14" s="188"/>
      <c r="F14" s="189"/>
      <c r="G14" s="190">
        <f>_xlfn.IFNA(VLOOKUP(B14, 현재가테이블!$B$2:$D$200, 2, FALSE), "-")</f>
        <v>57970000</v>
      </c>
      <c r="H14" s="191"/>
      <c r="I14" s="192"/>
      <c r="J14" s="187" t="s">
        <v>38</v>
      </c>
      <c r="K14" s="188"/>
      <c r="L14" s="189"/>
      <c r="M14" s="193">
        <f>_xlfn.IFNA(VLOOKUP(B14, 현재가테이블!$B$2:$D$200, 3, FALSE), "-")</f>
        <v>2.6835532700000001E-2</v>
      </c>
      <c r="N14" s="194"/>
      <c r="O14" s="195"/>
      <c r="Q14" s="186"/>
      <c r="R14" s="186"/>
      <c r="S14" s="186"/>
    </row>
    <row r="15" spans="1:19" ht="17.25" customHeight="1" thickBot="1">
      <c r="A15" s="224" t="s">
        <v>39</v>
      </c>
      <c r="B15" s="225" t="str">
        <f>TEXT($G$1, "[$-ko-KR]yyyy-mm-dd(ddd) ") &amp; "오전 00:00"</f>
        <v>2021-09-01(수) 오전 00:00</v>
      </c>
      <c r="C15" s="226"/>
      <c r="D15" s="200" t="str">
        <f>TEXT($G$1, "[$-ko-KR]yyyy-mm-dd(ddd) ") &amp; "오후 14:00"</f>
        <v>2021-09-01(수) 오후 14:00</v>
      </c>
      <c r="E15" s="201"/>
      <c r="F15" s="202"/>
      <c r="G15" s="200" t="str">
        <f>TEXT($G$1, "[$-ko-KR]yyyy-mm-dd(ddd) ") &amp; "오후 19:00"</f>
        <v>2021-09-01(수) 오후 19:00</v>
      </c>
      <c r="H15" s="201"/>
      <c r="I15" s="202"/>
      <c r="J15" s="200" t="str">
        <f>TEXT($G$1, "[$-ko-KR]yyyy-mm-dd(ddd) ") &amp; "오후 21:00"</f>
        <v>2021-09-01(수) 오후 21:00</v>
      </c>
      <c r="K15" s="201"/>
      <c r="L15" s="202"/>
      <c r="M15" s="200" t="str">
        <f>TEXT($G$1+1, "[$-ko-KR]yyyy-mm-dd(ddd) ") &amp; "오전 00:00"</f>
        <v>2021-09-02(목) 오전 00:00</v>
      </c>
      <c r="N15" s="201"/>
      <c r="O15" s="202"/>
      <c r="Q15" s="186"/>
      <c r="R15" s="186"/>
      <c r="S15" s="186"/>
    </row>
    <row r="16" spans="1:19" ht="17.25" customHeight="1" thickBot="1">
      <c r="A16" s="2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76"/>
      <c r="R16" s="176"/>
      <c r="S16" s="17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6"/>
      <c r="R17" s="186"/>
      <c r="S17" s="1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6"/>
      <c r="R18" s="186"/>
      <c r="S18" s="1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6"/>
      <c r="R19" s="176"/>
      <c r="S19" s="17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6"/>
      <c r="R20" s="176"/>
      <c r="S20" s="17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6"/>
      <c r="R21" s="176"/>
      <c r="S21" s="17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6"/>
      <c r="R22" s="176"/>
      <c r="S22" s="17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6"/>
      <c r="R23" s="176"/>
      <c r="S23" s="17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6"/>
      <c r="R24" s="176"/>
      <c r="S24" s="17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7"/>
      <c r="R26" s="178"/>
      <c r="S26" s="17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0"/>
      <c r="R27" s="181"/>
      <c r="S27" s="18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3"/>
      <c r="R28" s="184"/>
      <c r="S28" s="18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6"/>
      <c r="R29" s="176"/>
      <c r="S29" s="17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6"/>
      <c r="R30" s="186"/>
      <c r="S30" s="1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6"/>
      <c r="R31" s="186"/>
      <c r="S31" s="1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6"/>
      <c r="R32" s="176"/>
      <c r="S32" s="17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6"/>
      <c r="R33" s="176"/>
      <c r="S33" s="17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6"/>
      <c r="R34" s="176"/>
      <c r="S34" s="17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5"/>
      <c r="R35" s="166"/>
      <c r="S35" s="1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8"/>
      <c r="R36" s="169"/>
      <c r="S36" s="170"/>
    </row>
    <row r="37" spans="1:19" ht="17.25" customHeight="1" thickBot="1">
      <c r="A37" s="132" t="s">
        <v>42</v>
      </c>
      <c r="B37" s="229">
        <v>150000</v>
      </c>
      <c r="C37" s="23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1"/>
      <c r="R37" s="172"/>
      <c r="S37" s="173"/>
    </row>
    <row r="38" spans="1:19" ht="17.25" customHeight="1"/>
    <row r="39" spans="1:19" ht="17.25" customHeight="1" thickBot="1"/>
    <row r="40" spans="1:19" ht="17.25" customHeight="1" thickBot="1">
      <c r="A40" s="187" t="s">
        <v>44</v>
      </c>
      <c r="B40" s="188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  <c r="N40" s="188"/>
      <c r="O40" s="189"/>
      <c r="Q40" s="186"/>
      <c r="R40" s="186"/>
      <c r="S40" s="186"/>
    </row>
    <row r="41" spans="1:19" ht="17.25" customHeight="1" thickBot="1">
      <c r="A41" s="116" t="s">
        <v>267</v>
      </c>
      <c r="B41" s="187" t="s">
        <v>49</v>
      </c>
      <c r="C41" s="189"/>
      <c r="D41" s="187" t="s">
        <v>58</v>
      </c>
      <c r="E41" s="188"/>
      <c r="F41" s="189"/>
      <c r="G41" s="190">
        <f>_xlfn.IFNA(VLOOKUP(B41, 현재가테이블!$B$2:$D$200, 2, FALSE), "-")</f>
        <v>57970000</v>
      </c>
      <c r="H41" s="191"/>
      <c r="I41" s="192"/>
      <c r="J41" s="187" t="s">
        <v>59</v>
      </c>
      <c r="K41" s="188"/>
      <c r="L41" s="189"/>
      <c r="M41" s="193">
        <f>_xlfn.IFNA(VLOOKUP(B41, 현재가테이블!$B$2:$D$200, 3, FALSE), "-")</f>
        <v>2.6835532700000001E-2</v>
      </c>
      <c r="N41" s="194"/>
      <c r="O41" s="195"/>
      <c r="Q41" s="186"/>
      <c r="R41" s="186"/>
      <c r="S41" s="186"/>
    </row>
    <row r="42" spans="1:19" ht="17.25" customHeight="1" thickBot="1">
      <c r="A42" s="231" t="s">
        <v>55</v>
      </c>
      <c r="B42" s="227" t="str">
        <f>TEXT($G$1, "[$-ko-KR]yyyy-mm-dd(ddd) ") &amp; "오전 00:00"</f>
        <v>2021-09-01(수) 오전 00:00</v>
      </c>
      <c r="C42" s="228"/>
      <c r="D42" s="200" t="str">
        <f>TEXT($G$1, "[$-ko-KR]yyyy-mm-dd(ddd) ") &amp; "오후 14:00"</f>
        <v>2021-09-01(수) 오후 14:00</v>
      </c>
      <c r="E42" s="201"/>
      <c r="F42" s="202"/>
      <c r="G42" s="200" t="str">
        <f>TEXT($G$1, "[$-ko-KR]yyyy-mm-dd(ddd) ") &amp; "오후 19:00"</f>
        <v>2021-09-01(수) 오후 19:00</v>
      </c>
      <c r="H42" s="201"/>
      <c r="I42" s="202"/>
      <c r="J42" s="200" t="str">
        <f>TEXT($G$1, "[$-ko-KR]yyyy-mm-dd(ddd) ") &amp; "오후 21:00"</f>
        <v>2021-09-01(수) 오후 21:00</v>
      </c>
      <c r="K42" s="201"/>
      <c r="L42" s="202"/>
      <c r="M42" s="200" t="str">
        <f>TEXT($G$1+1, "[$-ko-KR]yyyy-mm-dd(ddd) ") &amp; "오전 00:00"</f>
        <v>2021-09-02(목) 오전 00:00</v>
      </c>
      <c r="N42" s="201"/>
      <c r="O42" s="202"/>
      <c r="Q42" s="186"/>
      <c r="R42" s="186"/>
      <c r="S42" s="186"/>
    </row>
    <row r="43" spans="1:19" ht="17.25" customHeight="1" thickBot="1">
      <c r="A43" s="23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76"/>
      <c r="R43" s="176"/>
      <c r="S43" s="17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6"/>
      <c r="R44" s="186"/>
      <c r="S44" s="18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6"/>
      <c r="R45" s="186"/>
      <c r="S45" s="18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6"/>
      <c r="R46" s="176"/>
      <c r="S46" s="17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6"/>
      <c r="R47" s="176"/>
      <c r="S47" s="17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6"/>
      <c r="R48" s="176"/>
      <c r="S48" s="17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6"/>
      <c r="R49" s="176"/>
      <c r="S49" s="17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6"/>
      <c r="R50" s="176"/>
      <c r="S50" s="17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6"/>
      <c r="R51" s="176"/>
      <c r="S51" s="17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7"/>
      <c r="R53" s="178"/>
      <c r="S53" s="17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0"/>
      <c r="R54" s="181"/>
      <c r="S54" s="18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3"/>
      <c r="R55" s="184"/>
      <c r="S55" s="18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6"/>
      <c r="R56" s="176"/>
      <c r="S56" s="17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6"/>
      <c r="R57" s="186"/>
      <c r="S57" s="18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6"/>
      <c r="R58" s="186"/>
      <c r="S58" s="18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6"/>
      <c r="R59" s="176"/>
      <c r="S59" s="17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6"/>
      <c r="R60" s="176"/>
      <c r="S60" s="17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6"/>
      <c r="R61" s="176"/>
      <c r="S61" s="17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5"/>
      <c r="R62" s="166"/>
      <c r="S62" s="16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8"/>
      <c r="R63" s="169"/>
      <c r="S63" s="170"/>
    </row>
    <row r="64" spans="1:19" ht="17.25" customHeight="1" thickBot="1">
      <c r="A64" s="132" t="s">
        <v>270</v>
      </c>
      <c r="B64" s="229">
        <f>$B$37</f>
        <v>150000</v>
      </c>
      <c r="C64" s="230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71"/>
      <c r="R64" s="172"/>
      <c r="S64" s="173"/>
    </row>
    <row r="65" spans="1:19" ht="17.25" customHeight="1"/>
    <row r="66" spans="1:19" ht="17.25" customHeight="1" thickBot="1"/>
    <row r="67" spans="1:19" ht="17.25" thickBot="1">
      <c r="A67" s="187" t="s">
        <v>45</v>
      </c>
      <c r="B67" s="188"/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9"/>
      <c r="Q67" s="186"/>
      <c r="R67" s="186"/>
      <c r="S67" s="186"/>
    </row>
    <row r="68" spans="1:19" ht="17.25" thickBot="1">
      <c r="A68" s="116" t="s">
        <v>267</v>
      </c>
      <c r="B68" s="187" t="s">
        <v>49</v>
      </c>
      <c r="C68" s="189"/>
      <c r="D68" s="187" t="s">
        <v>58</v>
      </c>
      <c r="E68" s="188"/>
      <c r="F68" s="189"/>
      <c r="G68" s="190">
        <f>_xlfn.IFNA(VLOOKUP(B68, 현재가테이블!$B$2:$D$200, 2, FALSE), "-")</f>
        <v>57970000</v>
      </c>
      <c r="H68" s="191"/>
      <c r="I68" s="192"/>
      <c r="J68" s="187" t="s">
        <v>59</v>
      </c>
      <c r="K68" s="188"/>
      <c r="L68" s="189"/>
      <c r="M68" s="193">
        <f>_xlfn.IFNA(VLOOKUP(B68, 현재가테이블!$B$2:$D$200, 3, FALSE), "-")</f>
        <v>2.6835532700000001E-2</v>
      </c>
      <c r="N68" s="194"/>
      <c r="O68" s="195"/>
      <c r="Q68" s="186"/>
      <c r="R68" s="186"/>
      <c r="S68" s="186"/>
    </row>
    <row r="69" spans="1:19" ht="17.25" thickBot="1">
      <c r="A69" s="231" t="s">
        <v>55</v>
      </c>
      <c r="B69" s="227" t="str">
        <f>TEXT($G$1, "[$-ko-KR]yyyy-mm-dd(ddd) ") &amp; "오전 00:00"</f>
        <v>2021-09-01(수) 오전 00:00</v>
      </c>
      <c r="C69" s="228"/>
      <c r="D69" s="200" t="str">
        <f>TEXT($G$1, "[$-ko-KR]yyyy-mm-dd(ddd) ") &amp; "오후 14:00"</f>
        <v>2021-09-01(수) 오후 14:00</v>
      </c>
      <c r="E69" s="201"/>
      <c r="F69" s="202"/>
      <c r="G69" s="200" t="str">
        <f>TEXT($G$1, "[$-ko-KR]yyyy-mm-dd(ddd) ") &amp; "오후 19:00"</f>
        <v>2021-09-01(수) 오후 19:00</v>
      </c>
      <c r="H69" s="201"/>
      <c r="I69" s="202"/>
      <c r="J69" s="200" t="str">
        <f>TEXT($G$1, "[$-ko-KR]yyyy-mm-dd(ddd) ") &amp; "오후 21:00"</f>
        <v>2021-09-01(수) 오후 21:00</v>
      </c>
      <c r="K69" s="201"/>
      <c r="L69" s="202"/>
      <c r="M69" s="200" t="str">
        <f>TEXT($G$1+1, "[$-ko-KR]yyyy-mm-dd(ddd) ") &amp; "오전 00:00"</f>
        <v>2021-09-02(목) 오전 00:00</v>
      </c>
      <c r="N69" s="201"/>
      <c r="O69" s="202"/>
      <c r="Q69" s="186"/>
      <c r="R69" s="186"/>
      <c r="S69" s="186"/>
    </row>
    <row r="70" spans="1:19" ht="17.25" thickBot="1">
      <c r="A70" s="23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76"/>
      <c r="R70" s="176"/>
      <c r="S70" s="17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6"/>
      <c r="R71" s="186"/>
      <c r="S71" s="18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6"/>
      <c r="R72" s="186"/>
      <c r="S72" s="18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6"/>
      <c r="R73" s="176"/>
      <c r="S73" s="17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6"/>
      <c r="R74" s="176"/>
      <c r="S74" s="17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6"/>
      <c r="R75" s="176"/>
      <c r="S75" s="17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6"/>
      <c r="R76" s="176"/>
      <c r="S76" s="17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6"/>
      <c r="R77" s="176"/>
      <c r="S77" s="17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6"/>
      <c r="R78" s="176"/>
      <c r="S78" s="17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7"/>
      <c r="R80" s="178"/>
      <c r="S80" s="17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0"/>
      <c r="R81" s="181"/>
      <c r="S81" s="18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3"/>
      <c r="R82" s="184"/>
      <c r="S82" s="18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6"/>
      <c r="R83" s="176"/>
      <c r="S83" s="17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6"/>
      <c r="R84" s="186"/>
      <c r="S84" s="18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6"/>
      <c r="R85" s="186"/>
      <c r="S85" s="18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6"/>
      <c r="R86" s="176"/>
      <c r="S86" s="17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6"/>
      <c r="R87" s="176"/>
      <c r="S87" s="17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6"/>
      <c r="R88" s="176"/>
      <c r="S88" s="17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5"/>
      <c r="R89" s="166"/>
      <c r="S89" s="16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8"/>
      <c r="R90" s="169"/>
      <c r="S90" s="170"/>
    </row>
    <row r="91" spans="1:19" ht="17.25" thickBot="1">
      <c r="A91" s="132" t="s">
        <v>270</v>
      </c>
      <c r="B91" s="229">
        <f>$B$37</f>
        <v>150000</v>
      </c>
      <c r="C91" s="230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71"/>
      <c r="R91" s="172"/>
      <c r="S91" s="173"/>
    </row>
    <row r="93" spans="1:19" ht="17.25" thickBot="1"/>
    <row r="94" spans="1:19" ht="17.25" thickBot="1">
      <c r="A94" s="187" t="s">
        <v>46</v>
      </c>
      <c r="B94" s="188"/>
      <c r="C94" s="188"/>
      <c r="D94" s="188"/>
      <c r="E94" s="188"/>
      <c r="F94" s="188"/>
      <c r="G94" s="188"/>
      <c r="H94" s="188"/>
      <c r="I94" s="188"/>
      <c r="J94" s="188"/>
      <c r="K94" s="188"/>
      <c r="L94" s="188"/>
      <c r="M94" s="188"/>
      <c r="N94" s="188"/>
      <c r="O94" s="189"/>
      <c r="Q94" s="186"/>
      <c r="R94" s="186"/>
      <c r="S94" s="186"/>
    </row>
    <row r="95" spans="1:19" ht="17.25" thickBot="1">
      <c r="A95" s="116" t="s">
        <v>267</v>
      </c>
      <c r="B95" s="187" t="s">
        <v>49</v>
      </c>
      <c r="C95" s="189"/>
      <c r="D95" s="187" t="s">
        <v>58</v>
      </c>
      <c r="E95" s="188"/>
      <c r="F95" s="189"/>
      <c r="G95" s="190">
        <f>_xlfn.IFNA(VLOOKUP(B95, 현재가테이블!$B$2:$D$200, 2, FALSE), "-")</f>
        <v>57970000</v>
      </c>
      <c r="H95" s="191"/>
      <c r="I95" s="192"/>
      <c r="J95" s="187" t="s">
        <v>59</v>
      </c>
      <c r="K95" s="188"/>
      <c r="L95" s="189"/>
      <c r="M95" s="193">
        <f>_xlfn.IFNA(VLOOKUP(B95, 현재가테이블!$B$2:$D$200, 3, FALSE), "-")</f>
        <v>2.6835532700000001E-2</v>
      </c>
      <c r="N95" s="194"/>
      <c r="O95" s="195"/>
      <c r="Q95" s="186"/>
      <c r="R95" s="186"/>
      <c r="S95" s="186"/>
    </row>
    <row r="96" spans="1:19" ht="17.25" thickBot="1">
      <c r="A96" s="231" t="s">
        <v>55</v>
      </c>
      <c r="B96" s="227" t="str">
        <f>TEXT($G$1, "[$-ko-KR]yyyy-mm-dd(ddd) ") &amp; "오전 00:00"</f>
        <v>2021-09-01(수) 오전 00:00</v>
      </c>
      <c r="C96" s="228"/>
      <c r="D96" s="200" t="str">
        <f>TEXT($G$1, "[$-ko-KR]yyyy-mm-dd(ddd) ") &amp; "오후 14:00"</f>
        <v>2021-09-01(수) 오후 14:00</v>
      </c>
      <c r="E96" s="201"/>
      <c r="F96" s="202"/>
      <c r="G96" s="200" t="str">
        <f>TEXT($G$1, "[$-ko-KR]yyyy-mm-dd(ddd) ") &amp; "오후 19:00"</f>
        <v>2021-09-01(수) 오후 19:00</v>
      </c>
      <c r="H96" s="201"/>
      <c r="I96" s="202"/>
      <c r="J96" s="200" t="str">
        <f>TEXT($G$1, "[$-ko-KR]yyyy-mm-dd(ddd) ") &amp; "오후 21:00"</f>
        <v>2021-09-01(수) 오후 21:00</v>
      </c>
      <c r="K96" s="201"/>
      <c r="L96" s="202"/>
      <c r="M96" s="200" t="str">
        <f>TEXT($G$1+1, "[$-ko-KR]yyyy-mm-dd(ddd) ") &amp; "오전 00:00"</f>
        <v>2021-09-02(목) 오전 00:00</v>
      </c>
      <c r="N96" s="201"/>
      <c r="O96" s="202"/>
      <c r="Q96" s="186"/>
      <c r="R96" s="186"/>
      <c r="S96" s="186"/>
    </row>
    <row r="97" spans="1:19" ht="17.25" thickBot="1">
      <c r="A97" s="23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76"/>
      <c r="R97" s="176"/>
      <c r="S97" s="17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6"/>
      <c r="R98" s="186"/>
      <c r="S98" s="18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6"/>
      <c r="R99" s="186"/>
      <c r="S99" s="18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6"/>
      <c r="R100" s="176"/>
      <c r="S100" s="17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6"/>
      <c r="R101" s="176"/>
      <c r="S101" s="17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6"/>
      <c r="R102" s="176"/>
      <c r="S102" s="17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6"/>
      <c r="R103" s="176"/>
      <c r="S103" s="17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6"/>
      <c r="R104" s="176"/>
      <c r="S104" s="17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6"/>
      <c r="R105" s="176"/>
      <c r="S105" s="17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7"/>
      <c r="R107" s="178"/>
      <c r="S107" s="17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0"/>
      <c r="R108" s="181"/>
      <c r="S108" s="18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3"/>
      <c r="R109" s="184"/>
      <c r="S109" s="18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6"/>
      <c r="R110" s="176"/>
      <c r="S110" s="17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6"/>
      <c r="R111" s="186"/>
      <c r="S111" s="18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6"/>
      <c r="R112" s="186"/>
      <c r="S112" s="18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6"/>
      <c r="R113" s="176"/>
      <c r="S113" s="17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6"/>
      <c r="R114" s="176"/>
      <c r="S114" s="17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6"/>
      <c r="R115" s="176"/>
      <c r="S115" s="17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5"/>
      <c r="R116" s="166"/>
      <c r="S116" s="16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8"/>
      <c r="R117" s="169"/>
      <c r="S117" s="170"/>
    </row>
    <row r="118" spans="1:19" ht="17.25" thickBot="1">
      <c r="A118" s="132" t="s">
        <v>270</v>
      </c>
      <c r="B118" s="229">
        <f>$B$37</f>
        <v>150000</v>
      </c>
      <c r="C118" s="230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71"/>
      <c r="R118" s="172"/>
      <c r="S118" s="173"/>
    </row>
    <row r="120" spans="1:19" ht="17.25" thickBot="1"/>
    <row r="121" spans="1:19" ht="17.25" thickBot="1">
      <c r="A121" s="187" t="s">
        <v>258</v>
      </c>
      <c r="B121" s="188"/>
      <c r="C121" s="188"/>
      <c r="D121" s="188"/>
      <c r="E121" s="188"/>
      <c r="F121" s="188"/>
      <c r="G121" s="188"/>
      <c r="H121" s="188"/>
      <c r="I121" s="188"/>
      <c r="J121" s="188"/>
      <c r="K121" s="188"/>
      <c r="L121" s="188"/>
      <c r="M121" s="188"/>
      <c r="N121" s="188"/>
      <c r="O121" s="189"/>
      <c r="Q121" s="186"/>
      <c r="R121" s="186"/>
      <c r="S121" s="186"/>
    </row>
    <row r="122" spans="1:19" ht="17.25" thickBot="1">
      <c r="A122" s="116" t="s">
        <v>267</v>
      </c>
      <c r="B122" s="187" t="s">
        <v>49</v>
      </c>
      <c r="C122" s="189"/>
      <c r="D122" s="187" t="s">
        <v>58</v>
      </c>
      <c r="E122" s="188"/>
      <c r="F122" s="189"/>
      <c r="G122" s="190">
        <f>_xlfn.IFNA(VLOOKUP(B122, 현재가테이블!$B$2:$D$200, 2, FALSE), "-")</f>
        <v>57970000</v>
      </c>
      <c r="H122" s="191"/>
      <c r="I122" s="192"/>
      <c r="J122" s="187" t="s">
        <v>59</v>
      </c>
      <c r="K122" s="188"/>
      <c r="L122" s="189"/>
      <c r="M122" s="193">
        <f>_xlfn.IFNA(VLOOKUP(B122, 현재가테이블!$B$2:$D$200, 3, FALSE), "-")</f>
        <v>2.6835532700000001E-2</v>
      </c>
      <c r="N122" s="194"/>
      <c r="O122" s="195"/>
      <c r="Q122" s="186"/>
      <c r="R122" s="186"/>
      <c r="S122" s="186"/>
    </row>
    <row r="123" spans="1:19" ht="17.25" thickBot="1">
      <c r="A123" s="231" t="s">
        <v>55</v>
      </c>
      <c r="B123" s="227" t="str">
        <f>TEXT($G$1, "[$-ko-KR]yyyy-mm-dd(ddd) ") &amp; "오전 00:00"</f>
        <v>2021-09-01(수) 오전 00:00</v>
      </c>
      <c r="C123" s="228"/>
      <c r="D123" s="200" t="str">
        <f>TEXT($G$1, "[$-ko-KR]yyyy-mm-dd(ddd) ") &amp; "오후 14:00"</f>
        <v>2021-09-01(수) 오후 14:00</v>
      </c>
      <c r="E123" s="201"/>
      <c r="F123" s="202"/>
      <c r="G123" s="200" t="str">
        <f>TEXT($G$1, "[$-ko-KR]yyyy-mm-dd(ddd) ") &amp; "오후 19:00"</f>
        <v>2021-09-01(수) 오후 19:00</v>
      </c>
      <c r="H123" s="201"/>
      <c r="I123" s="202"/>
      <c r="J123" s="200" t="str">
        <f>TEXT($G$1, "[$-ko-KR]yyyy-mm-dd(ddd) ") &amp; "오후 21:00"</f>
        <v>2021-09-01(수) 오후 21:00</v>
      </c>
      <c r="K123" s="201"/>
      <c r="L123" s="202"/>
      <c r="M123" s="200" t="str">
        <f>TEXT($G$1+1, "[$-ko-KR]yyyy-mm-dd(ddd) ") &amp; "오전 00:00"</f>
        <v>2021-09-02(목) 오전 00:00</v>
      </c>
      <c r="N123" s="201"/>
      <c r="O123" s="202"/>
      <c r="Q123" s="186"/>
      <c r="R123" s="186"/>
      <c r="S123" s="186"/>
    </row>
    <row r="124" spans="1:19" ht="17.25" thickBot="1">
      <c r="A124" s="23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76"/>
      <c r="R124" s="176"/>
      <c r="S124" s="17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6"/>
      <c r="R125" s="186"/>
      <c r="S125" s="18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6"/>
      <c r="R126" s="186"/>
      <c r="S126" s="18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6"/>
      <c r="R127" s="176"/>
      <c r="S127" s="17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6"/>
      <c r="R128" s="176"/>
      <c r="S128" s="17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6"/>
      <c r="R129" s="176"/>
      <c r="S129" s="17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6"/>
      <c r="R130" s="176"/>
      <c r="S130" s="17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6"/>
      <c r="R131" s="176"/>
      <c r="S131" s="17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6"/>
      <c r="R132" s="176"/>
      <c r="S132" s="17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7"/>
      <c r="R134" s="178"/>
      <c r="S134" s="17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0"/>
      <c r="R135" s="181"/>
      <c r="S135" s="18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3"/>
      <c r="R136" s="184"/>
      <c r="S136" s="18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6"/>
      <c r="R137" s="176"/>
      <c r="S137" s="17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6"/>
      <c r="R138" s="186"/>
      <c r="S138" s="18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6"/>
      <c r="R139" s="186"/>
      <c r="S139" s="18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6"/>
      <c r="R140" s="176"/>
      <c r="S140" s="17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6"/>
      <c r="R141" s="176"/>
      <c r="S141" s="17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6"/>
      <c r="R142" s="176"/>
      <c r="S142" s="17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5"/>
      <c r="R143" s="166"/>
      <c r="S143" s="16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8"/>
      <c r="R144" s="169"/>
      <c r="S144" s="170"/>
    </row>
    <row r="145" spans="1:19" ht="17.25" thickBot="1">
      <c r="A145" s="132" t="s">
        <v>270</v>
      </c>
      <c r="B145" s="229">
        <f>$B$37</f>
        <v>150000</v>
      </c>
      <c r="C145" s="230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71"/>
      <c r="R145" s="172"/>
      <c r="S145" s="173"/>
    </row>
    <row r="147" spans="1:19" ht="17.25" thickBot="1"/>
    <row r="148" spans="1:19" ht="17.25" thickBot="1">
      <c r="A148" s="187" t="s">
        <v>259</v>
      </c>
      <c r="B148" s="188"/>
      <c r="C148" s="188"/>
      <c r="D148" s="188"/>
      <c r="E148" s="188"/>
      <c r="F148" s="188"/>
      <c r="G148" s="188"/>
      <c r="H148" s="188"/>
      <c r="I148" s="188"/>
      <c r="J148" s="188"/>
      <c r="K148" s="188"/>
      <c r="L148" s="188"/>
      <c r="M148" s="188"/>
      <c r="N148" s="188"/>
      <c r="O148" s="189"/>
      <c r="Q148" s="186"/>
      <c r="R148" s="186"/>
      <c r="S148" s="186"/>
    </row>
    <row r="149" spans="1:19" ht="17.25" thickBot="1">
      <c r="A149" s="116" t="s">
        <v>267</v>
      </c>
      <c r="B149" s="187" t="s">
        <v>49</v>
      </c>
      <c r="C149" s="189"/>
      <c r="D149" s="187" t="s">
        <v>58</v>
      </c>
      <c r="E149" s="188"/>
      <c r="F149" s="189"/>
      <c r="G149" s="190">
        <f>_xlfn.IFNA(VLOOKUP(B149, 현재가테이블!$B$2:$D$200, 2, FALSE), "-")</f>
        <v>57970000</v>
      </c>
      <c r="H149" s="191"/>
      <c r="I149" s="192"/>
      <c r="J149" s="187" t="s">
        <v>59</v>
      </c>
      <c r="K149" s="188"/>
      <c r="L149" s="189"/>
      <c r="M149" s="193">
        <f>_xlfn.IFNA(VLOOKUP(B149, 현재가테이블!$B$2:$D$200, 3, FALSE), "-")</f>
        <v>2.6835532700000001E-2</v>
      </c>
      <c r="N149" s="194"/>
      <c r="O149" s="195"/>
      <c r="Q149" s="186"/>
      <c r="R149" s="186"/>
      <c r="S149" s="186"/>
    </row>
    <row r="150" spans="1:19" ht="17.25" thickBot="1">
      <c r="A150" s="231" t="s">
        <v>55</v>
      </c>
      <c r="B150" s="227" t="str">
        <f>TEXT($G$1, "[$-ko-KR]yyyy-mm-dd(ddd) ") &amp; "오전 00:00"</f>
        <v>2021-09-01(수) 오전 00:00</v>
      </c>
      <c r="C150" s="228"/>
      <c r="D150" s="200" t="str">
        <f>TEXT($G$1, "[$-ko-KR]yyyy-mm-dd(ddd) ") &amp; "오후 14:00"</f>
        <v>2021-09-01(수) 오후 14:00</v>
      </c>
      <c r="E150" s="201"/>
      <c r="F150" s="202"/>
      <c r="G150" s="200" t="str">
        <f>TEXT($G$1, "[$-ko-KR]yyyy-mm-dd(ddd) ") &amp; "오후 19:00"</f>
        <v>2021-09-01(수) 오후 19:00</v>
      </c>
      <c r="H150" s="201"/>
      <c r="I150" s="202"/>
      <c r="J150" s="200" t="str">
        <f>TEXT($G$1, "[$-ko-KR]yyyy-mm-dd(ddd) ") &amp; "오후 21:00"</f>
        <v>2021-09-01(수) 오후 21:00</v>
      </c>
      <c r="K150" s="201"/>
      <c r="L150" s="202"/>
      <c r="M150" s="200" t="str">
        <f>TEXT($G$1+1, "[$-ko-KR]yyyy-mm-dd(ddd) ") &amp; "오전 00:00"</f>
        <v>2021-09-02(목) 오전 00:00</v>
      </c>
      <c r="N150" s="201"/>
      <c r="O150" s="202"/>
      <c r="Q150" s="186"/>
      <c r="R150" s="186"/>
      <c r="S150" s="186"/>
    </row>
    <row r="151" spans="1:19" ht="17.25" thickBot="1">
      <c r="A151" s="23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76"/>
      <c r="R151" s="176"/>
      <c r="S151" s="17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6"/>
      <c r="R152" s="186"/>
      <c r="S152" s="18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6"/>
      <c r="R153" s="186"/>
      <c r="S153" s="18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6"/>
      <c r="R154" s="176"/>
      <c r="S154" s="17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6"/>
      <c r="R155" s="176"/>
      <c r="S155" s="17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6"/>
      <c r="R156" s="176"/>
      <c r="S156" s="17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6"/>
      <c r="R157" s="176"/>
      <c r="S157" s="17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6"/>
      <c r="R158" s="176"/>
      <c r="S158" s="17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6"/>
      <c r="R159" s="176"/>
      <c r="S159" s="17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7"/>
      <c r="R161" s="178"/>
      <c r="S161" s="17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0"/>
      <c r="R162" s="181"/>
      <c r="S162" s="18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3"/>
      <c r="R163" s="184"/>
      <c r="S163" s="18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6"/>
      <c r="R164" s="176"/>
      <c r="S164" s="17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6"/>
      <c r="R165" s="186"/>
      <c r="S165" s="18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6"/>
      <c r="R166" s="186"/>
      <c r="S166" s="18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6"/>
      <c r="R167" s="176"/>
      <c r="S167" s="17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6"/>
      <c r="R168" s="176"/>
      <c r="S168" s="17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6"/>
      <c r="R169" s="176"/>
      <c r="S169" s="17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5"/>
      <c r="R170" s="166"/>
      <c r="S170" s="16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8"/>
      <c r="R171" s="169"/>
      <c r="S171" s="170"/>
    </row>
    <row r="172" spans="1:19" ht="17.25" thickBot="1">
      <c r="A172" s="132" t="s">
        <v>270</v>
      </c>
      <c r="B172" s="229">
        <f>$B$37</f>
        <v>150000</v>
      </c>
      <c r="C172" s="230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71"/>
      <c r="R172" s="172"/>
      <c r="S172" s="173"/>
    </row>
    <row r="174" spans="1:19" ht="17.25" thickBot="1"/>
    <row r="175" spans="1:19" ht="17.25" thickBot="1">
      <c r="A175" s="187" t="s">
        <v>255</v>
      </c>
      <c r="B175" s="188"/>
      <c r="C175" s="188"/>
      <c r="D175" s="188"/>
      <c r="E175" s="188"/>
      <c r="F175" s="188"/>
      <c r="G175" s="188"/>
      <c r="H175" s="188"/>
      <c r="I175" s="188"/>
      <c r="J175" s="188"/>
      <c r="K175" s="188"/>
      <c r="L175" s="188"/>
      <c r="M175" s="188"/>
      <c r="N175" s="188"/>
      <c r="O175" s="189"/>
      <c r="Q175" s="186"/>
      <c r="R175" s="186"/>
      <c r="S175" s="186"/>
    </row>
    <row r="176" spans="1:19" ht="17.25" thickBot="1">
      <c r="A176" s="116" t="s">
        <v>267</v>
      </c>
      <c r="B176" s="187" t="s">
        <v>49</v>
      </c>
      <c r="C176" s="189"/>
      <c r="D176" s="187" t="s">
        <v>58</v>
      </c>
      <c r="E176" s="188"/>
      <c r="F176" s="189"/>
      <c r="G176" s="190">
        <f>_xlfn.IFNA(VLOOKUP(B176, 현재가테이블!$B$2:$D$200, 2, FALSE), "-")</f>
        <v>57970000</v>
      </c>
      <c r="H176" s="191"/>
      <c r="I176" s="192"/>
      <c r="J176" s="187" t="s">
        <v>59</v>
      </c>
      <c r="K176" s="188"/>
      <c r="L176" s="189"/>
      <c r="M176" s="193">
        <f>_xlfn.IFNA(VLOOKUP(B176, 현재가테이블!$B$2:$D$200, 3, FALSE), "-")</f>
        <v>2.6835532700000001E-2</v>
      </c>
      <c r="N176" s="194"/>
      <c r="O176" s="195"/>
      <c r="Q176" s="186"/>
      <c r="R176" s="186"/>
      <c r="S176" s="186"/>
    </row>
    <row r="177" spans="1:19" ht="17.25" thickBot="1">
      <c r="A177" s="231" t="s">
        <v>55</v>
      </c>
      <c r="B177" s="227" t="str">
        <f>TEXT($G$1, "[$-ko-KR]yyyy-mm-dd(ddd) ") &amp; "오전 00:00"</f>
        <v>2021-09-01(수) 오전 00:00</v>
      </c>
      <c r="C177" s="228"/>
      <c r="D177" s="200" t="str">
        <f>TEXT($G$1, "[$-ko-KR]yyyy-mm-dd(ddd) ") &amp; "오후 14:00"</f>
        <v>2021-09-01(수) 오후 14:00</v>
      </c>
      <c r="E177" s="201"/>
      <c r="F177" s="202"/>
      <c r="G177" s="200" t="str">
        <f>TEXT($G$1, "[$-ko-KR]yyyy-mm-dd(ddd) ") &amp; "오후 19:00"</f>
        <v>2021-09-01(수) 오후 19:00</v>
      </c>
      <c r="H177" s="201"/>
      <c r="I177" s="202"/>
      <c r="J177" s="200" t="str">
        <f>TEXT($G$1, "[$-ko-KR]yyyy-mm-dd(ddd) ") &amp; "오후 21:00"</f>
        <v>2021-09-01(수) 오후 21:00</v>
      </c>
      <c r="K177" s="201"/>
      <c r="L177" s="202"/>
      <c r="M177" s="200" t="str">
        <f>TEXT($G$1+1, "[$-ko-KR]yyyy-mm-dd(ddd) ") &amp; "오전 00:00"</f>
        <v>2021-09-02(목) 오전 00:00</v>
      </c>
      <c r="N177" s="201"/>
      <c r="O177" s="202"/>
      <c r="Q177" s="186"/>
      <c r="R177" s="186"/>
      <c r="S177" s="186"/>
    </row>
    <row r="178" spans="1:19" ht="17.25" thickBot="1">
      <c r="A178" s="23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76"/>
      <c r="R178" s="176"/>
      <c r="S178" s="17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6"/>
      <c r="R179" s="186"/>
      <c r="S179" s="18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6"/>
      <c r="R180" s="186"/>
      <c r="S180" s="18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6"/>
      <c r="R181" s="176"/>
      <c r="S181" s="17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6"/>
      <c r="R182" s="176"/>
      <c r="S182" s="17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6"/>
      <c r="R183" s="176"/>
      <c r="S183" s="17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6"/>
      <c r="R184" s="176"/>
      <c r="S184" s="17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6"/>
      <c r="R185" s="176"/>
      <c r="S185" s="17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6"/>
      <c r="R186" s="176"/>
      <c r="S186" s="17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7"/>
      <c r="R188" s="178"/>
      <c r="S188" s="17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0"/>
      <c r="R189" s="181"/>
      <c r="S189" s="18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3"/>
      <c r="R190" s="184"/>
      <c r="S190" s="18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6"/>
      <c r="R191" s="176"/>
      <c r="S191" s="17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6"/>
      <c r="R192" s="186"/>
      <c r="S192" s="18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6"/>
      <c r="R193" s="186"/>
      <c r="S193" s="18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6"/>
      <c r="R194" s="176"/>
      <c r="S194" s="17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6"/>
      <c r="R195" s="176"/>
      <c r="S195" s="17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6"/>
      <c r="R196" s="176"/>
      <c r="S196" s="17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5"/>
      <c r="R197" s="166"/>
      <c r="S197" s="16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8"/>
      <c r="R198" s="169"/>
      <c r="S198" s="170"/>
    </row>
    <row r="199" spans="1:19" ht="17.25" thickBot="1">
      <c r="A199" s="132" t="s">
        <v>270</v>
      </c>
      <c r="B199" s="229">
        <f>$B$37</f>
        <v>150000</v>
      </c>
      <c r="C199" s="230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71"/>
      <c r="R199" s="172"/>
      <c r="S199" s="17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78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8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8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8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8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8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7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7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7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7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75" priority="289">
      <formula>AND($N17 &gt; 0, ISNUMBER($N17))</formula>
    </cfRule>
    <cfRule type="expression" dxfId="774" priority="290">
      <formula>AND($N17 = 0 * ISNUMBER($N17))</formula>
    </cfRule>
    <cfRule type="expression" dxfId="773" priority="291">
      <formula>AND($N17 &lt; 0, ISNUMBER($N17))</formula>
    </cfRule>
  </conditionalFormatting>
  <conditionalFormatting sqref="A17:C36 D17:F36">
    <cfRule type="expression" dxfId="772" priority="298">
      <formula>AND($E17 &gt; 0, ISNUMBER($E17))</formula>
    </cfRule>
    <cfRule type="expression" dxfId="771" priority="299">
      <formula>AND($E17 = 0 * ISNUMBER($E17))</formula>
    </cfRule>
    <cfRule type="expression" dxfId="770" priority="300">
      <formula>AND($E17 &lt; 0, ISNUMBER($E17))</formula>
    </cfRule>
  </conditionalFormatting>
  <conditionalFormatting sqref="A17:C36 G17:I36">
    <cfRule type="expression" dxfId="769" priority="295">
      <formula>AND($H17 &gt; 0, ISNUMBER($H17))</formula>
    </cfRule>
    <cfRule type="expression" dxfId="768" priority="296">
      <formula>AND($H17 = 0 * ISNUMBER($H17))</formula>
    </cfRule>
    <cfRule type="expression" dxfId="767" priority="297">
      <formula>AND($H17 &lt; 0, ISNUMBER($H17))</formula>
    </cfRule>
  </conditionalFormatting>
  <conditionalFormatting sqref="A17:C36 J17:L36">
    <cfRule type="expression" dxfId="766" priority="292">
      <formula>AND($K17 &gt; 0, ISNUMBER($K17))</formula>
    </cfRule>
    <cfRule type="expression" dxfId="765" priority="293">
      <formula>AND($K17 = 0 * ISNUMBER($K17))</formula>
    </cfRule>
    <cfRule type="expression" dxfId="764" priority="294">
      <formula>AND($K17 &lt; 0, ISNUMBER($K17))</formula>
    </cfRule>
  </conditionalFormatting>
  <conditionalFormatting sqref="D15:F16 E37:F37">
    <cfRule type="expression" dxfId="763" priority="286">
      <formula>$E$37 &gt; 0</formula>
    </cfRule>
    <cfRule type="expression" dxfId="762" priority="287">
      <formula>$E$37 = 0</formula>
    </cfRule>
    <cfRule type="expression" dxfId="761" priority="288">
      <formula>$E$37 &lt; 0</formula>
    </cfRule>
  </conditionalFormatting>
  <conditionalFormatting sqref="G15:I16 H37:I37">
    <cfRule type="expression" dxfId="760" priority="283">
      <formula>$H$37 &gt; 0</formula>
    </cfRule>
    <cfRule type="expression" dxfId="759" priority="284">
      <formula>$H$37 = 0</formula>
    </cfRule>
    <cfRule type="expression" dxfId="758" priority="285">
      <formula>$H$37 &lt; 0</formula>
    </cfRule>
  </conditionalFormatting>
  <conditionalFormatting sqref="J15:L16 K37:L37">
    <cfRule type="expression" dxfId="757" priority="280">
      <formula>$K$37 &gt; 0</formula>
    </cfRule>
    <cfRule type="expression" dxfId="756" priority="281">
      <formula>$K$37 = 0</formula>
    </cfRule>
    <cfRule type="expression" dxfId="755" priority="282">
      <formula>$K$37 &lt; 0</formula>
    </cfRule>
  </conditionalFormatting>
  <conditionalFormatting sqref="M15:O16 N37:O37">
    <cfRule type="expression" dxfId="754" priority="277">
      <formula>$N$37 &gt; 0</formula>
    </cfRule>
    <cfRule type="expression" dxfId="753" priority="278">
      <formula>$N$37 = 0</formula>
    </cfRule>
    <cfRule type="expression" dxfId="752" priority="279">
      <formula>$N$37 &lt; 0</formula>
    </cfRule>
  </conditionalFormatting>
  <conditionalFormatting sqref="A44:C63 M44:O63">
    <cfRule type="expression" dxfId="751" priority="265">
      <formula>AND($N44 &gt; 0, ISNUMBER($N44))</formula>
    </cfRule>
    <cfRule type="expression" dxfId="750" priority="266">
      <formula>AND($N44 = 0 * ISNUMBER($N44))</formula>
    </cfRule>
    <cfRule type="expression" dxfId="749" priority="267">
      <formula>AND($N44 &lt; 0, ISNUMBER($N44))</formula>
    </cfRule>
  </conditionalFormatting>
  <conditionalFormatting sqref="A44:F63">
    <cfRule type="expression" dxfId="748" priority="274">
      <formula>AND($E44 &gt; 0, ISNUMBER($E44))</formula>
    </cfRule>
    <cfRule type="expression" dxfId="747" priority="275">
      <formula>AND($E44 = 0 * ISNUMBER($E44))</formula>
    </cfRule>
    <cfRule type="expression" dxfId="746" priority="276">
      <formula>AND($E44 &lt; 0, ISNUMBER($E44))</formula>
    </cfRule>
  </conditionalFormatting>
  <conditionalFormatting sqref="A44:C63 G44:I63">
    <cfRule type="expression" dxfId="745" priority="271">
      <formula>AND($H44 &gt; 0, ISNUMBER($H44))</formula>
    </cfRule>
    <cfRule type="expression" dxfId="744" priority="272">
      <formula>AND($H44 = 0 * ISNUMBER($H44))</formula>
    </cfRule>
    <cfRule type="expression" dxfId="743" priority="273">
      <formula>AND($H44 &lt; 0, ISNUMBER($H44))</formula>
    </cfRule>
  </conditionalFormatting>
  <conditionalFormatting sqref="A44:C63 J44:L63">
    <cfRule type="expression" dxfId="742" priority="268">
      <formula>AND($K44 &gt; 0, ISNUMBER($K44))</formula>
    </cfRule>
    <cfRule type="expression" dxfId="741" priority="269">
      <formula>AND($K44 = 0 * ISNUMBER($K44))</formula>
    </cfRule>
    <cfRule type="expression" dxfId="740" priority="270">
      <formula>AND($K44 &lt; 0, ISNUMBER($K44))</formula>
    </cfRule>
  </conditionalFormatting>
  <conditionalFormatting sqref="D42:F43 E64:F64">
    <cfRule type="expression" dxfId="739" priority="262">
      <formula>$E$64 &gt; 0</formula>
    </cfRule>
    <cfRule type="expression" dxfId="738" priority="263">
      <formula>$E$64 = 0</formula>
    </cfRule>
    <cfRule type="expression" dxfId="737" priority="264">
      <formula>$E$64 &lt; 0</formula>
    </cfRule>
  </conditionalFormatting>
  <conditionalFormatting sqref="G42:I43 H64:I64">
    <cfRule type="expression" dxfId="736" priority="259">
      <formula>$H$64 &gt; 0</formula>
    </cfRule>
    <cfRule type="expression" dxfId="735" priority="260">
      <formula>$H$64 = 0</formula>
    </cfRule>
    <cfRule type="expression" dxfId="734" priority="261">
      <formula>$H$64 &lt; 0</formula>
    </cfRule>
  </conditionalFormatting>
  <conditionalFormatting sqref="J42:L43 K64:L64">
    <cfRule type="expression" dxfId="733" priority="256">
      <formula>$K$64 &gt; 0</formula>
    </cfRule>
    <cfRule type="expression" dxfId="732" priority="257">
      <formula>$K$64 = 0</formula>
    </cfRule>
    <cfRule type="expression" dxfId="731" priority="258">
      <formula>$K$64 &lt; 0</formula>
    </cfRule>
  </conditionalFormatting>
  <conditionalFormatting sqref="M42:O43 N64:O64">
    <cfRule type="expression" dxfId="730" priority="253">
      <formula>$N$64 &gt; 0</formula>
    </cfRule>
    <cfRule type="expression" dxfId="729" priority="254">
      <formula>$N$64 = 0</formula>
    </cfRule>
    <cfRule type="expression" dxfId="728" priority="255">
      <formula>$N$64 &lt; 0</formula>
    </cfRule>
  </conditionalFormatting>
  <conditionalFormatting sqref="A71:C90 M71:O90">
    <cfRule type="expression" dxfId="727" priority="109">
      <formula>AND($N71 &gt; 0, ISNUMBER($N71))</formula>
    </cfRule>
    <cfRule type="expression" dxfId="726" priority="110">
      <formula>AND($N71 = 0 * ISNUMBER($N71))</formula>
    </cfRule>
    <cfRule type="expression" dxfId="725" priority="111">
      <formula>AND($N71 &lt; 0, ISNUMBER($N71))</formula>
    </cfRule>
  </conditionalFormatting>
  <conditionalFormatting sqref="A71:F90">
    <cfRule type="expression" dxfId="724" priority="118">
      <formula>AND($E71 &gt; 0, ISNUMBER($E71))</formula>
    </cfRule>
    <cfRule type="expression" dxfId="723" priority="119">
      <formula>AND($E71 = 0 * ISNUMBER($E71))</formula>
    </cfRule>
    <cfRule type="expression" dxfId="722" priority="120">
      <formula>AND($E71 &lt; 0, ISNUMBER($E71))</formula>
    </cfRule>
  </conditionalFormatting>
  <conditionalFormatting sqref="A71:C90 G71:I90">
    <cfRule type="expression" dxfId="721" priority="115">
      <formula>AND($H71 &gt; 0, ISNUMBER($H71))</formula>
    </cfRule>
    <cfRule type="expression" dxfId="720" priority="116">
      <formula>AND($H71 = 0 * ISNUMBER($H71))</formula>
    </cfRule>
    <cfRule type="expression" dxfId="719" priority="117">
      <formula>AND($H71 &lt; 0, ISNUMBER($H71))</formula>
    </cfRule>
  </conditionalFormatting>
  <conditionalFormatting sqref="A71:C90 J71:L90">
    <cfRule type="expression" dxfId="718" priority="112">
      <formula>AND($K71 &gt; 0, ISNUMBER($K71))</formula>
    </cfRule>
    <cfRule type="expression" dxfId="717" priority="113">
      <formula>AND($K71 = 0 * ISNUMBER($K71))</formula>
    </cfRule>
    <cfRule type="expression" dxfId="716" priority="114">
      <formula>AND($K71 &lt; 0, ISNUMBER($K71))</formula>
    </cfRule>
  </conditionalFormatting>
  <conditionalFormatting sqref="D69:F70 E91:F91">
    <cfRule type="expression" dxfId="715" priority="106">
      <formula>$E$91 &gt; 0</formula>
    </cfRule>
    <cfRule type="expression" dxfId="714" priority="107">
      <formula>$E$91 = 0</formula>
    </cfRule>
    <cfRule type="expression" dxfId="713" priority="108">
      <formula>$E$91 &lt; 0</formula>
    </cfRule>
  </conditionalFormatting>
  <conditionalFormatting sqref="G69:I70 H91:I91">
    <cfRule type="expression" dxfId="712" priority="103">
      <formula>$H$91 &gt; 0</formula>
    </cfRule>
    <cfRule type="expression" dxfId="711" priority="104">
      <formula>$H$91 = 0</formula>
    </cfRule>
    <cfRule type="expression" dxfId="710" priority="105">
      <formula>$H$91 &lt; 0</formula>
    </cfRule>
  </conditionalFormatting>
  <conditionalFormatting sqref="J69:L70 K91:L91">
    <cfRule type="expression" dxfId="709" priority="100">
      <formula>$K$91 &gt; 0</formula>
    </cfRule>
    <cfRule type="expression" dxfId="708" priority="101">
      <formula>$K$91 = 0</formula>
    </cfRule>
    <cfRule type="expression" dxfId="707" priority="102">
      <formula>$K$91 &lt; 0</formula>
    </cfRule>
  </conditionalFormatting>
  <conditionalFormatting sqref="M69:O70 N91:O91">
    <cfRule type="expression" dxfId="706" priority="97">
      <formula>$N$91 &gt; 0</formula>
    </cfRule>
    <cfRule type="expression" dxfId="705" priority="98">
      <formula>$N$91 = 0</formula>
    </cfRule>
    <cfRule type="expression" dxfId="704" priority="99">
      <formula>$N$91 &lt; 0</formula>
    </cfRule>
  </conditionalFormatting>
  <conditionalFormatting sqref="A98:C117 M98:O117">
    <cfRule type="expression" dxfId="703" priority="85">
      <formula>AND($N98 &gt; 0, ISNUMBER($N98))</formula>
    </cfRule>
    <cfRule type="expression" dxfId="702" priority="86">
      <formula>AND($N98 = 0 * ISNUMBER($N98))</formula>
    </cfRule>
    <cfRule type="expression" dxfId="701" priority="87">
      <formula>AND($N98 &lt; 0, ISNUMBER($N98))</formula>
    </cfRule>
  </conditionalFormatting>
  <conditionalFormatting sqref="A98:F117">
    <cfRule type="expression" dxfId="700" priority="94">
      <formula>AND($E98 &gt; 0, ISNUMBER($E98))</formula>
    </cfRule>
    <cfRule type="expression" dxfId="699" priority="95">
      <formula>AND($E98 = 0 * ISNUMBER($E98))</formula>
    </cfRule>
    <cfRule type="expression" dxfId="698" priority="96">
      <formula>AND($E98 &lt; 0, ISNUMBER($E98))</formula>
    </cfRule>
  </conditionalFormatting>
  <conditionalFormatting sqref="A98:C117 G98:I117">
    <cfRule type="expression" dxfId="697" priority="91">
      <formula>AND($H98 &gt; 0, ISNUMBER($H98))</formula>
    </cfRule>
    <cfRule type="expression" dxfId="696" priority="92">
      <formula>AND($H98 = 0 * ISNUMBER($H98))</formula>
    </cfRule>
    <cfRule type="expression" dxfId="695" priority="93">
      <formula>AND($H98 &lt; 0, ISNUMBER($H98))</formula>
    </cfRule>
  </conditionalFormatting>
  <conditionalFormatting sqref="A98:C117 J98:L117">
    <cfRule type="expression" dxfId="694" priority="88">
      <formula>AND($K98 &gt; 0, ISNUMBER($K98))</formula>
    </cfRule>
    <cfRule type="expression" dxfId="693" priority="89">
      <formula>AND($K98 = 0 * ISNUMBER($K98))</formula>
    </cfRule>
    <cfRule type="expression" dxfId="692" priority="90">
      <formula>AND($K98 &lt; 0, ISNUMBER($K98))</formula>
    </cfRule>
  </conditionalFormatting>
  <conditionalFormatting sqref="D96:F97 E118:F118">
    <cfRule type="expression" dxfId="691" priority="82">
      <formula>$E$118 &gt; 0</formula>
    </cfRule>
    <cfRule type="expression" dxfId="690" priority="83">
      <formula>$E$118 = 0</formula>
    </cfRule>
    <cfRule type="expression" dxfId="689" priority="84">
      <formula>$E$118 &lt; 0</formula>
    </cfRule>
  </conditionalFormatting>
  <conditionalFormatting sqref="G96:I97 H118:I118">
    <cfRule type="expression" dxfId="688" priority="79">
      <formula>$H$118 &gt; 0</formula>
    </cfRule>
    <cfRule type="expression" dxfId="687" priority="80">
      <formula>$H$118 = 0</formula>
    </cfRule>
    <cfRule type="expression" dxfId="686" priority="81">
      <formula>$H$118 &lt; 0</formula>
    </cfRule>
  </conditionalFormatting>
  <conditionalFormatting sqref="J96:L97 K118:L118">
    <cfRule type="expression" dxfId="685" priority="76">
      <formula>$K$118 &gt; 0</formula>
    </cfRule>
    <cfRule type="expression" dxfId="684" priority="77">
      <formula>$K$118 = 0</formula>
    </cfRule>
    <cfRule type="expression" dxfId="683" priority="78">
      <formula>$K$118 &lt; 0</formula>
    </cfRule>
  </conditionalFormatting>
  <conditionalFormatting sqref="M96:O97 N118:O118">
    <cfRule type="expression" dxfId="682" priority="73">
      <formula>$N$118 &gt; 0</formula>
    </cfRule>
    <cfRule type="expression" dxfId="681" priority="74">
      <formula>$N$118 = 0</formula>
    </cfRule>
    <cfRule type="expression" dxfId="680" priority="75">
      <formula>$N$118 &lt; 0</formula>
    </cfRule>
  </conditionalFormatting>
  <conditionalFormatting sqref="A125:C144 M125:O144">
    <cfRule type="expression" dxfId="679" priority="61">
      <formula>AND($N125 &gt; 0, ISNUMBER($N125))</formula>
    </cfRule>
    <cfRule type="expression" dxfId="678" priority="62">
      <formula>AND($N125 = 0 * ISNUMBER($N125))</formula>
    </cfRule>
    <cfRule type="expression" dxfId="677" priority="63">
      <formula>AND($N125 &lt; 0, ISNUMBER($N125))</formula>
    </cfRule>
  </conditionalFormatting>
  <conditionalFormatting sqref="A125:F144">
    <cfRule type="expression" dxfId="676" priority="70">
      <formula>AND($E125 &gt; 0, ISNUMBER($E125))</formula>
    </cfRule>
    <cfRule type="expression" dxfId="675" priority="71">
      <formula>AND($E125 = 0 * ISNUMBER($E125))</formula>
    </cfRule>
    <cfRule type="expression" dxfId="674" priority="72">
      <formula>AND($E125 &lt; 0, ISNUMBER($E125))</formula>
    </cfRule>
  </conditionalFormatting>
  <conditionalFormatting sqref="A125:C144 G125:I144">
    <cfRule type="expression" dxfId="673" priority="67">
      <formula>AND($H125 &gt; 0, ISNUMBER($H125))</formula>
    </cfRule>
    <cfRule type="expression" dxfId="672" priority="68">
      <formula>AND($H125 = 0 * ISNUMBER($H125))</formula>
    </cfRule>
    <cfRule type="expression" dxfId="671" priority="69">
      <formula>AND($H125 &lt; 0, ISNUMBER($H125))</formula>
    </cfRule>
  </conditionalFormatting>
  <conditionalFormatting sqref="A125:C144 J125:L144">
    <cfRule type="expression" dxfId="670" priority="64">
      <formula>AND($K125 &gt; 0, ISNUMBER($K125))</formula>
    </cfRule>
    <cfRule type="expression" dxfId="669" priority="65">
      <formula>AND($K125 = 0 * ISNUMBER($K125))</formula>
    </cfRule>
    <cfRule type="expression" dxfId="668" priority="66">
      <formula>AND($K125 &lt; 0, ISNUMBER($K125))</formula>
    </cfRule>
  </conditionalFormatting>
  <conditionalFormatting sqref="D123:F124 E145:F145">
    <cfRule type="expression" dxfId="667" priority="58">
      <formula>$E$145 &gt; 0</formula>
    </cfRule>
    <cfRule type="expression" dxfId="666" priority="59">
      <formula>$E$145 = 0</formula>
    </cfRule>
    <cfRule type="expression" dxfId="665" priority="60">
      <formula>$E$145 &lt; 0</formula>
    </cfRule>
  </conditionalFormatting>
  <conditionalFormatting sqref="G123:I124 H145:I145">
    <cfRule type="expression" dxfId="664" priority="55">
      <formula>$H$145 &gt; 0</formula>
    </cfRule>
    <cfRule type="expression" dxfId="663" priority="56">
      <formula>$H$145 = 0</formula>
    </cfRule>
    <cfRule type="expression" dxfId="662" priority="57">
      <formula>$H$145 &lt; 0</formula>
    </cfRule>
  </conditionalFormatting>
  <conditionalFormatting sqref="J123:L124 K145:L145">
    <cfRule type="expression" dxfId="661" priority="52">
      <formula>$K$145 &gt; 0</formula>
    </cfRule>
    <cfRule type="expression" dxfId="660" priority="53">
      <formula>$K$145 = 0</formula>
    </cfRule>
    <cfRule type="expression" dxfId="659" priority="54">
      <formula>$K$145 &lt; 0</formula>
    </cfRule>
  </conditionalFormatting>
  <conditionalFormatting sqref="M123:O124 N145:O145">
    <cfRule type="expression" dxfId="658" priority="49">
      <formula>$N$145 &gt; 0</formula>
    </cfRule>
    <cfRule type="expression" dxfId="657" priority="50">
      <formula>$N$145 = 0</formula>
    </cfRule>
    <cfRule type="expression" dxfId="656" priority="51">
      <formula>$N$145 &lt; 0</formula>
    </cfRule>
  </conditionalFormatting>
  <conditionalFormatting sqref="A152:C171 M152:O171">
    <cfRule type="expression" dxfId="655" priority="37">
      <formula>AND($N152 &gt; 0, ISNUMBER($N152))</formula>
    </cfRule>
    <cfRule type="expression" dxfId="654" priority="38">
      <formula>AND($N152 = 0 * ISNUMBER($N152))</formula>
    </cfRule>
    <cfRule type="expression" dxfId="653" priority="39">
      <formula>AND($N152 &lt; 0, ISNUMBER($N152))</formula>
    </cfRule>
  </conditionalFormatting>
  <conditionalFormatting sqref="A152:F171">
    <cfRule type="expression" dxfId="652" priority="46">
      <formula>AND($E152 &gt; 0, ISNUMBER($E152))</formula>
    </cfRule>
    <cfRule type="expression" dxfId="651" priority="47">
      <formula>AND($E152 = 0 * ISNUMBER($E152))</formula>
    </cfRule>
    <cfRule type="expression" dxfId="650" priority="48">
      <formula>AND($E152 &lt; 0, ISNUMBER($E152))</formula>
    </cfRule>
  </conditionalFormatting>
  <conditionalFormatting sqref="A152:C171 G152:I171">
    <cfRule type="expression" dxfId="649" priority="43">
      <formula>AND($H152 &gt; 0, ISNUMBER($H152))</formula>
    </cfRule>
    <cfRule type="expression" dxfId="648" priority="44">
      <formula>AND($H152 = 0 * ISNUMBER($H152))</formula>
    </cfRule>
    <cfRule type="expression" dxfId="647" priority="45">
      <formula>AND($H152 &lt; 0, ISNUMBER($H152))</formula>
    </cfRule>
  </conditionalFormatting>
  <conditionalFormatting sqref="A152:C171 J152:L171">
    <cfRule type="expression" dxfId="646" priority="40">
      <formula>AND($K152 &gt; 0, ISNUMBER($K152))</formula>
    </cfRule>
    <cfRule type="expression" dxfId="645" priority="41">
      <formula>AND($K152 = 0 * ISNUMBER($K152))</formula>
    </cfRule>
    <cfRule type="expression" dxfId="644" priority="42">
      <formula>AND($K152 &lt; 0, ISNUMBER($K152))</formula>
    </cfRule>
  </conditionalFormatting>
  <conditionalFormatting sqref="D150:F151 E172:F172">
    <cfRule type="expression" dxfId="643" priority="34">
      <formula>$E$172 &gt; 0</formula>
    </cfRule>
    <cfRule type="expression" dxfId="642" priority="35">
      <formula>$E$172 = 0</formula>
    </cfRule>
    <cfRule type="expression" dxfId="641" priority="36">
      <formula>$E$172 &lt; 0</formula>
    </cfRule>
  </conditionalFormatting>
  <conditionalFormatting sqref="G150:I151 H172:I172">
    <cfRule type="expression" dxfId="640" priority="31">
      <formula>$H$172 &gt; 0</formula>
    </cfRule>
    <cfRule type="expression" dxfId="639" priority="32">
      <formula>$H$172 = 0</formula>
    </cfRule>
    <cfRule type="expression" dxfId="638" priority="33">
      <formula>$H$172 &lt; 0</formula>
    </cfRule>
  </conditionalFormatting>
  <conditionalFormatting sqref="J150:L151 K172:L172">
    <cfRule type="expression" dxfId="637" priority="28">
      <formula>$K$172 &gt; 0</formula>
    </cfRule>
    <cfRule type="expression" dxfId="636" priority="29">
      <formula>$K$172 = 0</formula>
    </cfRule>
    <cfRule type="expression" dxfId="635" priority="30">
      <formula>$K$172 &lt; 0</formula>
    </cfRule>
  </conditionalFormatting>
  <conditionalFormatting sqref="M150:O151 N172:O172">
    <cfRule type="expression" dxfId="634" priority="25">
      <formula>$N$172 &gt; 0</formula>
    </cfRule>
    <cfRule type="expression" dxfId="633" priority="26">
      <formula>$N$172 = 0</formula>
    </cfRule>
    <cfRule type="expression" dxfId="632" priority="27">
      <formula>$N$172 &lt; 0</formula>
    </cfRule>
  </conditionalFormatting>
  <conditionalFormatting sqref="A179:C198 M179:O198">
    <cfRule type="expression" dxfId="631" priority="13">
      <formula>AND($N179 &gt; 0, ISNUMBER($N179))</formula>
    </cfRule>
    <cfRule type="expression" dxfId="630" priority="14">
      <formula>AND($N179 = 0 * ISNUMBER($N179))</formula>
    </cfRule>
    <cfRule type="expression" dxfId="629" priority="15">
      <formula>AND($N179 &lt; 0, ISNUMBER($N179))</formula>
    </cfRule>
  </conditionalFormatting>
  <conditionalFormatting sqref="A179:F198">
    <cfRule type="expression" dxfId="628" priority="22">
      <formula>AND($E179 &gt; 0, ISNUMBER($E179))</formula>
    </cfRule>
    <cfRule type="expression" dxfId="627" priority="23">
      <formula>AND($E179 = 0 * ISNUMBER($E179))</formula>
    </cfRule>
    <cfRule type="expression" dxfId="626" priority="24">
      <formula>AND($E179 &lt; 0, ISNUMBER($E179))</formula>
    </cfRule>
  </conditionalFormatting>
  <conditionalFormatting sqref="A179:C198 G179:I198">
    <cfRule type="expression" dxfId="625" priority="19">
      <formula>AND($H179 &gt; 0, ISNUMBER($H179))</formula>
    </cfRule>
    <cfRule type="expression" dxfId="624" priority="20">
      <formula>AND($H179 = 0 * ISNUMBER($H179))</formula>
    </cfRule>
    <cfRule type="expression" dxfId="623" priority="21">
      <formula>AND($H179 &lt; 0, ISNUMBER($H179))</formula>
    </cfRule>
  </conditionalFormatting>
  <conditionalFormatting sqref="A179:C198 J179:L198">
    <cfRule type="expression" dxfId="622" priority="16">
      <formula>AND($K179 &gt; 0, ISNUMBER($K179))</formula>
    </cfRule>
    <cfRule type="expression" dxfId="621" priority="17">
      <formula>AND($K179 = 0 * ISNUMBER($K179))</formula>
    </cfRule>
    <cfRule type="expression" dxfId="620" priority="18">
      <formula>AND($K179 &lt; 0, ISNUMBER($K179))</formula>
    </cfRule>
  </conditionalFormatting>
  <conditionalFormatting sqref="D177:F178 E199:F199">
    <cfRule type="expression" dxfId="619" priority="10">
      <formula>$E$199 &gt; 0</formula>
    </cfRule>
    <cfRule type="expression" dxfId="618" priority="11">
      <formula>$E$199 = 0</formula>
    </cfRule>
    <cfRule type="expression" dxfId="617" priority="12">
      <formula>$E$199 &lt; 0</formula>
    </cfRule>
  </conditionalFormatting>
  <conditionalFormatting sqref="G177:I178 H199:I199">
    <cfRule type="expression" dxfId="616" priority="7">
      <formula>$H$199 &gt; 0</formula>
    </cfRule>
    <cfRule type="expression" dxfId="615" priority="8">
      <formula>$H$199 = 0</formula>
    </cfRule>
    <cfRule type="expression" dxfId="614" priority="9">
      <formula>$H$199 &lt; 0</formula>
    </cfRule>
  </conditionalFormatting>
  <conditionalFormatting sqref="J177:L178 K199:L199">
    <cfRule type="expression" dxfId="613" priority="4">
      <formula>$K$199 &gt; 0</formula>
    </cfRule>
    <cfRule type="expression" dxfId="612" priority="5">
      <formula>$K$199 = 0</formula>
    </cfRule>
    <cfRule type="expression" dxfId="611" priority="6">
      <formula>$K$199 &lt; 0</formula>
    </cfRule>
  </conditionalFormatting>
  <conditionalFormatting sqref="M177:O178 N199:O199">
    <cfRule type="expression" dxfId="610" priority="1">
      <formula>$N$199 &gt; 0</formula>
    </cfRule>
    <cfRule type="expression" dxfId="609" priority="2">
      <formula>$N$199 = 0</formula>
    </cfRule>
    <cfRule type="expression" dxfId="6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241</v>
      </c>
      <c r="B2" s="11" t="s">
        <v>242</v>
      </c>
      <c r="C2" s="95">
        <v>691</v>
      </c>
      <c r="D2" s="92">
        <v>0.18321917809999999</v>
      </c>
      <c r="E2" s="93">
        <v>323119472.19939393</v>
      </c>
      <c r="F2" s="35"/>
      <c r="G2" s="54"/>
      <c r="H2" s="35"/>
      <c r="I2" s="35"/>
    </row>
    <row r="3" spans="1:18" ht="17.25" thickBot="1">
      <c r="A3" s="40" t="s">
        <v>249</v>
      </c>
      <c r="B3" s="11" t="s">
        <v>250</v>
      </c>
      <c r="C3" s="95">
        <v>99.3</v>
      </c>
      <c r="D3" s="92">
        <v>9.12087912E-2</v>
      </c>
      <c r="E3" s="93">
        <v>755629630.51468587</v>
      </c>
      <c r="F3" s="35"/>
      <c r="G3" s="231" t="s">
        <v>260</v>
      </c>
      <c r="H3" s="243" t="s">
        <v>330</v>
      </c>
      <c r="I3" s="243"/>
      <c r="K3" s="187" t="s">
        <v>34</v>
      </c>
      <c r="L3" s="188"/>
      <c r="M3" s="188"/>
      <c r="N3" s="189"/>
      <c r="O3" s="187" t="s">
        <v>262</v>
      </c>
      <c r="P3" s="188"/>
      <c r="Q3" s="188"/>
      <c r="R3" s="189"/>
    </row>
    <row r="4" spans="1:18" ht="17.25" thickBot="1">
      <c r="A4" s="40" t="s">
        <v>163</v>
      </c>
      <c r="B4" s="11" t="s">
        <v>164</v>
      </c>
      <c r="C4" s="95">
        <v>608</v>
      </c>
      <c r="D4" s="92">
        <v>7.8014184400000006E-2</v>
      </c>
      <c r="E4" s="93">
        <v>218967355.92908072</v>
      </c>
      <c r="F4" s="35"/>
      <c r="G4" s="232"/>
      <c r="H4" s="244"/>
      <c r="I4" s="244"/>
      <c r="K4" s="224" t="s">
        <v>55</v>
      </c>
      <c r="L4" s="240">
        <f ca="1">NOW()</f>
        <v>44441.887273495369</v>
      </c>
      <c r="M4" s="241"/>
      <c r="N4" s="242"/>
      <c r="O4" s="239" t="s">
        <v>55</v>
      </c>
      <c r="P4" s="240">
        <f ca="1">NOW()</f>
        <v>44441.887273495369</v>
      </c>
      <c r="Q4" s="241"/>
      <c r="R4" s="242"/>
    </row>
    <row r="5" spans="1:18" ht="17.25" thickBot="1">
      <c r="A5" s="40" t="s">
        <v>97</v>
      </c>
      <c r="B5" s="11" t="s">
        <v>98</v>
      </c>
      <c r="C5" s="95">
        <v>5.47</v>
      </c>
      <c r="D5" s="92">
        <v>6.8359375E-2</v>
      </c>
      <c r="E5" s="93">
        <v>23978774541.200253</v>
      </c>
      <c r="F5" s="35"/>
      <c r="K5" s="232"/>
      <c r="L5" s="36" t="s">
        <v>58</v>
      </c>
      <c r="M5" s="73" t="s">
        <v>59</v>
      </c>
      <c r="N5" s="69" t="s">
        <v>264</v>
      </c>
      <c r="O5" s="232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203</v>
      </c>
      <c r="B6" s="11" t="s">
        <v>204</v>
      </c>
      <c r="C6" s="95">
        <v>17.2</v>
      </c>
      <c r="D6" s="92">
        <v>6.8322981399999996E-2</v>
      </c>
      <c r="E6" s="93">
        <v>7718200279.1075783</v>
      </c>
      <c r="F6" s="35"/>
      <c r="G6" s="187" t="s">
        <v>52</v>
      </c>
      <c r="H6" s="188"/>
      <c r="I6" s="18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골렘</v>
      </c>
      <c r="P6" s="38">
        <f t="shared" ref="P6:P25" si="2">_xlfn.IFNA(VLOOKUP(O6, $B$2:$D$200, 2, FALSE), "")</f>
        <v>691</v>
      </c>
      <c r="Q6" s="76">
        <f t="shared" ref="Q6:Q25" si="3">_xlfn.IFNA(VLOOKUP(O6, $B$2:$D$200, 3, FALSE), "")</f>
        <v>0.18321917809999999</v>
      </c>
      <c r="R6" s="85">
        <f>_xlfn.IFNA(VLOOKUP(O6, $B$2:$E$200, 4, FALSE), "")</f>
        <v>323119472.19939393</v>
      </c>
    </row>
    <row r="7" spans="1:18">
      <c r="A7" s="40" t="s">
        <v>81</v>
      </c>
      <c r="B7" s="11" t="s">
        <v>82</v>
      </c>
      <c r="C7" s="95">
        <v>3535</v>
      </c>
      <c r="D7" s="92">
        <v>6.6365007500000003E-2</v>
      </c>
      <c r="E7" s="93">
        <v>120295013.12270372</v>
      </c>
      <c r="F7" s="35"/>
      <c r="G7" s="215" t="s">
        <v>36</v>
      </c>
      <c r="H7" s="216"/>
      <c r="I7" s="21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저스트</v>
      </c>
      <c r="P7" s="39">
        <f t="shared" si="2"/>
        <v>99.3</v>
      </c>
      <c r="Q7" s="77">
        <f t="shared" si="3"/>
        <v>9.12087912E-2</v>
      </c>
      <c r="R7" s="86">
        <f t="shared" ref="R7:R25" si="5">_xlfn.IFNA(VLOOKUP(O7, $B$2:$E$200, 4, FALSE), "")</f>
        <v>755629630.51468587</v>
      </c>
    </row>
    <row r="8" spans="1:18" ht="17.25" thickBot="1">
      <c r="A8" s="40" t="s">
        <v>105</v>
      </c>
      <c r="B8" s="11" t="s">
        <v>106</v>
      </c>
      <c r="C8" s="95">
        <v>225300</v>
      </c>
      <c r="D8" s="92">
        <v>6.4744801500000004E-2</v>
      </c>
      <c r="E8" s="93">
        <v>3327254.69007299</v>
      </c>
      <c r="F8" s="35"/>
      <c r="G8" s="208"/>
      <c r="H8" s="209"/>
      <c r="I8" s="21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엘프</v>
      </c>
      <c r="P8" s="39">
        <f t="shared" si="2"/>
        <v>608</v>
      </c>
      <c r="Q8" s="77">
        <f t="shared" si="3"/>
        <v>7.8014184400000006E-2</v>
      </c>
      <c r="R8" s="86">
        <f t="shared" si="5"/>
        <v>218967355.92908072</v>
      </c>
    </row>
    <row r="9" spans="1:18" ht="17.25" thickBot="1">
      <c r="A9" s="40" t="s">
        <v>151</v>
      </c>
      <c r="B9" s="11" t="s">
        <v>152</v>
      </c>
      <c r="C9" s="95">
        <v>116</v>
      </c>
      <c r="D9" s="92">
        <v>6.42201835E-2</v>
      </c>
      <c r="E9" s="93">
        <v>572714866.66069722</v>
      </c>
      <c r="F9" s="35"/>
      <c r="G9" s="9" t="s">
        <v>38</v>
      </c>
      <c r="H9" s="188" t="s">
        <v>37</v>
      </c>
      <c r="I9" s="18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비트토렌트</v>
      </c>
      <c r="P9" s="39">
        <f t="shared" si="2"/>
        <v>5.47</v>
      </c>
      <c r="Q9" s="77">
        <f t="shared" si="3"/>
        <v>6.8359375E-2</v>
      </c>
      <c r="R9" s="86">
        <f t="shared" si="5"/>
        <v>23978774541.200253</v>
      </c>
    </row>
    <row r="10" spans="1:18">
      <c r="A10" s="40" t="s">
        <v>127</v>
      </c>
      <c r="B10" s="11" t="s">
        <v>128</v>
      </c>
      <c r="C10" s="95">
        <v>167</v>
      </c>
      <c r="D10" s="92">
        <v>5.6962025300000003E-2</v>
      </c>
      <c r="E10" s="93">
        <v>365911745.18195951</v>
      </c>
      <c r="F10" s="35"/>
      <c r="G10" s="233">
        <f>_xlfn.IFNA(VLOOKUP(G7, $B$2:$D$200, 3, FALSE), "-")</f>
        <v>2.6835532700000001E-2</v>
      </c>
      <c r="H10" s="235">
        <f>_xlfn.IFNA(VLOOKUP(G7, $B$2:$D$200, 2, FALSE), "-")</f>
        <v>57970000</v>
      </c>
      <c r="I10" s="23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리퍼리움</v>
      </c>
      <c r="P10" s="39">
        <f t="shared" si="2"/>
        <v>17.2</v>
      </c>
      <c r="Q10" s="77">
        <f t="shared" si="3"/>
        <v>6.8322981399999996E-2</v>
      </c>
      <c r="R10" s="90">
        <f t="shared" si="5"/>
        <v>7718200279.1075783</v>
      </c>
    </row>
    <row r="11" spans="1:18" ht="17.25" thickBot="1">
      <c r="A11" s="40" t="s">
        <v>119</v>
      </c>
      <c r="B11" s="11" t="s">
        <v>120</v>
      </c>
      <c r="C11" s="95">
        <v>5405</v>
      </c>
      <c r="D11" s="92">
        <v>4.8496605200000001E-2</v>
      </c>
      <c r="E11" s="93">
        <v>10998479.77376868</v>
      </c>
      <c r="F11" s="35"/>
      <c r="G11" s="234"/>
      <c r="H11" s="237"/>
      <c r="I11" s="23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에이다</v>
      </c>
      <c r="P11" s="45">
        <f t="shared" si="2"/>
        <v>3535</v>
      </c>
      <c r="Q11" s="80">
        <f t="shared" si="3"/>
        <v>6.6365007500000003E-2</v>
      </c>
      <c r="R11" s="99">
        <f t="shared" si="5"/>
        <v>120295013.12270372</v>
      </c>
    </row>
    <row r="12" spans="1:18" ht="17.25" thickBot="1">
      <c r="A12" s="40" t="s">
        <v>66</v>
      </c>
      <c r="B12" s="11" t="s">
        <v>67</v>
      </c>
      <c r="C12" s="95">
        <v>5450</v>
      </c>
      <c r="D12" s="92">
        <v>4.7070124900000003E-2</v>
      </c>
      <c r="E12" s="93">
        <v>17008048.405689631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비트코인캐시에이비씨</v>
      </c>
      <c r="P12" s="39">
        <f t="shared" si="2"/>
        <v>225300</v>
      </c>
      <c r="Q12" s="77">
        <f t="shared" si="3"/>
        <v>6.4744801500000004E-2</v>
      </c>
      <c r="R12" s="86">
        <f t="shared" si="5"/>
        <v>3327254.69007299</v>
      </c>
    </row>
    <row r="13" spans="1:18" ht="17.25" thickBot="1">
      <c r="A13" s="40" t="s">
        <v>217</v>
      </c>
      <c r="B13" s="11" t="s">
        <v>218</v>
      </c>
      <c r="C13" s="95">
        <v>147</v>
      </c>
      <c r="D13" s="92">
        <v>4.2553191499999997E-2</v>
      </c>
      <c r="E13" s="93">
        <v>121011440.91727178</v>
      </c>
      <c r="F13" s="35"/>
      <c r="G13" s="187" t="s">
        <v>70</v>
      </c>
      <c r="H13" s="188"/>
      <c r="I13" s="18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트론</v>
      </c>
      <c r="P13" s="39">
        <f t="shared" si="2"/>
        <v>116</v>
      </c>
      <c r="Q13" s="77">
        <f t="shared" si="3"/>
        <v>6.42201835E-2</v>
      </c>
      <c r="R13" s="86">
        <f t="shared" si="5"/>
        <v>572714866.66069722</v>
      </c>
    </row>
    <row r="14" spans="1:18">
      <c r="A14" s="40" t="s">
        <v>199</v>
      </c>
      <c r="B14" s="11" t="s">
        <v>200</v>
      </c>
      <c r="C14" s="95">
        <v>172</v>
      </c>
      <c r="D14" s="92">
        <v>4.2424242399999999E-2</v>
      </c>
      <c r="E14" s="93">
        <v>281873575.37866294</v>
      </c>
      <c r="F14" s="35"/>
      <c r="G14" s="215" t="s">
        <v>36</v>
      </c>
      <c r="H14" s="216"/>
      <c r="I14" s="21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비체인</v>
      </c>
      <c r="P14" s="39">
        <f t="shared" si="2"/>
        <v>167</v>
      </c>
      <c r="Q14" s="77">
        <f t="shared" si="3"/>
        <v>5.6962025300000003E-2</v>
      </c>
      <c r="R14" s="86">
        <f t="shared" si="5"/>
        <v>365911745.18195951</v>
      </c>
    </row>
    <row r="15" spans="1:18" ht="17.25" thickBot="1">
      <c r="A15" s="40" t="s">
        <v>89</v>
      </c>
      <c r="B15" s="11" t="s">
        <v>90</v>
      </c>
      <c r="C15" s="95">
        <v>1495</v>
      </c>
      <c r="D15" s="92">
        <v>4.1811846700000002E-2</v>
      </c>
      <c r="E15" s="93">
        <v>258487812.00942138</v>
      </c>
      <c r="F15" s="35"/>
      <c r="G15" s="208"/>
      <c r="H15" s="209"/>
      <c r="I15" s="21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알파쿼크</v>
      </c>
      <c r="P15" s="37">
        <f t="shared" si="2"/>
        <v>5405</v>
      </c>
      <c r="Q15" s="79">
        <f t="shared" si="3"/>
        <v>4.8496605200000001E-2</v>
      </c>
      <c r="R15" s="87">
        <f t="shared" si="5"/>
        <v>10998479.77376868</v>
      </c>
    </row>
    <row r="16" spans="1:18" ht="17.25" thickBot="1">
      <c r="A16" s="40" t="s">
        <v>265</v>
      </c>
      <c r="B16" s="11" t="s">
        <v>266</v>
      </c>
      <c r="C16" s="95">
        <v>354</v>
      </c>
      <c r="D16" s="92">
        <v>4.1176470600000001E-2</v>
      </c>
      <c r="E16" s="93">
        <v>967194680.78790045</v>
      </c>
      <c r="F16" s="35"/>
      <c r="G16" s="9" t="s">
        <v>38</v>
      </c>
      <c r="H16" s="188" t="s">
        <v>37</v>
      </c>
      <c r="I16" s="18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코박토큰</v>
      </c>
      <c r="P16" s="38">
        <f t="shared" si="2"/>
        <v>5450</v>
      </c>
      <c r="Q16" s="76">
        <f t="shared" si="3"/>
        <v>4.7070124900000003E-2</v>
      </c>
      <c r="R16" s="85">
        <f t="shared" si="5"/>
        <v>17008048.405689631</v>
      </c>
    </row>
    <row r="17" spans="1:18">
      <c r="A17" s="40" t="s">
        <v>50</v>
      </c>
      <c r="B17" s="11" t="s">
        <v>51</v>
      </c>
      <c r="C17" s="95">
        <v>425</v>
      </c>
      <c r="D17" s="92">
        <v>3.9119804399999999E-2</v>
      </c>
      <c r="E17" s="93">
        <v>66342689.440263227</v>
      </c>
      <c r="F17" s="35"/>
      <c r="G17" s="233">
        <f>_xlfn.IFNA(VLOOKUP(G14, $B$2:$D$200, 3, FALSE), "-")</f>
        <v>2.6835532700000001E-2</v>
      </c>
      <c r="H17" s="235">
        <f>_xlfn.IFNA(VLOOKUP(G14, $B$2:$D$200, 2, FALSE), "-")</f>
        <v>57970000</v>
      </c>
      <c r="I17" s="23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휴먼스케이프</v>
      </c>
      <c r="P17" s="39">
        <f t="shared" si="2"/>
        <v>147</v>
      </c>
      <c r="Q17" s="77">
        <f t="shared" si="3"/>
        <v>4.2553191499999997E-2</v>
      </c>
      <c r="R17" s="86">
        <f t="shared" si="5"/>
        <v>121011440.91727178</v>
      </c>
    </row>
    <row r="18" spans="1:18" ht="17.25" thickBot="1">
      <c r="A18" s="40" t="s">
        <v>179</v>
      </c>
      <c r="B18" s="11" t="s">
        <v>180</v>
      </c>
      <c r="C18" s="95">
        <v>15870</v>
      </c>
      <c r="D18" s="92">
        <v>3.7933289699999997E-2</v>
      </c>
      <c r="E18" s="93">
        <v>2227049.6308184001</v>
      </c>
      <c r="F18" s="35"/>
      <c r="G18" s="234"/>
      <c r="H18" s="237"/>
      <c r="I18" s="23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피르마체인</v>
      </c>
      <c r="P18" s="39">
        <f t="shared" si="2"/>
        <v>172</v>
      </c>
      <c r="Q18" s="77">
        <f t="shared" si="3"/>
        <v>4.2424242399999999E-2</v>
      </c>
      <c r="R18" s="86">
        <f t="shared" si="5"/>
        <v>281873575.37866294</v>
      </c>
    </row>
    <row r="19" spans="1:18" ht="17.25" thickBot="1">
      <c r="A19" s="40" t="s">
        <v>229</v>
      </c>
      <c r="B19" s="11" t="s">
        <v>230</v>
      </c>
      <c r="C19" s="95">
        <v>419</v>
      </c>
      <c r="D19" s="92">
        <v>3.7128712899999999E-2</v>
      </c>
      <c r="E19" s="93">
        <v>212881926.09092498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리플</v>
      </c>
      <c r="P19" s="39">
        <f t="shared" si="2"/>
        <v>1495</v>
      </c>
      <c r="Q19" s="77">
        <f t="shared" si="3"/>
        <v>4.1811846700000002E-2</v>
      </c>
      <c r="R19" s="86">
        <f t="shared" si="5"/>
        <v>258487812.00942138</v>
      </c>
    </row>
    <row r="20" spans="1:18" ht="17.25" thickBot="1">
      <c r="A20" s="40" t="s">
        <v>129</v>
      </c>
      <c r="B20" s="11" t="s">
        <v>130</v>
      </c>
      <c r="C20" s="95">
        <v>142</v>
      </c>
      <c r="D20" s="92">
        <v>3.6496350400000002E-2</v>
      </c>
      <c r="E20" s="93">
        <v>266677613.2730419</v>
      </c>
      <c r="F20" s="35"/>
      <c r="G20" s="187" t="s">
        <v>256</v>
      </c>
      <c r="H20" s="188"/>
      <c r="I20" s="18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도지코인</v>
      </c>
      <c r="P20" s="39">
        <f t="shared" si="2"/>
        <v>354</v>
      </c>
      <c r="Q20" s="77">
        <f t="shared" si="3"/>
        <v>4.1176470600000001E-2</v>
      </c>
      <c r="R20" s="90">
        <f t="shared" si="5"/>
        <v>967194680.78790045</v>
      </c>
    </row>
    <row r="21" spans="1:18">
      <c r="A21" s="40" t="s">
        <v>87</v>
      </c>
      <c r="B21" s="11" t="s">
        <v>88</v>
      </c>
      <c r="C21" s="95">
        <v>251650</v>
      </c>
      <c r="D21" s="92">
        <v>3.53836659E-2</v>
      </c>
      <c r="E21" s="93">
        <v>175315.77250183999</v>
      </c>
      <c r="F21" s="35"/>
      <c r="G21" s="215" t="s">
        <v>36</v>
      </c>
      <c r="H21" s="216"/>
      <c r="I21" s="21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스텔라루멘</v>
      </c>
      <c r="P21" s="45">
        <f t="shared" si="2"/>
        <v>425</v>
      </c>
      <c r="Q21" s="80">
        <f t="shared" si="3"/>
        <v>3.9119804399999999E-2</v>
      </c>
      <c r="R21" s="99">
        <f t="shared" si="5"/>
        <v>66342689.440263227</v>
      </c>
    </row>
    <row r="22" spans="1:18" ht="17.25" thickBot="1">
      <c r="A22" s="40" t="s">
        <v>161</v>
      </c>
      <c r="B22" s="11" t="s">
        <v>162</v>
      </c>
      <c r="C22" s="95">
        <v>120</v>
      </c>
      <c r="D22" s="92">
        <v>3.4482758600000003E-2</v>
      </c>
      <c r="E22" s="93">
        <v>207079248.2034407</v>
      </c>
      <c r="F22" s="35"/>
      <c r="G22" s="208"/>
      <c r="H22" s="209"/>
      <c r="I22" s="21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퀀텀</v>
      </c>
      <c r="P22" s="39">
        <f t="shared" si="2"/>
        <v>15870</v>
      </c>
      <c r="Q22" s="77">
        <f t="shared" si="3"/>
        <v>3.7933289699999997E-2</v>
      </c>
      <c r="R22" s="86">
        <f t="shared" si="5"/>
        <v>2227049.6308184001</v>
      </c>
    </row>
    <row r="23" spans="1:18" ht="17.25" thickBot="1">
      <c r="A23" s="40" t="s">
        <v>125</v>
      </c>
      <c r="B23" s="11" t="s">
        <v>126</v>
      </c>
      <c r="C23" s="95">
        <v>216050</v>
      </c>
      <c r="D23" s="92">
        <v>3.2743785900000003E-2</v>
      </c>
      <c r="E23" s="93">
        <v>93421.390605709996</v>
      </c>
      <c r="F23" s="35"/>
      <c r="G23" s="9" t="s">
        <v>38</v>
      </c>
      <c r="H23" s="188" t="s">
        <v>37</v>
      </c>
      <c r="I23" s="18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왁스</v>
      </c>
      <c r="P23" s="39">
        <f t="shared" si="2"/>
        <v>419</v>
      </c>
      <c r="Q23" s="77">
        <f t="shared" si="3"/>
        <v>3.7128712899999999E-2</v>
      </c>
      <c r="R23" s="86">
        <f t="shared" si="5"/>
        <v>212881926.09092498</v>
      </c>
    </row>
    <row r="24" spans="1:18">
      <c r="A24" s="40" t="s">
        <v>247</v>
      </c>
      <c r="B24" s="11" t="s">
        <v>248</v>
      </c>
      <c r="C24" s="95">
        <v>2850</v>
      </c>
      <c r="D24" s="92">
        <v>3.2608695700000002E-2</v>
      </c>
      <c r="E24" s="93">
        <v>36879698.275690272</v>
      </c>
      <c r="F24" s="35"/>
      <c r="G24" s="233">
        <f>_xlfn.IFNA(VLOOKUP(G21, $B$2:$D$200, 3, FALSE), "-")</f>
        <v>2.6835532700000001E-2</v>
      </c>
      <c r="H24" s="235">
        <f>_xlfn.IFNA(VLOOKUP(G21, $B$2:$D$200, 2, FALSE), "-")</f>
        <v>57970000</v>
      </c>
      <c r="I24" s="23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오브스</v>
      </c>
      <c r="P24" s="39">
        <f t="shared" si="2"/>
        <v>142</v>
      </c>
      <c r="Q24" s="77">
        <f t="shared" si="3"/>
        <v>3.6496350400000002E-2</v>
      </c>
      <c r="R24" s="86">
        <f t="shared" si="5"/>
        <v>266677613.2730419</v>
      </c>
    </row>
    <row r="25" spans="1:18" ht="17.25" thickBot="1">
      <c r="A25" s="40" t="s">
        <v>237</v>
      </c>
      <c r="B25" s="11" t="s">
        <v>238</v>
      </c>
      <c r="C25" s="95">
        <v>130</v>
      </c>
      <c r="D25" s="92">
        <v>3.1746031700000003E-2</v>
      </c>
      <c r="E25" s="93">
        <v>145113811.65945646</v>
      </c>
      <c r="F25" s="35"/>
      <c r="G25" s="234"/>
      <c r="H25" s="237"/>
      <c r="I25" s="23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비트코인에스브이</v>
      </c>
      <c r="P25" s="37">
        <f t="shared" si="2"/>
        <v>251650</v>
      </c>
      <c r="Q25" s="79">
        <f t="shared" si="3"/>
        <v>3.53836659E-2</v>
      </c>
      <c r="R25" s="87">
        <f t="shared" si="5"/>
        <v>175315.77250183999</v>
      </c>
    </row>
    <row r="26" spans="1:18">
      <c r="A26" s="40" t="s">
        <v>195</v>
      </c>
      <c r="B26" s="11" t="s">
        <v>196</v>
      </c>
      <c r="C26" s="95">
        <v>4850</v>
      </c>
      <c r="D26" s="92">
        <v>3.0818278399999999E-2</v>
      </c>
      <c r="E26" s="93">
        <v>17147876.81476064</v>
      </c>
      <c r="F26" s="35"/>
    </row>
    <row r="27" spans="1:18" ht="17.25" thickBot="1">
      <c r="A27" s="40" t="s">
        <v>68</v>
      </c>
      <c r="B27" s="11" t="s">
        <v>69</v>
      </c>
      <c r="C27" s="95">
        <v>10380</v>
      </c>
      <c r="D27" s="92">
        <v>2.9761904799999999E-2</v>
      </c>
      <c r="E27" s="93">
        <v>9280787.0821556598</v>
      </c>
      <c r="F27" s="35"/>
    </row>
    <row r="28" spans="1:18" ht="17.25" thickBot="1">
      <c r="A28" s="40" t="s">
        <v>185</v>
      </c>
      <c r="B28" s="11" t="s">
        <v>186</v>
      </c>
      <c r="C28" s="95">
        <v>10740</v>
      </c>
      <c r="D28" s="92">
        <v>2.87356322E-2</v>
      </c>
      <c r="E28" s="93">
        <v>4156822.5556046502</v>
      </c>
      <c r="F28" s="35"/>
      <c r="G28" s="187" t="s">
        <v>46</v>
      </c>
      <c r="H28" s="188"/>
      <c r="I28" s="188"/>
      <c r="J28" s="189"/>
      <c r="K28" s="187" t="s">
        <v>44</v>
      </c>
      <c r="L28" s="188"/>
      <c r="M28" s="188"/>
      <c r="N28" s="189"/>
      <c r="O28" s="187" t="s">
        <v>45</v>
      </c>
      <c r="P28" s="188"/>
      <c r="Q28" s="188"/>
      <c r="R28" s="189"/>
    </row>
    <row r="29" spans="1:18" ht="17.25" thickBot="1">
      <c r="A29" s="40" t="s">
        <v>167</v>
      </c>
      <c r="B29" s="11" t="s">
        <v>168</v>
      </c>
      <c r="C29" s="95">
        <v>1795</v>
      </c>
      <c r="D29" s="92">
        <v>2.86532951E-2</v>
      </c>
      <c r="E29" s="93">
        <v>21384557.419178229</v>
      </c>
      <c r="F29" s="35"/>
      <c r="G29" s="224" t="s">
        <v>55</v>
      </c>
      <c r="H29" s="240">
        <f ca="1">NOW()</f>
        <v>44441.887273495369</v>
      </c>
      <c r="I29" s="241"/>
      <c r="J29" s="242"/>
      <c r="K29" s="239" t="s">
        <v>55</v>
      </c>
      <c r="L29" s="240">
        <f ca="1">NOW()</f>
        <v>44441.887273495369</v>
      </c>
      <c r="M29" s="241"/>
      <c r="N29" s="242"/>
      <c r="O29" s="239" t="s">
        <v>55</v>
      </c>
      <c r="P29" s="240">
        <f ca="1">NOW()</f>
        <v>44441.887273495369</v>
      </c>
      <c r="Q29" s="241"/>
      <c r="R29" s="242"/>
    </row>
    <row r="30" spans="1:18" ht="17.25" thickBot="1">
      <c r="A30" s="40" t="s">
        <v>173</v>
      </c>
      <c r="B30" s="11" t="s">
        <v>174</v>
      </c>
      <c r="C30" s="95">
        <v>404</v>
      </c>
      <c r="D30" s="92">
        <v>2.79898219E-2</v>
      </c>
      <c r="E30" s="93">
        <v>55834355.970446698</v>
      </c>
      <c r="F30" s="35"/>
      <c r="G30" s="232"/>
      <c r="H30" s="36" t="s">
        <v>58</v>
      </c>
      <c r="I30" s="73" t="s">
        <v>59</v>
      </c>
      <c r="J30" s="69" t="s">
        <v>264</v>
      </c>
      <c r="K30" s="232"/>
      <c r="L30" s="36" t="s">
        <v>58</v>
      </c>
      <c r="M30" s="73" t="s">
        <v>59</v>
      </c>
      <c r="N30" s="69" t="s">
        <v>264</v>
      </c>
      <c r="O30" s="232"/>
      <c r="P30" s="36" t="s">
        <v>58</v>
      </c>
      <c r="Q30" s="73" t="s">
        <v>59</v>
      </c>
      <c r="R30" s="69" t="s">
        <v>264</v>
      </c>
    </row>
    <row r="31" spans="1:18">
      <c r="A31" s="40" t="s">
        <v>48</v>
      </c>
      <c r="B31" s="11" t="s">
        <v>49</v>
      </c>
      <c r="C31" s="95">
        <v>57970000</v>
      </c>
      <c r="D31" s="92">
        <v>2.6835532700000001E-2</v>
      </c>
      <c r="E31" s="93">
        <v>6416.4312376300004</v>
      </c>
      <c r="F31" s="35"/>
      <c r="G31" s="55" t="str">
        <f ca="1">IFERROR(OFFSET(INDIRECT($H$3 &amp; "!A98"), 0, 0), "")</f>
        <v>아하토큰</v>
      </c>
      <c r="H31" s="38">
        <f t="shared" ref="H31:H50" ca="1" si="7">_xlfn.IFNA(VLOOKUP(G31, $B$2:$D$200, 2, FALSE), "")</f>
        <v>17.399999999999999</v>
      </c>
      <c r="I31" s="76">
        <f t="shared" ref="I31:I50" ca="1" si="8">_xlfn.IFNA(VLOOKUP(G31, $B$2:$D$200, 3, FALSE), "")</f>
        <v>-5.4347826100000003E-2</v>
      </c>
      <c r="J31" s="85">
        <f ca="1">_xlfn.IFNA(VLOOKUP(G31, $B$2:$E$200, 4, FALSE), "")</f>
        <v>3844896194.7057343</v>
      </c>
      <c r="K31" s="55" t="str">
        <f ca="1">IFERROR(OFFSET(INDIRECT($H$3 &amp; "!A44"), 0, 0), "")</f>
        <v>아하토큰</v>
      </c>
      <c r="L31" s="38">
        <f t="shared" ref="L31:L50" ca="1" si="9">_xlfn.IFNA(VLOOKUP(K31, $B$2:$D$200, 2, FALSE), "")</f>
        <v>17.399999999999999</v>
      </c>
      <c r="M31" s="76">
        <f t="shared" ref="M31:M50" ca="1" si="10">_xlfn.IFNA(VLOOKUP(K31, $B$2:$D$200, 3, FALSE), "")</f>
        <v>-5.4347826100000003E-2</v>
      </c>
      <c r="N31" s="85">
        <f ca="1">_xlfn.IFNA(VLOOKUP(K31, $B$2:$E$200, 4, FALSE), "")</f>
        <v>3844896194.7057343</v>
      </c>
      <c r="O31" s="55" t="str">
        <f ca="1">IFERROR(OFFSET(INDIRECT($H$3 &amp; "!A71"), 0, 0), "")</f>
        <v>엘프</v>
      </c>
      <c r="P31" s="38">
        <f t="shared" ref="P31:P50" ca="1" si="11">_xlfn.IFNA(VLOOKUP(O31, $B$2:$D$200, 2, FALSE), "")</f>
        <v>608</v>
      </c>
      <c r="Q31" s="76">
        <f t="shared" ref="Q31:Q50" ca="1" si="12">_xlfn.IFNA(VLOOKUP(O31, $B$2:$D$200, 3, FALSE), "")</f>
        <v>7.8014184400000006E-2</v>
      </c>
      <c r="R31" s="85">
        <f ca="1">_xlfn.IFNA(VLOOKUP(O31, $B$2:$E$200, 4, FALSE), "")</f>
        <v>218967355.92908072</v>
      </c>
    </row>
    <row r="32" spans="1:18">
      <c r="A32" s="40" t="s">
        <v>219</v>
      </c>
      <c r="B32" s="11" t="s">
        <v>220</v>
      </c>
      <c r="C32" s="95">
        <v>236</v>
      </c>
      <c r="D32" s="92">
        <v>2.6086956500000001E-2</v>
      </c>
      <c r="E32" s="93">
        <v>216749318.93151045</v>
      </c>
      <c r="F32" s="35"/>
      <c r="G32" s="56" t="str">
        <f ca="1">IFERROR(OFFSET(INDIRECT($H$3 &amp; "!A98"), 1, 0), "")</f>
        <v>엘프</v>
      </c>
      <c r="H32" s="39">
        <f t="shared" ca="1" si="7"/>
        <v>608</v>
      </c>
      <c r="I32" s="77">
        <f t="shared" ca="1" si="8"/>
        <v>7.8014184400000006E-2</v>
      </c>
      <c r="J32" s="86">
        <f t="shared" ref="J32:J50" ca="1" si="13">_xlfn.IFNA(VLOOKUP(G32, $B$2:$E$200, 4, FALSE), "")</f>
        <v>218967355.92908072</v>
      </c>
      <c r="K32" s="56" t="str">
        <f ca="1">IFERROR(OFFSET(INDIRECT($H$3 &amp; "!A44"), 1, 0), "")</f>
        <v>에브리피디아</v>
      </c>
      <c r="L32" s="39">
        <f t="shared" ca="1" si="9"/>
        <v>20.100000000000001</v>
      </c>
      <c r="M32" s="77">
        <f t="shared" ca="1" si="10"/>
        <v>2.0304568499999998E-2</v>
      </c>
      <c r="N32" s="86">
        <f t="shared" ref="N32:N50" ca="1" si="14">_xlfn.IFNA(VLOOKUP(K32, $B$2:$E$200, 4, FALSE), "")</f>
        <v>2531223181.2466331</v>
      </c>
      <c r="O32" s="56" t="str">
        <f ca="1">IFERROR(OFFSET(INDIRECT($H$3 &amp; "!A71"), 1, 0), "")</f>
        <v>비체인</v>
      </c>
      <c r="P32" s="39">
        <f t="shared" ca="1" si="11"/>
        <v>167</v>
      </c>
      <c r="Q32" s="77">
        <f t="shared" ca="1" si="12"/>
        <v>5.6962025300000003E-2</v>
      </c>
      <c r="R32" s="86">
        <f t="shared" ref="R32:R50" ca="1" si="15">_xlfn.IFNA(VLOOKUP(O32, $B$2:$E$200, 4, FALSE), "")</f>
        <v>365911745.18195951</v>
      </c>
    </row>
    <row r="33" spans="1:18">
      <c r="A33" s="40" t="s">
        <v>77</v>
      </c>
      <c r="B33" s="11" t="s">
        <v>78</v>
      </c>
      <c r="C33" s="95">
        <v>779500</v>
      </c>
      <c r="D33" s="92">
        <v>2.5657894699999999E-2</v>
      </c>
      <c r="E33" s="93">
        <v>50952.120037089997</v>
      </c>
      <c r="F33" s="35"/>
      <c r="G33" s="56" t="str">
        <f ca="1">IFERROR(OFFSET(INDIRECT($H$3 &amp; "!A98"), 2, 0), "")</f>
        <v>비체인</v>
      </c>
      <c r="H33" s="39">
        <f t="shared" ca="1" si="7"/>
        <v>167</v>
      </c>
      <c r="I33" s="77">
        <f t="shared" ca="1" si="8"/>
        <v>5.6962025300000003E-2</v>
      </c>
      <c r="J33" s="86">
        <f t="shared" ca="1" si="13"/>
        <v>365911745.18195951</v>
      </c>
      <c r="K33" s="56" t="str">
        <f ca="1">IFERROR(OFFSET(INDIRECT($H$3 &amp; "!A44"), 2, 0), "")</f>
        <v>스톰엑스</v>
      </c>
      <c r="L33" s="39">
        <f t="shared" ca="1" si="9"/>
        <v>40.799999999999997</v>
      </c>
      <c r="M33" s="77">
        <f t="shared" ca="1" si="10"/>
        <v>-4.8780487999999997E-3</v>
      </c>
      <c r="N33" s="86">
        <f t="shared" ca="1" si="14"/>
        <v>242885381.11464632</v>
      </c>
      <c r="O33" s="56" t="str">
        <f ca="1">IFERROR(OFFSET(INDIRECT($H$3 &amp; "!A71"), 2, 0), "")</f>
        <v>휴먼스케이프</v>
      </c>
      <c r="P33" s="39">
        <f t="shared" ca="1" si="11"/>
        <v>147</v>
      </c>
      <c r="Q33" s="77">
        <f t="shared" ca="1" si="12"/>
        <v>4.2553191499999997E-2</v>
      </c>
      <c r="R33" s="86">
        <f t="shared" ca="1" si="15"/>
        <v>121011440.91727178</v>
      </c>
    </row>
    <row r="34" spans="1:18">
      <c r="A34" s="40" t="s">
        <v>157</v>
      </c>
      <c r="B34" s="11" t="s">
        <v>158</v>
      </c>
      <c r="C34" s="95">
        <v>34470</v>
      </c>
      <c r="D34" s="92">
        <v>2.55876227E-2</v>
      </c>
      <c r="E34" s="93">
        <v>642473.90032633999</v>
      </c>
      <c r="F34" s="35"/>
      <c r="G34" s="56" t="str">
        <f ca="1">IFERROR(OFFSET(INDIRECT($H$3 &amp; "!A98"), 3, 0), "")</f>
        <v>밀크</v>
      </c>
      <c r="H34" s="39">
        <f t="shared" ca="1" si="7"/>
        <v>1410</v>
      </c>
      <c r="I34" s="77">
        <f t="shared" ca="1" si="8"/>
        <v>7.1428571000000003E-3</v>
      </c>
      <c r="J34" s="86">
        <f t="shared" ca="1" si="13"/>
        <v>18829902.106494639</v>
      </c>
      <c r="K34" s="56" t="str">
        <f ca="1">IFERROR(OFFSET(INDIRECT($H$3 &amp; "!A44"), 3, 0), "")</f>
        <v>썬더토큰</v>
      </c>
      <c r="L34" s="39">
        <f t="shared" ca="1" si="9"/>
        <v>14.2</v>
      </c>
      <c r="M34" s="77">
        <f t="shared" ca="1" si="10"/>
        <v>7.0921986000000003E-3</v>
      </c>
      <c r="N34" s="86">
        <f t="shared" ca="1" si="14"/>
        <v>1098268509.1554999</v>
      </c>
      <c r="O34" s="56" t="str">
        <f ca="1">IFERROR(OFFSET(INDIRECT($H$3 &amp; "!A71"), 3, 0), "")</f>
        <v>스팀</v>
      </c>
      <c r="P34" s="39">
        <f t="shared" ca="1" si="11"/>
        <v>711</v>
      </c>
      <c r="Q34" s="77">
        <f t="shared" ca="1" si="12"/>
        <v>0</v>
      </c>
      <c r="R34" s="86">
        <f t="shared" ca="1" si="15"/>
        <v>9829243.6801403705</v>
      </c>
    </row>
    <row r="35" spans="1:18">
      <c r="A35" s="40" t="s">
        <v>189</v>
      </c>
      <c r="B35" s="11" t="s">
        <v>190</v>
      </c>
      <c r="C35" s="95">
        <v>20.2</v>
      </c>
      <c r="D35" s="92">
        <v>2.53807107E-2</v>
      </c>
      <c r="E35" s="93">
        <v>1766516455.5999393</v>
      </c>
      <c r="F35" s="35"/>
      <c r="G35" s="58" t="str">
        <f ca="1">IFERROR(OFFSET(INDIRECT($H$3 &amp; "!A98"), 4, 0), "")</f>
        <v>체인링크</v>
      </c>
      <c r="H35" s="44">
        <f t="shared" ca="1" si="7"/>
        <v>34340</v>
      </c>
      <c r="I35" s="78">
        <f t="shared" ca="1" si="8"/>
        <v>-2.9112080000000002E-4</v>
      </c>
      <c r="J35" s="90">
        <f t="shared" ca="1" si="13"/>
        <v>669958.63345427997</v>
      </c>
      <c r="K35" s="58" t="str">
        <f ca="1">IFERROR(OFFSET(INDIRECT($H$3 &amp; "!A44"), 4, 0), "")</f>
        <v>시아코인</v>
      </c>
      <c r="L35" s="44">
        <f t="shared" ca="1" si="9"/>
        <v>24.4</v>
      </c>
      <c r="M35" s="78">
        <f t="shared" ca="1" si="10"/>
        <v>1.6666666699999999E-2</v>
      </c>
      <c r="N35" s="90">
        <f t="shared" ca="1" si="14"/>
        <v>629212630.96986985</v>
      </c>
      <c r="O35" s="58" t="str">
        <f ca="1">IFERROR(OFFSET(INDIRECT($H$3 &amp; "!A71"), 4, 0), "")</f>
        <v>질리카</v>
      </c>
      <c r="P35" s="44">
        <f t="shared" ca="1" si="11"/>
        <v>133</v>
      </c>
      <c r="Q35" s="78">
        <f t="shared" ca="1" si="12"/>
        <v>0</v>
      </c>
      <c r="R35" s="90">
        <f t="shared" ca="1" si="15"/>
        <v>61467156.06119021</v>
      </c>
    </row>
    <row r="36" spans="1:18">
      <c r="A36" s="40" t="s">
        <v>137</v>
      </c>
      <c r="B36" s="11" t="s">
        <v>138</v>
      </c>
      <c r="C36" s="95">
        <v>406</v>
      </c>
      <c r="D36" s="92">
        <v>2.5252525299999998E-2</v>
      </c>
      <c r="E36" s="93">
        <v>59032361.624874257</v>
      </c>
      <c r="F36" s="35"/>
      <c r="G36" s="56" t="str">
        <f ca="1">IFERROR(OFFSET(INDIRECT($H$3 &amp; "!A98"), 5, 0), "")</f>
        <v>에브리피디아</v>
      </c>
      <c r="H36" s="39">
        <f t="shared" ca="1" si="7"/>
        <v>20.100000000000001</v>
      </c>
      <c r="I36" s="77">
        <f t="shared" ca="1" si="8"/>
        <v>2.0304568499999998E-2</v>
      </c>
      <c r="J36" s="99">
        <f t="shared" ca="1" si="13"/>
        <v>2531223181.2466331</v>
      </c>
      <c r="K36" s="56" t="str">
        <f ca="1">IFERROR(OFFSET(INDIRECT($H$3 &amp; "!A44"), 5, 0), "")</f>
        <v>메인프레임</v>
      </c>
      <c r="L36" s="39">
        <f t="shared" ca="1" si="9"/>
        <v>14.8</v>
      </c>
      <c r="M36" s="77">
        <f t="shared" ca="1" si="10"/>
        <v>6.8027210999999999E-3</v>
      </c>
      <c r="N36" s="99">
        <f t="shared" ca="1" si="14"/>
        <v>1022719104.6288877</v>
      </c>
      <c r="O36" s="56" t="str">
        <f ca="1">IFERROR(OFFSET(INDIRECT($H$3 &amp; "!A71"), 5, 0), "")</f>
        <v>보라</v>
      </c>
      <c r="P36" s="39">
        <f t="shared" ca="1" si="11"/>
        <v>264</v>
      </c>
      <c r="Q36" s="77">
        <f t="shared" ca="1" si="12"/>
        <v>-1.12359551E-2</v>
      </c>
      <c r="R36" s="99">
        <f t="shared" ca="1" si="15"/>
        <v>121606011.00530005</v>
      </c>
    </row>
    <row r="37" spans="1:18">
      <c r="A37" s="40" t="s">
        <v>143</v>
      </c>
      <c r="B37" s="11" t="s">
        <v>144</v>
      </c>
      <c r="C37" s="95">
        <v>125</v>
      </c>
      <c r="D37" s="92">
        <v>2.45901639E-2</v>
      </c>
      <c r="E37" s="93">
        <v>100734412.72232825</v>
      </c>
      <c r="F37" s="35"/>
      <c r="G37" s="56" t="str">
        <f ca="1">IFERROR(OFFSET(INDIRECT($H$3 &amp; "!A98"), 6, 0), "")</f>
        <v>스톰엑스</v>
      </c>
      <c r="H37" s="39">
        <f t="shared" ca="1" si="7"/>
        <v>40.799999999999997</v>
      </c>
      <c r="I37" s="77">
        <f t="shared" ca="1" si="8"/>
        <v>-4.8780487999999997E-3</v>
      </c>
      <c r="J37" s="86">
        <f t="shared" ca="1" si="13"/>
        <v>242885381.11464632</v>
      </c>
      <c r="K37" s="56" t="str">
        <f ca="1">IFERROR(OFFSET(INDIRECT($H$3 &amp; "!A44"), 6, 0), "")</f>
        <v>무비블록</v>
      </c>
      <c r="L37" s="39">
        <f t="shared" ca="1" si="9"/>
        <v>12.3</v>
      </c>
      <c r="M37" s="77">
        <f t="shared" ca="1" si="10"/>
        <v>0</v>
      </c>
      <c r="N37" s="86">
        <f t="shared" ca="1" si="14"/>
        <v>1468412815.5291035</v>
      </c>
      <c r="O37" s="56" t="str">
        <f ca="1">IFERROR(OFFSET(INDIRECT($H$3 &amp; "!A71"), 6, 0), "")</f>
        <v>트론</v>
      </c>
      <c r="P37" s="39">
        <f t="shared" ca="1" si="11"/>
        <v>116</v>
      </c>
      <c r="Q37" s="77">
        <f t="shared" ca="1" si="12"/>
        <v>6.42201835E-2</v>
      </c>
      <c r="R37" s="86">
        <f t="shared" ca="1" si="15"/>
        <v>572714866.66069722</v>
      </c>
    </row>
    <row r="38" spans="1:18">
      <c r="A38" s="40" t="s">
        <v>145</v>
      </c>
      <c r="B38" s="11" t="s">
        <v>146</v>
      </c>
      <c r="C38" s="95">
        <v>4360</v>
      </c>
      <c r="D38" s="92">
        <v>2.34741784E-2</v>
      </c>
      <c r="E38" s="93">
        <v>2948869.03402801</v>
      </c>
      <c r="F38" s="35"/>
      <c r="G38" s="56" t="str">
        <f ca="1">IFERROR(OFFSET(INDIRECT($H$3 &amp; "!A98"), 7, 0), "")</f>
        <v>스와이프</v>
      </c>
      <c r="H38" s="39">
        <f t="shared" ca="1" si="7"/>
        <v>4360</v>
      </c>
      <c r="I38" s="77">
        <f t="shared" ca="1" si="8"/>
        <v>2.34741784E-2</v>
      </c>
      <c r="J38" s="86">
        <f t="shared" ca="1" si="13"/>
        <v>2948869.03402801</v>
      </c>
      <c r="K38" s="56" t="str">
        <f ca="1">IFERROR(OFFSET(INDIRECT($H$3 &amp; "!A44"), 7, 0), "")</f>
        <v>저스트</v>
      </c>
      <c r="L38" s="39">
        <f t="shared" ca="1" si="9"/>
        <v>99.3</v>
      </c>
      <c r="M38" s="77">
        <f t="shared" ca="1" si="10"/>
        <v>9.12087912E-2</v>
      </c>
      <c r="N38" s="86">
        <f t="shared" ca="1" si="14"/>
        <v>755629630.51468587</v>
      </c>
      <c r="O38" s="56" t="str">
        <f ca="1">IFERROR(OFFSET(INDIRECT($H$3 &amp; "!A71"), 7, 0), "")</f>
        <v>칠리즈</v>
      </c>
      <c r="P38" s="39">
        <f t="shared" ca="1" si="11"/>
        <v>452</v>
      </c>
      <c r="Q38" s="77">
        <f t="shared" ca="1" si="12"/>
        <v>1.8018018E-2</v>
      </c>
      <c r="R38" s="86">
        <f t="shared" ca="1" si="15"/>
        <v>27859761.443027779</v>
      </c>
    </row>
    <row r="39" spans="1:18">
      <c r="A39" s="40" t="s">
        <v>53</v>
      </c>
      <c r="B39" s="11" t="s">
        <v>54</v>
      </c>
      <c r="C39" s="95">
        <v>313</v>
      </c>
      <c r="D39" s="92">
        <v>2.2875817E-2</v>
      </c>
      <c r="E39" s="93">
        <v>50960218.694489308</v>
      </c>
      <c r="F39" s="35"/>
      <c r="G39" s="56" t="str">
        <f ca="1">IFERROR(OFFSET(INDIRECT($H$3 &amp; "!A98"), 8, 0), "")</f>
        <v>썬더토큰</v>
      </c>
      <c r="H39" s="39">
        <f t="shared" ca="1" si="7"/>
        <v>14.2</v>
      </c>
      <c r="I39" s="77">
        <f t="shared" ca="1" si="8"/>
        <v>7.0921986000000003E-3</v>
      </c>
      <c r="J39" s="86">
        <f t="shared" ca="1" si="13"/>
        <v>1098268509.1554999</v>
      </c>
      <c r="K39" s="56" t="str">
        <f ca="1">IFERROR(OFFSET(INDIRECT($H$3 &amp; "!A44"), 8, 0), "")</f>
        <v>비트토렌트</v>
      </c>
      <c r="L39" s="39">
        <f t="shared" ca="1" si="9"/>
        <v>5.47</v>
      </c>
      <c r="M39" s="77">
        <f t="shared" ca="1" si="10"/>
        <v>6.8359375E-2</v>
      </c>
      <c r="N39" s="86">
        <f t="shared" ca="1" si="14"/>
        <v>23978774541.200253</v>
      </c>
      <c r="O39" s="56" t="str">
        <f ca="1">IFERROR(OFFSET(INDIRECT($H$3 &amp; "!A71"), 8, 0), "")</f>
        <v>베이직어텐션토큰</v>
      </c>
      <c r="P39" s="39">
        <f t="shared" ca="1" si="11"/>
        <v>1000</v>
      </c>
      <c r="Q39" s="77">
        <f t="shared" ca="1" si="12"/>
        <v>1.0010010000000001E-3</v>
      </c>
      <c r="R39" s="86">
        <f t="shared" ca="1" si="15"/>
        <v>6161091.5478428202</v>
      </c>
    </row>
    <row r="40" spans="1:18" ht="17.25" thickBot="1">
      <c r="A40" s="40" t="s">
        <v>123</v>
      </c>
      <c r="B40" s="11" t="s">
        <v>124</v>
      </c>
      <c r="C40" s="95">
        <v>416</v>
      </c>
      <c r="D40" s="92">
        <v>2.2113022100000001E-2</v>
      </c>
      <c r="E40" s="93">
        <v>18844741.535473991</v>
      </c>
      <c r="F40" s="35"/>
      <c r="G40" s="57" t="str">
        <f ca="1">IFERROR(OFFSET(INDIRECT($H$3 &amp; "!A98"), 9, 0), "")</f>
        <v>휴먼스케이프</v>
      </c>
      <c r="H40" s="37">
        <f t="shared" ca="1" si="7"/>
        <v>147</v>
      </c>
      <c r="I40" s="79">
        <f t="shared" ca="1" si="8"/>
        <v>4.2553191499999997E-2</v>
      </c>
      <c r="J40" s="87">
        <f t="shared" ca="1" si="13"/>
        <v>121011440.91727178</v>
      </c>
      <c r="K40" s="57" t="str">
        <f ca="1">IFERROR(OFFSET(INDIRECT($H$3 &amp; "!A44"), 9, 0), "")</f>
        <v>캐리프로토콜</v>
      </c>
      <c r="L40" s="37">
        <f t="shared" ca="1" si="9"/>
        <v>14</v>
      </c>
      <c r="M40" s="79">
        <f t="shared" ca="1" si="10"/>
        <v>1.44927536E-2</v>
      </c>
      <c r="N40" s="87">
        <f t="shared" ca="1" si="14"/>
        <v>1553288405.7877338</v>
      </c>
      <c r="O40" s="57" t="str">
        <f ca="1">IFERROR(OFFSET(INDIRECT($H$3 &amp; "!A71"), 9, 0), "")</f>
        <v>디카르고</v>
      </c>
      <c r="P40" s="37">
        <f t="shared" ca="1" si="11"/>
        <v>201</v>
      </c>
      <c r="Q40" s="79">
        <f t="shared" ca="1" si="12"/>
        <v>1.00502513E-2</v>
      </c>
      <c r="R40" s="87">
        <f t="shared" ca="1" si="15"/>
        <v>60319721.038599528</v>
      </c>
    </row>
    <row r="41" spans="1:18">
      <c r="A41" s="40" t="s">
        <v>64</v>
      </c>
      <c r="B41" s="11" t="s">
        <v>65</v>
      </c>
      <c r="C41" s="95">
        <v>51.8</v>
      </c>
      <c r="D41" s="92">
        <v>2.1696252499999999E-2</v>
      </c>
      <c r="E41" s="93">
        <v>589539982.02246284</v>
      </c>
      <c r="F41" s="35"/>
      <c r="G41" s="59" t="str">
        <f ca="1">IFERROR(OFFSET(INDIRECT($H$3 &amp; "!A98"), 10, 0), "")</f>
        <v>스팀</v>
      </c>
      <c r="H41" s="38">
        <f t="shared" ca="1" si="7"/>
        <v>711</v>
      </c>
      <c r="I41" s="76">
        <f t="shared" ca="1" si="8"/>
        <v>0</v>
      </c>
      <c r="J41" s="85">
        <f t="shared" ca="1" si="13"/>
        <v>9829243.6801403705</v>
      </c>
      <c r="K41" s="55" t="str">
        <f ca="1">IFERROR(OFFSET(INDIRECT($H$3 &amp; "!A44"), 10, 0), "")</f>
        <v>리퍼리움</v>
      </c>
      <c r="L41" s="38">
        <f t="shared" ca="1" si="9"/>
        <v>17.2</v>
      </c>
      <c r="M41" s="76">
        <f t="shared" ca="1" si="10"/>
        <v>6.8322981399999996E-2</v>
      </c>
      <c r="N41" s="85">
        <f t="shared" ca="1" si="14"/>
        <v>7718200279.1075783</v>
      </c>
      <c r="O41" s="55" t="str">
        <f ca="1">IFERROR(OFFSET(INDIRECT($H$3 &amp; "!A71"), 10, 0), "")</f>
        <v>룸네트워크</v>
      </c>
      <c r="P41" s="38">
        <f t="shared" ca="1" si="11"/>
        <v>130</v>
      </c>
      <c r="Q41" s="76">
        <f t="shared" ca="1" si="12"/>
        <v>3.1746031700000003E-2</v>
      </c>
      <c r="R41" s="85">
        <f t="shared" ca="1" si="15"/>
        <v>145113811.65945646</v>
      </c>
    </row>
    <row r="42" spans="1:18">
      <c r="A42" s="40" t="s">
        <v>113</v>
      </c>
      <c r="B42" s="11" t="s">
        <v>114</v>
      </c>
      <c r="C42" s="95">
        <v>1190</v>
      </c>
      <c r="D42" s="92">
        <v>2.1459227500000001E-2</v>
      </c>
      <c r="E42" s="93">
        <v>124366188.54129019</v>
      </c>
      <c r="F42" s="35"/>
      <c r="G42" s="56" t="str">
        <f ca="1">IFERROR(OFFSET(INDIRECT($H$3 &amp; "!A98"), 11, 0), "")</f>
        <v>질리카</v>
      </c>
      <c r="H42" s="39">
        <f t="shared" ca="1" si="7"/>
        <v>133</v>
      </c>
      <c r="I42" s="77">
        <f t="shared" ca="1" si="8"/>
        <v>0</v>
      </c>
      <c r="J42" s="86">
        <f t="shared" ca="1" si="13"/>
        <v>61467156.06119021</v>
      </c>
      <c r="K42" s="56" t="str">
        <f ca="1">IFERROR(OFFSET(INDIRECT($H$3 &amp; "!A44"), 11, 0), "")</f>
        <v>쿼크체인</v>
      </c>
      <c r="L42" s="39">
        <f t="shared" ca="1" si="9"/>
        <v>27</v>
      </c>
      <c r="M42" s="77">
        <f t="shared" ca="1" si="10"/>
        <v>3.7174720999999999E-3</v>
      </c>
      <c r="N42" s="86">
        <f t="shared" ca="1" si="14"/>
        <v>592418676.07798231</v>
      </c>
      <c r="O42" s="56" t="str">
        <f ca="1">IFERROR(OFFSET(INDIRECT($H$3 &amp; "!A71"), 11, 0), "")</f>
        <v>골렘</v>
      </c>
      <c r="P42" s="39">
        <f t="shared" ca="1" si="11"/>
        <v>691</v>
      </c>
      <c r="Q42" s="77">
        <f t="shared" ca="1" si="12"/>
        <v>0.18321917809999999</v>
      </c>
      <c r="R42" s="86">
        <f t="shared" ca="1" si="15"/>
        <v>323119472.19939393</v>
      </c>
    </row>
    <row r="43" spans="1:18">
      <c r="A43" s="40" t="s">
        <v>117</v>
      </c>
      <c r="B43" s="11" t="s">
        <v>118</v>
      </c>
      <c r="C43" s="95">
        <v>191</v>
      </c>
      <c r="D43" s="92">
        <v>2.1390374300000001E-2</v>
      </c>
      <c r="E43" s="93">
        <v>98204250.084321335</v>
      </c>
      <c r="F43" s="35"/>
      <c r="G43" s="56" t="str">
        <f ca="1">IFERROR(OFFSET(INDIRECT($H$3 &amp; "!A98"), 12, 0), "")</f>
        <v>보라</v>
      </c>
      <c r="H43" s="39">
        <f t="shared" ca="1" si="7"/>
        <v>264</v>
      </c>
      <c r="I43" s="77">
        <f t="shared" ca="1" si="8"/>
        <v>-1.12359551E-2</v>
      </c>
      <c r="J43" s="86">
        <f t="shared" ca="1" si="13"/>
        <v>121606011.00530005</v>
      </c>
      <c r="K43" s="56" t="str">
        <f ca="1">IFERROR(OFFSET(INDIRECT($H$3 &amp; "!A44"), 12, 0), "")</f>
        <v>엠블</v>
      </c>
      <c r="L43" s="39">
        <f t="shared" ca="1" si="9"/>
        <v>20.2</v>
      </c>
      <c r="M43" s="77">
        <f t="shared" ca="1" si="10"/>
        <v>2.53807107E-2</v>
      </c>
      <c r="N43" s="86">
        <f t="shared" ca="1" si="14"/>
        <v>1766516455.5999393</v>
      </c>
      <c r="O43" s="56" t="str">
        <f ca="1">IFERROR(OFFSET(INDIRECT($H$3 &amp; "!A71"), 12, 0), "")</f>
        <v>스텔라루멘</v>
      </c>
      <c r="P43" s="39">
        <f t="shared" ca="1" si="11"/>
        <v>425</v>
      </c>
      <c r="Q43" s="77">
        <f t="shared" ca="1" si="12"/>
        <v>3.9119804399999999E-2</v>
      </c>
      <c r="R43" s="86">
        <f t="shared" ca="1" si="15"/>
        <v>66342689.440263227</v>
      </c>
    </row>
    <row r="44" spans="1:18">
      <c r="A44" s="40" t="s">
        <v>139</v>
      </c>
      <c r="B44" s="11" t="s">
        <v>140</v>
      </c>
      <c r="C44" s="95">
        <v>7980</v>
      </c>
      <c r="D44" s="92">
        <v>2.1113243800000001E-2</v>
      </c>
      <c r="E44" s="93">
        <v>2220440.74086953</v>
      </c>
      <c r="F44" s="35"/>
      <c r="G44" s="56" t="str">
        <f ca="1">IFERROR(OFFSET(INDIRECT($H$3 &amp; "!A98"), 13, 0), "")</f>
        <v>샌드박스</v>
      </c>
      <c r="H44" s="39">
        <f t="shared" ca="1" si="7"/>
        <v>1190</v>
      </c>
      <c r="I44" s="77">
        <f t="shared" ca="1" si="8"/>
        <v>2.1459227500000001E-2</v>
      </c>
      <c r="J44" s="86">
        <f t="shared" ca="1" si="13"/>
        <v>124366188.54129019</v>
      </c>
      <c r="K44" s="56" t="str">
        <f ca="1">IFERROR(OFFSET(INDIRECT($H$3 &amp; "!A44"), 13, 0), "")</f>
        <v>아이오에스티</v>
      </c>
      <c r="L44" s="39">
        <f t="shared" ca="1" si="9"/>
        <v>51.8</v>
      </c>
      <c r="M44" s="77">
        <f t="shared" ca="1" si="10"/>
        <v>2.1696252499999999E-2</v>
      </c>
      <c r="N44" s="86">
        <f t="shared" ca="1" si="14"/>
        <v>589539982.02246284</v>
      </c>
      <c r="O44" s="56" t="str">
        <f ca="1">IFERROR(OFFSET(INDIRECT($H$3 &amp; "!A71"), 13, 0), "")</f>
        <v>앵커</v>
      </c>
      <c r="P44" s="39">
        <f t="shared" ca="1" si="11"/>
        <v>125</v>
      </c>
      <c r="Q44" s="77">
        <f t="shared" ca="1" si="12"/>
        <v>2.45901639E-2</v>
      </c>
      <c r="R44" s="86">
        <f t="shared" ca="1" si="15"/>
        <v>100734412.72232825</v>
      </c>
    </row>
    <row r="45" spans="1:18">
      <c r="A45" s="40" t="s">
        <v>62</v>
      </c>
      <c r="B45" s="11" t="s">
        <v>63</v>
      </c>
      <c r="C45" s="95">
        <v>65080</v>
      </c>
      <c r="D45" s="92">
        <v>2.03825651E-2</v>
      </c>
      <c r="E45" s="93">
        <v>386307.36482587998</v>
      </c>
      <c r="F45" s="35"/>
      <c r="G45" s="58" t="str">
        <f ca="1">IFERROR(OFFSET(INDIRECT($H$3 &amp; "!A98"), 14, 0), "")</f>
        <v>카이버네트워크</v>
      </c>
      <c r="H45" s="44">
        <f t="shared" ca="1" si="7"/>
        <v>2355</v>
      </c>
      <c r="I45" s="78">
        <f t="shared" ca="1" si="8"/>
        <v>0</v>
      </c>
      <c r="J45" s="90">
        <f t="shared" ca="1" si="13"/>
        <v>3482689.5401986502</v>
      </c>
      <c r="K45" s="58" t="str">
        <f ca="1">IFERROR(OFFSET(INDIRECT($H$3 &amp; "!A44"), 14, 0), "")</f>
        <v>메디블록</v>
      </c>
      <c r="L45" s="44">
        <f t="shared" ca="1" si="9"/>
        <v>94.1</v>
      </c>
      <c r="M45" s="78">
        <f t="shared" ca="1" si="10"/>
        <v>2.1299255000000001E-3</v>
      </c>
      <c r="N45" s="90">
        <f t="shared" ca="1" si="14"/>
        <v>248641530.81538737</v>
      </c>
      <c r="O45" s="58" t="str">
        <f ca="1">IFERROR(OFFSET(INDIRECT($H$3 &amp; "!A71"), 14, 0), "")</f>
        <v>모스코인</v>
      </c>
      <c r="P45" s="44">
        <f t="shared" ca="1" si="11"/>
        <v>191</v>
      </c>
      <c r="Q45" s="78">
        <f t="shared" ca="1" si="12"/>
        <v>0</v>
      </c>
      <c r="R45" s="90">
        <f t="shared" ca="1" si="15"/>
        <v>125870602.59781307</v>
      </c>
    </row>
    <row r="46" spans="1:18">
      <c r="A46" s="40" t="s">
        <v>177</v>
      </c>
      <c r="B46" s="11" t="s">
        <v>178</v>
      </c>
      <c r="C46" s="95">
        <v>20.100000000000001</v>
      </c>
      <c r="D46" s="92">
        <v>2.0304568499999998E-2</v>
      </c>
      <c r="E46" s="93">
        <v>2531223181.2466331</v>
      </c>
      <c r="F46" s="35"/>
      <c r="G46" s="56" t="str">
        <f ca="1">IFERROR(OFFSET(INDIRECT($H$3 &amp; "!A98"), 15, 0), "")</f>
        <v>이더리움</v>
      </c>
      <c r="H46" s="39">
        <f t="shared" ca="1" si="7"/>
        <v>4364000</v>
      </c>
      <c r="I46" s="77">
        <f t="shared" ca="1" si="8"/>
        <v>-1.3116236999999999E-2</v>
      </c>
      <c r="J46" s="99">
        <f t="shared" ca="1" si="13"/>
        <v>53663.111250009999</v>
      </c>
      <c r="K46" s="56" t="str">
        <f ca="1">IFERROR(OFFSET(INDIRECT($H$3 &amp; "!A44"), 15, 0), "")</f>
        <v>썸씽</v>
      </c>
      <c r="L46" s="39">
        <f t="shared" ca="1" si="9"/>
        <v>88.2</v>
      </c>
      <c r="M46" s="77">
        <f t="shared" ca="1" si="10"/>
        <v>5.7012542999999999E-3</v>
      </c>
      <c r="N46" s="99">
        <f t="shared" ca="1" si="14"/>
        <v>156461362.65901279</v>
      </c>
      <c r="O46" s="56" t="str">
        <f ca="1">IFERROR(OFFSET(INDIRECT($H$3 &amp; "!A71"), 15, 0), "")</f>
        <v>오브스</v>
      </c>
      <c r="P46" s="39">
        <f t="shared" ca="1" si="11"/>
        <v>142</v>
      </c>
      <c r="Q46" s="77">
        <f t="shared" ca="1" si="12"/>
        <v>3.6496350400000002E-2</v>
      </c>
      <c r="R46" s="99">
        <f t="shared" ca="1" si="15"/>
        <v>266677613.2730419</v>
      </c>
    </row>
    <row r="47" spans="1:18">
      <c r="A47" s="40" t="s">
        <v>227</v>
      </c>
      <c r="B47" s="11" t="s">
        <v>228</v>
      </c>
      <c r="C47" s="95">
        <v>436</v>
      </c>
      <c r="D47" s="92">
        <v>1.8691588799999999E-2</v>
      </c>
      <c r="E47" s="93">
        <v>41541488.313015938</v>
      </c>
      <c r="F47" s="35"/>
      <c r="G47" s="56" t="str">
        <f ca="1">IFERROR(OFFSET(INDIRECT($H$3 &amp; "!A98"), 16, 0), "")</f>
        <v>시아코인</v>
      </c>
      <c r="H47" s="39">
        <f t="shared" ca="1" si="7"/>
        <v>24.4</v>
      </c>
      <c r="I47" s="77">
        <f t="shared" ca="1" si="8"/>
        <v>1.6666666699999999E-2</v>
      </c>
      <c r="J47" s="86">
        <f t="shared" ca="1" si="13"/>
        <v>629212630.96986985</v>
      </c>
      <c r="K47" s="56" t="str">
        <f ca="1">IFERROR(OFFSET(INDIRECT($H$3 &amp; "!A44"), 16, 0), "")</f>
        <v>에스티피</v>
      </c>
      <c r="L47" s="39">
        <f t="shared" ca="1" si="9"/>
        <v>76</v>
      </c>
      <c r="M47" s="77">
        <f t="shared" ca="1" si="10"/>
        <v>9.2961486999999995E-3</v>
      </c>
      <c r="N47" s="86">
        <f t="shared" ca="1" si="14"/>
        <v>90550735.323119387</v>
      </c>
      <c r="O47" s="56" t="str">
        <f ca="1">IFERROR(OFFSET(INDIRECT($H$3 &amp; "!A71"), 16, 0), "")</f>
        <v>헤데라해시그래프</v>
      </c>
      <c r="P47" s="39">
        <f t="shared" ca="1" si="11"/>
        <v>313</v>
      </c>
      <c r="Q47" s="77">
        <f t="shared" ca="1" si="12"/>
        <v>2.2875817E-2</v>
      </c>
      <c r="R47" s="86">
        <f t="shared" ca="1" si="15"/>
        <v>50960218.694489308</v>
      </c>
    </row>
    <row r="48" spans="1:18">
      <c r="A48" s="40" t="s">
        <v>107</v>
      </c>
      <c r="B48" s="11" t="s">
        <v>108</v>
      </c>
      <c r="C48" s="95">
        <v>1675</v>
      </c>
      <c r="D48" s="92">
        <v>1.82370821E-2</v>
      </c>
      <c r="E48" s="93">
        <v>3324837.2744870898</v>
      </c>
      <c r="F48" s="35"/>
      <c r="G48" s="56" t="str">
        <f ca="1">IFERROR(OFFSET(INDIRECT($H$3 &amp; "!A98"), 17, 0), "")</f>
        <v>아이콘</v>
      </c>
      <c r="H48" s="39">
        <f t="shared" ca="1" si="7"/>
        <v>1675</v>
      </c>
      <c r="I48" s="77">
        <f t="shared" ca="1" si="8"/>
        <v>1.82370821E-2</v>
      </c>
      <c r="J48" s="86">
        <f t="shared" ca="1" si="13"/>
        <v>3324837.2744870898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넴</v>
      </c>
      <c r="P48" s="39">
        <f t="shared" ca="1" si="11"/>
        <v>236</v>
      </c>
      <c r="Q48" s="77">
        <f t="shared" ca="1" si="12"/>
        <v>1.7241379300000002E-2</v>
      </c>
      <c r="R48" s="86">
        <f t="shared" ca="1" si="15"/>
        <v>65282808.045749336</v>
      </c>
    </row>
    <row r="49" spans="1:18">
      <c r="A49" s="40" t="s">
        <v>85</v>
      </c>
      <c r="B49" s="11" t="s">
        <v>86</v>
      </c>
      <c r="C49" s="95">
        <v>452</v>
      </c>
      <c r="D49" s="92">
        <v>1.8018018E-2</v>
      </c>
      <c r="E49" s="93">
        <v>27859761.443027779</v>
      </c>
      <c r="F49" s="35"/>
      <c r="G49" s="56" t="str">
        <f ca="1">IFERROR(OFFSET(INDIRECT($H$3 &amp; "!A98"), 18, 0), "")</f>
        <v>트론</v>
      </c>
      <c r="H49" s="39">
        <f t="shared" ca="1" si="7"/>
        <v>116</v>
      </c>
      <c r="I49" s="77">
        <f t="shared" ca="1" si="8"/>
        <v>6.42201835E-2</v>
      </c>
      <c r="J49" s="86">
        <f t="shared" ca="1" si="13"/>
        <v>572714866.66069722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크립토닷컴체인</v>
      </c>
      <c r="P49" s="39">
        <f t="shared" ca="1" si="11"/>
        <v>191</v>
      </c>
      <c r="Q49" s="77">
        <f t="shared" ca="1" si="12"/>
        <v>2.1390374300000001E-2</v>
      </c>
      <c r="R49" s="86">
        <f t="shared" ca="1" si="15"/>
        <v>98204250.084321335</v>
      </c>
    </row>
    <row r="50" spans="1:18" ht="17.25" thickBot="1">
      <c r="A50" s="40" t="s">
        <v>56</v>
      </c>
      <c r="B50" s="11" t="s">
        <v>57</v>
      </c>
      <c r="C50" s="95">
        <v>236</v>
      </c>
      <c r="D50" s="92">
        <v>1.7241379300000002E-2</v>
      </c>
      <c r="E50" s="93">
        <v>65282808.045749336</v>
      </c>
      <c r="F50" s="35"/>
      <c r="G50" s="57" t="str">
        <f ca="1">IFERROR(OFFSET(INDIRECT($H$3 &amp; "!A98"), 19, 0), "")</f>
        <v>메인프레임</v>
      </c>
      <c r="H50" s="37">
        <f t="shared" ca="1" si="7"/>
        <v>14.8</v>
      </c>
      <c r="I50" s="79">
        <f t="shared" ca="1" si="8"/>
        <v>6.8027210999999999E-3</v>
      </c>
      <c r="J50" s="87">
        <f t="shared" ca="1" si="13"/>
        <v>1022719104.6288877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아르고</v>
      </c>
      <c r="P50" s="37">
        <f t="shared" ca="1" si="11"/>
        <v>296</v>
      </c>
      <c r="Q50" s="79">
        <f t="shared" ca="1" si="12"/>
        <v>0</v>
      </c>
      <c r="R50" s="87">
        <f t="shared" ca="1" si="15"/>
        <v>123321141.88652433</v>
      </c>
    </row>
    <row r="51" spans="1:18">
      <c r="A51" s="40" t="s">
        <v>147</v>
      </c>
      <c r="B51" s="11" t="s">
        <v>148</v>
      </c>
      <c r="C51" s="95">
        <v>24.4</v>
      </c>
      <c r="D51" s="92">
        <v>1.6666666699999999E-2</v>
      </c>
      <c r="E51" s="93">
        <v>629212630.96986985</v>
      </c>
      <c r="F51" s="35"/>
    </row>
    <row r="52" spans="1:18" ht="17.25" thickBot="1">
      <c r="A52" s="40" t="s">
        <v>155</v>
      </c>
      <c r="B52" s="11" t="s">
        <v>156</v>
      </c>
      <c r="C52" s="95">
        <v>2450</v>
      </c>
      <c r="D52" s="92">
        <v>1.6597510400000001E-2</v>
      </c>
      <c r="E52" s="93">
        <v>4588047.6690414902</v>
      </c>
      <c r="F52" s="35"/>
    </row>
    <row r="53" spans="1:18" ht="17.25" thickBot="1">
      <c r="A53" s="40" t="s">
        <v>205</v>
      </c>
      <c r="B53" s="11" t="s">
        <v>206</v>
      </c>
      <c r="C53" s="95">
        <v>438</v>
      </c>
      <c r="D53" s="92">
        <v>1.6241299300000001E-2</v>
      </c>
      <c r="E53" s="93">
        <v>11035850.266489159</v>
      </c>
      <c r="F53" s="35"/>
      <c r="G53" s="187" t="s">
        <v>255</v>
      </c>
      <c r="H53" s="188"/>
      <c r="I53" s="188"/>
      <c r="J53" s="189"/>
      <c r="K53" s="187" t="s">
        <v>258</v>
      </c>
      <c r="L53" s="188"/>
      <c r="M53" s="188"/>
      <c r="N53" s="189"/>
      <c r="O53" s="187" t="s">
        <v>259</v>
      </c>
      <c r="P53" s="188"/>
      <c r="Q53" s="188"/>
      <c r="R53" s="189"/>
    </row>
    <row r="54" spans="1:18" ht="17.25" thickBot="1">
      <c r="A54" s="40" t="s">
        <v>231</v>
      </c>
      <c r="B54" s="11" t="s">
        <v>232</v>
      </c>
      <c r="C54" s="95">
        <v>667</v>
      </c>
      <c r="D54" s="92">
        <v>1.5220700199999999E-2</v>
      </c>
      <c r="E54" s="93">
        <v>14450182.638322379</v>
      </c>
      <c r="F54" s="35"/>
      <c r="G54" s="224" t="s">
        <v>55</v>
      </c>
      <c r="H54" s="240">
        <f ca="1">NOW()</f>
        <v>44441.887273495369</v>
      </c>
      <c r="I54" s="241"/>
      <c r="J54" s="242"/>
      <c r="K54" s="239" t="s">
        <v>55</v>
      </c>
      <c r="L54" s="240">
        <f ca="1">NOW()</f>
        <v>44441.887273495369</v>
      </c>
      <c r="M54" s="241"/>
      <c r="N54" s="242"/>
      <c r="O54" s="239" t="s">
        <v>55</v>
      </c>
      <c r="P54" s="240">
        <f ca="1">NOW()</f>
        <v>44441.887273495369</v>
      </c>
      <c r="Q54" s="241"/>
      <c r="R54" s="242"/>
    </row>
    <row r="55" spans="1:18" ht="17.25" thickBot="1">
      <c r="A55" s="40" t="s">
        <v>181</v>
      </c>
      <c r="B55" s="11" t="s">
        <v>182</v>
      </c>
      <c r="C55" s="95">
        <v>76140</v>
      </c>
      <c r="D55" s="92">
        <v>1.4523650900000001E-2</v>
      </c>
      <c r="E55" s="93">
        <v>667088.82060560002</v>
      </c>
      <c r="F55" s="35"/>
      <c r="G55" s="232"/>
      <c r="H55" s="36" t="s">
        <v>58</v>
      </c>
      <c r="I55" s="73" t="s">
        <v>59</v>
      </c>
      <c r="J55" s="69" t="s">
        <v>264</v>
      </c>
      <c r="K55" s="232"/>
      <c r="L55" s="36" t="s">
        <v>58</v>
      </c>
      <c r="M55" s="73" t="s">
        <v>59</v>
      </c>
      <c r="N55" s="69" t="s">
        <v>264</v>
      </c>
      <c r="O55" s="232"/>
      <c r="P55" s="36" t="s">
        <v>58</v>
      </c>
      <c r="Q55" s="73" t="s">
        <v>59</v>
      </c>
      <c r="R55" s="69" t="s">
        <v>264</v>
      </c>
    </row>
    <row r="56" spans="1:18">
      <c r="A56" s="40" t="s">
        <v>149</v>
      </c>
      <c r="B56" s="11" t="s">
        <v>150</v>
      </c>
      <c r="C56" s="95">
        <v>14</v>
      </c>
      <c r="D56" s="92">
        <v>1.44927536E-2</v>
      </c>
      <c r="E56" s="93">
        <v>1553288405.7877338</v>
      </c>
      <c r="F56" s="35"/>
      <c r="G56" s="55" t="str">
        <f ca="1">IFERROR(OFFSET(INDIRECT($H$3 &amp; "!A179"), 0, 0), "")</f>
        <v>쎄타퓨엘</v>
      </c>
      <c r="H56" s="38">
        <f t="shared" ref="H56:H65" ca="1" si="16">_xlfn.IFNA(VLOOKUP(G56, $B$2:$D$200, 2, FALSE), "")</f>
        <v>406</v>
      </c>
      <c r="I56" s="76">
        <f t="shared" ref="I56:I65" ca="1" si="17">_xlfn.IFNA(VLOOKUP(G56, $B$2:$D$200, 3, FALSE), "")</f>
        <v>2.5252525299999998E-2</v>
      </c>
      <c r="J56" s="85">
        <f ca="1">_xlfn.IFNA(VLOOKUP(G56, $B$2:$E$200, 4, FALSE), "")</f>
        <v>59032361.624874257</v>
      </c>
      <c r="K56" s="55" t="str">
        <f ca="1">IFERROR(OFFSET(INDIRECT($H$3 &amp; "!A125"), 0, 0), "")</f>
        <v>아하토큰</v>
      </c>
      <c r="L56" s="38">
        <f t="shared" ref="L56:L75" ca="1" si="18">_xlfn.IFNA(VLOOKUP(K56, $B$2:$D$200, 2, FALSE), "")</f>
        <v>17.399999999999999</v>
      </c>
      <c r="M56" s="76">
        <f t="shared" ref="M56:M75" ca="1" si="19">_xlfn.IFNA(VLOOKUP(K56, $B$2:$D$200, 3, FALSE), "")</f>
        <v>-5.4347826100000003E-2</v>
      </c>
      <c r="N56" s="85">
        <f ca="1">_xlfn.IFNA(VLOOKUP(K56, $B$2:$E$200, 4, FALSE), "")</f>
        <v>3844896194.7057343</v>
      </c>
      <c r="O56" s="55" t="str">
        <f ca="1">IFERROR(OFFSET(INDIRECT($H$3 &amp; "!A152"), 0, 0), "")</f>
        <v>앵커</v>
      </c>
      <c r="P56" s="38">
        <f t="shared" ref="P56:P75" ca="1" si="20">_xlfn.IFNA(VLOOKUP(O56, $B$2:$D$200, 2, FALSE), "")</f>
        <v>125</v>
      </c>
      <c r="Q56" s="76">
        <f t="shared" ref="Q56:Q75" ca="1" si="21">_xlfn.IFNA(VLOOKUP(O56, $B$2:$D$200, 3, FALSE), "")</f>
        <v>2.45901639E-2</v>
      </c>
      <c r="R56" s="85">
        <f ca="1">_xlfn.IFNA(VLOOKUP(O56, $B$2:$E$200, 4, FALSE), "")</f>
        <v>100734412.72232825</v>
      </c>
    </row>
    <row r="57" spans="1:18">
      <c r="A57" s="40" t="s">
        <v>225</v>
      </c>
      <c r="B57" s="11" t="s">
        <v>226</v>
      </c>
      <c r="C57" s="95">
        <v>2125</v>
      </c>
      <c r="D57" s="92">
        <v>1.4319809100000001E-2</v>
      </c>
      <c r="E57" s="93">
        <v>10021820.86278607</v>
      </c>
      <c r="F57" s="35"/>
      <c r="G57" s="56" t="str">
        <f ca="1">IFERROR(OFFSET(INDIRECT($H$3 &amp; "!A179"), 1, 0), "")</f>
        <v>코스모스</v>
      </c>
      <c r="H57" s="39">
        <f t="shared" ca="1" si="16"/>
        <v>28160</v>
      </c>
      <c r="I57" s="77">
        <f t="shared" ca="1" si="17"/>
        <v>-4.1198501899999997E-2</v>
      </c>
      <c r="J57" s="86">
        <f t="shared" ref="J57:J75" ca="1" si="22">_xlfn.IFNA(VLOOKUP(G57, $B$2:$E$200, 4, FALSE), "")</f>
        <v>661407.18458712997</v>
      </c>
      <c r="K57" s="56" t="str">
        <f ca="1">IFERROR(OFFSET(INDIRECT($H$3 &amp; "!A125"), 1, 0), "")</f>
        <v>에브리피디아</v>
      </c>
      <c r="L57" s="39">
        <f t="shared" ca="1" si="18"/>
        <v>20.100000000000001</v>
      </c>
      <c r="M57" s="77">
        <f t="shared" ca="1" si="19"/>
        <v>2.0304568499999998E-2</v>
      </c>
      <c r="N57" s="86">
        <f t="shared" ref="N57:N75" ca="1" si="23">_xlfn.IFNA(VLOOKUP(K57, $B$2:$E$200, 4, FALSE), "")</f>
        <v>2531223181.2466331</v>
      </c>
      <c r="O57" s="56" t="str">
        <f ca="1">IFERROR(OFFSET(INDIRECT($H$3 &amp; "!A152"), 1, 0), "")</f>
        <v>모스코인</v>
      </c>
      <c r="P57" s="39">
        <f t="shared" ca="1" si="20"/>
        <v>191</v>
      </c>
      <c r="Q57" s="77">
        <f t="shared" ca="1" si="21"/>
        <v>0</v>
      </c>
      <c r="R57" s="86">
        <f t="shared" ref="R57:R75" ca="1" si="24">_xlfn.IFNA(VLOOKUP(O57, $B$2:$E$200, 4, FALSE), "")</f>
        <v>125870602.59781307</v>
      </c>
    </row>
    <row r="58" spans="1:18">
      <c r="A58" s="40" t="s">
        <v>111</v>
      </c>
      <c r="B58" s="11" t="s">
        <v>112</v>
      </c>
      <c r="C58" s="95">
        <v>8320</v>
      </c>
      <c r="D58" s="92">
        <v>1.2165450100000001E-2</v>
      </c>
      <c r="E58" s="93">
        <v>1349221.5828515701</v>
      </c>
      <c r="F58" s="35"/>
      <c r="G58" s="56" t="str">
        <f ca="1">IFERROR(OFFSET(INDIRECT($H$3 &amp; "!A179"), 2, 0), "")</f>
        <v>스토리지</v>
      </c>
      <c r="H58" s="39">
        <f t="shared" ca="1" si="16"/>
        <v>1775</v>
      </c>
      <c r="I58" s="77">
        <f t="shared" ca="1" si="17"/>
        <v>5.6657223999999999E-3</v>
      </c>
      <c r="J58" s="86">
        <f t="shared" ca="1" si="22"/>
        <v>14048554.80075234</v>
      </c>
      <c r="K58" s="56" t="str">
        <f ca="1">IFERROR(OFFSET(INDIRECT($H$3 &amp; "!A125"), 2, 0), "")</f>
        <v>스톰엑스</v>
      </c>
      <c r="L58" s="39">
        <f t="shared" ca="1" si="18"/>
        <v>40.799999999999997</v>
      </c>
      <c r="M58" s="77">
        <f t="shared" ca="1" si="19"/>
        <v>-4.8780487999999997E-3</v>
      </c>
      <c r="N58" s="86">
        <f t="shared" ca="1" si="23"/>
        <v>242885381.11464632</v>
      </c>
      <c r="O58" s="56" t="str">
        <f ca="1">IFERROR(OFFSET(INDIRECT($H$3 &amp; "!A152"), 2, 0), "")</f>
        <v>오브스</v>
      </c>
      <c r="P58" s="39">
        <f t="shared" ca="1" si="20"/>
        <v>142</v>
      </c>
      <c r="Q58" s="77">
        <f t="shared" ca="1" si="21"/>
        <v>3.6496350400000002E-2</v>
      </c>
      <c r="R58" s="86">
        <f t="shared" ca="1" si="24"/>
        <v>266677613.2730419</v>
      </c>
    </row>
    <row r="59" spans="1:18">
      <c r="A59" s="40" t="s">
        <v>243</v>
      </c>
      <c r="B59" s="11" t="s">
        <v>244</v>
      </c>
      <c r="C59" s="95">
        <v>1665</v>
      </c>
      <c r="D59" s="92">
        <v>1.21580547E-2</v>
      </c>
      <c r="E59" s="93">
        <v>3125309.3703381601</v>
      </c>
      <c r="F59" s="35"/>
      <c r="G59" s="56" t="str">
        <f ca="1">IFERROR(OFFSET(INDIRECT($H$3 &amp; "!A179"), 3, 0), "")</f>
        <v>스트라티스</v>
      </c>
      <c r="H59" s="39">
        <f t="shared" ca="1" si="16"/>
        <v>2850</v>
      </c>
      <c r="I59" s="77">
        <f t="shared" ca="1" si="17"/>
        <v>3.2608695700000002E-2</v>
      </c>
      <c r="J59" s="86">
        <f t="shared" ca="1" si="22"/>
        <v>36879698.275690272</v>
      </c>
      <c r="K59" s="56" t="str">
        <f ca="1">IFERROR(OFFSET(INDIRECT($H$3 &amp; "!A125"), 3, 0), "")</f>
        <v>썬더토큰</v>
      </c>
      <c r="L59" s="39">
        <f t="shared" ca="1" si="18"/>
        <v>14.2</v>
      </c>
      <c r="M59" s="77">
        <f t="shared" ca="1" si="19"/>
        <v>7.0921986000000003E-3</v>
      </c>
      <c r="N59" s="86">
        <f t="shared" ca="1" si="23"/>
        <v>1098268509.1554999</v>
      </c>
      <c r="O59" s="56" t="str">
        <f ca="1">IFERROR(OFFSET(INDIRECT($H$3 &amp; "!A152"), 3, 0), "")</f>
        <v>헤데라해시그래프</v>
      </c>
      <c r="P59" s="39">
        <f t="shared" ca="1" si="20"/>
        <v>313</v>
      </c>
      <c r="Q59" s="77">
        <f t="shared" ca="1" si="21"/>
        <v>2.2875817E-2</v>
      </c>
      <c r="R59" s="86">
        <f t="shared" ca="1" si="24"/>
        <v>50960218.694489308</v>
      </c>
    </row>
    <row r="60" spans="1:18">
      <c r="A60" s="40" t="s">
        <v>91</v>
      </c>
      <c r="B60" s="11" t="s">
        <v>92</v>
      </c>
      <c r="C60" s="95">
        <v>91130</v>
      </c>
      <c r="D60" s="92">
        <v>1.18809682E-2</v>
      </c>
      <c r="E60" s="93">
        <v>731298.96187409002</v>
      </c>
      <c r="F60" s="35"/>
      <c r="G60" s="56" t="str">
        <f ca="1">IFERROR(OFFSET(INDIRECT($H$3 &amp; "!A179"), 4, 0), "")</f>
        <v>리스크</v>
      </c>
      <c r="H60" s="39">
        <f t="shared" ca="1" si="16"/>
        <v>5330</v>
      </c>
      <c r="I60" s="77">
        <f t="shared" ca="1" si="17"/>
        <v>9.389671E-4</v>
      </c>
      <c r="J60" s="90">
        <f t="shared" ca="1" si="22"/>
        <v>1651571.1252391101</v>
      </c>
      <c r="K60" s="58" t="str">
        <f ca="1">IFERROR(OFFSET(INDIRECT($H$3 &amp; "!A125"), 4, 0), "")</f>
        <v>시아코인</v>
      </c>
      <c r="L60" s="44">
        <f t="shared" ca="1" si="18"/>
        <v>24.4</v>
      </c>
      <c r="M60" s="78">
        <f t="shared" ca="1" si="19"/>
        <v>1.6666666699999999E-2</v>
      </c>
      <c r="N60" s="90">
        <f t="shared" ca="1" si="23"/>
        <v>629212630.96986985</v>
      </c>
      <c r="O60" s="58" t="str">
        <f ca="1">IFERROR(OFFSET(INDIRECT($H$3 &amp; "!A152"), 4, 0), "")</f>
        <v>넴</v>
      </c>
      <c r="P60" s="44">
        <f t="shared" ca="1" si="20"/>
        <v>236</v>
      </c>
      <c r="Q60" s="78">
        <f t="shared" ca="1" si="21"/>
        <v>1.7241379300000002E-2</v>
      </c>
      <c r="R60" s="90">
        <f t="shared" ca="1" si="24"/>
        <v>65282808.045749336</v>
      </c>
    </row>
    <row r="61" spans="1:18">
      <c r="A61" s="40" t="s">
        <v>101</v>
      </c>
      <c r="B61" s="11" t="s">
        <v>102</v>
      </c>
      <c r="C61" s="95">
        <v>1300</v>
      </c>
      <c r="D61" s="92">
        <v>1.16731518E-2</v>
      </c>
      <c r="E61" s="93">
        <v>4738457.6007000301</v>
      </c>
      <c r="F61" s="35"/>
      <c r="G61" s="60" t="str">
        <f ca="1">IFERROR(OFFSET(INDIRECT($H$3 &amp; "!A179"), 5, 0), "")</f>
        <v>스트라이크</v>
      </c>
      <c r="H61" s="45">
        <f t="shared" ca="1" si="16"/>
        <v>76140</v>
      </c>
      <c r="I61" s="80">
        <f t="shared" ca="1" si="17"/>
        <v>1.4523650900000001E-2</v>
      </c>
      <c r="J61" s="99">
        <f t="shared" ca="1" si="22"/>
        <v>667088.82060560002</v>
      </c>
      <c r="K61" s="56" t="str">
        <f ca="1">IFERROR(OFFSET(INDIRECT($H$3 &amp; "!A125"), 5, 0), "")</f>
        <v>메인프레임</v>
      </c>
      <c r="L61" s="39">
        <f t="shared" ca="1" si="18"/>
        <v>14.8</v>
      </c>
      <c r="M61" s="77">
        <f t="shared" ca="1" si="19"/>
        <v>6.8027210999999999E-3</v>
      </c>
      <c r="N61" s="99">
        <f t="shared" ca="1" si="23"/>
        <v>1022719104.6288877</v>
      </c>
      <c r="O61" s="56" t="str">
        <f ca="1">IFERROR(OFFSET(INDIRECT($H$3 &amp; "!A152"), 5, 0), "")</f>
        <v>크립토닷컴체인</v>
      </c>
      <c r="P61" s="39">
        <f t="shared" ca="1" si="20"/>
        <v>191</v>
      </c>
      <c r="Q61" s="77">
        <f t="shared" ca="1" si="21"/>
        <v>2.1390374300000001E-2</v>
      </c>
      <c r="R61" s="99">
        <f t="shared" ca="1" si="24"/>
        <v>98204250.084321335</v>
      </c>
    </row>
    <row r="62" spans="1:18">
      <c r="A62" s="40" t="s">
        <v>103</v>
      </c>
      <c r="B62" s="11" t="s">
        <v>104</v>
      </c>
      <c r="C62" s="95">
        <v>1310</v>
      </c>
      <c r="D62" s="92">
        <v>1.15830116E-2</v>
      </c>
      <c r="E62" s="93">
        <v>3952644.1263785199</v>
      </c>
      <c r="F62" s="35"/>
      <c r="G62" s="56" t="str">
        <f ca="1">IFERROR(OFFSET(INDIRECT($H$3 &amp; "!A179"), 6, 0), "")</f>
        <v>던프로토콜</v>
      </c>
      <c r="H62" s="39">
        <f t="shared" ca="1" si="16"/>
        <v>4850</v>
      </c>
      <c r="I62" s="77">
        <f t="shared" ca="1" si="17"/>
        <v>3.0818278399999999E-2</v>
      </c>
      <c r="J62" s="86">
        <f t="shared" ca="1" si="22"/>
        <v>17147876.81476064</v>
      </c>
      <c r="K62" s="56" t="str">
        <f ca="1">IFERROR(OFFSET(INDIRECT($H$3 &amp; "!A125"), 6, 0), "")</f>
        <v>무비블록</v>
      </c>
      <c r="L62" s="39">
        <f t="shared" ca="1" si="18"/>
        <v>12.3</v>
      </c>
      <c r="M62" s="77">
        <f t="shared" ca="1" si="19"/>
        <v>0</v>
      </c>
      <c r="N62" s="86">
        <f t="shared" ca="1" si="23"/>
        <v>1468412815.5291035</v>
      </c>
      <c r="O62" s="56" t="str">
        <f ca="1">IFERROR(OFFSET(INDIRECT($H$3 &amp; "!A152"), 6, 0), "")</f>
        <v>아르고</v>
      </c>
      <c r="P62" s="39">
        <f t="shared" ca="1" si="20"/>
        <v>296</v>
      </c>
      <c r="Q62" s="77">
        <f t="shared" ca="1" si="21"/>
        <v>0</v>
      </c>
      <c r="R62" s="86">
        <f t="shared" ca="1" si="24"/>
        <v>123321141.88652433</v>
      </c>
    </row>
    <row r="63" spans="1:18">
      <c r="A63" s="40" t="s">
        <v>83</v>
      </c>
      <c r="B63" s="11" t="s">
        <v>84</v>
      </c>
      <c r="C63" s="95">
        <v>6210</v>
      </c>
      <c r="D63" s="92">
        <v>1.1400651499999999E-2</v>
      </c>
      <c r="E63" s="93">
        <v>8784020.5622985493</v>
      </c>
      <c r="F63" s="35"/>
      <c r="G63" s="56" t="str">
        <f ca="1">IFERROR(OFFSET(INDIRECT($H$3 &amp; "!A179"), 7, 0), "")</f>
        <v>헌트</v>
      </c>
      <c r="H63" s="39">
        <f t="shared" ca="1" si="16"/>
        <v>436</v>
      </c>
      <c r="I63" s="77">
        <f t="shared" ca="1" si="17"/>
        <v>1.8691588799999999E-2</v>
      </c>
      <c r="J63" s="86">
        <f t="shared" ca="1" si="22"/>
        <v>41541488.313015938</v>
      </c>
      <c r="K63" s="56" t="str">
        <f ca="1">IFERROR(OFFSET(INDIRECT($H$3 &amp; "!A125"), 7, 0), "")</f>
        <v>저스트</v>
      </c>
      <c r="L63" s="39">
        <f t="shared" ca="1" si="18"/>
        <v>99.3</v>
      </c>
      <c r="M63" s="77">
        <f t="shared" ca="1" si="19"/>
        <v>9.12087912E-2</v>
      </c>
      <c r="N63" s="86">
        <f t="shared" ca="1" si="23"/>
        <v>755629630.51468587</v>
      </c>
      <c r="O63" s="56" t="str">
        <f ca="1">IFERROR(OFFSET(INDIRECT($H$3 &amp; "!A152"), 7, 0), "")</f>
        <v>폴리매쓰</v>
      </c>
      <c r="P63" s="39">
        <f t="shared" ca="1" si="20"/>
        <v>438</v>
      </c>
      <c r="Q63" s="77">
        <f t="shared" ca="1" si="21"/>
        <v>1.6241299300000001E-2</v>
      </c>
      <c r="R63" s="86">
        <f t="shared" ca="1" si="24"/>
        <v>11035850.266489159</v>
      </c>
    </row>
    <row r="64" spans="1:18">
      <c r="A64" s="40" t="s">
        <v>169</v>
      </c>
      <c r="B64" s="11" t="s">
        <v>170</v>
      </c>
      <c r="C64" s="95">
        <v>33760</v>
      </c>
      <c r="D64" s="92">
        <v>1.0475905400000001E-2</v>
      </c>
      <c r="E64" s="93">
        <v>424100.31340226001</v>
      </c>
      <c r="F64" s="35"/>
      <c r="G64" s="56" t="str">
        <f ca="1">IFERROR(OFFSET(INDIRECT($H$3 &amp; "!A179"), 8, 0), "")</f>
        <v>아더</v>
      </c>
      <c r="H64" s="39">
        <f t="shared" ca="1" si="16"/>
        <v>353</v>
      </c>
      <c r="I64" s="77">
        <f t="shared" ca="1" si="17"/>
        <v>8.5714286000000001E-3</v>
      </c>
      <c r="J64" s="86">
        <f t="shared" ca="1" si="22"/>
        <v>30307940.218702499</v>
      </c>
      <c r="K64" s="56" t="str">
        <f ca="1">IFERROR(OFFSET(INDIRECT($H$3 &amp; "!A125"), 8, 0), "")</f>
        <v>비트토렌트</v>
      </c>
      <c r="L64" s="39">
        <f t="shared" ca="1" si="18"/>
        <v>5.47</v>
      </c>
      <c r="M64" s="77">
        <f t="shared" ca="1" si="19"/>
        <v>6.8359375E-2</v>
      </c>
      <c r="N64" s="86">
        <f t="shared" ca="1" si="23"/>
        <v>23978774541.200253</v>
      </c>
      <c r="O64" s="56" t="str">
        <f ca="1">IFERROR(OFFSET(INDIRECT($H$3 &amp; "!A152"), 8, 0), "")</f>
        <v>스테이터스네트워크토큰</v>
      </c>
      <c r="P64" s="39">
        <f t="shared" ca="1" si="20"/>
        <v>120</v>
      </c>
      <c r="Q64" s="77">
        <f t="shared" ca="1" si="21"/>
        <v>3.4482758600000003E-2</v>
      </c>
      <c r="R64" s="86">
        <f t="shared" ca="1" si="24"/>
        <v>207079248.2034407</v>
      </c>
    </row>
    <row r="65" spans="1:18" ht="17.25" thickBot="1">
      <c r="A65" s="40" t="s">
        <v>109</v>
      </c>
      <c r="B65" s="11" t="s">
        <v>110</v>
      </c>
      <c r="C65" s="95">
        <v>201</v>
      </c>
      <c r="D65" s="92">
        <v>1.00502513E-2</v>
      </c>
      <c r="E65" s="93">
        <v>60319721.038599528</v>
      </c>
      <c r="F65" s="35"/>
      <c r="G65" s="57" t="str">
        <f ca="1">IFERROR(OFFSET(INDIRECT($H$3 &amp; "!A179"), 9, 0), "")</f>
        <v>펀디엑스</v>
      </c>
      <c r="H65" s="37">
        <f t="shared" ca="1" si="16"/>
        <v>2125</v>
      </c>
      <c r="I65" s="79">
        <f t="shared" ca="1" si="17"/>
        <v>1.4319809100000001E-2</v>
      </c>
      <c r="J65" s="87">
        <f t="shared" ca="1" si="22"/>
        <v>10021820.86278607</v>
      </c>
      <c r="K65" s="57" t="str">
        <f ca="1">IFERROR(OFFSET(INDIRECT($H$3 &amp; "!A125"), 9, 0), "")</f>
        <v>캐리프로토콜</v>
      </c>
      <c r="L65" s="37">
        <f t="shared" ca="1" si="18"/>
        <v>14</v>
      </c>
      <c r="M65" s="79">
        <f t="shared" ca="1" si="19"/>
        <v>1.44927536E-2</v>
      </c>
      <c r="N65" s="87">
        <f t="shared" ca="1" si="23"/>
        <v>1553288405.7877338</v>
      </c>
      <c r="O65" s="57" t="str">
        <f ca="1">IFERROR(OFFSET(INDIRECT($H$3 &amp; "!A152"), 9, 0), "")</f>
        <v>메타디움</v>
      </c>
      <c r="P65" s="37">
        <f t="shared" ca="1" si="20"/>
        <v>150</v>
      </c>
      <c r="Q65" s="79">
        <f t="shared" ca="1" si="21"/>
        <v>6.7114093999999999E-3</v>
      </c>
      <c r="R65" s="87">
        <f t="shared" ca="1" si="24"/>
        <v>108574069.81705424</v>
      </c>
    </row>
    <row r="66" spans="1:18">
      <c r="A66" s="40" t="s">
        <v>239</v>
      </c>
      <c r="B66" s="11" t="s">
        <v>240</v>
      </c>
      <c r="C66" s="95">
        <v>76</v>
      </c>
      <c r="D66" s="92">
        <v>9.2961486999999995E-3</v>
      </c>
      <c r="E66" s="93">
        <v>90550735.323119387</v>
      </c>
      <c r="F66" s="35"/>
      <c r="G66" s="56" t="str">
        <f ca="1">IFERROR(OFFSET(INDIRECT($H$3 &amp; "!A179"), 10, 0), "")</f>
        <v>아이오타</v>
      </c>
      <c r="H66" s="38">
        <f t="shared" ref="H66:H75" ca="1" si="25">_xlfn.IFNA(VLOOKUP(G66, $B$2:$D$200, 2, FALSE), "")</f>
        <v>1700</v>
      </c>
      <c r="I66" s="76">
        <f t="shared" ref="I66:I75" ca="1" si="26">_xlfn.IFNA(VLOOKUP(G66, $B$2:$D$200, 3, FALSE), "")</f>
        <v>-7.1038251400000002E-2</v>
      </c>
      <c r="J66" s="85">
        <f t="shared" ca="1" si="22"/>
        <v>52472194.06415759</v>
      </c>
      <c r="K66" s="55" t="str">
        <f ca="1">IFERROR(OFFSET(INDIRECT($H$3 &amp; "!A125"), 10, 0), "")</f>
        <v>리퍼리움</v>
      </c>
      <c r="L66" s="38">
        <f t="shared" ca="1" si="18"/>
        <v>17.2</v>
      </c>
      <c r="M66" s="76">
        <f t="shared" ca="1" si="19"/>
        <v>6.8322981399999996E-2</v>
      </c>
      <c r="N66" s="85">
        <f t="shared" ca="1" si="23"/>
        <v>7718200279.1075783</v>
      </c>
      <c r="O66" s="55" t="str">
        <f ca="1">IFERROR(OFFSET(INDIRECT($H$3 &amp; "!A152"), 10, 0), "")</f>
        <v>도지코인</v>
      </c>
      <c r="P66" s="38">
        <f t="shared" ca="1" si="20"/>
        <v>354</v>
      </c>
      <c r="Q66" s="76">
        <f t="shared" ca="1" si="21"/>
        <v>4.1176470600000001E-2</v>
      </c>
      <c r="R66" s="85">
        <f t="shared" ca="1" si="24"/>
        <v>967194680.78790045</v>
      </c>
    </row>
    <row r="67" spans="1:18">
      <c r="A67" s="40" t="s">
        <v>60</v>
      </c>
      <c r="B67" s="11" t="s">
        <v>61</v>
      </c>
      <c r="C67" s="95">
        <v>1145</v>
      </c>
      <c r="D67" s="92">
        <v>8.8105726999999998E-3</v>
      </c>
      <c r="E67" s="93">
        <v>13810725.508043099</v>
      </c>
      <c r="F67" s="35"/>
      <c r="G67" s="56" t="str">
        <f ca="1">IFERROR(OFFSET(INDIRECT($H$3 &amp; "!A179"), 11, 0), "")</f>
        <v>그로스톨코인</v>
      </c>
      <c r="H67" s="39">
        <f t="shared" ca="1" si="25"/>
        <v>1215</v>
      </c>
      <c r="I67" s="77">
        <f t="shared" ca="1" si="26"/>
        <v>-8.1632652999999999E-3</v>
      </c>
      <c r="J67" s="86">
        <f t="shared" ca="1" si="22"/>
        <v>7897554.4338343004</v>
      </c>
      <c r="K67" s="56" t="str">
        <f ca="1">IFERROR(OFFSET(INDIRECT($H$3 &amp; "!A125"), 11, 0), "")</f>
        <v>쿼크체인</v>
      </c>
      <c r="L67" s="39">
        <f t="shared" ca="1" si="18"/>
        <v>27</v>
      </c>
      <c r="M67" s="77">
        <f t="shared" ca="1" si="19"/>
        <v>3.7174720999999999E-3</v>
      </c>
      <c r="N67" s="86">
        <f t="shared" ca="1" si="23"/>
        <v>592418676.07798231</v>
      </c>
      <c r="O67" s="56" t="str">
        <f ca="1">IFERROR(OFFSET(INDIRECT($H$3 &amp; "!A152"), 11, 0), "")</f>
        <v>파워렛저</v>
      </c>
      <c r="P67" s="39">
        <f t="shared" ca="1" si="20"/>
        <v>404</v>
      </c>
      <c r="Q67" s="77">
        <f t="shared" ca="1" si="21"/>
        <v>2.79898219E-2</v>
      </c>
      <c r="R67" s="86">
        <f t="shared" ca="1" si="24"/>
        <v>55834355.970446698</v>
      </c>
    </row>
    <row r="68" spans="1:18">
      <c r="A68" s="40" t="s">
        <v>253</v>
      </c>
      <c r="B68" s="11" t="s">
        <v>254</v>
      </c>
      <c r="C68" s="95">
        <v>353</v>
      </c>
      <c r="D68" s="92">
        <v>8.5714286000000001E-3</v>
      </c>
      <c r="E68" s="93">
        <v>30307940.218702499</v>
      </c>
      <c r="F68" s="35"/>
      <c r="G68" s="56" t="str">
        <f ca="1">IFERROR(OFFSET(INDIRECT($H$3 &amp; "!A179"), 12, 0), "")</f>
        <v>비트코인골드</v>
      </c>
      <c r="H68" s="39">
        <f t="shared" ca="1" si="25"/>
        <v>91130</v>
      </c>
      <c r="I68" s="77">
        <f t="shared" ca="1" si="26"/>
        <v>1.18809682E-2</v>
      </c>
      <c r="J68" s="86">
        <f t="shared" ca="1" si="22"/>
        <v>731298.96187409002</v>
      </c>
      <c r="K68" s="56" t="str">
        <f ca="1">IFERROR(OFFSET(INDIRECT($H$3 &amp; "!A125"), 12, 0), "")</f>
        <v>엠블</v>
      </c>
      <c r="L68" s="39">
        <f t="shared" ca="1" si="18"/>
        <v>20.2</v>
      </c>
      <c r="M68" s="77">
        <f t="shared" ca="1" si="19"/>
        <v>2.53807107E-2</v>
      </c>
      <c r="N68" s="86">
        <f t="shared" ca="1" si="23"/>
        <v>1766516455.5999393</v>
      </c>
      <c r="O68" s="56" t="str">
        <f ca="1">IFERROR(OFFSET(INDIRECT($H$3 &amp; "!A152"), 12, 0), "")</f>
        <v>센티넬프로토콜</v>
      </c>
      <c r="P68" s="39">
        <f t="shared" ca="1" si="20"/>
        <v>236</v>
      </c>
      <c r="Q68" s="77">
        <f t="shared" ca="1" si="21"/>
        <v>2.6086956500000001E-2</v>
      </c>
      <c r="R68" s="86">
        <f t="shared" ca="1" si="24"/>
        <v>216749318.93151045</v>
      </c>
    </row>
    <row r="69" spans="1:18">
      <c r="A69" s="40" t="s">
        <v>141</v>
      </c>
      <c r="B69" s="11" t="s">
        <v>142</v>
      </c>
      <c r="C69" s="95">
        <v>12360</v>
      </c>
      <c r="D69" s="92">
        <v>7.3349632999999996E-3</v>
      </c>
      <c r="E69" s="93">
        <v>935902.12662064994</v>
      </c>
      <c r="F69" s="35"/>
      <c r="G69" s="56" t="str">
        <f ca="1">IFERROR(OFFSET(INDIRECT($H$3 &amp; "!A179"), 13, 0), "")</f>
        <v>온톨로지가스</v>
      </c>
      <c r="H69" s="39">
        <f t="shared" ca="1" si="25"/>
        <v>1330</v>
      </c>
      <c r="I69" s="77">
        <f t="shared" ca="1" si="26"/>
        <v>-3.7453183999999998E-3</v>
      </c>
      <c r="J69" s="86">
        <f t="shared" ca="1" si="22"/>
        <v>9312296.7511841003</v>
      </c>
      <c r="K69" s="56" t="str">
        <f ca="1">IFERROR(OFFSET(INDIRECT($H$3 &amp; "!A125"), 13, 0), "")</f>
        <v>아이오에스티</v>
      </c>
      <c r="L69" s="39">
        <f t="shared" ca="1" si="18"/>
        <v>51.8</v>
      </c>
      <c r="M69" s="77">
        <f t="shared" ca="1" si="19"/>
        <v>2.1696252499999999E-2</v>
      </c>
      <c r="N69" s="86">
        <f t="shared" ca="1" si="23"/>
        <v>589539982.02246284</v>
      </c>
      <c r="O69" s="56" t="str">
        <f ca="1">IFERROR(OFFSET(INDIRECT($H$3 &amp; "!A152"), 13, 0), "")</f>
        <v>시빅</v>
      </c>
      <c r="P69" s="39">
        <f t="shared" ca="1" si="20"/>
        <v>416</v>
      </c>
      <c r="Q69" s="77">
        <f t="shared" ca="1" si="21"/>
        <v>2.2113022100000001E-2</v>
      </c>
      <c r="R69" s="86">
        <f t="shared" ca="1" si="24"/>
        <v>18844741.535473991</v>
      </c>
    </row>
    <row r="70" spans="1:18">
      <c r="A70" s="40" t="s">
        <v>211</v>
      </c>
      <c r="B70" s="11" t="s">
        <v>212</v>
      </c>
      <c r="C70" s="95">
        <v>1410</v>
      </c>
      <c r="D70" s="92">
        <v>7.1428571000000003E-3</v>
      </c>
      <c r="E70" s="93">
        <v>18829902.106494639</v>
      </c>
      <c r="F70" s="35"/>
      <c r="G70" s="56" t="str">
        <f ca="1">IFERROR(OFFSET(INDIRECT($H$3 &amp; "!A179"), 14, 0), "")</f>
        <v>비트코인에스브이</v>
      </c>
      <c r="H70" s="39">
        <f t="shared" ca="1" si="25"/>
        <v>251650</v>
      </c>
      <c r="I70" s="77">
        <f t="shared" ca="1" si="26"/>
        <v>3.53836659E-2</v>
      </c>
      <c r="J70" s="90">
        <f t="shared" ca="1" si="22"/>
        <v>175315.77250183999</v>
      </c>
      <c r="K70" s="58" t="str">
        <f ca="1">IFERROR(OFFSET(INDIRECT($H$3 &amp; "!A125"), 14, 0), "")</f>
        <v>메디블록</v>
      </c>
      <c r="L70" s="44">
        <f t="shared" ca="1" si="18"/>
        <v>94.1</v>
      </c>
      <c r="M70" s="78">
        <f t="shared" ca="1" si="19"/>
        <v>2.1299255000000001E-3</v>
      </c>
      <c r="N70" s="90">
        <f t="shared" ca="1" si="23"/>
        <v>248641530.81538737</v>
      </c>
      <c r="O70" s="58" t="str">
        <f ca="1">IFERROR(OFFSET(INDIRECT($H$3 &amp; "!A152"), 14, 0), "")</f>
        <v>피르마체인</v>
      </c>
      <c r="P70" s="44">
        <f t="shared" ca="1" si="20"/>
        <v>172</v>
      </c>
      <c r="Q70" s="78">
        <f t="shared" ca="1" si="21"/>
        <v>4.2424242399999999E-2</v>
      </c>
      <c r="R70" s="90">
        <f t="shared" ca="1" si="24"/>
        <v>281873575.37866294</v>
      </c>
    </row>
    <row r="71" spans="1:18">
      <c r="A71" s="40" t="s">
        <v>187</v>
      </c>
      <c r="B71" s="11" t="s">
        <v>188</v>
      </c>
      <c r="C71" s="95">
        <v>14.2</v>
      </c>
      <c r="D71" s="92">
        <v>7.0921986000000003E-3</v>
      </c>
      <c r="E71" s="93">
        <v>1098268509.1554999</v>
      </c>
      <c r="F71" s="35"/>
      <c r="G71" s="60" t="str">
        <f ca="1">IFERROR(OFFSET(INDIRECT($H$3 &amp; "!A179"), 15, 0), "")</f>
        <v>비트코인캐시에이비씨</v>
      </c>
      <c r="H71" s="45">
        <f t="shared" ca="1" si="25"/>
        <v>225300</v>
      </c>
      <c r="I71" s="80">
        <f t="shared" ca="1" si="26"/>
        <v>6.4744801500000004E-2</v>
      </c>
      <c r="J71" s="99">
        <f t="shared" ca="1" si="22"/>
        <v>3327254.69007299</v>
      </c>
      <c r="K71" s="56" t="str">
        <f ca="1">IFERROR(OFFSET(INDIRECT($H$3 &amp; "!A125"), 15, 0), "")</f>
        <v>썸씽</v>
      </c>
      <c r="L71" s="39">
        <f t="shared" ca="1" si="18"/>
        <v>88.2</v>
      </c>
      <c r="M71" s="77">
        <f t="shared" ca="1" si="19"/>
        <v>5.7012542999999999E-3</v>
      </c>
      <c r="N71" s="99">
        <f t="shared" ca="1" si="23"/>
        <v>156461362.65901279</v>
      </c>
      <c r="O71" s="56" t="str">
        <f ca="1">IFERROR(OFFSET(INDIRECT($H$3 &amp; "!A152"), 15, 0), "")</f>
        <v>하이브</v>
      </c>
      <c r="P71" s="39">
        <f t="shared" ca="1" si="20"/>
        <v>667</v>
      </c>
      <c r="Q71" s="77">
        <f t="shared" ca="1" si="21"/>
        <v>1.5220700199999999E-2</v>
      </c>
      <c r="R71" s="99">
        <f t="shared" ca="1" si="24"/>
        <v>14450182.638322379</v>
      </c>
    </row>
    <row r="72" spans="1:18">
      <c r="A72" s="40" t="s">
        <v>207</v>
      </c>
      <c r="B72" s="11" t="s">
        <v>208</v>
      </c>
      <c r="C72" s="95">
        <v>14.8</v>
      </c>
      <c r="D72" s="92">
        <v>6.8027210999999999E-3</v>
      </c>
      <c r="E72" s="93">
        <v>1022719104.6288877</v>
      </c>
      <c r="F72" s="35"/>
      <c r="G72" s="56" t="str">
        <f ca="1">IFERROR(OFFSET(INDIRECT($H$3 &amp; "!A179"), 16, 0), "")</f>
        <v>플레이댑</v>
      </c>
      <c r="H72" s="39">
        <f t="shared" ca="1" si="25"/>
        <v>1420</v>
      </c>
      <c r="I72" s="77">
        <f t="shared" ca="1" si="26"/>
        <v>-4.05405405E-2</v>
      </c>
      <c r="J72" s="86">
        <f t="shared" ca="1" si="22"/>
        <v>32179828.416017059</v>
      </c>
      <c r="K72" s="56" t="str">
        <f ca="1">IFERROR(OFFSET(INDIRECT($H$3 &amp; "!A125"), 16, 0), "")</f>
        <v>에스티피</v>
      </c>
      <c r="L72" s="39">
        <f t="shared" ca="1" si="18"/>
        <v>76</v>
      </c>
      <c r="M72" s="77">
        <f t="shared" ca="1" si="19"/>
        <v>9.2961486999999995E-3</v>
      </c>
      <c r="N72" s="86">
        <f t="shared" ca="1" si="23"/>
        <v>90550735.323119387</v>
      </c>
      <c r="O72" s="56" t="str">
        <f ca="1">IFERROR(OFFSET(INDIRECT($H$3 &amp; "!A152"), 16, 0), "")</f>
        <v>왁스</v>
      </c>
      <c r="P72" s="39">
        <f t="shared" ca="1" si="20"/>
        <v>419</v>
      </c>
      <c r="Q72" s="77">
        <f t="shared" ca="1" si="21"/>
        <v>3.7128712899999999E-2</v>
      </c>
      <c r="R72" s="86">
        <f t="shared" ca="1" si="24"/>
        <v>212881926.09092498</v>
      </c>
    </row>
    <row r="73" spans="1:18">
      <c r="A73" s="40" t="s">
        <v>193</v>
      </c>
      <c r="B73" s="11" t="s">
        <v>194</v>
      </c>
      <c r="C73" s="95">
        <v>150</v>
      </c>
      <c r="D73" s="92">
        <v>6.7114093999999999E-3</v>
      </c>
      <c r="E73" s="93">
        <v>108574069.81705424</v>
      </c>
      <c r="F73" s="35"/>
      <c r="G73" s="56" t="str">
        <f ca="1">IFERROR(OFFSET(INDIRECT($H$3 &amp; "!A179"), 17, 0), "")</f>
        <v>엑시인피니티</v>
      </c>
      <c r="H73" s="39">
        <f t="shared" ca="1" si="25"/>
        <v>85810</v>
      </c>
      <c r="I73" s="77">
        <f t="shared" ca="1" si="26"/>
        <v>5.1540353999999997E-3</v>
      </c>
      <c r="J73" s="86">
        <f t="shared" ca="1" si="22"/>
        <v>866254.60229551001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쎄타퓨엘</v>
      </c>
      <c r="P73" s="39">
        <f t="shared" ca="1" si="20"/>
        <v>406</v>
      </c>
      <c r="Q73" s="77">
        <f t="shared" ca="1" si="21"/>
        <v>2.5252525299999998E-2</v>
      </c>
      <c r="R73" s="86">
        <f t="shared" ca="1" si="24"/>
        <v>59032361.624874257</v>
      </c>
    </row>
    <row r="74" spans="1:18">
      <c r="A74" s="40" t="s">
        <v>233</v>
      </c>
      <c r="B74" s="11" t="s">
        <v>234</v>
      </c>
      <c r="C74" s="95">
        <v>88.2</v>
      </c>
      <c r="D74" s="92">
        <v>5.7012542999999999E-3</v>
      </c>
      <c r="E74" s="93">
        <v>156461362.65901279</v>
      </c>
      <c r="F74" s="35"/>
      <c r="G74" s="56" t="str">
        <f ca="1">IFERROR(OFFSET(INDIRECT($H$3 &amp; "!A179"), 18, 0), "")</f>
        <v>폴카닷</v>
      </c>
      <c r="H74" s="39">
        <f t="shared" ca="1" si="25"/>
        <v>37680</v>
      </c>
      <c r="I74" s="77">
        <f t="shared" ca="1" si="26"/>
        <v>-1.6701461399999999E-2</v>
      </c>
      <c r="J74" s="86">
        <f t="shared" ca="1" si="22"/>
        <v>1241977.1851590101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헌트</v>
      </c>
      <c r="P74" s="39">
        <f t="shared" ca="1" si="20"/>
        <v>436</v>
      </c>
      <c r="Q74" s="77">
        <f t="shared" ca="1" si="21"/>
        <v>1.8691588799999999E-2</v>
      </c>
      <c r="R74" s="86">
        <f t="shared" ca="1" si="24"/>
        <v>41541488.313015938</v>
      </c>
    </row>
    <row r="75" spans="1:18" ht="17.25" thickBot="1">
      <c r="A75" s="40" t="s">
        <v>159</v>
      </c>
      <c r="B75" s="11" t="s">
        <v>160</v>
      </c>
      <c r="C75" s="95">
        <v>1775</v>
      </c>
      <c r="D75" s="92">
        <v>5.6657223999999999E-3</v>
      </c>
      <c r="E75" s="93">
        <v>14048554.80075234</v>
      </c>
      <c r="F75" s="35"/>
      <c r="G75" s="57" t="str">
        <f ca="1">IFERROR(OFFSET(INDIRECT($H$3 &amp; "!A179"), 19, 0), "")</f>
        <v>메탈</v>
      </c>
      <c r="H75" s="37">
        <f t="shared" ca="1" si="25"/>
        <v>4980</v>
      </c>
      <c r="I75" s="79">
        <f t="shared" ca="1" si="26"/>
        <v>-6.9158878500000007E-2</v>
      </c>
      <c r="J75" s="87">
        <f t="shared" ca="1" si="22"/>
        <v>31164099.227255762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아더</v>
      </c>
      <c r="P75" s="37">
        <f t="shared" ca="1" si="20"/>
        <v>353</v>
      </c>
      <c r="Q75" s="79">
        <f t="shared" ca="1" si="21"/>
        <v>8.5714286000000001E-3</v>
      </c>
      <c r="R75" s="87">
        <f t="shared" ca="1" si="24"/>
        <v>30307940.218702499</v>
      </c>
    </row>
    <row r="76" spans="1:18">
      <c r="A76" s="40" t="s">
        <v>115</v>
      </c>
      <c r="B76" s="11" t="s">
        <v>116</v>
      </c>
      <c r="C76" s="95">
        <v>9500</v>
      </c>
      <c r="D76" s="92">
        <v>5.2910053000000002E-3</v>
      </c>
      <c r="E76" s="93">
        <v>8493334.8048917409</v>
      </c>
      <c r="F76" s="35"/>
      <c r="G76" s="35"/>
      <c r="H76" s="35"/>
      <c r="I76" s="35"/>
    </row>
    <row r="77" spans="1:18">
      <c r="A77" s="40" t="s">
        <v>153</v>
      </c>
      <c r="B77" s="11" t="s">
        <v>154</v>
      </c>
      <c r="C77" s="95">
        <v>85810</v>
      </c>
      <c r="D77" s="92">
        <v>5.1540353999999997E-3</v>
      </c>
      <c r="E77" s="93">
        <v>866254.60229551001</v>
      </c>
      <c r="F77" s="35"/>
      <c r="G77" s="35"/>
      <c r="H77" s="35"/>
      <c r="I77" s="35"/>
    </row>
    <row r="78" spans="1:18">
      <c r="A78" s="40" t="s">
        <v>71</v>
      </c>
      <c r="B78" s="11" t="s">
        <v>72</v>
      </c>
      <c r="C78" s="95">
        <v>27</v>
      </c>
      <c r="D78" s="92">
        <v>3.7174720999999999E-3</v>
      </c>
      <c r="E78" s="93">
        <v>592418676.07798231</v>
      </c>
      <c r="F78" s="35"/>
      <c r="G78" s="35"/>
      <c r="H78" s="35"/>
      <c r="I78" s="35"/>
    </row>
    <row r="79" spans="1:18">
      <c r="A79" s="40" t="s">
        <v>245</v>
      </c>
      <c r="B79" s="11" t="s">
        <v>246</v>
      </c>
      <c r="C79" s="95">
        <v>9700</v>
      </c>
      <c r="D79" s="92">
        <v>3.621314E-3</v>
      </c>
      <c r="E79" s="93">
        <v>1896746.7728391199</v>
      </c>
      <c r="F79" s="35"/>
      <c r="G79" s="35"/>
      <c r="H79" s="35"/>
      <c r="I79" s="35"/>
    </row>
    <row r="80" spans="1:18">
      <c r="A80" s="40" t="s">
        <v>201</v>
      </c>
      <c r="B80" s="11" t="s">
        <v>202</v>
      </c>
      <c r="C80" s="95">
        <v>94.1</v>
      </c>
      <c r="D80" s="92">
        <v>2.1299255000000001E-3</v>
      </c>
      <c r="E80" s="93">
        <v>248641530.81538737</v>
      </c>
      <c r="F80" s="35"/>
      <c r="G80" s="35"/>
      <c r="H80" s="35"/>
      <c r="I80" s="35"/>
    </row>
    <row r="81" spans="1:9">
      <c r="A81" s="40" t="s">
        <v>79</v>
      </c>
      <c r="B81" s="11" t="s">
        <v>80</v>
      </c>
      <c r="C81" s="95">
        <v>1000</v>
      </c>
      <c r="D81" s="92">
        <v>1.0010010000000001E-3</v>
      </c>
      <c r="E81" s="93">
        <v>6161091.5478428202</v>
      </c>
      <c r="F81" s="35"/>
      <c r="G81" s="35"/>
      <c r="H81" s="35"/>
      <c r="I81" s="35"/>
    </row>
    <row r="82" spans="1:9">
      <c r="A82" s="40" t="s">
        <v>223</v>
      </c>
      <c r="B82" s="11" t="s">
        <v>224</v>
      </c>
      <c r="C82" s="95">
        <v>5330</v>
      </c>
      <c r="D82" s="92">
        <v>9.389671E-4</v>
      </c>
      <c r="E82" s="93">
        <v>1651571.1252391101</v>
      </c>
      <c r="F82" s="35"/>
      <c r="G82" s="35"/>
      <c r="H82" s="35"/>
      <c r="I82" s="35"/>
    </row>
    <row r="83" spans="1:9">
      <c r="A83" s="40" t="s">
        <v>235</v>
      </c>
      <c r="B83" s="11" t="s">
        <v>236</v>
      </c>
      <c r="C83" s="95">
        <v>711</v>
      </c>
      <c r="D83" s="92">
        <v>0</v>
      </c>
      <c r="E83" s="93">
        <v>9829243.6801403705</v>
      </c>
      <c r="F83" s="35"/>
      <c r="G83" s="35"/>
      <c r="H83" s="35"/>
      <c r="I83" s="35"/>
    </row>
    <row r="84" spans="1:9">
      <c r="A84" s="40" t="s">
        <v>131</v>
      </c>
      <c r="B84" s="11" t="s">
        <v>132</v>
      </c>
      <c r="C84" s="95">
        <v>133</v>
      </c>
      <c r="D84" s="92">
        <v>0</v>
      </c>
      <c r="E84" s="93">
        <v>61467156.06119021</v>
      </c>
      <c r="F84" s="35"/>
      <c r="G84" s="35"/>
      <c r="H84" s="35"/>
      <c r="I84" s="35"/>
    </row>
    <row r="85" spans="1:9">
      <c r="A85" s="40" t="s">
        <v>135</v>
      </c>
      <c r="B85" s="11" t="s">
        <v>136</v>
      </c>
      <c r="C85" s="95">
        <v>2355</v>
      </c>
      <c r="D85" s="92">
        <v>0</v>
      </c>
      <c r="E85" s="93">
        <v>3482689.5401986502</v>
      </c>
      <c r="F85" s="35"/>
      <c r="G85" s="35"/>
      <c r="H85" s="35"/>
      <c r="I85" s="35"/>
    </row>
    <row r="86" spans="1:9">
      <c r="A86" s="40" t="s">
        <v>221</v>
      </c>
      <c r="B86" s="11" t="s">
        <v>222</v>
      </c>
      <c r="C86" s="95">
        <v>191</v>
      </c>
      <c r="D86" s="92">
        <v>0</v>
      </c>
      <c r="E86" s="93">
        <v>125870602.59781307</v>
      </c>
      <c r="F86" s="35"/>
      <c r="G86" s="35"/>
      <c r="H86" s="35"/>
      <c r="I86" s="35"/>
    </row>
    <row r="87" spans="1:9">
      <c r="A87" s="40" t="s">
        <v>191</v>
      </c>
      <c r="B87" s="11" t="s">
        <v>192</v>
      </c>
      <c r="C87" s="95">
        <v>296</v>
      </c>
      <c r="D87" s="92">
        <v>0</v>
      </c>
      <c r="E87" s="93">
        <v>123321141.88652433</v>
      </c>
      <c r="F87" s="35"/>
      <c r="G87" s="35"/>
      <c r="H87" s="35"/>
      <c r="I87" s="35"/>
    </row>
    <row r="88" spans="1:9">
      <c r="A88" s="40" t="s">
        <v>215</v>
      </c>
      <c r="B88" s="11" t="s">
        <v>216</v>
      </c>
      <c r="C88" s="95">
        <v>12.3</v>
      </c>
      <c r="D88" s="92">
        <v>0</v>
      </c>
      <c r="E88" s="93">
        <v>1468412815.5291035</v>
      </c>
      <c r="F88" s="35"/>
      <c r="G88" s="35"/>
      <c r="H88" s="35"/>
      <c r="I88" s="35"/>
    </row>
    <row r="89" spans="1:9">
      <c r="A89" s="40" t="s">
        <v>75</v>
      </c>
      <c r="B89" s="11" t="s">
        <v>76</v>
      </c>
      <c r="C89" s="95">
        <v>34340</v>
      </c>
      <c r="D89" s="92">
        <v>-2.9112080000000002E-4</v>
      </c>
      <c r="E89" s="93">
        <v>669958.63345427997</v>
      </c>
      <c r="F89" s="35"/>
      <c r="G89" s="35"/>
      <c r="H89" s="35"/>
      <c r="I89" s="35"/>
    </row>
    <row r="90" spans="1:9">
      <c r="A90" s="40" t="s">
        <v>95</v>
      </c>
      <c r="B90" s="11" t="s">
        <v>96</v>
      </c>
      <c r="C90" s="95">
        <v>6250</v>
      </c>
      <c r="D90" s="92">
        <v>-2.3942538000000001E-3</v>
      </c>
      <c r="E90" s="93">
        <v>2075879.4044457499</v>
      </c>
      <c r="F90" s="35"/>
      <c r="G90" s="35"/>
      <c r="H90" s="35"/>
      <c r="I90" s="35"/>
    </row>
    <row r="91" spans="1:9">
      <c r="A91" s="40" t="s">
        <v>183</v>
      </c>
      <c r="B91" s="11" t="s">
        <v>184</v>
      </c>
      <c r="C91" s="95">
        <v>1330</v>
      </c>
      <c r="D91" s="92">
        <v>-3.7453183999999998E-3</v>
      </c>
      <c r="E91" s="93">
        <v>9312296.7511841003</v>
      </c>
      <c r="F91" s="35"/>
      <c r="G91" s="35"/>
      <c r="H91" s="35"/>
      <c r="I91" s="35"/>
    </row>
    <row r="92" spans="1:9">
      <c r="A92" s="40" t="s">
        <v>197</v>
      </c>
      <c r="B92" s="11" t="s">
        <v>198</v>
      </c>
      <c r="C92" s="95">
        <v>29540</v>
      </c>
      <c r="D92" s="92">
        <v>-4.0458530000000003E-3</v>
      </c>
      <c r="E92" s="93">
        <v>1855633.3954383601</v>
      </c>
      <c r="F92" s="35"/>
      <c r="G92" s="35"/>
      <c r="H92" s="35"/>
      <c r="I92" s="35"/>
    </row>
    <row r="93" spans="1:9">
      <c r="A93" s="40" t="s">
        <v>121</v>
      </c>
      <c r="B93" s="11" t="s">
        <v>122</v>
      </c>
      <c r="C93" s="95">
        <v>40.799999999999997</v>
      </c>
      <c r="D93" s="92">
        <v>-4.8780487999999997E-3</v>
      </c>
      <c r="E93" s="93">
        <v>242885381.11464632</v>
      </c>
      <c r="F93" s="35"/>
      <c r="G93" s="35"/>
      <c r="H93" s="35"/>
      <c r="I93" s="35"/>
    </row>
    <row r="94" spans="1:9">
      <c r="A94" s="40" t="s">
        <v>251</v>
      </c>
      <c r="B94" s="11" t="s">
        <v>252</v>
      </c>
      <c r="C94" s="95">
        <v>1215</v>
      </c>
      <c r="D94" s="92">
        <v>-8.1632652999999999E-3</v>
      </c>
      <c r="E94" s="93">
        <v>7897554.4338343004</v>
      </c>
      <c r="F94" s="35"/>
      <c r="G94" s="35"/>
      <c r="H94" s="35"/>
      <c r="I94" s="35"/>
    </row>
    <row r="95" spans="1:9">
      <c r="A95" s="40" t="s">
        <v>99</v>
      </c>
      <c r="B95" s="11" t="s">
        <v>100</v>
      </c>
      <c r="C95" s="95">
        <v>79350</v>
      </c>
      <c r="D95" s="92">
        <v>-8.4968136999999996E-3</v>
      </c>
      <c r="E95" s="93">
        <v>2932516.9005124602</v>
      </c>
      <c r="F95" s="35"/>
      <c r="G95" s="35"/>
      <c r="H95" s="35"/>
      <c r="I95" s="35"/>
    </row>
    <row r="96" spans="1:9">
      <c r="A96" s="40" t="s">
        <v>165</v>
      </c>
      <c r="B96" s="11" t="s">
        <v>166</v>
      </c>
      <c r="C96" s="95">
        <v>264</v>
      </c>
      <c r="D96" s="92">
        <v>-1.12359551E-2</v>
      </c>
      <c r="E96" s="93">
        <v>121606011.00530005</v>
      </c>
      <c r="F96" s="35"/>
      <c r="G96" s="35"/>
      <c r="H96" s="35"/>
      <c r="I96" s="35"/>
    </row>
    <row r="97" spans="1:9">
      <c r="A97" s="40" t="s">
        <v>93</v>
      </c>
      <c r="B97" s="11" t="s">
        <v>94</v>
      </c>
      <c r="C97" s="95">
        <v>4364000</v>
      </c>
      <c r="D97" s="92">
        <v>-1.3116236999999999E-2</v>
      </c>
      <c r="E97" s="93">
        <v>53663.111250009999</v>
      </c>
      <c r="F97" s="35"/>
      <c r="G97" s="35"/>
      <c r="H97" s="35"/>
      <c r="I97" s="35"/>
    </row>
    <row r="98" spans="1:9">
      <c r="A98" s="40" t="s">
        <v>133</v>
      </c>
      <c r="B98" s="11" t="s">
        <v>134</v>
      </c>
      <c r="C98" s="95">
        <v>37680</v>
      </c>
      <c r="D98" s="92">
        <v>-1.6701461399999999E-2</v>
      </c>
      <c r="E98" s="93">
        <v>1241977.1851590101</v>
      </c>
      <c r="F98" s="35"/>
      <c r="G98" s="35"/>
      <c r="H98" s="35"/>
      <c r="I98" s="35"/>
    </row>
    <row r="99" spans="1:9">
      <c r="A99" s="40" t="s">
        <v>213</v>
      </c>
      <c r="B99" s="11" t="s">
        <v>214</v>
      </c>
      <c r="C99" s="95">
        <v>1420</v>
      </c>
      <c r="D99" s="92">
        <v>-4.05405405E-2</v>
      </c>
      <c r="E99" s="93">
        <v>32179828.416017059</v>
      </c>
      <c r="F99" s="35"/>
      <c r="G99" s="35"/>
      <c r="H99" s="35"/>
      <c r="I99" s="35"/>
    </row>
    <row r="100" spans="1:9">
      <c r="A100" s="40" t="s">
        <v>73</v>
      </c>
      <c r="B100" s="11" t="s">
        <v>74</v>
      </c>
      <c r="C100" s="95">
        <v>28160</v>
      </c>
      <c r="D100" s="92">
        <v>-4.1198501899999997E-2</v>
      </c>
      <c r="E100" s="93">
        <v>661407.18458712997</v>
      </c>
      <c r="F100" s="35"/>
      <c r="G100" s="35"/>
      <c r="H100" s="35"/>
      <c r="I100" s="35"/>
    </row>
    <row r="101" spans="1:9">
      <c r="A101" s="40" t="s">
        <v>209</v>
      </c>
      <c r="B101" s="11" t="s">
        <v>210</v>
      </c>
      <c r="C101" s="95">
        <v>17.399999999999999</v>
      </c>
      <c r="D101" s="92">
        <v>-5.4347826100000003E-2</v>
      </c>
      <c r="E101" s="93">
        <v>3844896194.7057343</v>
      </c>
      <c r="F101" s="35"/>
      <c r="G101" s="35"/>
      <c r="H101" s="35"/>
      <c r="I101" s="35"/>
    </row>
    <row r="102" spans="1:9">
      <c r="A102" s="40" t="s">
        <v>171</v>
      </c>
      <c r="B102" s="11" t="s">
        <v>172</v>
      </c>
      <c r="C102" s="95">
        <v>4980</v>
      </c>
      <c r="D102" s="92">
        <v>-6.9158878500000007E-2</v>
      </c>
      <c r="E102" s="93">
        <v>31164099.227255762</v>
      </c>
      <c r="F102" s="35"/>
      <c r="G102" s="35"/>
      <c r="H102" s="35"/>
      <c r="I102" s="35"/>
    </row>
    <row r="103" spans="1:9">
      <c r="A103" s="40" t="s">
        <v>175</v>
      </c>
      <c r="B103" s="11" t="s">
        <v>176</v>
      </c>
      <c r="C103" s="95">
        <v>1700</v>
      </c>
      <c r="D103" s="92">
        <v>-7.1038251400000002E-2</v>
      </c>
      <c r="E103" s="93">
        <v>52472194.06415759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241</v>
      </c>
      <c r="B2" s="11" t="s">
        <v>242</v>
      </c>
      <c r="C2" s="95">
        <v>691</v>
      </c>
      <c r="D2" s="92">
        <v>0.18321917809999999</v>
      </c>
      <c r="E2" s="93">
        <v>323119472.19939393</v>
      </c>
      <c r="F2" s="35"/>
      <c r="G2" s="54"/>
      <c r="H2" s="35"/>
      <c r="I2" s="35"/>
    </row>
    <row r="3" spans="1:18" ht="17.25" thickBot="1">
      <c r="A3" s="40" t="s">
        <v>249</v>
      </c>
      <c r="B3" s="11" t="s">
        <v>250</v>
      </c>
      <c r="C3" s="95">
        <v>99.3</v>
      </c>
      <c r="D3" s="92">
        <v>9.12087912E-2</v>
      </c>
      <c r="E3" s="93">
        <v>755629630.51468587</v>
      </c>
      <c r="F3" s="35"/>
      <c r="G3" s="231" t="s">
        <v>260</v>
      </c>
      <c r="H3" s="243" t="s">
        <v>330</v>
      </c>
      <c r="I3" s="243"/>
      <c r="K3" s="187" t="s">
        <v>34</v>
      </c>
      <c r="L3" s="188"/>
      <c r="M3" s="188"/>
      <c r="N3" s="189"/>
      <c r="O3" s="187" t="s">
        <v>261</v>
      </c>
      <c r="P3" s="188"/>
      <c r="Q3" s="188"/>
      <c r="R3" s="189"/>
    </row>
    <row r="4" spans="1:18" ht="17.25" thickBot="1">
      <c r="A4" s="40" t="s">
        <v>163</v>
      </c>
      <c r="B4" s="11" t="s">
        <v>164</v>
      </c>
      <c r="C4" s="95">
        <v>608</v>
      </c>
      <c r="D4" s="92">
        <v>7.8014184400000006E-2</v>
      </c>
      <c r="E4" s="93">
        <v>218967355.92908072</v>
      </c>
      <c r="F4" s="35"/>
      <c r="G4" s="232"/>
      <c r="H4" s="244"/>
      <c r="I4" s="244"/>
      <c r="K4" s="224" t="s">
        <v>55</v>
      </c>
      <c r="L4" s="240">
        <f ca="1">NOW()</f>
        <v>44441.887273495369</v>
      </c>
      <c r="M4" s="241"/>
      <c r="N4" s="242"/>
      <c r="O4" s="239" t="s">
        <v>55</v>
      </c>
      <c r="P4" s="240">
        <f ca="1">NOW()</f>
        <v>44441.887273495369</v>
      </c>
      <c r="Q4" s="241"/>
      <c r="R4" s="242"/>
    </row>
    <row r="5" spans="1:18" ht="17.25" thickBot="1">
      <c r="A5" s="40" t="s">
        <v>97</v>
      </c>
      <c r="B5" s="11" t="s">
        <v>98</v>
      </c>
      <c r="C5" s="95">
        <v>5.47</v>
      </c>
      <c r="D5" s="92">
        <v>6.8359375E-2</v>
      </c>
      <c r="E5" s="93">
        <v>23978774541.200253</v>
      </c>
      <c r="F5" s="35"/>
      <c r="K5" s="232"/>
      <c r="L5" s="51" t="s">
        <v>58</v>
      </c>
      <c r="M5" s="73" t="s">
        <v>59</v>
      </c>
      <c r="N5" s="69" t="s">
        <v>264</v>
      </c>
      <c r="O5" s="210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203</v>
      </c>
      <c r="B6" s="11" t="s">
        <v>204</v>
      </c>
      <c r="C6" s="95">
        <v>17.2</v>
      </c>
      <c r="D6" s="92">
        <v>6.8322981399999996E-2</v>
      </c>
      <c r="E6" s="93">
        <v>7718200279.1075783</v>
      </c>
      <c r="F6" s="35"/>
      <c r="G6" s="187" t="s">
        <v>52</v>
      </c>
      <c r="H6" s="188"/>
      <c r="I6" s="18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242</v>
      </c>
      <c r="P6" s="38">
        <f t="shared" ref="P6:P25" si="2">_xlfn.IFNA(VLOOKUP(O6, $B$2:$D$200, 2, FALSE), "")</f>
        <v>691</v>
      </c>
      <c r="Q6" s="76">
        <f t="shared" ref="Q6:Q25" si="3">_xlfn.IFNA(VLOOKUP(O6, $B$2:$D$200, 3, FALSE), "")</f>
        <v>0.18321917809999999</v>
      </c>
      <c r="R6" s="85">
        <f>_xlfn.IFNA(VLOOKUP(O6, $B$2:$E$200, 4, FALSE), "")</f>
        <v>323119472.19939393</v>
      </c>
    </row>
    <row r="7" spans="1:18">
      <c r="A7" s="40" t="s">
        <v>81</v>
      </c>
      <c r="B7" s="11" t="s">
        <v>82</v>
      </c>
      <c r="C7" s="95">
        <v>3535</v>
      </c>
      <c r="D7" s="92">
        <v>6.6365007500000003E-2</v>
      </c>
      <c r="E7" s="93">
        <v>120295013.12270372</v>
      </c>
      <c r="F7" s="35"/>
      <c r="G7" s="215" t="s">
        <v>36</v>
      </c>
      <c r="H7" s="216"/>
      <c r="I7" s="21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250</v>
      </c>
      <c r="P7" s="39">
        <f t="shared" si="2"/>
        <v>99.3</v>
      </c>
      <c r="Q7" s="77">
        <f t="shared" si="3"/>
        <v>9.12087912E-2</v>
      </c>
      <c r="R7" s="86">
        <f t="shared" ref="R7:R25" si="5">_xlfn.IFNA(VLOOKUP(O7, $B$2:$E$200, 4, FALSE), "")</f>
        <v>755629630.51468587</v>
      </c>
    </row>
    <row r="8" spans="1:18" ht="17.25" thickBot="1">
      <c r="A8" s="40" t="s">
        <v>105</v>
      </c>
      <c r="B8" s="11" t="s">
        <v>106</v>
      </c>
      <c r="C8" s="95">
        <v>225300</v>
      </c>
      <c r="D8" s="92">
        <v>6.4744801500000004E-2</v>
      </c>
      <c r="E8" s="93">
        <v>3327254.69007299</v>
      </c>
      <c r="F8" s="35"/>
      <c r="G8" s="208"/>
      <c r="H8" s="209"/>
      <c r="I8" s="21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164</v>
      </c>
      <c r="P8" s="39">
        <f t="shared" si="2"/>
        <v>608</v>
      </c>
      <c r="Q8" s="77">
        <f t="shared" si="3"/>
        <v>7.8014184400000006E-2</v>
      </c>
      <c r="R8" s="86">
        <f t="shared" si="5"/>
        <v>218967355.92908072</v>
      </c>
    </row>
    <row r="9" spans="1:18" ht="17.25" thickBot="1">
      <c r="A9" s="40" t="s">
        <v>151</v>
      </c>
      <c r="B9" s="11" t="s">
        <v>152</v>
      </c>
      <c r="C9" s="95">
        <v>116</v>
      </c>
      <c r="D9" s="92">
        <v>6.42201835E-2</v>
      </c>
      <c r="E9" s="93">
        <v>572714866.66069722</v>
      </c>
      <c r="F9" s="35"/>
      <c r="G9" s="50" t="s">
        <v>38</v>
      </c>
      <c r="H9" s="188" t="s">
        <v>37</v>
      </c>
      <c r="I9" s="18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98</v>
      </c>
      <c r="P9" s="39">
        <f t="shared" si="2"/>
        <v>5.47</v>
      </c>
      <c r="Q9" s="77">
        <f t="shared" si="3"/>
        <v>6.8359375E-2</v>
      </c>
      <c r="R9" s="86">
        <f t="shared" si="5"/>
        <v>23978774541.200253</v>
      </c>
    </row>
    <row r="10" spans="1:18">
      <c r="A10" s="40" t="s">
        <v>127</v>
      </c>
      <c r="B10" s="11" t="s">
        <v>128</v>
      </c>
      <c r="C10" s="95">
        <v>167</v>
      </c>
      <c r="D10" s="92">
        <v>5.6962025300000003E-2</v>
      </c>
      <c r="E10" s="93">
        <v>365911745.18195951</v>
      </c>
      <c r="F10" s="35"/>
      <c r="G10" s="233">
        <f>_xlfn.IFNA(VLOOKUP(G7, $B$2:$D$200, 3, FALSE), "-")</f>
        <v>2.6835532700000001E-2</v>
      </c>
      <c r="H10" s="235">
        <f>_xlfn.IFNA(VLOOKUP(G7, $B$2:$D$200, 2, FALSE), "-")</f>
        <v>57970000</v>
      </c>
      <c r="I10" s="23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204</v>
      </c>
      <c r="P10" s="39">
        <f t="shared" si="2"/>
        <v>17.2</v>
      </c>
      <c r="Q10" s="77">
        <f t="shared" si="3"/>
        <v>6.8322981399999996E-2</v>
      </c>
      <c r="R10" s="90">
        <f t="shared" si="5"/>
        <v>7718200279.1075783</v>
      </c>
    </row>
    <row r="11" spans="1:18" ht="17.25" thickBot="1">
      <c r="A11" s="40" t="s">
        <v>119</v>
      </c>
      <c r="B11" s="11" t="s">
        <v>120</v>
      </c>
      <c r="C11" s="95">
        <v>5405</v>
      </c>
      <c r="D11" s="92">
        <v>4.8496605200000001E-2</v>
      </c>
      <c r="E11" s="93">
        <v>10998479.77376868</v>
      </c>
      <c r="F11" s="35"/>
      <c r="G11" s="234"/>
      <c r="H11" s="237"/>
      <c r="I11" s="23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82</v>
      </c>
      <c r="P11" s="45">
        <f t="shared" si="2"/>
        <v>3535</v>
      </c>
      <c r="Q11" s="80">
        <f t="shared" si="3"/>
        <v>6.6365007500000003E-2</v>
      </c>
      <c r="R11" s="99">
        <f t="shared" si="5"/>
        <v>120295013.12270372</v>
      </c>
    </row>
    <row r="12" spans="1:18" ht="17.25" thickBot="1">
      <c r="A12" s="40" t="s">
        <v>66</v>
      </c>
      <c r="B12" s="11" t="s">
        <v>67</v>
      </c>
      <c r="C12" s="95">
        <v>5450</v>
      </c>
      <c r="D12" s="92">
        <v>4.7070124900000003E-2</v>
      </c>
      <c r="E12" s="93">
        <v>17008048.405689631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106</v>
      </c>
      <c r="P12" s="39">
        <f t="shared" si="2"/>
        <v>225300</v>
      </c>
      <c r="Q12" s="77">
        <f t="shared" si="3"/>
        <v>6.4744801500000004E-2</v>
      </c>
      <c r="R12" s="86">
        <f t="shared" si="5"/>
        <v>3327254.69007299</v>
      </c>
    </row>
    <row r="13" spans="1:18" ht="17.25" thickBot="1">
      <c r="A13" s="40" t="s">
        <v>217</v>
      </c>
      <c r="B13" s="11" t="s">
        <v>218</v>
      </c>
      <c r="C13" s="95">
        <v>147</v>
      </c>
      <c r="D13" s="92">
        <v>4.2553191499999997E-2</v>
      </c>
      <c r="E13" s="93">
        <v>121011440.91727178</v>
      </c>
      <c r="F13" s="35"/>
      <c r="G13" s="187" t="s">
        <v>70</v>
      </c>
      <c r="H13" s="188"/>
      <c r="I13" s="18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152</v>
      </c>
      <c r="P13" s="39">
        <f t="shared" si="2"/>
        <v>116</v>
      </c>
      <c r="Q13" s="77">
        <f t="shared" si="3"/>
        <v>6.42201835E-2</v>
      </c>
      <c r="R13" s="86">
        <f t="shared" si="5"/>
        <v>572714866.66069722</v>
      </c>
    </row>
    <row r="14" spans="1:18">
      <c r="A14" s="40" t="s">
        <v>199</v>
      </c>
      <c r="B14" s="11" t="s">
        <v>200</v>
      </c>
      <c r="C14" s="95">
        <v>172</v>
      </c>
      <c r="D14" s="92">
        <v>4.2424242399999999E-2</v>
      </c>
      <c r="E14" s="93">
        <v>281873575.37866294</v>
      </c>
      <c r="F14" s="35"/>
      <c r="G14" s="215" t="s">
        <v>36</v>
      </c>
      <c r="H14" s="216"/>
      <c r="I14" s="21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128</v>
      </c>
      <c r="P14" s="39">
        <f t="shared" si="2"/>
        <v>167</v>
      </c>
      <c r="Q14" s="77">
        <f t="shared" si="3"/>
        <v>5.6962025300000003E-2</v>
      </c>
      <c r="R14" s="86">
        <f t="shared" si="5"/>
        <v>365911745.18195951</v>
      </c>
    </row>
    <row r="15" spans="1:18" ht="17.25" thickBot="1">
      <c r="A15" s="40" t="s">
        <v>89</v>
      </c>
      <c r="B15" s="11" t="s">
        <v>90</v>
      </c>
      <c r="C15" s="95">
        <v>1495</v>
      </c>
      <c r="D15" s="92">
        <v>4.1811846700000002E-2</v>
      </c>
      <c r="E15" s="93">
        <v>258487812.00942138</v>
      </c>
      <c r="F15" s="35"/>
      <c r="G15" s="208"/>
      <c r="H15" s="209"/>
      <c r="I15" s="21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120</v>
      </c>
      <c r="P15" s="37">
        <f t="shared" si="2"/>
        <v>5405</v>
      </c>
      <c r="Q15" s="79">
        <f t="shared" si="3"/>
        <v>4.8496605200000001E-2</v>
      </c>
      <c r="R15" s="87">
        <f t="shared" si="5"/>
        <v>10998479.77376868</v>
      </c>
    </row>
    <row r="16" spans="1:18" ht="17.25" thickBot="1">
      <c r="A16" s="40" t="s">
        <v>265</v>
      </c>
      <c r="B16" s="11" t="s">
        <v>266</v>
      </c>
      <c r="C16" s="95">
        <v>354</v>
      </c>
      <c r="D16" s="92">
        <v>4.1176470600000001E-2</v>
      </c>
      <c r="E16" s="93">
        <v>967194680.78790045</v>
      </c>
      <c r="F16" s="35"/>
      <c r="G16" s="50" t="s">
        <v>38</v>
      </c>
      <c r="H16" s="188" t="s">
        <v>37</v>
      </c>
      <c r="I16" s="18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67</v>
      </c>
      <c r="P16" s="38">
        <f t="shared" si="2"/>
        <v>5450</v>
      </c>
      <c r="Q16" s="76">
        <f t="shared" si="3"/>
        <v>4.7070124900000003E-2</v>
      </c>
      <c r="R16" s="85">
        <f t="shared" si="5"/>
        <v>17008048.405689631</v>
      </c>
    </row>
    <row r="17" spans="1:18">
      <c r="A17" s="40" t="s">
        <v>50</v>
      </c>
      <c r="B17" s="11" t="s">
        <v>51</v>
      </c>
      <c r="C17" s="95">
        <v>425</v>
      </c>
      <c r="D17" s="92">
        <v>3.9119804399999999E-2</v>
      </c>
      <c r="E17" s="93">
        <v>66342689.440263227</v>
      </c>
      <c r="F17" s="35"/>
      <c r="G17" s="233">
        <f>_xlfn.IFNA(VLOOKUP(G14, $B$2:$D$200, 3, FALSE), "-")</f>
        <v>2.6835532700000001E-2</v>
      </c>
      <c r="H17" s="235">
        <f>_xlfn.IFNA(VLOOKUP(G14, $B$2:$D$200, 2, FALSE), "-")</f>
        <v>57970000</v>
      </c>
      <c r="I17" s="23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218</v>
      </c>
      <c r="P17" s="39">
        <f t="shared" si="2"/>
        <v>147</v>
      </c>
      <c r="Q17" s="77">
        <f t="shared" si="3"/>
        <v>4.2553191499999997E-2</v>
      </c>
      <c r="R17" s="86">
        <f t="shared" si="5"/>
        <v>121011440.91727178</v>
      </c>
    </row>
    <row r="18" spans="1:18" ht="17.25" thickBot="1">
      <c r="A18" s="40" t="s">
        <v>179</v>
      </c>
      <c r="B18" s="11" t="s">
        <v>180</v>
      </c>
      <c r="C18" s="95">
        <v>15870</v>
      </c>
      <c r="D18" s="92">
        <v>3.7933289699999997E-2</v>
      </c>
      <c r="E18" s="93">
        <v>2227049.6308184001</v>
      </c>
      <c r="F18" s="35"/>
      <c r="G18" s="234"/>
      <c r="H18" s="237"/>
      <c r="I18" s="23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200</v>
      </c>
      <c r="P18" s="39">
        <f t="shared" si="2"/>
        <v>172</v>
      </c>
      <c r="Q18" s="77">
        <f t="shared" si="3"/>
        <v>4.2424242399999999E-2</v>
      </c>
      <c r="R18" s="86">
        <f t="shared" si="5"/>
        <v>281873575.37866294</v>
      </c>
    </row>
    <row r="19" spans="1:18" ht="17.25" thickBot="1">
      <c r="A19" s="40" t="s">
        <v>229</v>
      </c>
      <c r="B19" s="11" t="s">
        <v>230</v>
      </c>
      <c r="C19" s="95">
        <v>419</v>
      </c>
      <c r="D19" s="92">
        <v>3.7128712899999999E-2</v>
      </c>
      <c r="E19" s="93">
        <v>212881926.09092498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90</v>
      </c>
      <c r="P19" s="39">
        <f t="shared" si="2"/>
        <v>1495</v>
      </c>
      <c r="Q19" s="77">
        <f t="shared" si="3"/>
        <v>4.1811846700000002E-2</v>
      </c>
      <c r="R19" s="86">
        <f t="shared" si="5"/>
        <v>258487812.00942138</v>
      </c>
    </row>
    <row r="20" spans="1:18" ht="17.25" thickBot="1">
      <c r="A20" s="40" t="s">
        <v>129</v>
      </c>
      <c r="B20" s="11" t="s">
        <v>130</v>
      </c>
      <c r="C20" s="95">
        <v>142</v>
      </c>
      <c r="D20" s="92">
        <v>3.6496350400000002E-2</v>
      </c>
      <c r="E20" s="93">
        <v>266677613.2730419</v>
      </c>
      <c r="F20" s="35"/>
      <c r="G20" s="187" t="s">
        <v>256</v>
      </c>
      <c r="H20" s="188"/>
      <c r="I20" s="18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266</v>
      </c>
      <c r="P20" s="39">
        <f t="shared" si="2"/>
        <v>354</v>
      </c>
      <c r="Q20" s="77">
        <f t="shared" si="3"/>
        <v>4.1176470600000001E-2</v>
      </c>
      <c r="R20" s="90">
        <f t="shared" si="5"/>
        <v>967194680.78790045</v>
      </c>
    </row>
    <row r="21" spans="1:18">
      <c r="A21" s="40" t="s">
        <v>87</v>
      </c>
      <c r="B21" s="11" t="s">
        <v>88</v>
      </c>
      <c r="C21" s="95">
        <v>251650</v>
      </c>
      <c r="D21" s="92">
        <v>3.53836659E-2</v>
      </c>
      <c r="E21" s="93">
        <v>175315.77250183999</v>
      </c>
      <c r="F21" s="35"/>
      <c r="G21" s="215" t="s">
        <v>36</v>
      </c>
      <c r="H21" s="216"/>
      <c r="I21" s="21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51</v>
      </c>
      <c r="P21" s="45">
        <f t="shared" si="2"/>
        <v>425</v>
      </c>
      <c r="Q21" s="80">
        <f t="shared" si="3"/>
        <v>3.9119804399999999E-2</v>
      </c>
      <c r="R21" s="99">
        <f t="shared" si="5"/>
        <v>66342689.440263227</v>
      </c>
    </row>
    <row r="22" spans="1:18" ht="17.25" thickBot="1">
      <c r="A22" s="40" t="s">
        <v>161</v>
      </c>
      <c r="B22" s="11" t="s">
        <v>162</v>
      </c>
      <c r="C22" s="95">
        <v>120</v>
      </c>
      <c r="D22" s="92">
        <v>3.4482758600000003E-2</v>
      </c>
      <c r="E22" s="93">
        <v>207079248.2034407</v>
      </c>
      <c r="F22" s="35"/>
      <c r="G22" s="208"/>
      <c r="H22" s="209"/>
      <c r="I22" s="21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180</v>
      </c>
      <c r="P22" s="39">
        <f t="shared" si="2"/>
        <v>15870</v>
      </c>
      <c r="Q22" s="77">
        <f t="shared" si="3"/>
        <v>3.7933289699999997E-2</v>
      </c>
      <c r="R22" s="86">
        <f t="shared" si="5"/>
        <v>2227049.6308184001</v>
      </c>
    </row>
    <row r="23" spans="1:18" ht="17.25" thickBot="1">
      <c r="A23" s="40" t="s">
        <v>125</v>
      </c>
      <c r="B23" s="11" t="s">
        <v>126</v>
      </c>
      <c r="C23" s="95">
        <v>216050</v>
      </c>
      <c r="D23" s="92">
        <v>3.2743785900000003E-2</v>
      </c>
      <c r="E23" s="93">
        <v>93421.390605709996</v>
      </c>
      <c r="F23" s="35"/>
      <c r="G23" s="50" t="s">
        <v>38</v>
      </c>
      <c r="H23" s="188" t="s">
        <v>37</v>
      </c>
      <c r="I23" s="18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230</v>
      </c>
      <c r="P23" s="39">
        <f t="shared" si="2"/>
        <v>419</v>
      </c>
      <c r="Q23" s="77">
        <f t="shared" si="3"/>
        <v>3.7128712899999999E-2</v>
      </c>
      <c r="R23" s="86">
        <f t="shared" si="5"/>
        <v>212881926.09092498</v>
      </c>
    </row>
    <row r="24" spans="1:18">
      <c r="A24" s="40" t="s">
        <v>247</v>
      </c>
      <c r="B24" s="11" t="s">
        <v>248</v>
      </c>
      <c r="C24" s="95">
        <v>2850</v>
      </c>
      <c r="D24" s="92">
        <v>3.2608695700000002E-2</v>
      </c>
      <c r="E24" s="93">
        <v>36879698.275690272</v>
      </c>
      <c r="F24" s="35"/>
      <c r="G24" s="233">
        <f>_xlfn.IFNA(VLOOKUP(G21, $B$2:$D$200, 3, FALSE), "-")</f>
        <v>2.6835532700000001E-2</v>
      </c>
      <c r="H24" s="235">
        <f>_xlfn.IFNA(VLOOKUP(G21, $B$2:$D$200, 2, FALSE), "-")</f>
        <v>57970000</v>
      </c>
      <c r="I24" s="23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130</v>
      </c>
      <c r="P24" s="39">
        <f t="shared" si="2"/>
        <v>142</v>
      </c>
      <c r="Q24" s="77">
        <f t="shared" si="3"/>
        <v>3.6496350400000002E-2</v>
      </c>
      <c r="R24" s="86">
        <f t="shared" si="5"/>
        <v>266677613.2730419</v>
      </c>
    </row>
    <row r="25" spans="1:18" ht="17.25" thickBot="1">
      <c r="A25" s="40" t="s">
        <v>237</v>
      </c>
      <c r="B25" s="11" t="s">
        <v>238</v>
      </c>
      <c r="C25" s="95">
        <v>130</v>
      </c>
      <c r="D25" s="92">
        <v>3.1746031700000003E-2</v>
      </c>
      <c r="E25" s="93">
        <v>145113811.65945646</v>
      </c>
      <c r="F25" s="35"/>
      <c r="G25" s="234"/>
      <c r="H25" s="237"/>
      <c r="I25" s="238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88</v>
      </c>
      <c r="P25" s="37">
        <f t="shared" si="2"/>
        <v>251650</v>
      </c>
      <c r="Q25" s="79">
        <f t="shared" si="3"/>
        <v>3.53836659E-2</v>
      </c>
      <c r="R25" s="87">
        <f t="shared" si="5"/>
        <v>175315.77250183999</v>
      </c>
    </row>
    <row r="26" spans="1:18">
      <c r="A26" s="40" t="s">
        <v>195</v>
      </c>
      <c r="B26" s="11" t="s">
        <v>196</v>
      </c>
      <c r="C26" s="95">
        <v>4850</v>
      </c>
      <c r="D26" s="92">
        <v>3.0818278399999999E-2</v>
      </c>
      <c r="E26" s="93">
        <v>17147876.81476064</v>
      </c>
      <c r="F26" s="35"/>
    </row>
    <row r="27" spans="1:18" ht="17.25" thickBot="1">
      <c r="A27" s="40" t="s">
        <v>68</v>
      </c>
      <c r="B27" s="11" t="s">
        <v>69</v>
      </c>
      <c r="C27" s="95">
        <v>10380</v>
      </c>
      <c r="D27" s="92">
        <v>2.9761904799999999E-2</v>
      </c>
      <c r="E27" s="93">
        <v>9280787.0821556598</v>
      </c>
      <c r="F27" s="35"/>
    </row>
    <row r="28" spans="1:18" ht="17.25" thickBot="1">
      <c r="A28" s="40" t="s">
        <v>185</v>
      </c>
      <c r="B28" s="11" t="s">
        <v>186</v>
      </c>
      <c r="C28" s="95">
        <v>10740</v>
      </c>
      <c r="D28" s="92">
        <v>2.87356322E-2</v>
      </c>
      <c r="E28" s="93">
        <v>4156822.5556046502</v>
      </c>
      <c r="F28" s="35"/>
      <c r="G28" s="187" t="s">
        <v>46</v>
      </c>
      <c r="H28" s="188"/>
      <c r="I28" s="188"/>
      <c r="J28" s="189"/>
      <c r="K28" s="187" t="s">
        <v>44</v>
      </c>
      <c r="L28" s="188"/>
      <c r="M28" s="188"/>
      <c r="N28" s="189"/>
      <c r="O28" s="187" t="s">
        <v>45</v>
      </c>
      <c r="P28" s="188"/>
      <c r="Q28" s="188"/>
      <c r="R28" s="189"/>
    </row>
    <row r="29" spans="1:18" ht="17.25" thickBot="1">
      <c r="A29" s="40" t="s">
        <v>167</v>
      </c>
      <c r="B29" s="11" t="s">
        <v>168</v>
      </c>
      <c r="C29" s="95">
        <v>1795</v>
      </c>
      <c r="D29" s="92">
        <v>2.86532951E-2</v>
      </c>
      <c r="E29" s="93">
        <v>21384557.419178229</v>
      </c>
      <c r="F29" s="35"/>
      <c r="G29" s="224" t="s">
        <v>55</v>
      </c>
      <c r="H29" s="240">
        <f ca="1">NOW()</f>
        <v>44441.887273495369</v>
      </c>
      <c r="I29" s="241"/>
      <c r="J29" s="242"/>
      <c r="K29" s="239" t="s">
        <v>55</v>
      </c>
      <c r="L29" s="240">
        <f ca="1">NOW()</f>
        <v>44441.887273495369</v>
      </c>
      <c r="M29" s="241"/>
      <c r="N29" s="242"/>
      <c r="O29" s="239" t="s">
        <v>55</v>
      </c>
      <c r="P29" s="240">
        <f ca="1">NOW()</f>
        <v>44441.887273495369</v>
      </c>
      <c r="Q29" s="241"/>
      <c r="R29" s="242"/>
    </row>
    <row r="30" spans="1:18" ht="17.25" thickBot="1">
      <c r="A30" s="40" t="s">
        <v>173</v>
      </c>
      <c r="B30" s="11" t="s">
        <v>174</v>
      </c>
      <c r="C30" s="95">
        <v>404</v>
      </c>
      <c r="D30" s="92">
        <v>2.79898219E-2</v>
      </c>
      <c r="E30" s="93">
        <v>55834355.970446698</v>
      </c>
      <c r="F30" s="35"/>
      <c r="G30" s="232"/>
      <c r="H30" s="51" t="s">
        <v>58</v>
      </c>
      <c r="I30" s="73" t="s">
        <v>59</v>
      </c>
      <c r="J30" s="69" t="s">
        <v>264</v>
      </c>
      <c r="K30" s="210"/>
      <c r="L30" s="51" t="s">
        <v>58</v>
      </c>
      <c r="M30" s="73" t="s">
        <v>59</v>
      </c>
      <c r="N30" s="91" t="s">
        <v>264</v>
      </c>
      <c r="O30" s="210"/>
      <c r="P30" s="51" t="s">
        <v>58</v>
      </c>
      <c r="Q30" s="73" t="s">
        <v>59</v>
      </c>
      <c r="R30" s="91" t="s">
        <v>264</v>
      </c>
    </row>
    <row r="31" spans="1:18">
      <c r="A31" s="40" t="s">
        <v>48</v>
      </c>
      <c r="B31" s="11" t="s">
        <v>49</v>
      </c>
      <c r="C31" s="95">
        <v>57970000</v>
      </c>
      <c r="D31" s="92">
        <v>2.6835532700000001E-2</v>
      </c>
      <c r="E31" s="93">
        <v>6416.4312376300004</v>
      </c>
      <c r="F31" s="35"/>
      <c r="G31" s="52" t="s">
        <v>242</v>
      </c>
      <c r="H31" s="38">
        <f t="shared" ref="H31:H50" si="6">_xlfn.IFNA(VLOOKUP(G31, $B$2:$D$200, 2, FALSE), "")</f>
        <v>691</v>
      </c>
      <c r="I31" s="76">
        <f t="shared" ref="I31:I50" si="7">_xlfn.IFNA(VLOOKUP(G31, $B$2:$D$200, 3, FALSE), "")</f>
        <v>0.18321917809999999</v>
      </c>
      <c r="J31" s="85">
        <f>_xlfn.IFNA(VLOOKUP(G31, $B$2:$E$200, 4, FALSE), "")</f>
        <v>323119472.19939393</v>
      </c>
      <c r="K31" s="81" t="s">
        <v>250</v>
      </c>
      <c r="L31" s="38">
        <f t="shared" ref="L31:L50" si="8">_xlfn.IFNA(VLOOKUP(K31, $B$2:$D$200, 2, FALSE), "")</f>
        <v>99.3</v>
      </c>
      <c r="M31" s="76">
        <f t="shared" ref="M31:M50" si="9">_xlfn.IFNA(VLOOKUP(K31, $B$2:$D$200, 3, FALSE), "")</f>
        <v>9.12087912E-2</v>
      </c>
      <c r="N31" s="85">
        <f>_xlfn.IFNA(VLOOKUP(K31, $B$2:$E$200, 4, FALSE), "")</f>
        <v>755629630.51468587</v>
      </c>
      <c r="O31" s="81" t="s">
        <v>242</v>
      </c>
      <c r="P31" s="38">
        <f t="shared" ref="P31:P50" si="10">_xlfn.IFNA(VLOOKUP(O31, $B$2:$D$200, 2, FALSE), "")</f>
        <v>691</v>
      </c>
      <c r="Q31" s="76">
        <f t="shared" ref="Q31:Q50" si="11">_xlfn.IFNA(VLOOKUP(O31, $B$2:$D$200, 3, FALSE), "")</f>
        <v>0.18321917809999999</v>
      </c>
      <c r="R31" s="85">
        <f>_xlfn.IFNA(VLOOKUP(O31, $B$2:$E$200, 4, FALSE), "")</f>
        <v>323119472.19939393</v>
      </c>
    </row>
    <row r="32" spans="1:18">
      <c r="A32" s="40" t="s">
        <v>219</v>
      </c>
      <c r="B32" s="11" t="s">
        <v>220</v>
      </c>
      <c r="C32" s="95">
        <v>236</v>
      </c>
      <c r="D32" s="92">
        <v>2.6086956500000001E-2</v>
      </c>
      <c r="E32" s="93">
        <v>216749318.93151045</v>
      </c>
      <c r="F32" s="35"/>
      <c r="G32" s="47" t="s">
        <v>250</v>
      </c>
      <c r="H32" s="39">
        <f t="shared" si="6"/>
        <v>99.3</v>
      </c>
      <c r="I32" s="77">
        <f t="shared" si="7"/>
        <v>9.12087912E-2</v>
      </c>
      <c r="J32" s="86">
        <f t="shared" ref="J32:J50" si="12">_xlfn.IFNA(VLOOKUP(G32, $B$2:$E$200, 4, FALSE), "")</f>
        <v>755629630.51468587</v>
      </c>
      <c r="K32" s="82" t="s">
        <v>98</v>
      </c>
      <c r="L32" s="39">
        <f t="shared" si="8"/>
        <v>5.47</v>
      </c>
      <c r="M32" s="77">
        <f t="shared" si="9"/>
        <v>6.8359375E-2</v>
      </c>
      <c r="N32" s="86">
        <f t="shared" ref="N32:N50" si="13">_xlfn.IFNA(VLOOKUP(K32, $B$2:$E$200, 4, FALSE), "")</f>
        <v>23978774541.200253</v>
      </c>
      <c r="O32" s="82" t="s">
        <v>164</v>
      </c>
      <c r="P32" s="39">
        <f t="shared" si="10"/>
        <v>608</v>
      </c>
      <c r="Q32" s="77">
        <f t="shared" si="11"/>
        <v>7.8014184400000006E-2</v>
      </c>
      <c r="R32" s="86">
        <f t="shared" ref="R32:R50" si="14">_xlfn.IFNA(VLOOKUP(O32, $B$2:$E$200, 4, FALSE), "")</f>
        <v>218967355.92908072</v>
      </c>
    </row>
    <row r="33" spans="1:18">
      <c r="A33" s="40" t="s">
        <v>77</v>
      </c>
      <c r="B33" s="11" t="s">
        <v>78</v>
      </c>
      <c r="C33" s="95">
        <v>779500</v>
      </c>
      <c r="D33" s="92">
        <v>2.5657894699999999E-2</v>
      </c>
      <c r="E33" s="93">
        <v>50952.120037089997</v>
      </c>
      <c r="F33" s="35"/>
      <c r="G33" s="47" t="s">
        <v>164</v>
      </c>
      <c r="H33" s="39">
        <f t="shared" si="6"/>
        <v>608</v>
      </c>
      <c r="I33" s="77">
        <f t="shared" si="7"/>
        <v>7.8014184400000006E-2</v>
      </c>
      <c r="J33" s="86">
        <f t="shared" si="12"/>
        <v>218967355.92908072</v>
      </c>
      <c r="K33" s="82" t="s">
        <v>204</v>
      </c>
      <c r="L33" s="39">
        <f t="shared" si="8"/>
        <v>17.2</v>
      </c>
      <c r="M33" s="77">
        <f t="shared" si="9"/>
        <v>6.8322981399999996E-2</v>
      </c>
      <c r="N33" s="86">
        <f t="shared" si="13"/>
        <v>7718200279.1075783</v>
      </c>
      <c r="O33" s="82" t="s">
        <v>152</v>
      </c>
      <c r="P33" s="39">
        <f t="shared" si="10"/>
        <v>116</v>
      </c>
      <c r="Q33" s="77">
        <f t="shared" si="11"/>
        <v>6.42201835E-2</v>
      </c>
      <c r="R33" s="86">
        <f t="shared" si="14"/>
        <v>572714866.66069722</v>
      </c>
    </row>
    <row r="34" spans="1:18">
      <c r="A34" s="40" t="s">
        <v>157</v>
      </c>
      <c r="B34" s="11" t="s">
        <v>158</v>
      </c>
      <c r="C34" s="95">
        <v>34470</v>
      </c>
      <c r="D34" s="92">
        <v>2.55876227E-2</v>
      </c>
      <c r="E34" s="93">
        <v>642473.90032633999</v>
      </c>
      <c r="F34" s="35"/>
      <c r="G34" s="47" t="s">
        <v>98</v>
      </c>
      <c r="H34" s="39">
        <f t="shared" si="6"/>
        <v>5.47</v>
      </c>
      <c r="I34" s="77">
        <f t="shared" si="7"/>
        <v>6.8359375E-2</v>
      </c>
      <c r="J34" s="86">
        <f t="shared" si="12"/>
        <v>23978774541.200253</v>
      </c>
      <c r="K34" s="82" t="s">
        <v>190</v>
      </c>
      <c r="L34" s="39">
        <f t="shared" si="8"/>
        <v>20.2</v>
      </c>
      <c r="M34" s="77">
        <f t="shared" si="9"/>
        <v>2.53807107E-2</v>
      </c>
      <c r="N34" s="86">
        <f t="shared" si="13"/>
        <v>1766516455.5999393</v>
      </c>
      <c r="O34" s="82" t="s">
        <v>128</v>
      </c>
      <c r="P34" s="39">
        <f t="shared" si="10"/>
        <v>167</v>
      </c>
      <c r="Q34" s="77">
        <f t="shared" si="11"/>
        <v>5.6962025300000003E-2</v>
      </c>
      <c r="R34" s="86">
        <f t="shared" si="14"/>
        <v>365911745.18195951</v>
      </c>
    </row>
    <row r="35" spans="1:18">
      <c r="A35" s="40" t="s">
        <v>189</v>
      </c>
      <c r="B35" s="11" t="s">
        <v>190</v>
      </c>
      <c r="C35" s="95">
        <v>20.2</v>
      </c>
      <c r="D35" s="92">
        <v>2.53807107E-2</v>
      </c>
      <c r="E35" s="93">
        <v>1766516455.5999393</v>
      </c>
      <c r="F35" s="35"/>
      <c r="G35" s="47" t="s">
        <v>204</v>
      </c>
      <c r="H35" s="44">
        <f t="shared" si="6"/>
        <v>17.2</v>
      </c>
      <c r="I35" s="78">
        <f t="shared" si="7"/>
        <v>6.8322981399999996E-2</v>
      </c>
      <c r="J35" s="90">
        <f t="shared" si="12"/>
        <v>7718200279.1075783</v>
      </c>
      <c r="K35" s="83" t="s">
        <v>65</v>
      </c>
      <c r="L35" s="44">
        <f t="shared" si="8"/>
        <v>51.8</v>
      </c>
      <c r="M35" s="78">
        <f t="shared" si="9"/>
        <v>2.1696252499999999E-2</v>
      </c>
      <c r="N35" s="90">
        <f t="shared" si="13"/>
        <v>589539982.02246284</v>
      </c>
      <c r="O35" s="83" t="s">
        <v>218</v>
      </c>
      <c r="P35" s="44">
        <f t="shared" si="10"/>
        <v>147</v>
      </c>
      <c r="Q35" s="78">
        <f t="shared" si="11"/>
        <v>4.2553191499999997E-2</v>
      </c>
      <c r="R35" s="90">
        <f t="shared" si="14"/>
        <v>121011440.91727178</v>
      </c>
    </row>
    <row r="36" spans="1:18">
      <c r="A36" s="40" t="s">
        <v>137</v>
      </c>
      <c r="B36" s="11" t="s">
        <v>138</v>
      </c>
      <c r="C36" s="95">
        <v>406</v>
      </c>
      <c r="D36" s="92">
        <v>2.5252525299999998E-2</v>
      </c>
      <c r="E36" s="93">
        <v>59032361.624874257</v>
      </c>
      <c r="F36" s="35"/>
      <c r="G36" s="49" t="s">
        <v>82</v>
      </c>
      <c r="H36" s="39">
        <f t="shared" si="6"/>
        <v>3535</v>
      </c>
      <c r="I36" s="77">
        <f t="shared" si="7"/>
        <v>6.6365007500000003E-2</v>
      </c>
      <c r="J36" s="99">
        <f t="shared" si="12"/>
        <v>120295013.12270372</v>
      </c>
      <c r="K36" s="82" t="s">
        <v>178</v>
      </c>
      <c r="L36" s="39">
        <f t="shared" si="8"/>
        <v>20.100000000000001</v>
      </c>
      <c r="M36" s="77">
        <f t="shared" si="9"/>
        <v>2.0304568499999998E-2</v>
      </c>
      <c r="N36" s="99">
        <f t="shared" si="13"/>
        <v>2531223181.2466331</v>
      </c>
      <c r="O36" s="82" t="s">
        <v>200</v>
      </c>
      <c r="P36" s="39">
        <f t="shared" si="10"/>
        <v>172</v>
      </c>
      <c r="Q36" s="77">
        <f t="shared" si="11"/>
        <v>4.2424242399999999E-2</v>
      </c>
      <c r="R36" s="99">
        <f t="shared" si="14"/>
        <v>281873575.37866294</v>
      </c>
    </row>
    <row r="37" spans="1:18">
      <c r="A37" s="40" t="s">
        <v>143</v>
      </c>
      <c r="B37" s="11" t="s">
        <v>144</v>
      </c>
      <c r="C37" s="95">
        <v>125</v>
      </c>
      <c r="D37" s="92">
        <v>2.45901639E-2</v>
      </c>
      <c r="E37" s="93">
        <v>100734412.72232825</v>
      </c>
      <c r="F37" s="35"/>
      <c r="G37" s="47" t="s">
        <v>106</v>
      </c>
      <c r="H37" s="39">
        <f t="shared" si="6"/>
        <v>225300</v>
      </c>
      <c r="I37" s="77">
        <f t="shared" si="7"/>
        <v>6.4744801500000004E-2</v>
      </c>
      <c r="J37" s="86">
        <f t="shared" si="12"/>
        <v>3327254.69007299</v>
      </c>
      <c r="K37" s="82" t="s">
        <v>148</v>
      </c>
      <c r="L37" s="39">
        <f t="shared" si="8"/>
        <v>24.4</v>
      </c>
      <c r="M37" s="77">
        <f t="shared" si="9"/>
        <v>1.6666666699999999E-2</v>
      </c>
      <c r="N37" s="86">
        <f t="shared" si="13"/>
        <v>629212630.96986985</v>
      </c>
      <c r="O37" s="82" t="s">
        <v>266</v>
      </c>
      <c r="P37" s="39">
        <f t="shared" si="10"/>
        <v>354</v>
      </c>
      <c r="Q37" s="77">
        <f t="shared" si="11"/>
        <v>4.1176470600000001E-2</v>
      </c>
      <c r="R37" s="86">
        <f t="shared" si="14"/>
        <v>967194680.78790045</v>
      </c>
    </row>
    <row r="38" spans="1:18">
      <c r="A38" s="40" t="s">
        <v>145</v>
      </c>
      <c r="B38" s="11" t="s">
        <v>146</v>
      </c>
      <c r="C38" s="95">
        <v>4360</v>
      </c>
      <c r="D38" s="92">
        <v>2.34741784E-2</v>
      </c>
      <c r="E38" s="93">
        <v>2948869.03402801</v>
      </c>
      <c r="F38" s="35"/>
      <c r="G38" s="47" t="s">
        <v>152</v>
      </c>
      <c r="H38" s="39">
        <f t="shared" si="6"/>
        <v>116</v>
      </c>
      <c r="I38" s="77">
        <f t="shared" si="7"/>
        <v>6.42201835E-2</v>
      </c>
      <c r="J38" s="86">
        <f t="shared" si="12"/>
        <v>572714866.66069722</v>
      </c>
      <c r="K38" s="82" t="s">
        <v>150</v>
      </c>
      <c r="L38" s="39">
        <f t="shared" si="8"/>
        <v>14</v>
      </c>
      <c r="M38" s="77">
        <f t="shared" si="9"/>
        <v>1.44927536E-2</v>
      </c>
      <c r="N38" s="86">
        <f t="shared" si="13"/>
        <v>1553288405.7877338</v>
      </c>
      <c r="O38" s="82" t="s">
        <v>51</v>
      </c>
      <c r="P38" s="39">
        <f t="shared" si="10"/>
        <v>425</v>
      </c>
      <c r="Q38" s="77">
        <f t="shared" si="11"/>
        <v>3.9119804399999999E-2</v>
      </c>
      <c r="R38" s="86">
        <f t="shared" si="14"/>
        <v>66342689.440263227</v>
      </c>
    </row>
    <row r="39" spans="1:18">
      <c r="A39" s="40" t="s">
        <v>53</v>
      </c>
      <c r="B39" s="11" t="s">
        <v>54</v>
      </c>
      <c r="C39" s="95">
        <v>313</v>
      </c>
      <c r="D39" s="92">
        <v>2.2875817E-2</v>
      </c>
      <c r="E39" s="93">
        <v>50960218.694489308</v>
      </c>
      <c r="F39" s="35"/>
      <c r="G39" s="47" t="s">
        <v>128</v>
      </c>
      <c r="H39" s="39">
        <f t="shared" si="6"/>
        <v>167</v>
      </c>
      <c r="I39" s="77">
        <f t="shared" si="7"/>
        <v>5.6962025300000003E-2</v>
      </c>
      <c r="J39" s="86">
        <f t="shared" si="12"/>
        <v>365911745.18195951</v>
      </c>
      <c r="K39" s="82" t="s">
        <v>240</v>
      </c>
      <c r="L39" s="39">
        <f t="shared" si="8"/>
        <v>76</v>
      </c>
      <c r="M39" s="77">
        <f t="shared" si="9"/>
        <v>9.2961486999999995E-3</v>
      </c>
      <c r="N39" s="86">
        <f t="shared" si="13"/>
        <v>90550735.323119387</v>
      </c>
      <c r="O39" s="82" t="s">
        <v>230</v>
      </c>
      <c r="P39" s="39">
        <f t="shared" si="10"/>
        <v>419</v>
      </c>
      <c r="Q39" s="77">
        <f t="shared" si="11"/>
        <v>3.7128712899999999E-2</v>
      </c>
      <c r="R39" s="86">
        <f t="shared" si="14"/>
        <v>212881926.09092498</v>
      </c>
    </row>
    <row r="40" spans="1:18" ht="17.25" thickBot="1">
      <c r="A40" s="40" t="s">
        <v>123</v>
      </c>
      <c r="B40" s="11" t="s">
        <v>124</v>
      </c>
      <c r="C40" s="95">
        <v>416</v>
      </c>
      <c r="D40" s="92">
        <v>2.2113022100000001E-2</v>
      </c>
      <c r="E40" s="93">
        <v>18844741.535473991</v>
      </c>
      <c r="F40" s="35"/>
      <c r="G40" s="53" t="s">
        <v>120</v>
      </c>
      <c r="H40" s="37">
        <f t="shared" si="6"/>
        <v>5405</v>
      </c>
      <c r="I40" s="79">
        <f t="shared" si="7"/>
        <v>4.8496605200000001E-2</v>
      </c>
      <c r="J40" s="87">
        <f t="shared" si="12"/>
        <v>10998479.77376868</v>
      </c>
      <c r="K40" s="84" t="s">
        <v>188</v>
      </c>
      <c r="L40" s="37">
        <f t="shared" si="8"/>
        <v>14.2</v>
      </c>
      <c r="M40" s="79">
        <f t="shared" si="9"/>
        <v>7.0921986000000003E-3</v>
      </c>
      <c r="N40" s="87">
        <f t="shared" si="13"/>
        <v>1098268509.1554999</v>
      </c>
      <c r="O40" s="84" t="s">
        <v>130</v>
      </c>
      <c r="P40" s="37">
        <f t="shared" si="10"/>
        <v>142</v>
      </c>
      <c r="Q40" s="79">
        <f t="shared" si="11"/>
        <v>3.6496350400000002E-2</v>
      </c>
      <c r="R40" s="87">
        <f t="shared" si="14"/>
        <v>266677613.2730419</v>
      </c>
    </row>
    <row r="41" spans="1:18">
      <c r="A41" s="40" t="s">
        <v>64</v>
      </c>
      <c r="B41" s="11" t="s">
        <v>65</v>
      </c>
      <c r="C41" s="95">
        <v>51.8</v>
      </c>
      <c r="D41" s="92">
        <v>2.1696252499999999E-2</v>
      </c>
      <c r="E41" s="93">
        <v>589539982.02246284</v>
      </c>
      <c r="F41" s="35"/>
      <c r="G41" s="52" t="s">
        <v>67</v>
      </c>
      <c r="H41" s="38">
        <f t="shared" si="6"/>
        <v>5450</v>
      </c>
      <c r="I41" s="76">
        <f t="shared" si="7"/>
        <v>4.7070124900000003E-2</v>
      </c>
      <c r="J41" s="85">
        <f t="shared" si="12"/>
        <v>17008048.405689631</v>
      </c>
      <c r="K41" s="81" t="s">
        <v>208</v>
      </c>
      <c r="L41" s="38">
        <f t="shared" si="8"/>
        <v>14.8</v>
      </c>
      <c r="M41" s="76">
        <f t="shared" si="9"/>
        <v>6.8027210999999999E-3</v>
      </c>
      <c r="N41" s="85">
        <f t="shared" si="13"/>
        <v>1022719104.6288877</v>
      </c>
      <c r="O41" s="81" t="s">
        <v>162</v>
      </c>
      <c r="P41" s="38">
        <f t="shared" si="10"/>
        <v>120</v>
      </c>
      <c r="Q41" s="76">
        <f t="shared" si="11"/>
        <v>3.4482758600000003E-2</v>
      </c>
      <c r="R41" s="85">
        <f t="shared" si="14"/>
        <v>207079248.2034407</v>
      </c>
    </row>
    <row r="42" spans="1:18">
      <c r="A42" s="40" t="s">
        <v>113</v>
      </c>
      <c r="B42" s="11" t="s">
        <v>114</v>
      </c>
      <c r="C42" s="95">
        <v>1190</v>
      </c>
      <c r="D42" s="92">
        <v>2.1459227500000001E-2</v>
      </c>
      <c r="E42" s="93">
        <v>124366188.54129019</v>
      </c>
      <c r="F42" s="35"/>
      <c r="G42" s="47" t="s">
        <v>218</v>
      </c>
      <c r="H42" s="39">
        <f t="shared" si="6"/>
        <v>147</v>
      </c>
      <c r="I42" s="77">
        <f t="shared" si="7"/>
        <v>4.2553191499999997E-2</v>
      </c>
      <c r="J42" s="86">
        <f t="shared" si="12"/>
        <v>121011440.91727178</v>
      </c>
      <c r="K42" s="82" t="s">
        <v>234</v>
      </c>
      <c r="L42" s="39">
        <f t="shared" si="8"/>
        <v>88.2</v>
      </c>
      <c r="M42" s="77">
        <f t="shared" si="9"/>
        <v>5.7012542999999999E-3</v>
      </c>
      <c r="N42" s="86">
        <f t="shared" si="13"/>
        <v>156461362.65901279</v>
      </c>
      <c r="O42" s="82" t="s">
        <v>238</v>
      </c>
      <c r="P42" s="39">
        <f t="shared" si="10"/>
        <v>130</v>
      </c>
      <c r="Q42" s="77">
        <f t="shared" si="11"/>
        <v>3.1746031700000003E-2</v>
      </c>
      <c r="R42" s="86">
        <f t="shared" si="14"/>
        <v>145113811.65945646</v>
      </c>
    </row>
    <row r="43" spans="1:18">
      <c r="A43" s="40" t="s">
        <v>117</v>
      </c>
      <c r="B43" s="11" t="s">
        <v>118</v>
      </c>
      <c r="C43" s="95">
        <v>191</v>
      </c>
      <c r="D43" s="92">
        <v>2.1390374300000001E-2</v>
      </c>
      <c r="E43" s="93">
        <v>98204250.084321335</v>
      </c>
      <c r="F43" s="35"/>
      <c r="G43" s="47" t="s">
        <v>200</v>
      </c>
      <c r="H43" s="39">
        <f t="shared" si="6"/>
        <v>172</v>
      </c>
      <c r="I43" s="77">
        <f t="shared" si="7"/>
        <v>4.2424242399999999E-2</v>
      </c>
      <c r="J43" s="86">
        <f t="shared" si="12"/>
        <v>281873575.37866294</v>
      </c>
      <c r="K43" s="82" t="s">
        <v>72</v>
      </c>
      <c r="L43" s="39">
        <f t="shared" si="8"/>
        <v>27</v>
      </c>
      <c r="M43" s="77">
        <f t="shared" si="9"/>
        <v>3.7174720999999999E-3</v>
      </c>
      <c r="N43" s="86">
        <f t="shared" si="13"/>
        <v>592418676.07798231</v>
      </c>
      <c r="O43" s="82" t="s">
        <v>174</v>
      </c>
      <c r="P43" s="39">
        <f t="shared" si="10"/>
        <v>404</v>
      </c>
      <c r="Q43" s="77">
        <f t="shared" si="11"/>
        <v>2.79898219E-2</v>
      </c>
      <c r="R43" s="86">
        <f t="shared" si="14"/>
        <v>55834355.970446698</v>
      </c>
    </row>
    <row r="44" spans="1:18">
      <c r="A44" s="40" t="s">
        <v>139</v>
      </c>
      <c r="B44" s="11" t="s">
        <v>140</v>
      </c>
      <c r="C44" s="95">
        <v>7980</v>
      </c>
      <c r="D44" s="92">
        <v>2.1113243800000001E-2</v>
      </c>
      <c r="E44" s="93">
        <v>2220440.74086953</v>
      </c>
      <c r="F44" s="35"/>
      <c r="G44" s="47" t="s">
        <v>90</v>
      </c>
      <c r="H44" s="39">
        <f t="shared" si="6"/>
        <v>1495</v>
      </c>
      <c r="I44" s="77">
        <f t="shared" si="7"/>
        <v>4.1811846700000002E-2</v>
      </c>
      <c r="J44" s="86">
        <f t="shared" si="12"/>
        <v>258487812.00942138</v>
      </c>
      <c r="K44" s="82" t="s">
        <v>202</v>
      </c>
      <c r="L44" s="39">
        <f t="shared" si="8"/>
        <v>94.1</v>
      </c>
      <c r="M44" s="77">
        <f t="shared" si="9"/>
        <v>2.1299255000000001E-3</v>
      </c>
      <c r="N44" s="86">
        <f t="shared" si="13"/>
        <v>248641530.81538737</v>
      </c>
      <c r="O44" s="82" t="s">
        <v>220</v>
      </c>
      <c r="P44" s="39">
        <f t="shared" si="10"/>
        <v>236</v>
      </c>
      <c r="Q44" s="77">
        <f t="shared" si="11"/>
        <v>2.6086956500000001E-2</v>
      </c>
      <c r="R44" s="86">
        <f t="shared" si="14"/>
        <v>216749318.93151045</v>
      </c>
    </row>
    <row r="45" spans="1:18">
      <c r="A45" s="40" t="s">
        <v>62</v>
      </c>
      <c r="B45" s="11" t="s">
        <v>63</v>
      </c>
      <c r="C45" s="95">
        <v>65080</v>
      </c>
      <c r="D45" s="92">
        <v>2.03825651E-2</v>
      </c>
      <c r="E45" s="93">
        <v>386307.36482587998</v>
      </c>
      <c r="F45" s="35"/>
      <c r="G45" s="47" t="s">
        <v>266</v>
      </c>
      <c r="H45" s="44">
        <f t="shared" si="6"/>
        <v>354</v>
      </c>
      <c r="I45" s="78">
        <f t="shared" si="7"/>
        <v>4.1176470600000001E-2</v>
      </c>
      <c r="J45" s="90">
        <f t="shared" si="12"/>
        <v>967194680.78790045</v>
      </c>
      <c r="K45" s="83" t="s">
        <v>216</v>
      </c>
      <c r="L45" s="44">
        <f t="shared" si="8"/>
        <v>12.3</v>
      </c>
      <c r="M45" s="78">
        <f t="shared" si="9"/>
        <v>0</v>
      </c>
      <c r="N45" s="90">
        <f t="shared" si="13"/>
        <v>1468412815.5291035</v>
      </c>
      <c r="O45" s="83" t="s">
        <v>138</v>
      </c>
      <c r="P45" s="44">
        <f t="shared" si="10"/>
        <v>406</v>
      </c>
      <c r="Q45" s="78">
        <f t="shared" si="11"/>
        <v>2.5252525299999998E-2</v>
      </c>
      <c r="R45" s="90">
        <f t="shared" si="14"/>
        <v>59032361.624874257</v>
      </c>
    </row>
    <row r="46" spans="1:18">
      <c r="A46" s="40" t="s">
        <v>177</v>
      </c>
      <c r="B46" s="11" t="s">
        <v>178</v>
      </c>
      <c r="C46" s="95">
        <v>20.100000000000001</v>
      </c>
      <c r="D46" s="92">
        <v>2.0304568499999998E-2</v>
      </c>
      <c r="E46" s="93">
        <v>2531223181.2466331</v>
      </c>
      <c r="F46" s="35"/>
      <c r="G46" s="49" t="s">
        <v>51</v>
      </c>
      <c r="H46" s="39">
        <f t="shared" si="6"/>
        <v>425</v>
      </c>
      <c r="I46" s="77">
        <f t="shared" si="7"/>
        <v>3.9119804399999999E-2</v>
      </c>
      <c r="J46" s="99">
        <f t="shared" si="12"/>
        <v>66342689.440263227</v>
      </c>
      <c r="K46" s="82" t="s">
        <v>122</v>
      </c>
      <c r="L46" s="39">
        <f t="shared" si="8"/>
        <v>40.799999999999997</v>
      </c>
      <c r="M46" s="77">
        <f t="shared" si="9"/>
        <v>-4.8780487999999997E-3</v>
      </c>
      <c r="N46" s="99">
        <f t="shared" si="13"/>
        <v>242885381.11464632</v>
      </c>
      <c r="O46" s="82" t="s">
        <v>144</v>
      </c>
      <c r="P46" s="39">
        <f t="shared" si="10"/>
        <v>125</v>
      </c>
      <c r="Q46" s="77">
        <f t="shared" si="11"/>
        <v>2.45901639E-2</v>
      </c>
      <c r="R46" s="99">
        <f t="shared" si="14"/>
        <v>100734412.72232825</v>
      </c>
    </row>
    <row r="47" spans="1:18">
      <c r="A47" s="40" t="s">
        <v>227</v>
      </c>
      <c r="B47" s="11" t="s">
        <v>228</v>
      </c>
      <c r="C47" s="95">
        <v>436</v>
      </c>
      <c r="D47" s="92">
        <v>1.8691588799999999E-2</v>
      </c>
      <c r="E47" s="93">
        <v>41541488.313015938</v>
      </c>
      <c r="F47" s="35"/>
      <c r="G47" s="47" t="s">
        <v>180</v>
      </c>
      <c r="H47" s="39">
        <f t="shared" si="6"/>
        <v>15870</v>
      </c>
      <c r="I47" s="77">
        <f t="shared" si="7"/>
        <v>3.7933289699999997E-2</v>
      </c>
      <c r="J47" s="86">
        <f t="shared" si="12"/>
        <v>2227049.6308184001</v>
      </c>
      <c r="K47" s="82" t="s">
        <v>210</v>
      </c>
      <c r="L47" s="39">
        <f t="shared" si="8"/>
        <v>17.399999999999999</v>
      </c>
      <c r="M47" s="77">
        <f t="shared" si="9"/>
        <v>-5.4347826100000003E-2</v>
      </c>
      <c r="N47" s="86">
        <f t="shared" si="13"/>
        <v>3844896194.7057343</v>
      </c>
      <c r="O47" s="82" t="s">
        <v>54</v>
      </c>
      <c r="P47" s="39">
        <f t="shared" si="10"/>
        <v>313</v>
      </c>
      <c r="Q47" s="77">
        <f t="shared" si="11"/>
        <v>2.2875817E-2</v>
      </c>
      <c r="R47" s="86">
        <f t="shared" si="14"/>
        <v>50960218.694489308</v>
      </c>
    </row>
    <row r="48" spans="1:18">
      <c r="A48" s="40" t="s">
        <v>107</v>
      </c>
      <c r="B48" s="11" t="s">
        <v>108</v>
      </c>
      <c r="C48" s="95">
        <v>1675</v>
      </c>
      <c r="D48" s="92">
        <v>1.82370821E-2</v>
      </c>
      <c r="E48" s="93">
        <v>3324837.2744870898</v>
      </c>
      <c r="F48" s="35"/>
      <c r="G48" s="47" t="s">
        <v>230</v>
      </c>
      <c r="H48" s="39">
        <f t="shared" si="6"/>
        <v>419</v>
      </c>
      <c r="I48" s="77">
        <f t="shared" si="7"/>
        <v>3.7128712899999999E-2</v>
      </c>
      <c r="J48" s="86">
        <f t="shared" si="12"/>
        <v>212881926.09092498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124</v>
      </c>
      <c r="P48" s="39">
        <f t="shared" si="10"/>
        <v>416</v>
      </c>
      <c r="Q48" s="77">
        <f t="shared" si="11"/>
        <v>2.2113022100000001E-2</v>
      </c>
      <c r="R48" s="86">
        <f t="shared" si="14"/>
        <v>18844741.535473991</v>
      </c>
    </row>
    <row r="49" spans="1:18">
      <c r="A49" s="40" t="s">
        <v>85</v>
      </c>
      <c r="B49" s="11" t="s">
        <v>86</v>
      </c>
      <c r="C49" s="95">
        <v>452</v>
      </c>
      <c r="D49" s="92">
        <v>1.8018018E-2</v>
      </c>
      <c r="E49" s="93">
        <v>27859761.443027779</v>
      </c>
      <c r="F49" s="35"/>
      <c r="G49" s="47" t="s">
        <v>130</v>
      </c>
      <c r="H49" s="39">
        <f t="shared" si="6"/>
        <v>142</v>
      </c>
      <c r="I49" s="77">
        <f t="shared" si="7"/>
        <v>3.6496350400000002E-2</v>
      </c>
      <c r="J49" s="86">
        <f t="shared" si="12"/>
        <v>266677613.2730419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118</v>
      </c>
      <c r="P49" s="39">
        <f t="shared" si="10"/>
        <v>191</v>
      </c>
      <c r="Q49" s="77">
        <f t="shared" si="11"/>
        <v>2.1390374300000001E-2</v>
      </c>
      <c r="R49" s="86">
        <f t="shared" si="14"/>
        <v>98204250.084321335</v>
      </c>
    </row>
    <row r="50" spans="1:18" ht="17.25" thickBot="1">
      <c r="A50" s="40" t="s">
        <v>56</v>
      </c>
      <c r="B50" s="11" t="s">
        <v>57</v>
      </c>
      <c r="C50" s="95">
        <v>236</v>
      </c>
      <c r="D50" s="92">
        <v>1.7241379300000002E-2</v>
      </c>
      <c r="E50" s="93">
        <v>65282808.045749336</v>
      </c>
      <c r="F50" s="35"/>
      <c r="G50" s="53" t="s">
        <v>88</v>
      </c>
      <c r="H50" s="37">
        <f t="shared" si="6"/>
        <v>251650</v>
      </c>
      <c r="I50" s="79">
        <f t="shared" si="7"/>
        <v>3.53836659E-2</v>
      </c>
      <c r="J50" s="87">
        <f t="shared" si="12"/>
        <v>175315.77250183999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228</v>
      </c>
      <c r="P50" s="37">
        <f t="shared" si="10"/>
        <v>436</v>
      </c>
      <c r="Q50" s="79">
        <f t="shared" si="11"/>
        <v>1.8691588799999999E-2</v>
      </c>
      <c r="R50" s="87">
        <f t="shared" si="14"/>
        <v>41541488.313015938</v>
      </c>
    </row>
    <row r="51" spans="1:18">
      <c r="A51" s="40" t="s">
        <v>147</v>
      </c>
      <c r="B51" s="11" t="s">
        <v>148</v>
      </c>
      <c r="C51" s="95">
        <v>24.4</v>
      </c>
      <c r="D51" s="92">
        <v>1.6666666699999999E-2</v>
      </c>
      <c r="E51" s="93">
        <v>629212630.96986985</v>
      </c>
      <c r="F51" s="35"/>
    </row>
    <row r="52" spans="1:18" ht="17.25" thickBot="1">
      <c r="A52" s="40" t="s">
        <v>155</v>
      </c>
      <c r="B52" s="11" t="s">
        <v>156</v>
      </c>
      <c r="C52" s="95">
        <v>2450</v>
      </c>
      <c r="D52" s="92">
        <v>1.6597510400000001E-2</v>
      </c>
      <c r="E52" s="93">
        <v>4588047.6690414902</v>
      </c>
      <c r="F52" s="35"/>
    </row>
    <row r="53" spans="1:18" ht="17.25" thickBot="1">
      <c r="A53" s="40" t="s">
        <v>205</v>
      </c>
      <c r="B53" s="11" t="s">
        <v>206</v>
      </c>
      <c r="C53" s="95">
        <v>438</v>
      </c>
      <c r="D53" s="92">
        <v>1.6241299300000001E-2</v>
      </c>
      <c r="E53" s="93">
        <v>11035850.266489159</v>
      </c>
      <c r="F53" s="35"/>
      <c r="G53" s="187" t="s">
        <v>255</v>
      </c>
      <c r="H53" s="188"/>
      <c r="I53" s="188"/>
      <c r="J53" s="189"/>
      <c r="K53" s="187" t="s">
        <v>258</v>
      </c>
      <c r="L53" s="188"/>
      <c r="M53" s="188"/>
      <c r="N53" s="189"/>
      <c r="O53" s="187" t="s">
        <v>259</v>
      </c>
      <c r="P53" s="188"/>
      <c r="Q53" s="188"/>
      <c r="R53" s="189"/>
    </row>
    <row r="54" spans="1:18" ht="17.25" thickBot="1">
      <c r="A54" s="40" t="s">
        <v>231</v>
      </c>
      <c r="B54" s="11" t="s">
        <v>232</v>
      </c>
      <c r="C54" s="95">
        <v>667</v>
      </c>
      <c r="D54" s="92">
        <v>1.5220700199999999E-2</v>
      </c>
      <c r="E54" s="93">
        <v>14450182.638322379</v>
      </c>
      <c r="F54" s="35"/>
      <c r="G54" s="224" t="s">
        <v>55</v>
      </c>
      <c r="H54" s="240">
        <f ca="1">NOW()</f>
        <v>44441.887273495369</v>
      </c>
      <c r="I54" s="241"/>
      <c r="J54" s="242"/>
      <c r="K54" s="239" t="s">
        <v>55</v>
      </c>
      <c r="L54" s="240">
        <f ca="1">NOW()</f>
        <v>44441.887273495369</v>
      </c>
      <c r="M54" s="241"/>
      <c r="N54" s="242"/>
      <c r="O54" s="239" t="s">
        <v>55</v>
      </c>
      <c r="P54" s="240">
        <f ca="1">NOW()</f>
        <v>44441.887273495369</v>
      </c>
      <c r="Q54" s="241"/>
      <c r="R54" s="242"/>
    </row>
    <row r="55" spans="1:18" ht="17.25" thickBot="1">
      <c r="A55" s="40" t="s">
        <v>181</v>
      </c>
      <c r="B55" s="11" t="s">
        <v>182</v>
      </c>
      <c r="C55" s="95">
        <v>76140</v>
      </c>
      <c r="D55" s="92">
        <v>1.4523650900000001E-2</v>
      </c>
      <c r="E55" s="93">
        <v>667088.82060560002</v>
      </c>
      <c r="F55" s="35"/>
      <c r="G55" s="232"/>
      <c r="H55" s="51" t="s">
        <v>58</v>
      </c>
      <c r="I55" s="73" t="s">
        <v>59</v>
      </c>
      <c r="J55" s="69" t="s">
        <v>264</v>
      </c>
      <c r="K55" s="210"/>
      <c r="L55" s="51" t="s">
        <v>58</v>
      </c>
      <c r="M55" s="73" t="s">
        <v>59</v>
      </c>
      <c r="N55" s="69" t="s">
        <v>264</v>
      </c>
      <c r="O55" s="210"/>
      <c r="P55" s="51" t="s">
        <v>58</v>
      </c>
      <c r="Q55" s="73" t="s">
        <v>59</v>
      </c>
      <c r="R55" s="69" t="s">
        <v>264</v>
      </c>
    </row>
    <row r="56" spans="1:18">
      <c r="A56" s="40" t="s">
        <v>149</v>
      </c>
      <c r="B56" s="11" t="s">
        <v>150</v>
      </c>
      <c r="C56" s="95">
        <v>14</v>
      </c>
      <c r="D56" s="92">
        <v>1.44927536E-2</v>
      </c>
      <c r="E56" s="93">
        <v>1553288405.7877338</v>
      </c>
      <c r="F56" s="35"/>
      <c r="G56" s="55" t="s">
        <v>132</v>
      </c>
      <c r="H56" s="38">
        <f t="shared" ref="H56:H75" si="15">_xlfn.IFNA(VLOOKUP(G56, $B$2:$D$200, 2, FALSE), "")</f>
        <v>133</v>
      </c>
      <c r="I56" s="76">
        <f t="shared" ref="I56:I65" si="16">_xlfn.IFNA(VLOOKUP(G56, $B$2:$D$200, 3, FALSE), "")</f>
        <v>0</v>
      </c>
      <c r="J56" s="85">
        <f>_xlfn.IFNA(VLOOKUP(G56, $B$2:$E$200, 4, FALSE), "")</f>
        <v>61467156.06119021</v>
      </c>
      <c r="K56" s="81" t="s">
        <v>250</v>
      </c>
      <c r="L56" s="38">
        <f t="shared" ref="L56:L75" si="17">_xlfn.IFNA(VLOOKUP(K56, $B$2:$D$200, 2, FALSE), "")</f>
        <v>99.3</v>
      </c>
      <c r="M56" s="76">
        <f t="shared" ref="M56:M75" si="18">_xlfn.IFNA(VLOOKUP(K56, $B$2:$D$200, 3, FALSE), "")</f>
        <v>9.12087912E-2</v>
      </c>
      <c r="N56" s="85">
        <f>_xlfn.IFNA(VLOOKUP(K56, $B$2:$E$200, 4, FALSE), "")</f>
        <v>755629630.51468587</v>
      </c>
      <c r="O56" s="81" t="s">
        <v>174</v>
      </c>
      <c r="P56" s="38">
        <f t="shared" ref="P56:P75" si="19">_xlfn.IFNA(VLOOKUP(O56, $B$2:$D$200, 2, FALSE), "")</f>
        <v>404</v>
      </c>
      <c r="Q56" s="76">
        <f t="shared" ref="Q56:Q75" si="20">_xlfn.IFNA(VLOOKUP(O56, $B$2:$D$200, 3, FALSE), "")</f>
        <v>2.79898219E-2</v>
      </c>
      <c r="R56" s="85">
        <f>_xlfn.IFNA(VLOOKUP(O56, $B$2:$E$200, 4, FALSE), "")</f>
        <v>55834355.970446698</v>
      </c>
    </row>
    <row r="57" spans="1:18">
      <c r="A57" s="40" t="s">
        <v>225</v>
      </c>
      <c r="B57" s="11" t="s">
        <v>226</v>
      </c>
      <c r="C57" s="95">
        <v>2125</v>
      </c>
      <c r="D57" s="92">
        <v>1.4319809100000001E-2</v>
      </c>
      <c r="E57" s="93">
        <v>10021820.86278607</v>
      </c>
      <c r="F57" s="35"/>
      <c r="G57" s="56" t="s">
        <v>136</v>
      </c>
      <c r="H57" s="39">
        <f t="shared" si="15"/>
        <v>2355</v>
      </c>
      <c r="I57" s="77">
        <f t="shared" si="16"/>
        <v>0</v>
      </c>
      <c r="J57" s="86">
        <f t="shared" ref="J57:J75" si="21">_xlfn.IFNA(VLOOKUP(G57, $B$2:$E$200, 4, FALSE), "")</f>
        <v>3482689.5401986502</v>
      </c>
      <c r="K57" s="82" t="s">
        <v>98</v>
      </c>
      <c r="L57" s="39">
        <f t="shared" si="17"/>
        <v>5.47</v>
      </c>
      <c r="M57" s="77">
        <f t="shared" si="18"/>
        <v>6.8359375E-2</v>
      </c>
      <c r="N57" s="86">
        <f t="shared" ref="N57:N75" si="22">_xlfn.IFNA(VLOOKUP(K57, $B$2:$E$200, 4, FALSE), "")</f>
        <v>23978774541.200253</v>
      </c>
      <c r="O57" s="82" t="s">
        <v>220</v>
      </c>
      <c r="P57" s="39">
        <f t="shared" si="19"/>
        <v>236</v>
      </c>
      <c r="Q57" s="77">
        <f t="shared" si="20"/>
        <v>2.6086956500000001E-2</v>
      </c>
      <c r="R57" s="86">
        <f t="shared" ref="R57:R75" si="23">_xlfn.IFNA(VLOOKUP(O57, $B$2:$E$200, 4, FALSE), "")</f>
        <v>216749318.93151045</v>
      </c>
    </row>
    <row r="58" spans="1:18">
      <c r="A58" s="40" t="s">
        <v>111</v>
      </c>
      <c r="B58" s="11" t="s">
        <v>112</v>
      </c>
      <c r="C58" s="95">
        <v>8320</v>
      </c>
      <c r="D58" s="92">
        <v>1.2165450100000001E-2</v>
      </c>
      <c r="E58" s="93">
        <v>1349221.5828515701</v>
      </c>
      <c r="F58" s="35"/>
      <c r="G58" s="56" t="s">
        <v>222</v>
      </c>
      <c r="H58" s="39">
        <f t="shared" si="15"/>
        <v>191</v>
      </c>
      <c r="I58" s="77">
        <f t="shared" si="16"/>
        <v>0</v>
      </c>
      <c r="J58" s="86">
        <f t="shared" si="21"/>
        <v>125870602.59781307</v>
      </c>
      <c r="K58" s="82" t="s">
        <v>204</v>
      </c>
      <c r="L58" s="39">
        <f t="shared" si="17"/>
        <v>17.2</v>
      </c>
      <c r="M58" s="77">
        <f t="shared" si="18"/>
        <v>6.8322981399999996E-2</v>
      </c>
      <c r="N58" s="86">
        <f t="shared" si="22"/>
        <v>7718200279.1075783</v>
      </c>
      <c r="O58" s="82" t="s">
        <v>138</v>
      </c>
      <c r="P58" s="39">
        <f t="shared" si="19"/>
        <v>406</v>
      </c>
      <c r="Q58" s="77">
        <f t="shared" si="20"/>
        <v>2.5252525299999998E-2</v>
      </c>
      <c r="R58" s="86">
        <f t="shared" si="23"/>
        <v>59032361.624874257</v>
      </c>
    </row>
    <row r="59" spans="1:18">
      <c r="A59" s="40" t="s">
        <v>243</v>
      </c>
      <c r="B59" s="11" t="s">
        <v>244</v>
      </c>
      <c r="C59" s="95">
        <v>1665</v>
      </c>
      <c r="D59" s="92">
        <v>1.21580547E-2</v>
      </c>
      <c r="E59" s="93">
        <v>3125309.3703381601</v>
      </c>
      <c r="F59" s="35"/>
      <c r="G59" s="56" t="s">
        <v>192</v>
      </c>
      <c r="H59" s="39">
        <f t="shared" si="15"/>
        <v>296</v>
      </c>
      <c r="I59" s="77">
        <f t="shared" si="16"/>
        <v>0</v>
      </c>
      <c r="J59" s="86">
        <f t="shared" si="21"/>
        <v>123321141.88652433</v>
      </c>
      <c r="K59" s="82" t="s">
        <v>190</v>
      </c>
      <c r="L59" s="39">
        <f t="shared" si="17"/>
        <v>20.2</v>
      </c>
      <c r="M59" s="77">
        <f t="shared" si="18"/>
        <v>2.53807107E-2</v>
      </c>
      <c r="N59" s="86">
        <f t="shared" si="22"/>
        <v>1766516455.5999393</v>
      </c>
      <c r="O59" s="82" t="s">
        <v>144</v>
      </c>
      <c r="P59" s="39">
        <f t="shared" si="19"/>
        <v>125</v>
      </c>
      <c r="Q59" s="77">
        <f t="shared" si="20"/>
        <v>2.45901639E-2</v>
      </c>
      <c r="R59" s="86">
        <f t="shared" si="23"/>
        <v>100734412.72232825</v>
      </c>
    </row>
    <row r="60" spans="1:18">
      <c r="A60" s="40" t="s">
        <v>91</v>
      </c>
      <c r="B60" s="11" t="s">
        <v>92</v>
      </c>
      <c r="C60" s="95">
        <v>91130</v>
      </c>
      <c r="D60" s="92">
        <v>1.18809682E-2</v>
      </c>
      <c r="E60" s="93">
        <v>731298.96187409002</v>
      </c>
      <c r="F60" s="35"/>
      <c r="G60" s="56" t="s">
        <v>216</v>
      </c>
      <c r="H60" s="39">
        <f t="shared" si="15"/>
        <v>12.3</v>
      </c>
      <c r="I60" s="77">
        <f t="shared" si="16"/>
        <v>0</v>
      </c>
      <c r="J60" s="90">
        <f t="shared" si="21"/>
        <v>1468412815.5291035</v>
      </c>
      <c r="K60" s="83" t="s">
        <v>65</v>
      </c>
      <c r="L60" s="44">
        <f t="shared" si="17"/>
        <v>51.8</v>
      </c>
      <c r="M60" s="78">
        <f t="shared" si="18"/>
        <v>2.1696252499999999E-2</v>
      </c>
      <c r="N60" s="90">
        <f t="shared" si="22"/>
        <v>589539982.02246284</v>
      </c>
      <c r="O60" s="83" t="s">
        <v>54</v>
      </c>
      <c r="P60" s="44">
        <f t="shared" si="19"/>
        <v>313</v>
      </c>
      <c r="Q60" s="78">
        <f t="shared" si="20"/>
        <v>2.2875817E-2</v>
      </c>
      <c r="R60" s="90">
        <f t="shared" si="23"/>
        <v>50960218.694489308</v>
      </c>
    </row>
    <row r="61" spans="1:18">
      <c r="A61" s="40" t="s">
        <v>101</v>
      </c>
      <c r="B61" s="11" t="s">
        <v>102</v>
      </c>
      <c r="C61" s="95">
        <v>1300</v>
      </c>
      <c r="D61" s="92">
        <v>1.16731518E-2</v>
      </c>
      <c r="E61" s="93">
        <v>4738457.6007000301</v>
      </c>
      <c r="F61" s="35"/>
      <c r="G61" s="60" t="s">
        <v>76</v>
      </c>
      <c r="H61" s="45">
        <f t="shared" si="15"/>
        <v>34340</v>
      </c>
      <c r="I61" s="80">
        <f t="shared" si="16"/>
        <v>-2.9112080000000002E-4</v>
      </c>
      <c r="J61" s="99">
        <f t="shared" si="21"/>
        <v>669958.63345427997</v>
      </c>
      <c r="K61" s="82" t="s">
        <v>178</v>
      </c>
      <c r="L61" s="39">
        <f t="shared" si="17"/>
        <v>20.100000000000001</v>
      </c>
      <c r="M61" s="77">
        <f t="shared" si="18"/>
        <v>2.0304568499999998E-2</v>
      </c>
      <c r="N61" s="99">
        <f t="shared" si="22"/>
        <v>2531223181.2466331</v>
      </c>
      <c r="O61" s="82" t="s">
        <v>124</v>
      </c>
      <c r="P61" s="39">
        <f t="shared" si="19"/>
        <v>416</v>
      </c>
      <c r="Q61" s="77">
        <f t="shared" si="20"/>
        <v>2.2113022100000001E-2</v>
      </c>
      <c r="R61" s="99">
        <f t="shared" si="23"/>
        <v>18844741.535473991</v>
      </c>
    </row>
    <row r="62" spans="1:18">
      <c r="A62" s="40" t="s">
        <v>103</v>
      </c>
      <c r="B62" s="11" t="s">
        <v>104</v>
      </c>
      <c r="C62" s="95">
        <v>1310</v>
      </c>
      <c r="D62" s="92">
        <v>1.15830116E-2</v>
      </c>
      <c r="E62" s="93">
        <v>3952644.1263785199</v>
      </c>
      <c r="F62" s="35"/>
      <c r="G62" s="56" t="s">
        <v>96</v>
      </c>
      <c r="H62" s="39">
        <f t="shared" si="15"/>
        <v>6250</v>
      </c>
      <c r="I62" s="77">
        <f t="shared" si="16"/>
        <v>-2.3942538000000001E-3</v>
      </c>
      <c r="J62" s="86">
        <f t="shared" si="21"/>
        <v>2075879.4044457499</v>
      </c>
      <c r="K62" s="82" t="s">
        <v>148</v>
      </c>
      <c r="L62" s="39">
        <f t="shared" si="17"/>
        <v>24.4</v>
      </c>
      <c r="M62" s="77">
        <f t="shared" si="18"/>
        <v>1.6666666699999999E-2</v>
      </c>
      <c r="N62" s="86">
        <f t="shared" si="22"/>
        <v>629212630.96986985</v>
      </c>
      <c r="O62" s="82" t="s">
        <v>118</v>
      </c>
      <c r="P62" s="39">
        <f t="shared" si="19"/>
        <v>191</v>
      </c>
      <c r="Q62" s="77">
        <f t="shared" si="20"/>
        <v>2.1390374300000001E-2</v>
      </c>
      <c r="R62" s="86">
        <f t="shared" si="23"/>
        <v>98204250.084321335</v>
      </c>
    </row>
    <row r="63" spans="1:18">
      <c r="A63" s="40" t="s">
        <v>83</v>
      </c>
      <c r="B63" s="11" t="s">
        <v>84</v>
      </c>
      <c r="C63" s="95">
        <v>6210</v>
      </c>
      <c r="D63" s="92">
        <v>1.1400651499999999E-2</v>
      </c>
      <c r="E63" s="93">
        <v>8784020.5622985493</v>
      </c>
      <c r="F63" s="35"/>
      <c r="G63" s="56" t="s">
        <v>184</v>
      </c>
      <c r="H63" s="39">
        <f t="shared" si="15"/>
        <v>1330</v>
      </c>
      <c r="I63" s="77">
        <f t="shared" si="16"/>
        <v>-3.7453183999999998E-3</v>
      </c>
      <c r="J63" s="86">
        <f t="shared" si="21"/>
        <v>9312296.7511841003</v>
      </c>
      <c r="K63" s="82" t="s">
        <v>150</v>
      </c>
      <c r="L63" s="39">
        <f t="shared" si="17"/>
        <v>14</v>
      </c>
      <c r="M63" s="77">
        <f t="shared" si="18"/>
        <v>1.44927536E-2</v>
      </c>
      <c r="N63" s="86">
        <f t="shared" si="22"/>
        <v>1553288405.7877338</v>
      </c>
      <c r="O63" s="82" t="s">
        <v>228</v>
      </c>
      <c r="P63" s="39">
        <f t="shared" si="19"/>
        <v>436</v>
      </c>
      <c r="Q63" s="77">
        <f t="shared" si="20"/>
        <v>1.8691588799999999E-2</v>
      </c>
      <c r="R63" s="86">
        <f t="shared" si="23"/>
        <v>41541488.313015938</v>
      </c>
    </row>
    <row r="64" spans="1:18">
      <c r="A64" s="40" t="s">
        <v>169</v>
      </c>
      <c r="B64" s="11" t="s">
        <v>170</v>
      </c>
      <c r="C64" s="95">
        <v>33760</v>
      </c>
      <c r="D64" s="92">
        <v>1.0475905400000001E-2</v>
      </c>
      <c r="E64" s="93">
        <v>424100.31340226001</v>
      </c>
      <c r="F64" s="35"/>
      <c r="G64" s="56" t="s">
        <v>198</v>
      </c>
      <c r="H64" s="39">
        <f t="shared" si="15"/>
        <v>29540</v>
      </c>
      <c r="I64" s="77">
        <f t="shared" si="16"/>
        <v>-4.0458530000000003E-3</v>
      </c>
      <c r="J64" s="86">
        <f t="shared" si="21"/>
        <v>1855633.3954383601</v>
      </c>
      <c r="K64" s="82" t="s">
        <v>240</v>
      </c>
      <c r="L64" s="39">
        <f t="shared" si="17"/>
        <v>76</v>
      </c>
      <c r="M64" s="77">
        <f t="shared" si="18"/>
        <v>9.2961486999999995E-3</v>
      </c>
      <c r="N64" s="86">
        <f t="shared" si="22"/>
        <v>90550735.323119387</v>
      </c>
      <c r="O64" s="82" t="s">
        <v>86</v>
      </c>
      <c r="P64" s="39">
        <f t="shared" si="19"/>
        <v>452</v>
      </c>
      <c r="Q64" s="77">
        <f t="shared" si="20"/>
        <v>1.8018018E-2</v>
      </c>
      <c r="R64" s="86">
        <f t="shared" si="23"/>
        <v>27859761.443027779</v>
      </c>
    </row>
    <row r="65" spans="1:18" ht="17.25" thickBot="1">
      <c r="A65" s="40" t="s">
        <v>109</v>
      </c>
      <c r="B65" s="11" t="s">
        <v>110</v>
      </c>
      <c r="C65" s="95">
        <v>201</v>
      </c>
      <c r="D65" s="92">
        <v>1.00502513E-2</v>
      </c>
      <c r="E65" s="93">
        <v>60319721.038599528</v>
      </c>
      <c r="F65" s="35"/>
      <c r="G65" s="57" t="s">
        <v>122</v>
      </c>
      <c r="H65" s="37">
        <f t="shared" si="15"/>
        <v>40.799999999999997</v>
      </c>
      <c r="I65" s="79">
        <f t="shared" si="16"/>
        <v>-4.8780487999999997E-3</v>
      </c>
      <c r="J65" s="87">
        <f t="shared" si="21"/>
        <v>242885381.11464632</v>
      </c>
      <c r="K65" s="84" t="s">
        <v>188</v>
      </c>
      <c r="L65" s="37">
        <f t="shared" si="17"/>
        <v>14.2</v>
      </c>
      <c r="M65" s="79">
        <f t="shared" si="18"/>
        <v>7.0921986000000003E-3</v>
      </c>
      <c r="N65" s="87">
        <f t="shared" si="22"/>
        <v>1098268509.1554999</v>
      </c>
      <c r="O65" s="84" t="s">
        <v>57</v>
      </c>
      <c r="P65" s="37">
        <f t="shared" si="19"/>
        <v>236</v>
      </c>
      <c r="Q65" s="79">
        <f t="shared" si="20"/>
        <v>1.7241379300000002E-2</v>
      </c>
      <c r="R65" s="87">
        <f t="shared" si="23"/>
        <v>65282808.045749336</v>
      </c>
    </row>
    <row r="66" spans="1:18">
      <c r="A66" s="40" t="s">
        <v>239</v>
      </c>
      <c r="B66" s="11" t="s">
        <v>240</v>
      </c>
      <c r="C66" s="95">
        <v>76</v>
      </c>
      <c r="D66" s="92">
        <v>9.2961486999999995E-3</v>
      </c>
      <c r="E66" s="93">
        <v>90550735.323119387</v>
      </c>
      <c r="F66" s="35"/>
      <c r="G66" s="56" t="s">
        <v>252</v>
      </c>
      <c r="H66" s="38">
        <f t="shared" si="15"/>
        <v>1215</v>
      </c>
      <c r="I66" s="76">
        <f t="shared" ref="I66:I75" si="24">_xlfn.IFNA(VLOOKUP(G66, $B$2:$D$200, 3, FALSE), "")</f>
        <v>-8.1632652999999999E-3</v>
      </c>
      <c r="J66" s="85">
        <f t="shared" si="21"/>
        <v>7897554.4338343004</v>
      </c>
      <c r="K66" s="81" t="s">
        <v>208</v>
      </c>
      <c r="L66" s="38">
        <f t="shared" si="17"/>
        <v>14.8</v>
      </c>
      <c r="M66" s="76">
        <f t="shared" si="18"/>
        <v>6.8027210999999999E-3</v>
      </c>
      <c r="N66" s="85">
        <f t="shared" si="22"/>
        <v>1022719104.6288877</v>
      </c>
      <c r="O66" s="81" t="s">
        <v>206</v>
      </c>
      <c r="P66" s="38">
        <f t="shared" si="19"/>
        <v>438</v>
      </c>
      <c r="Q66" s="76">
        <f t="shared" si="20"/>
        <v>1.6241299300000001E-2</v>
      </c>
      <c r="R66" s="85">
        <f t="shared" si="23"/>
        <v>11035850.266489159</v>
      </c>
    </row>
    <row r="67" spans="1:18">
      <c r="A67" s="40" t="s">
        <v>60</v>
      </c>
      <c r="B67" s="11" t="s">
        <v>61</v>
      </c>
      <c r="C67" s="95">
        <v>1145</v>
      </c>
      <c r="D67" s="92">
        <v>8.8105726999999998E-3</v>
      </c>
      <c r="E67" s="93">
        <v>13810725.508043099</v>
      </c>
      <c r="F67" s="35"/>
      <c r="G67" s="56" t="s">
        <v>100</v>
      </c>
      <c r="H67" s="39">
        <f t="shared" si="15"/>
        <v>79350</v>
      </c>
      <c r="I67" s="77">
        <f t="shared" si="24"/>
        <v>-8.4968136999999996E-3</v>
      </c>
      <c r="J67" s="86">
        <f t="shared" si="21"/>
        <v>2932516.9005124602</v>
      </c>
      <c r="K67" s="82" t="s">
        <v>234</v>
      </c>
      <c r="L67" s="39">
        <f t="shared" si="17"/>
        <v>88.2</v>
      </c>
      <c r="M67" s="77">
        <f t="shared" si="18"/>
        <v>5.7012542999999999E-3</v>
      </c>
      <c r="N67" s="86">
        <f t="shared" si="22"/>
        <v>156461362.65901279</v>
      </c>
      <c r="O67" s="82" t="s">
        <v>232</v>
      </c>
      <c r="P67" s="39">
        <f t="shared" si="19"/>
        <v>667</v>
      </c>
      <c r="Q67" s="77">
        <f t="shared" si="20"/>
        <v>1.5220700199999999E-2</v>
      </c>
      <c r="R67" s="86">
        <f t="shared" si="23"/>
        <v>14450182.638322379</v>
      </c>
    </row>
    <row r="68" spans="1:18">
      <c r="A68" s="40" t="s">
        <v>253</v>
      </c>
      <c r="B68" s="11" t="s">
        <v>254</v>
      </c>
      <c r="C68" s="95">
        <v>353</v>
      </c>
      <c r="D68" s="92">
        <v>8.5714286000000001E-3</v>
      </c>
      <c r="E68" s="93">
        <v>30307940.218702499</v>
      </c>
      <c r="F68" s="35"/>
      <c r="G68" s="56" t="s">
        <v>166</v>
      </c>
      <c r="H68" s="39">
        <f t="shared" si="15"/>
        <v>264</v>
      </c>
      <c r="I68" s="77">
        <f t="shared" si="24"/>
        <v>-1.12359551E-2</v>
      </c>
      <c r="J68" s="86">
        <f t="shared" si="21"/>
        <v>121606011.00530005</v>
      </c>
      <c r="K68" s="82" t="s">
        <v>72</v>
      </c>
      <c r="L68" s="39">
        <f t="shared" si="17"/>
        <v>27</v>
      </c>
      <c r="M68" s="77">
        <f t="shared" si="18"/>
        <v>3.7174720999999999E-3</v>
      </c>
      <c r="N68" s="86">
        <f t="shared" si="22"/>
        <v>592418676.07798231</v>
      </c>
      <c r="O68" s="82" t="s">
        <v>110</v>
      </c>
      <c r="P68" s="39">
        <f t="shared" si="19"/>
        <v>201</v>
      </c>
      <c r="Q68" s="77">
        <f t="shared" si="20"/>
        <v>1.00502513E-2</v>
      </c>
      <c r="R68" s="86">
        <f t="shared" si="23"/>
        <v>60319721.038599528</v>
      </c>
    </row>
    <row r="69" spans="1:18">
      <c r="A69" s="40" t="s">
        <v>141</v>
      </c>
      <c r="B69" s="11" t="s">
        <v>142</v>
      </c>
      <c r="C69" s="95">
        <v>12360</v>
      </c>
      <c r="D69" s="92">
        <v>7.3349632999999996E-3</v>
      </c>
      <c r="E69" s="93">
        <v>935902.12662064994</v>
      </c>
      <c r="F69" s="35"/>
      <c r="G69" s="56" t="s">
        <v>94</v>
      </c>
      <c r="H69" s="39">
        <f t="shared" si="15"/>
        <v>4364000</v>
      </c>
      <c r="I69" s="77">
        <f t="shared" si="24"/>
        <v>-1.3116236999999999E-2</v>
      </c>
      <c r="J69" s="86">
        <f t="shared" si="21"/>
        <v>53663.111250009999</v>
      </c>
      <c r="K69" s="82" t="s">
        <v>202</v>
      </c>
      <c r="L69" s="39">
        <f t="shared" si="17"/>
        <v>94.1</v>
      </c>
      <c r="M69" s="77">
        <f t="shared" si="18"/>
        <v>2.1299255000000001E-3</v>
      </c>
      <c r="N69" s="86">
        <f t="shared" si="22"/>
        <v>248641530.81538737</v>
      </c>
      <c r="O69" s="82" t="s">
        <v>254</v>
      </c>
      <c r="P69" s="39">
        <f t="shared" si="19"/>
        <v>353</v>
      </c>
      <c r="Q69" s="77">
        <f t="shared" si="20"/>
        <v>8.5714286000000001E-3</v>
      </c>
      <c r="R69" s="86">
        <f t="shared" si="23"/>
        <v>30307940.218702499</v>
      </c>
    </row>
    <row r="70" spans="1:18">
      <c r="A70" s="40" t="s">
        <v>211</v>
      </c>
      <c r="B70" s="11" t="s">
        <v>212</v>
      </c>
      <c r="C70" s="95">
        <v>1410</v>
      </c>
      <c r="D70" s="92">
        <v>7.1428571000000003E-3</v>
      </c>
      <c r="E70" s="93">
        <v>18829902.106494639</v>
      </c>
      <c r="F70" s="35"/>
      <c r="G70" s="56" t="s">
        <v>134</v>
      </c>
      <c r="H70" s="39">
        <f t="shared" si="15"/>
        <v>37680</v>
      </c>
      <c r="I70" s="77">
        <f t="shared" si="24"/>
        <v>-1.6701461399999999E-2</v>
      </c>
      <c r="J70" s="90">
        <f t="shared" si="21"/>
        <v>1241977.1851590101</v>
      </c>
      <c r="K70" s="83" t="s">
        <v>216</v>
      </c>
      <c r="L70" s="44">
        <f t="shared" si="17"/>
        <v>12.3</v>
      </c>
      <c r="M70" s="78">
        <f t="shared" si="18"/>
        <v>0</v>
      </c>
      <c r="N70" s="90">
        <f t="shared" si="22"/>
        <v>1468412815.5291035</v>
      </c>
      <c r="O70" s="83" t="s">
        <v>194</v>
      </c>
      <c r="P70" s="44">
        <f t="shared" si="19"/>
        <v>150</v>
      </c>
      <c r="Q70" s="78">
        <f t="shared" si="20"/>
        <v>6.7114093999999999E-3</v>
      </c>
      <c r="R70" s="90">
        <f t="shared" si="23"/>
        <v>108574069.81705424</v>
      </c>
    </row>
    <row r="71" spans="1:18">
      <c r="A71" s="40" t="s">
        <v>187</v>
      </c>
      <c r="B71" s="11" t="s">
        <v>188</v>
      </c>
      <c r="C71" s="95">
        <v>14.2</v>
      </c>
      <c r="D71" s="92">
        <v>7.0921986000000003E-3</v>
      </c>
      <c r="E71" s="93">
        <v>1098268509.1554999</v>
      </c>
      <c r="F71" s="35"/>
      <c r="G71" s="60" t="s">
        <v>214</v>
      </c>
      <c r="H71" s="45">
        <f t="shared" si="15"/>
        <v>1420</v>
      </c>
      <c r="I71" s="80">
        <f t="shared" si="24"/>
        <v>-4.05405405E-2</v>
      </c>
      <c r="J71" s="99">
        <f t="shared" si="21"/>
        <v>32179828.416017059</v>
      </c>
      <c r="K71" s="82" t="s">
        <v>122</v>
      </c>
      <c r="L71" s="39">
        <f t="shared" si="17"/>
        <v>40.799999999999997</v>
      </c>
      <c r="M71" s="77">
        <f t="shared" si="18"/>
        <v>-4.8780487999999997E-3</v>
      </c>
      <c r="N71" s="99">
        <f t="shared" si="22"/>
        <v>242885381.11464632</v>
      </c>
      <c r="O71" s="82" t="s">
        <v>236</v>
      </c>
      <c r="P71" s="39">
        <f t="shared" si="19"/>
        <v>711</v>
      </c>
      <c r="Q71" s="77">
        <f t="shared" si="20"/>
        <v>0</v>
      </c>
      <c r="R71" s="99">
        <f t="shared" si="23"/>
        <v>9829243.6801403705</v>
      </c>
    </row>
    <row r="72" spans="1:18">
      <c r="A72" s="40" t="s">
        <v>207</v>
      </c>
      <c r="B72" s="11" t="s">
        <v>208</v>
      </c>
      <c r="C72" s="95">
        <v>14.8</v>
      </c>
      <c r="D72" s="92">
        <v>6.8027210999999999E-3</v>
      </c>
      <c r="E72" s="93">
        <v>1022719104.6288877</v>
      </c>
      <c r="F72" s="35"/>
      <c r="G72" s="56" t="s">
        <v>74</v>
      </c>
      <c r="H72" s="39">
        <f t="shared" si="15"/>
        <v>28160</v>
      </c>
      <c r="I72" s="77">
        <f t="shared" si="24"/>
        <v>-4.1198501899999997E-2</v>
      </c>
      <c r="J72" s="86">
        <f t="shared" si="21"/>
        <v>661407.18458712997</v>
      </c>
      <c r="K72" s="82" t="s">
        <v>210</v>
      </c>
      <c r="L72" s="39">
        <f t="shared" si="17"/>
        <v>17.399999999999999</v>
      </c>
      <c r="M72" s="77">
        <f t="shared" si="18"/>
        <v>-5.4347826100000003E-2</v>
      </c>
      <c r="N72" s="86">
        <f t="shared" si="22"/>
        <v>3844896194.7057343</v>
      </c>
      <c r="O72" s="82" t="s">
        <v>132</v>
      </c>
      <c r="P72" s="39">
        <f t="shared" si="19"/>
        <v>133</v>
      </c>
      <c r="Q72" s="77">
        <f t="shared" si="20"/>
        <v>0</v>
      </c>
      <c r="R72" s="86">
        <f t="shared" si="23"/>
        <v>61467156.06119021</v>
      </c>
    </row>
    <row r="73" spans="1:18">
      <c r="A73" s="40" t="s">
        <v>193</v>
      </c>
      <c r="B73" s="11" t="s">
        <v>194</v>
      </c>
      <c r="C73" s="95">
        <v>150</v>
      </c>
      <c r="D73" s="92">
        <v>6.7114093999999999E-3</v>
      </c>
      <c r="E73" s="93">
        <v>108574069.81705424</v>
      </c>
      <c r="F73" s="35"/>
      <c r="G73" s="56" t="s">
        <v>210</v>
      </c>
      <c r="H73" s="39">
        <f t="shared" si="15"/>
        <v>17.399999999999999</v>
      </c>
      <c r="I73" s="77">
        <f t="shared" si="24"/>
        <v>-5.4347826100000003E-2</v>
      </c>
      <c r="J73" s="86">
        <f t="shared" si="21"/>
        <v>3844896194.7057343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222</v>
      </c>
      <c r="P73" s="39">
        <f t="shared" si="19"/>
        <v>191</v>
      </c>
      <c r="Q73" s="77">
        <f t="shared" si="20"/>
        <v>0</v>
      </c>
      <c r="R73" s="86">
        <f t="shared" si="23"/>
        <v>125870602.59781307</v>
      </c>
    </row>
    <row r="74" spans="1:18">
      <c r="A74" s="40" t="s">
        <v>233</v>
      </c>
      <c r="B74" s="11" t="s">
        <v>234</v>
      </c>
      <c r="C74" s="95">
        <v>88.2</v>
      </c>
      <c r="D74" s="92">
        <v>5.7012542999999999E-3</v>
      </c>
      <c r="E74" s="93">
        <v>156461362.65901279</v>
      </c>
      <c r="F74" s="35"/>
      <c r="G74" s="56" t="s">
        <v>172</v>
      </c>
      <c r="H74" s="39">
        <f t="shared" si="15"/>
        <v>4980</v>
      </c>
      <c r="I74" s="77">
        <f t="shared" si="24"/>
        <v>-6.9158878500000007E-2</v>
      </c>
      <c r="J74" s="86">
        <f t="shared" si="21"/>
        <v>31164099.227255762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192</v>
      </c>
      <c r="P74" s="39">
        <f t="shared" si="19"/>
        <v>296</v>
      </c>
      <c r="Q74" s="77">
        <f t="shared" si="20"/>
        <v>0</v>
      </c>
      <c r="R74" s="86">
        <f t="shared" si="23"/>
        <v>123321141.88652433</v>
      </c>
    </row>
    <row r="75" spans="1:18" ht="17.25" thickBot="1">
      <c r="A75" s="40" t="s">
        <v>159</v>
      </c>
      <c r="B75" s="11" t="s">
        <v>160</v>
      </c>
      <c r="C75" s="95">
        <v>1775</v>
      </c>
      <c r="D75" s="92">
        <v>5.6657223999999999E-3</v>
      </c>
      <c r="E75" s="93">
        <v>14048554.80075234</v>
      </c>
      <c r="F75" s="35"/>
      <c r="G75" s="57" t="s">
        <v>176</v>
      </c>
      <c r="H75" s="37">
        <f t="shared" si="15"/>
        <v>1700</v>
      </c>
      <c r="I75" s="79">
        <f t="shared" si="24"/>
        <v>-7.1038251400000002E-2</v>
      </c>
      <c r="J75" s="87">
        <f t="shared" si="21"/>
        <v>52472194.06415759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166</v>
      </c>
      <c r="P75" s="37">
        <f t="shared" si="19"/>
        <v>264</v>
      </c>
      <c r="Q75" s="79">
        <f t="shared" si="20"/>
        <v>-1.12359551E-2</v>
      </c>
      <c r="R75" s="87">
        <f t="shared" si="23"/>
        <v>121606011.00530005</v>
      </c>
    </row>
    <row r="76" spans="1:18">
      <c r="A76" s="40" t="s">
        <v>115</v>
      </c>
      <c r="B76" s="11" t="s">
        <v>116</v>
      </c>
      <c r="C76" s="95">
        <v>9500</v>
      </c>
      <c r="D76" s="92">
        <v>5.2910053000000002E-3</v>
      </c>
      <c r="E76" s="93">
        <v>8493334.8048917409</v>
      </c>
      <c r="F76" s="35"/>
      <c r="G76" s="35"/>
      <c r="H76" s="35"/>
      <c r="I76" s="35"/>
    </row>
    <row r="77" spans="1:18">
      <c r="A77" s="40" t="s">
        <v>153</v>
      </c>
      <c r="B77" s="11" t="s">
        <v>154</v>
      </c>
      <c r="C77" s="95">
        <v>85810</v>
      </c>
      <c r="D77" s="92">
        <v>5.1540353999999997E-3</v>
      </c>
      <c r="E77" s="93">
        <v>866254.60229551001</v>
      </c>
      <c r="F77" s="35"/>
      <c r="G77" s="35"/>
      <c r="H77" s="35"/>
      <c r="I77" s="35"/>
    </row>
    <row r="78" spans="1:18">
      <c r="A78" s="40" t="s">
        <v>71</v>
      </c>
      <c r="B78" s="11" t="s">
        <v>72</v>
      </c>
      <c r="C78" s="95">
        <v>27</v>
      </c>
      <c r="D78" s="92">
        <v>3.7174720999999999E-3</v>
      </c>
      <c r="E78" s="93">
        <v>592418676.07798231</v>
      </c>
      <c r="F78" s="35"/>
      <c r="G78" s="35"/>
      <c r="H78" s="35"/>
      <c r="I78" s="35"/>
    </row>
    <row r="79" spans="1:18">
      <c r="A79" s="40" t="s">
        <v>245</v>
      </c>
      <c r="B79" s="11" t="s">
        <v>246</v>
      </c>
      <c r="C79" s="95">
        <v>9700</v>
      </c>
      <c r="D79" s="92">
        <v>3.621314E-3</v>
      </c>
      <c r="E79" s="93">
        <v>1896746.7728391199</v>
      </c>
      <c r="F79" s="35"/>
      <c r="G79" s="35"/>
      <c r="H79" s="35"/>
      <c r="I79" s="35"/>
    </row>
    <row r="80" spans="1:18">
      <c r="A80" s="40" t="s">
        <v>201</v>
      </c>
      <c r="B80" s="11" t="s">
        <v>202</v>
      </c>
      <c r="C80" s="95">
        <v>94.1</v>
      </c>
      <c r="D80" s="92">
        <v>2.1299255000000001E-3</v>
      </c>
      <c r="E80" s="93">
        <v>248641530.81538737</v>
      </c>
      <c r="F80" s="35"/>
      <c r="G80" s="35"/>
      <c r="H80" s="35"/>
      <c r="I80" s="35"/>
    </row>
    <row r="81" spans="1:9">
      <c r="A81" s="40" t="s">
        <v>79</v>
      </c>
      <c r="B81" s="11" t="s">
        <v>80</v>
      </c>
      <c r="C81" s="95">
        <v>1000</v>
      </c>
      <c r="D81" s="92">
        <v>1.0010010000000001E-3</v>
      </c>
      <c r="E81" s="93">
        <v>6161091.5478428202</v>
      </c>
      <c r="F81" s="35"/>
      <c r="G81" s="35"/>
      <c r="H81" s="35"/>
      <c r="I81" s="35"/>
    </row>
    <row r="82" spans="1:9">
      <c r="A82" s="40" t="s">
        <v>223</v>
      </c>
      <c r="B82" s="11" t="s">
        <v>224</v>
      </c>
      <c r="C82" s="95">
        <v>5330</v>
      </c>
      <c r="D82" s="92">
        <v>9.389671E-4</v>
      </c>
      <c r="E82" s="93">
        <v>1651571.1252391101</v>
      </c>
      <c r="F82" s="35"/>
      <c r="G82" s="35"/>
      <c r="H82" s="35"/>
      <c r="I82" s="35"/>
    </row>
    <row r="83" spans="1:9">
      <c r="A83" s="40" t="s">
        <v>235</v>
      </c>
      <c r="B83" s="11" t="s">
        <v>236</v>
      </c>
      <c r="C83" s="95">
        <v>711</v>
      </c>
      <c r="D83" s="92">
        <v>0</v>
      </c>
      <c r="E83" s="93">
        <v>9829243.6801403705</v>
      </c>
      <c r="F83" s="35"/>
      <c r="G83" s="35"/>
      <c r="H83" s="35"/>
      <c r="I83" s="35"/>
    </row>
    <row r="84" spans="1:9">
      <c r="A84" s="40" t="s">
        <v>131</v>
      </c>
      <c r="B84" s="11" t="s">
        <v>132</v>
      </c>
      <c r="C84" s="95">
        <v>133</v>
      </c>
      <c r="D84" s="92">
        <v>0</v>
      </c>
      <c r="E84" s="93">
        <v>61467156.06119021</v>
      </c>
      <c r="F84" s="35"/>
      <c r="G84" s="35"/>
      <c r="H84" s="35"/>
      <c r="I84" s="35"/>
    </row>
    <row r="85" spans="1:9">
      <c r="A85" s="40" t="s">
        <v>135</v>
      </c>
      <c r="B85" s="11" t="s">
        <v>136</v>
      </c>
      <c r="C85" s="95">
        <v>2355</v>
      </c>
      <c r="D85" s="92">
        <v>0</v>
      </c>
      <c r="E85" s="93">
        <v>3482689.5401986502</v>
      </c>
      <c r="F85" s="35"/>
      <c r="G85" s="35"/>
      <c r="H85" s="35"/>
      <c r="I85" s="35"/>
    </row>
    <row r="86" spans="1:9">
      <c r="A86" s="40" t="s">
        <v>221</v>
      </c>
      <c r="B86" s="11" t="s">
        <v>222</v>
      </c>
      <c r="C86" s="95">
        <v>191</v>
      </c>
      <c r="D86" s="92">
        <v>0</v>
      </c>
      <c r="E86" s="93">
        <v>125870602.59781307</v>
      </c>
      <c r="F86" s="35"/>
      <c r="G86" s="35"/>
      <c r="H86" s="35"/>
      <c r="I86" s="35"/>
    </row>
    <row r="87" spans="1:9">
      <c r="A87" s="40" t="s">
        <v>191</v>
      </c>
      <c r="B87" s="11" t="s">
        <v>192</v>
      </c>
      <c r="C87" s="95">
        <v>296</v>
      </c>
      <c r="D87" s="92">
        <v>0</v>
      </c>
      <c r="E87" s="93">
        <v>123321141.88652433</v>
      </c>
      <c r="F87" s="35"/>
      <c r="G87" s="35"/>
      <c r="H87" s="35"/>
      <c r="I87" s="35"/>
    </row>
    <row r="88" spans="1:9">
      <c r="A88" s="40" t="s">
        <v>215</v>
      </c>
      <c r="B88" s="11" t="s">
        <v>216</v>
      </c>
      <c r="C88" s="95">
        <v>12.3</v>
      </c>
      <c r="D88" s="92">
        <v>0</v>
      </c>
      <c r="E88" s="93">
        <v>1468412815.5291035</v>
      </c>
      <c r="F88" s="35"/>
      <c r="G88" s="35"/>
      <c r="H88" s="35"/>
      <c r="I88" s="35"/>
    </row>
    <row r="89" spans="1:9">
      <c r="A89" s="40" t="s">
        <v>75</v>
      </c>
      <c r="B89" s="11" t="s">
        <v>76</v>
      </c>
      <c r="C89" s="95">
        <v>34340</v>
      </c>
      <c r="D89" s="92">
        <v>-2.9112080000000002E-4</v>
      </c>
      <c r="E89" s="93">
        <v>669958.63345427997</v>
      </c>
      <c r="F89" s="35"/>
      <c r="G89" s="35"/>
      <c r="H89" s="35"/>
      <c r="I89" s="35"/>
    </row>
    <row r="90" spans="1:9">
      <c r="A90" s="40" t="s">
        <v>95</v>
      </c>
      <c r="B90" s="11" t="s">
        <v>96</v>
      </c>
      <c r="C90" s="95">
        <v>6250</v>
      </c>
      <c r="D90" s="92">
        <v>-2.3942538000000001E-3</v>
      </c>
      <c r="E90" s="93">
        <v>2075879.4044457499</v>
      </c>
      <c r="F90" s="35"/>
      <c r="G90" s="35"/>
      <c r="H90" s="35"/>
      <c r="I90" s="35"/>
    </row>
    <row r="91" spans="1:9">
      <c r="A91" s="40" t="s">
        <v>183</v>
      </c>
      <c r="B91" s="11" t="s">
        <v>184</v>
      </c>
      <c r="C91" s="95">
        <v>1330</v>
      </c>
      <c r="D91" s="92">
        <v>-3.7453183999999998E-3</v>
      </c>
      <c r="E91" s="93">
        <v>9312296.7511841003</v>
      </c>
      <c r="F91" s="35"/>
      <c r="G91" s="35"/>
      <c r="H91" s="35"/>
      <c r="I91" s="35"/>
    </row>
    <row r="92" spans="1:9">
      <c r="A92" s="40" t="s">
        <v>197</v>
      </c>
      <c r="B92" s="11" t="s">
        <v>198</v>
      </c>
      <c r="C92" s="95">
        <v>29540</v>
      </c>
      <c r="D92" s="92">
        <v>-4.0458530000000003E-3</v>
      </c>
      <c r="E92" s="93">
        <v>1855633.3954383601</v>
      </c>
      <c r="F92" s="35"/>
      <c r="G92" s="35"/>
      <c r="H92" s="35"/>
      <c r="I92" s="35"/>
    </row>
    <row r="93" spans="1:9">
      <c r="A93" s="40" t="s">
        <v>121</v>
      </c>
      <c r="B93" s="11" t="s">
        <v>122</v>
      </c>
      <c r="C93" s="95">
        <v>40.799999999999997</v>
      </c>
      <c r="D93" s="92">
        <v>-4.8780487999999997E-3</v>
      </c>
      <c r="E93" s="93">
        <v>242885381.11464632</v>
      </c>
      <c r="F93" s="35"/>
      <c r="G93" s="35"/>
      <c r="H93" s="35"/>
      <c r="I93" s="35"/>
    </row>
    <row r="94" spans="1:9">
      <c r="A94" s="40" t="s">
        <v>251</v>
      </c>
      <c r="B94" s="11" t="s">
        <v>252</v>
      </c>
      <c r="C94" s="95">
        <v>1215</v>
      </c>
      <c r="D94" s="92">
        <v>-8.1632652999999999E-3</v>
      </c>
      <c r="E94" s="93">
        <v>7897554.4338343004</v>
      </c>
      <c r="F94" s="35"/>
      <c r="G94" s="35"/>
      <c r="H94" s="35"/>
      <c r="I94" s="35"/>
    </row>
    <row r="95" spans="1:9">
      <c r="A95" s="40" t="s">
        <v>99</v>
      </c>
      <c r="B95" s="11" t="s">
        <v>100</v>
      </c>
      <c r="C95" s="95">
        <v>79350</v>
      </c>
      <c r="D95" s="92">
        <v>-8.4968136999999996E-3</v>
      </c>
      <c r="E95" s="93">
        <v>2932516.9005124602</v>
      </c>
      <c r="F95" s="35"/>
      <c r="G95" s="35"/>
      <c r="H95" s="35"/>
      <c r="I95" s="35"/>
    </row>
    <row r="96" spans="1:9">
      <c r="A96" s="40" t="s">
        <v>165</v>
      </c>
      <c r="B96" s="11" t="s">
        <v>166</v>
      </c>
      <c r="C96" s="95">
        <v>264</v>
      </c>
      <c r="D96" s="92">
        <v>-1.12359551E-2</v>
      </c>
      <c r="E96" s="93">
        <v>121606011.00530005</v>
      </c>
      <c r="F96" s="35"/>
      <c r="G96" s="35"/>
      <c r="H96" s="35"/>
      <c r="I96" s="35"/>
    </row>
    <row r="97" spans="1:9">
      <c r="A97" s="40" t="s">
        <v>93</v>
      </c>
      <c r="B97" s="11" t="s">
        <v>94</v>
      </c>
      <c r="C97" s="95">
        <v>4364000</v>
      </c>
      <c r="D97" s="92">
        <v>-1.3116236999999999E-2</v>
      </c>
      <c r="E97" s="93">
        <v>53663.111250009999</v>
      </c>
      <c r="F97" s="35"/>
      <c r="G97" s="35"/>
      <c r="H97" s="35"/>
      <c r="I97" s="35"/>
    </row>
    <row r="98" spans="1:9">
      <c r="A98" s="40" t="s">
        <v>133</v>
      </c>
      <c r="B98" s="11" t="s">
        <v>134</v>
      </c>
      <c r="C98" s="95">
        <v>37680</v>
      </c>
      <c r="D98" s="92">
        <v>-1.6701461399999999E-2</v>
      </c>
      <c r="E98" s="93">
        <v>1241977.1851590101</v>
      </c>
      <c r="F98" s="35"/>
      <c r="G98" s="35"/>
      <c r="H98" s="35"/>
      <c r="I98" s="35"/>
    </row>
    <row r="99" spans="1:9">
      <c r="A99" s="40" t="s">
        <v>213</v>
      </c>
      <c r="B99" s="11" t="s">
        <v>214</v>
      </c>
      <c r="C99" s="95">
        <v>1420</v>
      </c>
      <c r="D99" s="92">
        <v>-4.05405405E-2</v>
      </c>
      <c r="E99" s="93">
        <v>32179828.416017059</v>
      </c>
      <c r="F99" s="35"/>
      <c r="G99" s="35"/>
      <c r="H99" s="35"/>
      <c r="I99" s="35"/>
    </row>
    <row r="100" spans="1:9">
      <c r="A100" s="40" t="s">
        <v>73</v>
      </c>
      <c r="B100" s="11" t="s">
        <v>74</v>
      </c>
      <c r="C100" s="95">
        <v>28160</v>
      </c>
      <c r="D100" s="92">
        <v>-4.1198501899999997E-2</v>
      </c>
      <c r="E100" s="93">
        <v>661407.18458712997</v>
      </c>
      <c r="F100" s="35"/>
      <c r="G100" s="35"/>
      <c r="H100" s="35"/>
      <c r="I100" s="35"/>
    </row>
    <row r="101" spans="1:9">
      <c r="A101" s="40" t="s">
        <v>209</v>
      </c>
      <c r="B101" s="11" t="s">
        <v>210</v>
      </c>
      <c r="C101" s="95">
        <v>17.399999999999999</v>
      </c>
      <c r="D101" s="92">
        <v>-5.4347826100000003E-2</v>
      </c>
      <c r="E101" s="93">
        <v>3844896194.7057343</v>
      </c>
      <c r="F101" s="35"/>
      <c r="G101" s="35"/>
      <c r="H101" s="35"/>
      <c r="I101" s="35"/>
    </row>
    <row r="102" spans="1:9">
      <c r="A102" s="40" t="s">
        <v>171</v>
      </c>
      <c r="B102" s="11" t="s">
        <v>172</v>
      </c>
      <c r="C102" s="95">
        <v>4980</v>
      </c>
      <c r="D102" s="92">
        <v>-6.9158878500000007E-2</v>
      </c>
      <c r="E102" s="93">
        <v>31164099.227255762</v>
      </c>
      <c r="F102" s="35"/>
      <c r="G102" s="35"/>
      <c r="H102" s="35"/>
      <c r="I102" s="35"/>
    </row>
    <row r="103" spans="1:9">
      <c r="A103" s="40" t="s">
        <v>175</v>
      </c>
      <c r="B103" s="11" t="s">
        <v>176</v>
      </c>
      <c r="C103" s="95">
        <v>1700</v>
      </c>
      <c r="D103" s="92">
        <v>-7.1038251400000002E-2</v>
      </c>
      <c r="E103" s="93">
        <v>52472194.06415759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73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18" t="str">
        <f>TEXT(투자전략!$G$1, "[$-ko-KR]yyyy년 mm월") &amp; " 총결산"</f>
        <v>2021년 09월 총결산</v>
      </c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20"/>
    </row>
    <row r="2" spans="1:15" ht="16.5" customHeight="1" thickBot="1">
      <c r="A2" s="215" t="s">
        <v>289</v>
      </c>
      <c r="B2" s="216"/>
      <c r="C2" s="216"/>
      <c r="D2" s="188" t="s">
        <v>285</v>
      </c>
      <c r="E2" s="188"/>
      <c r="F2" s="189"/>
      <c r="G2" s="218" t="s">
        <v>286</v>
      </c>
      <c r="H2" s="219"/>
      <c r="I2" s="220"/>
      <c r="J2" s="187" t="s">
        <v>287</v>
      </c>
      <c r="K2" s="188"/>
      <c r="L2" s="188"/>
      <c r="M2" s="188" t="s">
        <v>288</v>
      </c>
      <c r="N2" s="188"/>
      <c r="O2" s="189"/>
    </row>
    <row r="3" spans="1:15" ht="16.5" customHeight="1">
      <c r="A3" s="245">
        <v>1</v>
      </c>
      <c r="B3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Top20</v>
      </c>
      <c r="C3" s="217"/>
      <c r="D3" s="215" t="s">
        <v>290</v>
      </c>
      <c r="E3" s="216"/>
      <c r="F3" s="217"/>
      <c r="G3" s="215" t="s">
        <v>297</v>
      </c>
      <c r="H3" s="216"/>
      <c r="I3" s="217"/>
      <c r="J3" s="215" t="s">
        <v>304</v>
      </c>
      <c r="K3" s="216"/>
      <c r="L3" s="217"/>
      <c r="M3" s="215" t="s">
        <v>311</v>
      </c>
      <c r="N3" s="216"/>
      <c r="O3" s="217"/>
    </row>
    <row r="4" spans="1:15" ht="16.5" customHeight="1" thickBot="1">
      <c r="A4" s="246"/>
      <c r="B4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270,485 KRW (10.61%)</v>
      </c>
      <c r="C4" s="210"/>
      <c r="D4" s="208" t="str">
        <f ca="1" xml:space="preserve"> TEXT($F$92, "#,##0") &amp; " KRW (" &amp; TEXT($E$92, "0.00%)")</f>
        <v>105,076 KRW (4.12%)</v>
      </c>
      <c r="E4" s="209"/>
      <c r="F4" s="210"/>
      <c r="G4" s="208" t="str">
        <f ca="1" xml:space="preserve"> TEXT($I$92, "#,##0") &amp; " KRW (" &amp; TEXT($H$92, "0.00%)")</f>
        <v>270,485 KRW (10.61%)</v>
      </c>
      <c r="H4" s="209"/>
      <c r="I4" s="210"/>
      <c r="J4" s="208" t="str">
        <f ca="1" xml:space="preserve"> TEXT($L$92, "#,##0") &amp; " KRW (" &amp; TEXT($K$92, "0.00%)")</f>
        <v>255,836 KRW (10.03%)</v>
      </c>
      <c r="K4" s="209"/>
      <c r="L4" s="210"/>
      <c r="M4" s="208" t="str">
        <f ca="1" xml:space="preserve"> TEXT($O$92, "#,##0") &amp; " KRW (" &amp; TEXT($N$92, "0.00%)")</f>
        <v>144,006 KRW (5.65%)</v>
      </c>
      <c r="N4" s="209"/>
      <c r="O4" s="210"/>
    </row>
    <row r="5" spans="1:15" ht="16.5" customHeight="1">
      <c r="A5" s="245">
        <v>2</v>
      </c>
      <c r="B5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217"/>
      <c r="D5" s="215" t="s">
        <v>291</v>
      </c>
      <c r="E5" s="216"/>
      <c r="F5" s="217"/>
      <c r="G5" s="215" t="s">
        <v>298</v>
      </c>
      <c r="H5" s="216"/>
      <c r="I5" s="217"/>
      <c r="J5" s="215" t="s">
        <v>305</v>
      </c>
      <c r="K5" s="216"/>
      <c r="L5" s="217"/>
      <c r="M5" s="215" t="s">
        <v>312</v>
      </c>
      <c r="N5" s="216"/>
      <c r="O5" s="217"/>
    </row>
    <row r="6" spans="1:15" ht="16.5" customHeight="1" thickBot="1">
      <c r="A6" s="246"/>
      <c r="B6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270,485 KRW (10.61%)</v>
      </c>
      <c r="C6" s="210"/>
      <c r="D6" s="208" t="str">
        <f ca="1" xml:space="preserve"> TEXT($F$130, "#,##0") &amp; " KRW (" &amp; TEXT($E$130, "0.00%)")</f>
        <v>34,768 KRW (1.16%)</v>
      </c>
      <c r="E6" s="209"/>
      <c r="F6" s="210"/>
      <c r="G6" s="208" t="str">
        <f ca="1" xml:space="preserve"> TEXT($I$130, "#,##0") &amp; " KRW (" &amp; TEXT($H$130, "0.00%)")</f>
        <v>151,171 KRW (5.04%)</v>
      </c>
      <c r="H6" s="209"/>
      <c r="I6" s="210"/>
      <c r="J6" s="208" t="str">
        <f ca="1" xml:space="preserve"> TEXT($L$130, "#,##0") &amp; " KRW (" &amp; TEXT($K$130, "0.00%)")</f>
        <v>202,871 KRW (6.76%)</v>
      </c>
      <c r="K6" s="209"/>
      <c r="L6" s="210"/>
      <c r="M6" s="208" t="str">
        <f ca="1" xml:space="preserve"> TEXT($O$130, "#,##0") &amp; " KRW (" &amp; TEXT($N$130, "0.00%)")</f>
        <v>76,540 KRW (2.55%)</v>
      </c>
      <c r="N6" s="209"/>
      <c r="O6" s="210"/>
    </row>
    <row r="7" spans="1:15" ht="16.5" customHeight="1">
      <c r="A7" s="245">
        <v>3</v>
      </c>
      <c r="B7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엽전코인 Top20</v>
      </c>
      <c r="C7" s="217"/>
      <c r="D7" s="215" t="s">
        <v>292</v>
      </c>
      <c r="E7" s="216"/>
      <c r="F7" s="217"/>
      <c r="G7" s="215" t="s">
        <v>299</v>
      </c>
      <c r="H7" s="216"/>
      <c r="I7" s="217"/>
      <c r="J7" s="215" t="s">
        <v>306</v>
      </c>
      <c r="K7" s="216"/>
      <c r="L7" s="217"/>
      <c r="M7" s="215" t="s">
        <v>313</v>
      </c>
      <c r="N7" s="216"/>
      <c r="O7" s="217"/>
    </row>
    <row r="8" spans="1:15" ht="16.5" customHeight="1" thickBot="1">
      <c r="A8" s="246"/>
      <c r="B8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255,836 KRW (10.03%)</v>
      </c>
      <c r="C8" s="210"/>
      <c r="D8" s="208" t="str">
        <f ca="1" xml:space="preserve"> TEXT($F$206, "#,##0") &amp; " KRW (" &amp; TEXT($E$206, "0.00%)")</f>
        <v>105,076 KRW (4.12%)</v>
      </c>
      <c r="E8" s="209"/>
      <c r="F8" s="210"/>
      <c r="G8" s="208" t="str">
        <f ca="1" xml:space="preserve"> TEXT($I$206, "#,##0") &amp; " KRW (" &amp; TEXT($H$206, "0.00%)")</f>
        <v>270,485 KRW (10.61%)</v>
      </c>
      <c r="H8" s="209"/>
      <c r="I8" s="210"/>
      <c r="J8" s="208" t="str">
        <f ca="1" xml:space="preserve"> TEXT($L$206, "#,##0") &amp; " KRW (" &amp; TEXT($K$206, "0.00%)")</f>
        <v>255,836 KRW (10.03%)</v>
      </c>
      <c r="K8" s="209"/>
      <c r="L8" s="210"/>
      <c r="M8" s="208" t="str">
        <f ca="1" xml:space="preserve"> TEXT($O$206, "#,##0") &amp; " KRW (" &amp; TEXT($N$206, "0.00%)")</f>
        <v>144,006 KRW (5.65%)</v>
      </c>
      <c r="N8" s="209"/>
      <c r="O8" s="210"/>
    </row>
    <row r="9" spans="1:15" ht="16.5" customHeight="1">
      <c r="A9" s="245">
        <v>4</v>
      </c>
      <c r="B9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엽전코인 Top20</v>
      </c>
      <c r="C9" s="217"/>
      <c r="D9" s="215" t="s">
        <v>293</v>
      </c>
      <c r="E9" s="216"/>
      <c r="F9" s="217"/>
      <c r="G9" s="215" t="s">
        <v>300</v>
      </c>
      <c r="H9" s="216"/>
      <c r="I9" s="217"/>
      <c r="J9" s="215" t="s">
        <v>307</v>
      </c>
      <c r="K9" s="216"/>
      <c r="L9" s="217"/>
      <c r="M9" s="215" t="s">
        <v>314</v>
      </c>
      <c r="N9" s="216"/>
      <c r="O9" s="217"/>
    </row>
    <row r="10" spans="1:15" ht="16.5" customHeight="1" thickBot="1">
      <c r="A10" s="246"/>
      <c r="B10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255,836 KRW (10.03%)</v>
      </c>
      <c r="C10" s="210"/>
      <c r="D10" s="208" t="str">
        <f ca="1" xml:space="preserve"> TEXT($F$244, "#,##0") &amp; " KRW (" &amp; TEXT($E$244, "0.00%)")</f>
        <v>74,702 KRW (2.49%)</v>
      </c>
      <c r="E10" s="209"/>
      <c r="F10" s="210"/>
      <c r="G10" s="208" t="str">
        <f ca="1" xml:space="preserve"> TEXT($I$244, "#,##0") &amp; " KRW (" &amp; TEXT($H$244, "0.00%)")</f>
        <v>152,834 KRW (5.09%)</v>
      </c>
      <c r="H10" s="209"/>
      <c r="I10" s="210"/>
      <c r="J10" s="208" t="str">
        <f ca="1" xml:space="preserve"> TEXT($L$244, "#,##0") &amp; " KRW (" &amp; TEXT($K$244, "0.00%)")</f>
        <v>189,371 KRW (6.31%)</v>
      </c>
      <c r="K10" s="209"/>
      <c r="L10" s="210"/>
      <c r="M10" s="208" t="str">
        <f ca="1" xml:space="preserve"> TEXT($O$244, "#,##0") &amp; " KRW (" &amp; TEXT($N$244, "0.00%)")</f>
        <v>59,408 KRW (1.98%)</v>
      </c>
      <c r="N10" s="209"/>
      <c r="O10" s="210"/>
    </row>
    <row r="11" spans="1:15" ht="16.5" customHeight="1">
      <c r="A11" s="245">
        <v>5</v>
      </c>
      <c r="B11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217"/>
      <c r="D11" s="215" t="s">
        <v>294</v>
      </c>
      <c r="E11" s="216"/>
      <c r="F11" s="217"/>
      <c r="G11" s="215" t="s">
        <v>301</v>
      </c>
      <c r="H11" s="216"/>
      <c r="I11" s="217"/>
      <c r="J11" s="215" t="s">
        <v>308</v>
      </c>
      <c r="K11" s="216"/>
      <c r="L11" s="217"/>
      <c r="M11" s="215" t="s">
        <v>315</v>
      </c>
      <c r="N11" s="216"/>
      <c r="O11" s="217"/>
    </row>
    <row r="12" spans="1:15" ht="16.5" customHeight="1" thickBot="1">
      <c r="A12" s="246"/>
      <c r="B12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202,871 KRW (6.76%)</v>
      </c>
      <c r="C12" s="210"/>
      <c r="D12" s="208" t="str">
        <f ca="1" xml:space="preserve"> TEXT($F$168, "#,##0") &amp; " KRW (" &amp; TEXT($E$168, "0.00%)")</f>
        <v>-45,620 KRW (-1.52%)</v>
      </c>
      <c r="E12" s="209"/>
      <c r="F12" s="210"/>
      <c r="G12" s="208" t="str">
        <f ca="1" xml:space="preserve"> TEXT($I$168, "#,##0") &amp; " KRW (" &amp; TEXT($H$168, "0.00%)")</f>
        <v>16,279 KRW (0.54%)</v>
      </c>
      <c r="H12" s="209"/>
      <c r="I12" s="210"/>
      <c r="J12" s="208" t="str">
        <f ca="1" xml:space="preserve"> TEXT($L$168, "#,##0") &amp; " KRW (" &amp; TEXT($K$168, "0.00%)")</f>
        <v>63,215 KRW (2.11%)</v>
      </c>
      <c r="K12" s="209"/>
      <c r="L12" s="210"/>
      <c r="M12" s="208" t="str">
        <f ca="1" xml:space="preserve"> TEXT($O$168, "#,##0") &amp; " KRW (" &amp; TEXT($N$168, "0.00%)")</f>
        <v>-2,924 KRW (-0.10%)</v>
      </c>
      <c r="N12" s="209"/>
      <c r="O12" s="210"/>
    </row>
    <row r="13" spans="1:15" ht="16.5" customHeight="1">
      <c r="A13" s="245">
        <v>6</v>
      </c>
      <c r="B13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전일대비 상승률 Bottom20</v>
      </c>
      <c r="C13" s="217"/>
      <c r="D13" s="215" t="s">
        <v>295</v>
      </c>
      <c r="E13" s="216"/>
      <c r="F13" s="217"/>
      <c r="G13" s="215" t="s">
        <v>302</v>
      </c>
      <c r="H13" s="216"/>
      <c r="I13" s="217"/>
      <c r="J13" s="215" t="s">
        <v>309</v>
      </c>
      <c r="K13" s="216"/>
      <c r="L13" s="217"/>
      <c r="M13" s="215" t="s">
        <v>316</v>
      </c>
      <c r="N13" s="216"/>
      <c r="O13" s="217"/>
    </row>
    <row r="14" spans="1:15" ht="16.5" customHeight="1" thickBot="1">
      <c r="A14" s="246"/>
      <c r="B14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200,454 KRW (6.68%)</v>
      </c>
      <c r="C14" s="210"/>
      <c r="D14" s="208" t="str">
        <f ca="1" xml:space="preserve"> TEXT($F$282, "#,##0") &amp; " KRW (" &amp; TEXT($E$282, "0.00%)")</f>
        <v>102,156 KRW (3.41%)</v>
      </c>
      <c r="E14" s="209"/>
      <c r="F14" s="210"/>
      <c r="G14" s="208" t="str">
        <f ca="1" xml:space="preserve"> TEXT($I$282, "#,##0") &amp; " KRW (" &amp; TEXT($H$282, "0.00%)")</f>
        <v>200,454 KRW (6.68%)</v>
      </c>
      <c r="H14" s="209"/>
      <c r="I14" s="210"/>
      <c r="J14" s="208" t="str">
        <f ca="1" xml:space="preserve"> TEXT($L$282, "#,##0") &amp; " KRW (" &amp; TEXT($K$282, "0.00%)")</f>
        <v>187,560 KRW (6.25%)</v>
      </c>
      <c r="K14" s="209"/>
      <c r="L14" s="210"/>
      <c r="M14" s="208" t="str">
        <f ca="1" xml:space="preserve"> TEXT($O$282, "#,##0") &amp; " KRW (" &amp; TEXT($N$282, "0.00%)")</f>
        <v>86,234 KRW (2.87%)</v>
      </c>
      <c r="N14" s="209"/>
      <c r="O14" s="210"/>
    </row>
    <row r="15" spans="1:15" ht="16.5" customHeight="1">
      <c r="A15" s="245">
        <v>7</v>
      </c>
      <c r="B15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동전코인 Bottom20</v>
      </c>
      <c r="C15" s="217"/>
      <c r="D15" s="215" t="s">
        <v>296</v>
      </c>
      <c r="E15" s="216"/>
      <c r="F15" s="217"/>
      <c r="G15" s="215" t="s">
        <v>303</v>
      </c>
      <c r="H15" s="216"/>
      <c r="I15" s="217"/>
      <c r="J15" s="215" t="s">
        <v>310</v>
      </c>
      <c r="K15" s="216"/>
      <c r="L15" s="217"/>
      <c r="M15" s="215" t="s">
        <v>317</v>
      </c>
      <c r="N15" s="216"/>
      <c r="O15" s="217"/>
    </row>
    <row r="16" spans="1:15" ht="16.5" customHeight="1" thickBot="1">
      <c r="A16" s="246"/>
      <c r="B16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189,371 KRW (6.31%)</v>
      </c>
      <c r="C16" s="210"/>
      <c r="D16" s="208" t="str">
        <f ca="1" xml:space="preserve"> TEXT($F$54, "#,##0") &amp; " KRW (" &amp; TEXT($E$54, "0.00%)")</f>
        <v>0 KRW (0.00%)</v>
      </c>
      <c r="E16" s="209"/>
      <c r="F16" s="210"/>
      <c r="G16" s="208" t="str">
        <f ca="1" xml:space="preserve"> TEXT($I$54, "#,##0") &amp; " KRW (" &amp; TEXT($H$54, "0.00%)")</f>
        <v>0 KRW (0.00%)</v>
      </c>
      <c r="H16" s="209"/>
      <c r="I16" s="210"/>
      <c r="J16" s="208" t="str">
        <f ca="1" xml:space="preserve"> TEXT($L$54, "#,##0") &amp; " KRW (" &amp; TEXT($K$54, "0.00%)")</f>
        <v>0 KRW (0.00%)</v>
      </c>
      <c r="K16" s="209"/>
      <c r="L16" s="210"/>
      <c r="M16" s="208" t="str">
        <f ca="1" xml:space="preserve"> TEXT($O$54, "#,##0") &amp; " KRW (" &amp; TEXT($N$54, "0.00%)")</f>
        <v>0 KRW (0.00%)</v>
      </c>
      <c r="N16" s="209"/>
      <c r="O16" s="210"/>
    </row>
    <row r="18" spans="1:15" ht="16.5" customHeight="1" thickBot="1"/>
    <row r="19" spans="1:15" ht="16.5" customHeight="1" thickBot="1">
      <c r="A19" s="187" t="str">
        <f>TEXT(투자전략!$G$1, "[$-ko-KR]yyyy년 mm월 ") &amp; "실거래 월말결산"</f>
        <v>2021년 09월 실거래 월말결산</v>
      </c>
      <c r="B19" s="188"/>
      <c r="C19" s="188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9"/>
    </row>
    <row r="20" spans="1:15" ht="16.5" customHeight="1" thickBot="1">
      <c r="A20" s="231" t="s">
        <v>284</v>
      </c>
      <c r="B20" s="208" t="s">
        <v>282</v>
      </c>
      <c r="C20" s="210"/>
      <c r="D20" s="208" t="s">
        <v>274</v>
      </c>
      <c r="E20" s="209"/>
      <c r="F20" s="210"/>
      <c r="G20" s="208" t="s">
        <v>275</v>
      </c>
      <c r="H20" s="209"/>
      <c r="I20" s="210"/>
      <c r="J20" s="208" t="s">
        <v>276</v>
      </c>
      <c r="K20" s="209"/>
      <c r="L20" s="210"/>
      <c r="M20" s="208" t="s">
        <v>277</v>
      </c>
      <c r="N20" s="209"/>
      <c r="O20" s="210"/>
    </row>
    <row r="21" spans="1:15" ht="16.5" customHeight="1" thickBot="1">
      <c r="A21" s="224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 t="str">
        <f t="shared" ca="1" si="0"/>
        <v/>
      </c>
      <c r="D24" s="139" t="str">
        <f t="shared" ca="1" si="1"/>
        <v/>
      </c>
      <c r="E24" s="77" t="str">
        <f t="shared" ca="1" si="2"/>
        <v/>
      </c>
      <c r="F24" s="137" t="str">
        <f t="shared" ca="1" si="3"/>
        <v/>
      </c>
      <c r="G24" s="139" t="str">
        <f t="shared" ca="1" si="4"/>
        <v/>
      </c>
      <c r="H24" s="77" t="str">
        <f t="shared" ca="1" si="5"/>
        <v/>
      </c>
      <c r="I24" s="137" t="str">
        <f t="shared" ca="1" si="6"/>
        <v/>
      </c>
      <c r="J24" s="139" t="str">
        <f t="shared" ca="1" si="7"/>
        <v/>
      </c>
      <c r="K24" s="77" t="str">
        <f t="shared" ca="1" si="8"/>
        <v/>
      </c>
      <c r="L24" s="137" t="str">
        <f t="shared" ca="1" si="9"/>
        <v/>
      </c>
      <c r="M24" s="139" t="str">
        <f t="shared" ca="1" si="10"/>
        <v/>
      </c>
      <c r="N24" s="77" t="str">
        <f t="shared" ca="1" si="11"/>
        <v/>
      </c>
      <c r="O24" s="137" t="str">
        <f t="shared" ca="1" si="12"/>
        <v/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5" t="s">
        <v>283</v>
      </c>
      <c r="B53" s="217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08"/>
      <c r="B54" s="21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87" t="str">
        <f>TEXT(투자전략!$G$1, "[$-ko-KR]yyyy년 mm월 ") &amp; "[엽전코인] 전일대비 상승률 Top20 월말결산"</f>
        <v>2021년 09월 [엽전코인] 전일대비 상승률 Top20 월말결산</v>
      </c>
      <c r="B57" s="188"/>
      <c r="C57" s="188"/>
      <c r="D57" s="188"/>
      <c r="E57" s="188"/>
      <c r="F57" s="188"/>
      <c r="G57" s="188"/>
      <c r="H57" s="188"/>
      <c r="I57" s="188"/>
      <c r="J57" s="188"/>
      <c r="K57" s="188"/>
      <c r="L57" s="188"/>
      <c r="M57" s="188"/>
      <c r="N57" s="188"/>
      <c r="O57" s="189"/>
    </row>
    <row r="58" spans="1:15" ht="16.5" customHeight="1" thickBot="1">
      <c r="A58" s="231" t="s">
        <v>284</v>
      </c>
      <c r="B58" s="208" t="s">
        <v>282</v>
      </c>
      <c r="C58" s="210"/>
      <c r="D58" s="208" t="s">
        <v>274</v>
      </c>
      <c r="E58" s="209"/>
      <c r="F58" s="210"/>
      <c r="G58" s="208" t="s">
        <v>275</v>
      </c>
      <c r="H58" s="209"/>
      <c r="I58" s="210"/>
      <c r="J58" s="208" t="s">
        <v>276</v>
      </c>
      <c r="K58" s="209"/>
      <c r="L58" s="210"/>
      <c r="M58" s="208" t="s">
        <v>277</v>
      </c>
      <c r="N58" s="209"/>
      <c r="O58" s="210"/>
    </row>
    <row r="59" spans="1:15" ht="16.5" customHeight="1" thickBot="1">
      <c r="A59" s="224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2550000</v>
      </c>
      <c r="D60" s="142">
        <f ca="1">IFERROR($C60 * (1 + E60), "")</f>
        <v>2599937.7939808499</v>
      </c>
      <c r="E60" s="76">
        <f ca="1">IFERROR(INDIRECT($B60&amp;"!E64"), "")</f>
        <v>1.9583448619941168E-2</v>
      </c>
      <c r="F60" s="141">
        <f ca="1">IFERROR(INDIRECT($B60&amp;"!F64"), "")</f>
        <v>49937.79398084998</v>
      </c>
      <c r="G60" s="142">
        <f ca="1">IFERROR($C60 * (1 + H60), "")</f>
        <v>2750302.0418870994</v>
      </c>
      <c r="H60" s="76">
        <f ca="1">IFERROR(INDIRECT($B60&amp;"!H64"), "")</f>
        <v>7.8549820347881952E-2</v>
      </c>
      <c r="I60" s="141">
        <f ca="1">IFERROR(INDIRECT($B60&amp;"!I64"), "")</f>
        <v>200302.04188709898</v>
      </c>
      <c r="J60" s="142">
        <f ca="1">IFERROR($C60 * (1 + K60), "")</f>
        <v>2717640.6186050787</v>
      </c>
      <c r="K60" s="76">
        <f ca="1">IFERROR(INDIRECT($B60&amp;"!K64"), "")</f>
        <v>6.5741419060815168E-2</v>
      </c>
      <c r="L60" s="141">
        <f ca="1">IFERROR(INDIRECT($B60&amp;"!L64"), "")</f>
        <v>167640.61860507872</v>
      </c>
      <c r="M60" s="142">
        <f ca="1">IFERROR($C60 * (1 + N60), "")</f>
        <v>2694006.2886698772</v>
      </c>
      <c r="N60" s="76">
        <f ca="1">IFERROR(INDIRECT($B60&amp;"!N64"), "")</f>
        <v>5.6473054380343897E-2</v>
      </c>
      <c r="O60" s="141">
        <f ca="1">IFERROR(INDIRECT($B60&amp;"!O64"), "")</f>
        <v>144006.28866987693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2550000</v>
      </c>
      <c r="D61" s="139">
        <f t="shared" ref="D61:D90" ca="1" si="14">IFERROR($C61 * (1 + E61), "")</f>
        <v>2605138.0526809017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55138.052680901557</v>
      </c>
      <c r="G61" s="139">
        <f t="shared" ref="G61:G90" ca="1" si="17">IFERROR($C61 * (1 + H61), "")</f>
        <v>2620182.8602818795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70182.860281879563</v>
      </c>
      <c r="J61" s="139">
        <f t="shared" ref="J61:J90" ca="1" si="20">IFERROR($C61 * (1 + K61), "")</f>
        <v>2638195.1587610198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88195.158761019615</v>
      </c>
      <c r="M61" s="139">
        <f t="shared" ref="M61:M90" ca="1" si="23">IFERROR($C61 * (1 + N61), "")</f>
        <v>2550000</v>
      </c>
      <c r="N61" s="77">
        <f t="shared" ref="N61:N90" ca="1" si="24">IFERROR(INDIRECT($B61&amp;"!N64"), "")</f>
        <v>0</v>
      </c>
      <c r="O61" s="137">
        <f t="shared" ref="O61:O90" ca="1" si="25">IFERROR(INDIRECT($B61&amp;"!O64"), "")</f>
        <v>0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 t="str">
        <f t="shared" ca="1" si="13"/>
        <v/>
      </c>
      <c r="D62" s="139" t="str">
        <f t="shared" ca="1" si="14"/>
        <v/>
      </c>
      <c r="E62" s="77" t="str">
        <f t="shared" ca="1" si="15"/>
        <v/>
      </c>
      <c r="F62" s="137" t="str">
        <f t="shared" ca="1" si="16"/>
        <v/>
      </c>
      <c r="G62" s="139" t="str">
        <f t="shared" ca="1" si="17"/>
        <v/>
      </c>
      <c r="H62" s="77" t="str">
        <f t="shared" ca="1" si="18"/>
        <v/>
      </c>
      <c r="I62" s="137" t="str">
        <f t="shared" ca="1" si="19"/>
        <v/>
      </c>
      <c r="J62" s="139" t="str">
        <f t="shared" ca="1" si="20"/>
        <v/>
      </c>
      <c r="K62" s="77" t="str">
        <f t="shared" ca="1" si="21"/>
        <v/>
      </c>
      <c r="L62" s="137" t="str">
        <f t="shared" ca="1" si="22"/>
        <v/>
      </c>
      <c r="M62" s="139" t="str">
        <f t="shared" ca="1" si="23"/>
        <v/>
      </c>
      <c r="N62" s="77" t="str">
        <f t="shared" ca="1" si="24"/>
        <v/>
      </c>
      <c r="O62" s="137" t="str">
        <f t="shared" ca="1" si="25"/>
        <v/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5" t="s">
        <v>283</v>
      </c>
      <c r="B91" s="217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08"/>
      <c r="B92" s="210"/>
      <c r="C92" s="136">
        <f ca="1">SUM(C60:C90)</f>
        <v>5100000</v>
      </c>
      <c r="D92" s="140">
        <f ca="1">SUM(D60:D90)</f>
        <v>5205075.8466617521</v>
      </c>
      <c r="E92" s="79">
        <f ca="1">IFERROR(F92 / (SUM($C60:$C90) / COUNT($C60:$C90)), 0)</f>
        <v>4.1206214377157463E-2</v>
      </c>
      <c r="F92" s="138">
        <f ca="1">SUM(F60:F90)</f>
        <v>105075.84666175154</v>
      </c>
      <c r="G92" s="140">
        <f ca="1">SUM(G60:G90)</f>
        <v>5370484.9021689789</v>
      </c>
      <c r="H92" s="79">
        <f ca="1">IFERROR(I92 / (SUM($C60:$C90) / COUNT($C60:$C90)), 0)</f>
        <v>0.10607251065450138</v>
      </c>
      <c r="I92" s="138">
        <f ca="1">SUM(I60:I90)</f>
        <v>270484.90216897853</v>
      </c>
      <c r="J92" s="140">
        <f ca="1">SUM(J60:J90)</f>
        <v>5355835.777366098</v>
      </c>
      <c r="K92" s="79">
        <f ca="1">IFERROR(L92 / (SUM($C60:$C90) / COUNT($C60:$C90)), 0)</f>
        <v>0.10032775582984249</v>
      </c>
      <c r="L92" s="138">
        <f ca="1">SUM(L60:L90)</f>
        <v>255835.77736609834</v>
      </c>
      <c r="M92" s="140">
        <f ca="1">SUM(M60:M90)</f>
        <v>5244006.2886698768</v>
      </c>
      <c r="N92" s="79">
        <f ca="1">IFERROR(O92 / (SUM($C60:$C90) / COUNT($C60:$C90)), 0)</f>
        <v>5.6473054380343897E-2</v>
      </c>
      <c r="O92" s="138">
        <f ca="1">SUM(O60:O90)</f>
        <v>144006.28866987693</v>
      </c>
    </row>
    <row r="94" spans="1:15" ht="16.5" customHeight="1" thickBot="1"/>
    <row r="95" spans="1:15" ht="16.5" customHeight="1" thickBot="1">
      <c r="A95" s="187" t="str">
        <f>TEXT(투자전략!$G$1, "[$-ko-KR]yyyy년 mm월 ") &amp; "[동전코인] 전일대비 상승률 Top20 월말결산"</f>
        <v>2021년 09월 [동전코인] 전일대비 상승률 Top20 월말결산</v>
      </c>
      <c r="B95" s="188"/>
      <c r="C95" s="188"/>
      <c r="D95" s="188"/>
      <c r="E95" s="188"/>
      <c r="F95" s="188"/>
      <c r="G95" s="188"/>
      <c r="H95" s="188"/>
      <c r="I95" s="188"/>
      <c r="J95" s="188"/>
      <c r="K95" s="188"/>
      <c r="L95" s="188"/>
      <c r="M95" s="188"/>
      <c r="N95" s="188"/>
      <c r="O95" s="189"/>
    </row>
    <row r="96" spans="1:15" ht="16.5" customHeight="1" thickBot="1">
      <c r="A96" s="231" t="s">
        <v>284</v>
      </c>
      <c r="B96" s="208" t="s">
        <v>282</v>
      </c>
      <c r="C96" s="210"/>
      <c r="D96" s="208" t="s">
        <v>274</v>
      </c>
      <c r="E96" s="209"/>
      <c r="F96" s="210"/>
      <c r="G96" s="208" t="s">
        <v>275</v>
      </c>
      <c r="H96" s="209"/>
      <c r="I96" s="210"/>
      <c r="J96" s="208" t="s">
        <v>276</v>
      </c>
      <c r="K96" s="209"/>
      <c r="L96" s="210"/>
      <c r="M96" s="208" t="s">
        <v>277</v>
      </c>
      <c r="N96" s="209"/>
      <c r="O96" s="210"/>
    </row>
    <row r="97" spans="1:15" ht="16.5" customHeight="1" thickBot="1">
      <c r="A97" s="224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3000000</v>
      </c>
      <c r="D98" s="142">
        <f ca="1">IFERROR($C98 * (1 + E98), "")</f>
        <v>2991788.137373962</v>
      </c>
      <c r="E98" s="76">
        <f ca="1">IFERROR(INDIRECT($B98&amp;"!E91"), "")</f>
        <v>-2.7372875420127282E-3</v>
      </c>
      <c r="F98" s="141">
        <f ca="1">IFERROR(INDIRECT($B98&amp;"!F91"), "")</f>
        <v>-8211.8626260381843</v>
      </c>
      <c r="G98" s="142">
        <f ca="1">IFERROR($C98 * (1 + H98), "")</f>
        <v>3045020.8293981538</v>
      </c>
      <c r="H98" s="76">
        <f ca="1">IFERROR(INDIRECT($B98&amp;"!H91"), "")</f>
        <v>1.5006943132718012E-2</v>
      </c>
      <c r="I98" s="141">
        <f ca="1">IFERROR(INDIRECT($B98&amp;"!I91"), "")</f>
        <v>45020.829398154026</v>
      </c>
      <c r="J98" s="142">
        <f ca="1">IFERROR($C98 * (1 + K98), "")</f>
        <v>3074705.7651619203</v>
      </c>
      <c r="K98" s="76">
        <f ca="1">IFERROR(INDIRECT($B98&amp;"!K91"), "")</f>
        <v>2.4901921720640145E-2</v>
      </c>
      <c r="L98" s="141">
        <f ca="1">IFERROR(INDIRECT($B98&amp;"!L91"), "")</f>
        <v>74705.765161920441</v>
      </c>
      <c r="M98" s="142">
        <f ca="1">IFERROR($C98 * (1 + N98), "")</f>
        <v>3076539.8447590256</v>
      </c>
      <c r="N98" s="76">
        <f ca="1">IFERROR(INDIRECT($B98&amp;"!N91"), "")</f>
        <v>2.5513281586342022E-2</v>
      </c>
      <c r="O98" s="141">
        <f ca="1">IFERROR(INDIRECT($B98&amp;"!O91"), "")</f>
        <v>76539.844759026062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3042979.6594187417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42979.659418741896</v>
      </c>
      <c r="G99" s="139">
        <f t="shared" ref="G99:G128" ca="1" si="30">IFERROR($C99 * (1 + H99), "")</f>
        <v>3106150.5007865704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106150.50078657024</v>
      </c>
      <c r="J99" s="139">
        <f t="shared" ref="J99:J128" ca="1" si="33">IFERROR($C99 * (1 + K99), "")</f>
        <v>3128165.516761926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128165.51676192654</v>
      </c>
      <c r="M99" s="139">
        <f t="shared" ref="M99:M128" ca="1" si="36">IFERROR($C99 * (1 + N99), "")</f>
        <v>3000000</v>
      </c>
      <c r="N99" s="77">
        <f t="shared" ref="N99:N128" ca="1" si="37">IFERROR(INDIRECT($B99&amp;"!N91"), "")</f>
        <v>0</v>
      </c>
      <c r="O99" s="137">
        <f t="shared" ref="O99:O128" ca="1" si="38">IFERROR(INDIRECT($B99&amp;"!O91"), "")</f>
        <v>0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 t="str">
        <f t="shared" ca="1" si="26"/>
        <v/>
      </c>
      <c r="D100" s="139" t="str">
        <f t="shared" ca="1" si="27"/>
        <v/>
      </c>
      <c r="E100" s="77" t="str">
        <f t="shared" ca="1" si="28"/>
        <v/>
      </c>
      <c r="F100" s="137" t="str">
        <f t="shared" ca="1" si="29"/>
        <v/>
      </c>
      <c r="G100" s="139" t="str">
        <f t="shared" ca="1" si="30"/>
        <v/>
      </c>
      <c r="H100" s="77" t="str">
        <f t="shared" ca="1" si="31"/>
        <v/>
      </c>
      <c r="I100" s="137" t="str">
        <f t="shared" ca="1" si="32"/>
        <v/>
      </c>
      <c r="J100" s="139" t="str">
        <f t="shared" ca="1" si="33"/>
        <v/>
      </c>
      <c r="K100" s="77" t="str">
        <f t="shared" ca="1" si="34"/>
        <v/>
      </c>
      <c r="L100" s="137" t="str">
        <f t="shared" ca="1" si="35"/>
        <v/>
      </c>
      <c r="M100" s="139" t="str">
        <f t="shared" ca="1" si="36"/>
        <v/>
      </c>
      <c r="N100" s="77" t="str">
        <f t="shared" ca="1" si="37"/>
        <v/>
      </c>
      <c r="O100" s="137" t="str">
        <f t="shared" ca="1" si="38"/>
        <v/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5" t="s">
        <v>283</v>
      </c>
      <c r="B129" s="217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08"/>
      <c r="B130" s="210"/>
      <c r="C130" s="136">
        <f ca="1">SUM(C98:C128)</f>
        <v>6000000</v>
      </c>
      <c r="D130" s="140">
        <f ca="1">SUM(D98:D128)</f>
        <v>6034767.7967927037</v>
      </c>
      <c r="E130" s="79">
        <f ca="1">IFERROR(F130 / (SUM($C98:$C128) / COUNT($C98:$C128)), 0)</f>
        <v>1.1589265597567903E-2</v>
      </c>
      <c r="F130" s="138">
        <f ca="1">SUM(F98:F128)</f>
        <v>34767.79679270371</v>
      </c>
      <c r="G130" s="140">
        <f ca="1">SUM(G98:G128)</f>
        <v>6151171.3301847242</v>
      </c>
      <c r="H130" s="79">
        <f ca="1">IFERROR(I130 / (SUM($C98:$C128) / COUNT($C98:$C128)), 0)</f>
        <v>5.0390443394908092E-2</v>
      </c>
      <c r="I130" s="138">
        <f ca="1">SUM(I98:I128)</f>
        <v>151171.33018472427</v>
      </c>
      <c r="J130" s="140">
        <f ca="1">SUM(J98:J128)</f>
        <v>6202871.2819238463</v>
      </c>
      <c r="K130" s="79">
        <f ca="1">IFERROR(L130 / (SUM($C98:$C128) / COUNT($C98:$C128)), 0)</f>
        <v>6.7623760641282324E-2</v>
      </c>
      <c r="L130" s="138">
        <f ca="1">SUM(L98:L128)</f>
        <v>202871.28192384698</v>
      </c>
      <c r="M130" s="140">
        <f ca="1">SUM(M98:M128)</f>
        <v>6076539.8447590256</v>
      </c>
      <c r="N130" s="79">
        <f ca="1">IFERROR(O130 / (SUM($C98:$C128) / COUNT($C98:$C128)), 0)</f>
        <v>2.5513281586342022E-2</v>
      </c>
      <c r="O130" s="138">
        <f ca="1">SUM(O98:O128)</f>
        <v>76539.844759026062</v>
      </c>
    </row>
    <row r="132" spans="1:15" ht="16.5" customHeight="1" thickBot="1"/>
    <row r="133" spans="1:15" ht="16.5" customHeight="1" thickBot="1">
      <c r="A133" s="187" t="str">
        <f>TEXT(투자전략!$G$1, "[$-ko-KR]yyyy년 mm월 ") &amp; "전일대비 상승률 Top20 월말결산"</f>
        <v>2021년 09월 전일대비 상승률 Top20 월말결산</v>
      </c>
      <c r="B133" s="188"/>
      <c r="C133" s="188"/>
      <c r="D133" s="188"/>
      <c r="E133" s="188"/>
      <c r="F133" s="188"/>
      <c r="G133" s="188"/>
      <c r="H133" s="188"/>
      <c r="I133" s="188"/>
      <c r="J133" s="188"/>
      <c r="K133" s="188"/>
      <c r="L133" s="188"/>
      <c r="M133" s="188"/>
      <c r="N133" s="188"/>
      <c r="O133" s="189"/>
    </row>
    <row r="134" spans="1:15" ht="16.5" customHeight="1" thickBot="1">
      <c r="A134" s="231" t="s">
        <v>284</v>
      </c>
      <c r="B134" s="208" t="s">
        <v>282</v>
      </c>
      <c r="C134" s="210"/>
      <c r="D134" s="208" t="s">
        <v>274</v>
      </c>
      <c r="E134" s="209"/>
      <c r="F134" s="210"/>
      <c r="G134" s="208" t="s">
        <v>275</v>
      </c>
      <c r="H134" s="209"/>
      <c r="I134" s="210"/>
      <c r="J134" s="208" t="s">
        <v>276</v>
      </c>
      <c r="K134" s="209"/>
      <c r="L134" s="210"/>
      <c r="M134" s="208" t="s">
        <v>277</v>
      </c>
      <c r="N134" s="209"/>
      <c r="O134" s="210"/>
    </row>
    <row r="135" spans="1:15" ht="16.5" customHeight="1" thickBot="1">
      <c r="A135" s="224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3000000</v>
      </c>
      <c r="D136" s="142">
        <f ca="1">IFERROR($C136 * (1 + E136), "")</f>
        <v>2939763.0392480008</v>
      </c>
      <c r="E136" s="76">
        <f ca="1">IFERROR(INDIRECT($B136&amp;"!E118"), "")</f>
        <v>-2.0078986917333112E-2</v>
      </c>
      <c r="F136" s="141">
        <f ca="1">IFERROR(INDIRECT($B136&amp;"!F118"), "")</f>
        <v>-60236.960751999344</v>
      </c>
      <c r="G136" s="142">
        <f ca="1">IFERROR($C136 * (1 + H136), "")</f>
        <v>2965665.4910642672</v>
      </c>
      <c r="H136" s="76">
        <f ca="1">IFERROR(INDIRECT($B136&amp;"!H118"), "")</f>
        <v>-1.1444836311910934E-2</v>
      </c>
      <c r="I136" s="141">
        <f ca="1">IFERROR(INDIRECT($B136&amp;"!I118"), "")</f>
        <v>-34334.508935732803</v>
      </c>
      <c r="J136" s="142">
        <f ca="1">IFERROR($C136 * (1 + K136), "")</f>
        <v>2999195.4912814619</v>
      </c>
      <c r="K136" s="76">
        <f ca="1">IFERROR(INDIRECT($B136&amp;"!K118"), "")</f>
        <v>-2.6816957284598128E-4</v>
      </c>
      <c r="L136" s="141">
        <f ca="1">IFERROR(INDIRECT($B136&amp;"!L118"), "")</f>
        <v>-804.50871853793888</v>
      </c>
      <c r="M136" s="142">
        <f ca="1">IFERROR($C136 * (1 + N136), "")</f>
        <v>2997075.9813953843</v>
      </c>
      <c r="N136" s="76">
        <f ca="1">IFERROR(INDIRECT($B136&amp;"!N118"), "")</f>
        <v>-9.7467286820531363E-4</v>
      </c>
      <c r="O136" s="141">
        <f ca="1">IFERROR(INDIRECT($B136&amp;"!O118"), "")</f>
        <v>-2924.0186046159406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3014617.3696716288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14617.369671629</v>
      </c>
      <c r="G137" s="139">
        <f t="shared" ref="G137:G166" ca="1" si="43">IFERROR($C137 * (1 + H137), "")</f>
        <v>3050614.0080217808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50614.008021781046</v>
      </c>
      <c r="J137" s="139">
        <f t="shared" ref="J137:J166" ca="1" si="46">IFERROR($C137 * (1 + K137), "")</f>
        <v>3064019.5761732999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64019.576173299953</v>
      </c>
      <c r="M137" s="139">
        <f t="shared" ref="M137:M166" ca="1" si="49">IFERROR($C137 * (1 + N137), "")</f>
        <v>3000000</v>
      </c>
      <c r="N137" s="77">
        <f t="shared" ref="N137:N166" ca="1" si="50">IFERROR(INDIRECT($B137&amp;"!N118"), "")</f>
        <v>0</v>
      </c>
      <c r="O137" s="137">
        <f t="shared" ref="O137:O166" ca="1" si="51">IFERROR(INDIRECT($B137&amp;"!O118"), "")</f>
        <v>0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 t="str">
        <f t="shared" ca="1" si="39"/>
        <v/>
      </c>
      <c r="D138" s="139" t="str">
        <f t="shared" ca="1" si="40"/>
        <v/>
      </c>
      <c r="E138" s="77" t="str">
        <f t="shared" ca="1" si="41"/>
        <v/>
      </c>
      <c r="F138" s="137" t="str">
        <f t="shared" ca="1" si="42"/>
        <v/>
      </c>
      <c r="G138" s="139" t="str">
        <f t="shared" ca="1" si="43"/>
        <v/>
      </c>
      <c r="H138" s="77" t="str">
        <f t="shared" ca="1" si="44"/>
        <v/>
      </c>
      <c r="I138" s="137" t="str">
        <f t="shared" ca="1" si="45"/>
        <v/>
      </c>
      <c r="J138" s="139" t="str">
        <f t="shared" ca="1" si="46"/>
        <v/>
      </c>
      <c r="K138" s="77" t="str">
        <f t="shared" ca="1" si="47"/>
        <v/>
      </c>
      <c r="L138" s="137" t="str">
        <f t="shared" ca="1" si="48"/>
        <v/>
      </c>
      <c r="M138" s="139" t="str">
        <f t="shared" ca="1" si="49"/>
        <v/>
      </c>
      <c r="N138" s="77" t="str">
        <f t="shared" ca="1" si="50"/>
        <v/>
      </c>
      <c r="O138" s="137" t="str">
        <f t="shared" ca="1" si="51"/>
        <v/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5" t="s">
        <v>283</v>
      </c>
      <c r="B167" s="217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08"/>
      <c r="B168" s="210"/>
      <c r="C168" s="136">
        <f ca="1">SUM(C136:C166)</f>
        <v>6000000</v>
      </c>
      <c r="D168" s="140">
        <f ca="1">SUM(D136:D166)</f>
        <v>5954380.4089196296</v>
      </c>
      <c r="E168" s="79">
        <f ca="1">IFERROR(F168 / (SUM($C136:$C166) / COUNT($C136:$C166)), 0)</f>
        <v>-1.5206530360123448E-2</v>
      </c>
      <c r="F168" s="138">
        <f ca="1">SUM(F136:F166)</f>
        <v>-45619.591080370345</v>
      </c>
      <c r="G168" s="140">
        <f ca="1">SUM(G136:G166)</f>
        <v>6016279.4990860485</v>
      </c>
      <c r="H168" s="79">
        <f ca="1">IFERROR(I168 / (SUM($C136:$C166) / COUNT($C136:$C166)), 0)</f>
        <v>5.4264996953494148E-3</v>
      </c>
      <c r="I168" s="138">
        <f ca="1">SUM(I136:I166)</f>
        <v>16279.499086048243</v>
      </c>
      <c r="J168" s="140">
        <f ca="1">SUM(J136:J166)</f>
        <v>6063215.0674547618</v>
      </c>
      <c r="K168" s="79">
        <f ca="1">IFERROR(L168 / (SUM($C136:$C166) / COUNT($C136:$C166)), 0)</f>
        <v>2.1071689151587338E-2</v>
      </c>
      <c r="L168" s="138">
        <f ca="1">SUM(L136:L166)</f>
        <v>63215.067454762015</v>
      </c>
      <c r="M168" s="140">
        <f ca="1">SUM(M136:M166)</f>
        <v>5997075.9813953843</v>
      </c>
      <c r="N168" s="79">
        <f ca="1">IFERROR(O168 / (SUM($C136:$C166) / COUNT($C136:$C166)), 0)</f>
        <v>-9.7467286820531352E-4</v>
      </c>
      <c r="O168" s="138">
        <f ca="1">SUM(O136:O166)</f>
        <v>-2924.0186046159406</v>
      </c>
    </row>
    <row r="170" spans="1:15" ht="16.5" customHeight="1" thickBot="1"/>
    <row r="171" spans="1:15" ht="16.5" customHeight="1" thickBot="1">
      <c r="A171" s="187" t="str">
        <f>TEXT(투자전략!$G$1, "[$-ko-KR]yyyy년 mm월 ") &amp; "[엽전코인] 전일대비 상승률 Bottom20 월말결산"</f>
        <v>2021년 09월 [엽전코인] 전일대비 상승률 Bottom20 월말결산</v>
      </c>
      <c r="B171" s="188"/>
      <c r="C171" s="188"/>
      <c r="D171" s="188"/>
      <c r="E171" s="188"/>
      <c r="F171" s="188"/>
      <c r="G171" s="188"/>
      <c r="H171" s="188"/>
      <c r="I171" s="188"/>
      <c r="J171" s="188"/>
      <c r="K171" s="188"/>
      <c r="L171" s="188"/>
      <c r="M171" s="188"/>
      <c r="N171" s="188"/>
      <c r="O171" s="189"/>
    </row>
    <row r="172" spans="1:15" ht="16.5" customHeight="1" thickBot="1">
      <c r="A172" s="231" t="s">
        <v>284</v>
      </c>
      <c r="B172" s="208" t="s">
        <v>282</v>
      </c>
      <c r="C172" s="210"/>
      <c r="D172" s="208" t="s">
        <v>274</v>
      </c>
      <c r="E172" s="209"/>
      <c r="F172" s="210"/>
      <c r="G172" s="208" t="s">
        <v>275</v>
      </c>
      <c r="H172" s="209"/>
      <c r="I172" s="210"/>
      <c r="J172" s="208" t="s">
        <v>276</v>
      </c>
      <c r="K172" s="209"/>
      <c r="L172" s="210"/>
      <c r="M172" s="208" t="s">
        <v>277</v>
      </c>
      <c r="N172" s="209"/>
      <c r="O172" s="210"/>
    </row>
    <row r="173" spans="1:15" ht="16.5" customHeight="1" thickBot="1">
      <c r="A173" s="224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2550000</v>
      </c>
      <c r="D174" s="142">
        <f ca="1">IFERROR($C174 * (1 + E174), "")</f>
        <v>2599937.7939808499</v>
      </c>
      <c r="E174" s="76">
        <f ca="1">IFERROR(INDIRECT($B174&amp;"!E145"), "")</f>
        <v>1.9583448619941168E-2</v>
      </c>
      <c r="F174" s="141">
        <f ca="1">IFERROR(INDIRECT($B174&amp;"!F145"), "")</f>
        <v>49937.79398084998</v>
      </c>
      <c r="G174" s="142">
        <f ca="1">IFERROR($C174 * (1 + H174), "")</f>
        <v>2750302.0418870994</v>
      </c>
      <c r="H174" s="76">
        <f ca="1">IFERROR(INDIRECT($B174&amp;"!H145"), "")</f>
        <v>7.8549820347881952E-2</v>
      </c>
      <c r="I174" s="141">
        <f ca="1">IFERROR(INDIRECT($B174&amp;"!I145"), "")</f>
        <v>200302.04188709898</v>
      </c>
      <c r="J174" s="142">
        <f ca="1">IFERROR($C174 * (1 + K174), "")</f>
        <v>2717640.6186050787</v>
      </c>
      <c r="K174" s="76">
        <f ca="1">IFERROR(INDIRECT($B174&amp;"!K145"), "")</f>
        <v>6.5741419060815168E-2</v>
      </c>
      <c r="L174" s="141">
        <f ca="1">IFERROR(INDIRECT($B174&amp;"!L145"), "")</f>
        <v>167640.61860507872</v>
      </c>
      <c r="M174" s="142">
        <f ca="1">IFERROR($C174 * (1 + N174), "")</f>
        <v>2694006.2886698772</v>
      </c>
      <c r="N174" s="76">
        <f ca="1">IFERROR(INDIRECT($B174&amp;"!N145"), "")</f>
        <v>5.6473054380343897E-2</v>
      </c>
      <c r="O174" s="141">
        <f ca="1">IFERROR(INDIRECT($B174&amp;"!O145"), "")</f>
        <v>144006.28866987693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2550000</v>
      </c>
      <c r="D175" s="139">
        <f t="shared" ref="D175:D204" ca="1" si="53">IFERROR($C175 * (1 + E175), "")</f>
        <v>2605138.0526809017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55138.052680901557</v>
      </c>
      <c r="G175" s="139">
        <f t="shared" ref="G175:G204" ca="1" si="56">IFERROR($C175 * (1 + H175), "")</f>
        <v>2620182.8602818795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70182.860281879563</v>
      </c>
      <c r="J175" s="139">
        <f t="shared" ref="J175:J204" ca="1" si="59">IFERROR($C175 * (1 + K175), "")</f>
        <v>2638195.1587610198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88195.158761019615</v>
      </c>
      <c r="M175" s="139">
        <f t="shared" ref="M175:M204" ca="1" si="62">IFERROR($C175 * (1 + N175), "")</f>
        <v>2550000</v>
      </c>
      <c r="N175" s="77">
        <f t="shared" ref="N175:N204" ca="1" si="63">IFERROR(INDIRECT($B175&amp;"!N145"), "")</f>
        <v>0</v>
      </c>
      <c r="O175" s="137">
        <f t="shared" ref="O175:O204" ca="1" si="64">IFERROR(INDIRECT($B175&amp;"!O145"), "")</f>
        <v>0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 t="str">
        <f t="shared" ca="1" si="52"/>
        <v/>
      </c>
      <c r="D176" s="139" t="str">
        <f t="shared" ca="1" si="53"/>
        <v/>
      </c>
      <c r="E176" s="77" t="str">
        <f t="shared" ca="1" si="54"/>
        <v/>
      </c>
      <c r="F176" s="137" t="str">
        <f t="shared" ca="1" si="55"/>
        <v/>
      </c>
      <c r="G176" s="139" t="str">
        <f t="shared" ca="1" si="56"/>
        <v/>
      </c>
      <c r="H176" s="77" t="str">
        <f t="shared" ca="1" si="57"/>
        <v/>
      </c>
      <c r="I176" s="137" t="str">
        <f t="shared" ca="1" si="58"/>
        <v/>
      </c>
      <c r="J176" s="139" t="str">
        <f t="shared" ca="1" si="59"/>
        <v/>
      </c>
      <c r="K176" s="77" t="str">
        <f t="shared" ca="1" si="60"/>
        <v/>
      </c>
      <c r="L176" s="137" t="str">
        <f t="shared" ca="1" si="61"/>
        <v/>
      </c>
      <c r="M176" s="139" t="str">
        <f t="shared" ca="1" si="62"/>
        <v/>
      </c>
      <c r="N176" s="77" t="str">
        <f t="shared" ca="1" si="63"/>
        <v/>
      </c>
      <c r="O176" s="137" t="str">
        <f t="shared" ca="1" si="64"/>
        <v/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5" t="s">
        <v>283</v>
      </c>
      <c r="B205" s="217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08"/>
      <c r="B206" s="210"/>
      <c r="C206" s="136">
        <f ca="1">SUM(C174:C204)</f>
        <v>5100000</v>
      </c>
      <c r="D206" s="140">
        <f ca="1">SUM(D174:D204)</f>
        <v>5205075.8466617521</v>
      </c>
      <c r="E206" s="79">
        <f ca="1">IFERROR(F206 / (SUM($C174:$C204) / COUNT($C174:$C204)), 0)</f>
        <v>4.1206214377157463E-2</v>
      </c>
      <c r="F206" s="138">
        <f ca="1">SUM(F174:F204)</f>
        <v>105075.84666175154</v>
      </c>
      <c r="G206" s="140">
        <f ca="1">SUM(G174:G204)</f>
        <v>5370484.9021689789</v>
      </c>
      <c r="H206" s="79">
        <f ca="1">IFERROR(I206 / (SUM($C174:$C204) / COUNT($C174:$C204)), 0)</f>
        <v>0.10607251065450138</v>
      </c>
      <c r="I206" s="138">
        <f ca="1">SUM(I174:I204)</f>
        <v>270484.90216897853</v>
      </c>
      <c r="J206" s="140">
        <f ca="1">SUM(J174:J204)</f>
        <v>5355835.777366098</v>
      </c>
      <c r="K206" s="79">
        <f ca="1">IFERROR(L206 / (SUM($C174:$C204) / COUNT($C174:$C204)), 0)</f>
        <v>0.10032775582984249</v>
      </c>
      <c r="L206" s="138">
        <f ca="1">SUM(L174:L204)</f>
        <v>255835.77736609834</v>
      </c>
      <c r="M206" s="140">
        <f ca="1">SUM(M174:M204)</f>
        <v>5244006.2886698768</v>
      </c>
      <c r="N206" s="79">
        <f ca="1">IFERROR(O206 / (SUM($C174:$C204) / COUNT($C174:$C204)), 0)</f>
        <v>5.6473054380343897E-2</v>
      </c>
      <c r="O206" s="138">
        <f ca="1">SUM(O174:O204)</f>
        <v>144006.28866987693</v>
      </c>
    </row>
    <row r="208" spans="1:15" ht="16.5" customHeight="1" thickBot="1"/>
    <row r="209" spans="1:15" ht="16.5" customHeight="1" thickBot="1">
      <c r="A209" s="187" t="str">
        <f>TEXT(투자전략!$G$1, "[$-ko-KR]yyyy년 mm월 ") &amp; "[동전코인] 전일대비 상승률 Bottom20 월말결산"</f>
        <v>2021년 09월 [동전코인] 전일대비 상승률 Bottom20 월말결산</v>
      </c>
      <c r="B209" s="188"/>
      <c r="C209" s="188"/>
      <c r="D209" s="188"/>
      <c r="E209" s="188"/>
      <c r="F209" s="188"/>
      <c r="G209" s="188"/>
      <c r="H209" s="188"/>
      <c r="I209" s="188"/>
      <c r="J209" s="188"/>
      <c r="K209" s="188"/>
      <c r="L209" s="188"/>
      <c r="M209" s="188"/>
      <c r="N209" s="188"/>
      <c r="O209" s="189"/>
    </row>
    <row r="210" spans="1:15" ht="16.5" customHeight="1" thickBot="1">
      <c r="A210" s="231" t="s">
        <v>284</v>
      </c>
      <c r="B210" s="208" t="s">
        <v>282</v>
      </c>
      <c r="C210" s="210"/>
      <c r="D210" s="208" t="s">
        <v>274</v>
      </c>
      <c r="E210" s="209"/>
      <c r="F210" s="210"/>
      <c r="G210" s="208" t="s">
        <v>275</v>
      </c>
      <c r="H210" s="209"/>
      <c r="I210" s="210"/>
      <c r="J210" s="208" t="s">
        <v>276</v>
      </c>
      <c r="K210" s="209"/>
      <c r="L210" s="210"/>
      <c r="M210" s="208" t="s">
        <v>277</v>
      </c>
      <c r="N210" s="209"/>
      <c r="O210" s="210"/>
    </row>
    <row r="211" spans="1:15" ht="16.5" customHeight="1" thickBot="1">
      <c r="A211" s="224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3012909.4421346341</v>
      </c>
      <c r="E212" s="76">
        <f ca="1">IFERROR(INDIRECT($B212&amp;"!E172"), "")</f>
        <v>4.3031473782113661E-3</v>
      </c>
      <c r="F212" s="141">
        <f ca="1">IFERROR(INDIRECT($B212&amp;"!F172"), "")</f>
        <v>12909.442134634097</v>
      </c>
      <c r="G212" s="142">
        <f ca="1">IFERROR($C212 * (1 + H212), "")</f>
        <v>3043586.7980964393</v>
      </c>
      <c r="H212" s="76">
        <f ca="1">IFERROR(INDIRECT($B212&amp;"!H172"), "")</f>
        <v>1.4528932698813149E-2</v>
      </c>
      <c r="I212" s="141">
        <f ca="1">IFERROR(INDIRECT($B212&amp;"!I172"), "")</f>
        <v>43586.798096439445</v>
      </c>
      <c r="J212" s="142">
        <f ca="1">IFERROR($C212 * (1 + K212), "")</f>
        <v>3064884.6422634912</v>
      </c>
      <c r="K212" s="76">
        <f ca="1">IFERROR(INDIRECT($B212&amp;"!K172"), "")</f>
        <v>2.1628214087830226E-2</v>
      </c>
      <c r="L212" s="141">
        <f ca="1">IFERROR(INDIRECT($B212&amp;"!L172"), "")</f>
        <v>64884.642263490678</v>
      </c>
      <c r="M212" s="142">
        <f ca="1">IFERROR($C212 * (1 + N212), "")</f>
        <v>3059407.7152643469</v>
      </c>
      <c r="N212" s="76">
        <f ca="1">IFERROR(INDIRECT($B212&amp;"!N172"), "")</f>
        <v>1.9802571754782207E-2</v>
      </c>
      <c r="O212" s="141">
        <f ca="1">IFERROR(INDIRECT($B212&amp;"!O172"), "")</f>
        <v>59407.715264346618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3061792.2512345375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61792.251234537536</v>
      </c>
      <c r="G213" s="139">
        <f t="shared" ref="G213:G242" ca="1" si="69">IFERROR($C213 * (1 + H213), "")</f>
        <v>3109246.8360579554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109246.83605795496</v>
      </c>
      <c r="J213" s="139">
        <f t="shared" ref="J213:J242" ca="1" si="72">IFERROR($C213 * (1 + K213), "")</f>
        <v>3124486.7546678907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124486.75466789032</v>
      </c>
      <c r="M213" s="139">
        <f t="shared" ref="M213:M242" ca="1" si="75">IFERROR($C213 * (1 + N213), "")</f>
        <v>3000000</v>
      </c>
      <c r="N213" s="77">
        <f t="shared" ref="N213:N242" ca="1" si="76">IFERROR(INDIRECT($B213&amp;"!N172"), "")</f>
        <v>0</v>
      </c>
      <c r="O213" s="137">
        <f t="shared" ref="O213:O242" ca="1" si="77">IFERROR(INDIRECT($B213&amp;"!O172"), "")</f>
        <v>0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 t="str">
        <f t="shared" ca="1" si="65"/>
        <v/>
      </c>
      <c r="D214" s="139" t="str">
        <f t="shared" ca="1" si="66"/>
        <v/>
      </c>
      <c r="E214" s="77" t="str">
        <f t="shared" ca="1" si="67"/>
        <v/>
      </c>
      <c r="F214" s="137" t="str">
        <f t="shared" ca="1" si="68"/>
        <v/>
      </c>
      <c r="G214" s="139" t="str">
        <f t="shared" ca="1" si="69"/>
        <v/>
      </c>
      <c r="H214" s="77" t="str">
        <f t="shared" ca="1" si="70"/>
        <v/>
      </c>
      <c r="I214" s="137" t="str">
        <f t="shared" ca="1" si="71"/>
        <v/>
      </c>
      <c r="J214" s="139" t="str">
        <f t="shared" ca="1" si="72"/>
        <v/>
      </c>
      <c r="K214" s="77" t="str">
        <f t="shared" ca="1" si="73"/>
        <v/>
      </c>
      <c r="L214" s="137" t="str">
        <f t="shared" ca="1" si="74"/>
        <v/>
      </c>
      <c r="M214" s="139" t="str">
        <f t="shared" ca="1" si="75"/>
        <v/>
      </c>
      <c r="N214" s="77" t="str">
        <f t="shared" ca="1" si="76"/>
        <v/>
      </c>
      <c r="O214" s="137" t="str">
        <f t="shared" ca="1" si="77"/>
        <v/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5" t="s">
        <v>283</v>
      </c>
      <c r="B243" s="217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08"/>
      <c r="B244" s="210"/>
      <c r="C244" s="136">
        <f ca="1">SUM(C212:C242)</f>
        <v>6000000</v>
      </c>
      <c r="D244" s="140">
        <f ca="1">SUM(D212:D242)</f>
        <v>6074701.6933691716</v>
      </c>
      <c r="E244" s="79">
        <f ca="1">IFERROR(F244 / (SUM($C212:$C242) / COUNT($C212:$C242)), 0)</f>
        <v>2.4900564456390547E-2</v>
      </c>
      <c r="F244" s="138">
        <f ca="1">SUM(F212:F242)</f>
        <v>74701.69336917164</v>
      </c>
      <c r="G244" s="140">
        <f ca="1">SUM(G212:G242)</f>
        <v>6152833.6341543943</v>
      </c>
      <c r="H244" s="79">
        <f ca="1">IFERROR(I244 / (SUM($C212:$C242) / COUNT($C212:$C242)), 0)</f>
        <v>5.0944544718131472E-2</v>
      </c>
      <c r="I244" s="138">
        <f ca="1">SUM(I212:I242)</f>
        <v>152833.63415439441</v>
      </c>
      <c r="J244" s="140">
        <f ca="1">SUM(J212:J242)</f>
        <v>6189371.3969313819</v>
      </c>
      <c r="K244" s="79">
        <f ca="1">IFERROR(L244 / (SUM($C212:$C242) / COUNT($C212:$C242)), 0)</f>
        <v>6.3123798977126999E-2</v>
      </c>
      <c r="L244" s="138">
        <f ca="1">SUM(L212:L242)</f>
        <v>189371.39693138099</v>
      </c>
      <c r="M244" s="140">
        <f ca="1">SUM(M212:M242)</f>
        <v>6059407.7152643465</v>
      </c>
      <c r="N244" s="79">
        <f ca="1">IFERROR(O244 / (SUM($C212:$C242) / COUNT($C212:$C242)), 0)</f>
        <v>1.9802571754782207E-2</v>
      </c>
      <c r="O244" s="138">
        <f ca="1">SUM(O212:O242)</f>
        <v>59407.715264346618</v>
      </c>
    </row>
    <row r="246" spans="1:15" ht="16.5" customHeight="1" thickBot="1"/>
    <row r="247" spans="1:15" ht="16.5" customHeight="1" thickBot="1">
      <c r="A247" s="187" t="str">
        <f>TEXT(투자전략!$G$1, "[$-ko-KR]yyyy년 mm월 ") &amp; "전일대비 상승률 Bottom20 월말결산"</f>
        <v>2021년 09월 전일대비 상승률 Bottom20 월말결산</v>
      </c>
      <c r="B247" s="188"/>
      <c r="C247" s="188"/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9"/>
    </row>
    <row r="248" spans="1:15" ht="16.5" customHeight="1" thickBot="1">
      <c r="A248" s="231" t="s">
        <v>284</v>
      </c>
      <c r="B248" s="208" t="s">
        <v>282</v>
      </c>
      <c r="C248" s="210"/>
      <c r="D248" s="208" t="s">
        <v>274</v>
      </c>
      <c r="E248" s="209"/>
      <c r="F248" s="210"/>
      <c r="G248" s="208" t="s">
        <v>275</v>
      </c>
      <c r="H248" s="209"/>
      <c r="I248" s="210"/>
      <c r="J248" s="208" t="s">
        <v>276</v>
      </c>
      <c r="K248" s="209"/>
      <c r="L248" s="210"/>
      <c r="M248" s="208" t="s">
        <v>277</v>
      </c>
      <c r="N248" s="209"/>
      <c r="O248" s="210"/>
    </row>
    <row r="249" spans="1:15" ht="16.5" customHeight="1" thickBot="1">
      <c r="A249" s="224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3050360.1424590442</v>
      </c>
      <c r="E250" s="76">
        <f ca="1">IFERROR(INDIRECT($B250&amp;"!E199"), "")</f>
        <v>1.6786714153014762E-2</v>
      </c>
      <c r="F250" s="141">
        <f ca="1">IFERROR(INDIRECT($B250&amp;"!F199"), "")</f>
        <v>50360.142459044291</v>
      </c>
      <c r="G250" s="142">
        <f ca="1">IFERROR($C250 * (1 + H250), "")</f>
        <v>3124886.1380772619</v>
      </c>
      <c r="H250" s="76">
        <f ca="1">IFERROR(INDIRECT($B250&amp;"!H199"), "")</f>
        <v>4.1628712692420543E-2</v>
      </c>
      <c r="I250" s="141">
        <f ca="1">IFERROR(INDIRECT($B250&amp;"!I199"), "")</f>
        <v>124886.13807726164</v>
      </c>
      <c r="J250" s="142">
        <f ca="1">IFERROR($C250 * (1 + K250), "")</f>
        <v>3102340.0573754488</v>
      </c>
      <c r="K250" s="76">
        <f ca="1">IFERROR(INDIRECT($B250&amp;"!K199"), "")</f>
        <v>3.4113352458483001E-2</v>
      </c>
      <c r="L250" s="141">
        <f ca="1">IFERROR(INDIRECT($B250&amp;"!L199"), "")</f>
        <v>102340.057375449</v>
      </c>
      <c r="M250" s="142">
        <f ca="1">IFERROR($C250 * (1 + N250), "")</f>
        <v>3086233.5662445091</v>
      </c>
      <c r="N250" s="76">
        <f ca="1">IFERROR(INDIRECT($B250&amp;"!N199"), "")</f>
        <v>2.8744522081503059E-2</v>
      </c>
      <c r="O250" s="141">
        <f ca="1">IFERROR(INDIRECT($B250&amp;"!O199"), "")</f>
        <v>86233.566244509158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3051795.806791306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51795.806791305862</v>
      </c>
      <c r="G251" s="139">
        <f t="shared" ref="G251:G280" ca="1" si="82">IFERROR($C251 * (1 + H251), "")</f>
        <v>3075567.8772241692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75567.877224168915</v>
      </c>
      <c r="J251" s="139">
        <f t="shared" ref="J251:J280" ca="1" si="85">IFERROR($C251 * (1 + K251), "")</f>
        <v>3085220.2656126264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85220.265612626506</v>
      </c>
      <c r="M251" s="139">
        <f t="shared" ref="M251:M280" ca="1" si="88">IFERROR($C251 * (1 + N251), "")</f>
        <v>3000000</v>
      </c>
      <c r="N251" s="77">
        <f t="shared" ref="N251:N280" ca="1" si="89">IFERROR(INDIRECT($B251&amp;"!N199"), "")</f>
        <v>0</v>
      </c>
      <c r="O251" s="137">
        <f t="shared" ref="O251:O280" ca="1" si="90">IFERROR(INDIRECT($B251&amp;"!O199"), "")</f>
        <v>0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 t="str">
        <f t="shared" ca="1" si="78"/>
        <v/>
      </c>
      <c r="D252" s="139" t="str">
        <f t="shared" ca="1" si="79"/>
        <v/>
      </c>
      <c r="E252" s="77" t="str">
        <f t="shared" ca="1" si="80"/>
        <v/>
      </c>
      <c r="F252" s="137" t="str">
        <f t="shared" ca="1" si="81"/>
        <v/>
      </c>
      <c r="G252" s="139" t="str">
        <f t="shared" ca="1" si="82"/>
        <v/>
      </c>
      <c r="H252" s="77" t="str">
        <f t="shared" ca="1" si="83"/>
        <v/>
      </c>
      <c r="I252" s="137" t="str">
        <f t="shared" ca="1" si="84"/>
        <v/>
      </c>
      <c r="J252" s="139" t="str">
        <f t="shared" ca="1" si="85"/>
        <v/>
      </c>
      <c r="K252" s="77" t="str">
        <f t="shared" ca="1" si="86"/>
        <v/>
      </c>
      <c r="L252" s="137" t="str">
        <f t="shared" ca="1" si="87"/>
        <v/>
      </c>
      <c r="M252" s="139" t="str">
        <f t="shared" ca="1" si="88"/>
        <v/>
      </c>
      <c r="N252" s="77" t="str">
        <f t="shared" ca="1" si="89"/>
        <v/>
      </c>
      <c r="O252" s="137" t="str">
        <f t="shared" ca="1" si="90"/>
        <v/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5" t="s">
        <v>283</v>
      </c>
      <c r="B281" s="217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08"/>
      <c r="B282" s="210"/>
      <c r="C282" s="136">
        <f ca="1">SUM(C250:C280)</f>
        <v>6000000</v>
      </c>
      <c r="D282" s="140">
        <f ca="1">SUM(D250:D280)</f>
        <v>6102155.9492503498</v>
      </c>
      <c r="E282" s="79">
        <f ca="1">IFERROR(F282 / (SUM($C250:$C280) / COUNT($C250:$C280)), 0)</f>
        <v>3.4051983083450053E-2</v>
      </c>
      <c r="F282" s="138">
        <f ca="1">SUM(F250:F280)</f>
        <v>102155.94925035015</v>
      </c>
      <c r="G282" s="140">
        <f ca="1">SUM(G250:G280)</f>
        <v>6200454.0153014306</v>
      </c>
      <c r="H282" s="79">
        <f ca="1">IFERROR(I282 / (SUM($C250:$C280) / COUNT($C250:$C280)), 0)</f>
        <v>6.6818005100476849E-2</v>
      </c>
      <c r="I282" s="138">
        <f ca="1">SUM(I250:I280)</f>
        <v>200454.01530143054</v>
      </c>
      <c r="J282" s="140">
        <f ca="1">SUM(J250:J280)</f>
        <v>6187560.3229880752</v>
      </c>
      <c r="K282" s="79">
        <f ca="1">IFERROR(L282 / (SUM($C250:$C280) / COUNT($C250:$C280)), 0)</f>
        <v>6.2520107662691837E-2</v>
      </c>
      <c r="L282" s="138">
        <f ca="1">SUM(L250:L280)</f>
        <v>187560.3229880755</v>
      </c>
      <c r="M282" s="140">
        <f ca="1">SUM(M250:M280)</f>
        <v>6086233.5662445091</v>
      </c>
      <c r="N282" s="79">
        <f ca="1">IFERROR(O282 / (SUM($C250:$C280) / COUNT($C250:$C280)), 0)</f>
        <v>2.8744522081503052E-2</v>
      </c>
      <c r="O282" s="138">
        <f ca="1">SUM(O250:O280)</f>
        <v>86233.566244509158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607" priority="323">
      <formula>$E$54 &gt; 0</formula>
    </cfRule>
    <cfRule type="expression" dxfId="606" priority="324">
      <formula>$E$54 = 0</formula>
    </cfRule>
    <cfRule type="expression" dxfId="605" priority="325">
      <formula>$E$54 &lt; 0</formula>
    </cfRule>
  </conditionalFormatting>
  <conditionalFormatting sqref="G20:I21 H54:I54">
    <cfRule type="expression" dxfId="604" priority="320">
      <formula>$H$54 &gt; 0</formula>
    </cfRule>
    <cfRule type="expression" dxfId="603" priority="321">
      <formula>$H$54 = 0</formula>
    </cfRule>
    <cfRule type="expression" dxfId="602" priority="322">
      <formula>$H$54 &lt; 0</formula>
    </cfRule>
  </conditionalFormatting>
  <conditionalFormatting sqref="J20:L21 K54:L54">
    <cfRule type="expression" dxfId="601" priority="317">
      <formula>$K$54 &gt; 0</formula>
    </cfRule>
    <cfRule type="expression" dxfId="600" priority="318">
      <formula>$K$54 = 0</formula>
    </cfRule>
    <cfRule type="expression" dxfId="599" priority="319">
      <formula>$K$54 &lt; 0</formula>
    </cfRule>
  </conditionalFormatting>
  <conditionalFormatting sqref="M20:O21 N54:O54">
    <cfRule type="expression" dxfId="598" priority="314">
      <formula>$N$54 &gt; 0</formula>
    </cfRule>
    <cfRule type="expression" dxfId="597" priority="315">
      <formula>$N$54 = 0</formula>
    </cfRule>
    <cfRule type="expression" dxfId="596" priority="316">
      <formula>$N$54 &lt; 0</formula>
    </cfRule>
  </conditionalFormatting>
  <conditionalFormatting sqref="D22:F52">
    <cfRule type="expression" dxfId="595" priority="299">
      <formula>AND($E22 &gt; 0, ISNUMBER($E22))</formula>
    </cfRule>
    <cfRule type="expression" dxfId="594" priority="300">
      <formula>AND($E22 = 0, ISNUMBER($E22))</formula>
    </cfRule>
    <cfRule type="expression" dxfId="593" priority="301">
      <formula>AND($E22 &lt; 0, ISNUMBER($E22))</formula>
    </cfRule>
  </conditionalFormatting>
  <conditionalFormatting sqref="G22:I52">
    <cfRule type="expression" dxfId="592" priority="296">
      <formula>AND($H22 &gt; 0, ISNUMBER($H22))</formula>
    </cfRule>
    <cfRule type="expression" dxfId="591" priority="297">
      <formula>AND($H22 = 0, ISNUMBER($H22))</formula>
    </cfRule>
    <cfRule type="expression" dxfId="590" priority="298">
      <formula>AND($H22 &lt; 0, ISNUMBER($H22))</formula>
    </cfRule>
  </conditionalFormatting>
  <conditionalFormatting sqref="J22:L52">
    <cfRule type="expression" dxfId="589" priority="293">
      <formula>AND($K22 &gt; 0, ISNUMBER($K22))</formula>
    </cfRule>
    <cfRule type="expression" dxfId="588" priority="294">
      <formula>AND($K22 = 0, ISNUMBER($K22))</formula>
    </cfRule>
    <cfRule type="expression" dxfId="587" priority="295">
      <formula>AND($K22 &lt; 0, ISNUMBER($K22))</formula>
    </cfRule>
  </conditionalFormatting>
  <conditionalFormatting sqref="M22:O52">
    <cfRule type="expression" dxfId="586" priority="290">
      <formula>AND($N22 &gt; 0, ISNUMBER($N22))</formula>
    </cfRule>
    <cfRule type="expression" dxfId="585" priority="291">
      <formula>AND($N22 = 0, ISNUMBER($N22))</formula>
    </cfRule>
    <cfRule type="expression" dxfId="584" priority="292">
      <formula>AND($N22 &lt; 0, ISNUMBER($N22))</formula>
    </cfRule>
  </conditionalFormatting>
  <conditionalFormatting sqref="D58:F59 E92:F92">
    <cfRule type="expression" dxfId="583" priority="287">
      <formula>$E$92 &gt; 0</formula>
    </cfRule>
    <cfRule type="expression" dxfId="582" priority="288">
      <formula>$E$92 = 0</formula>
    </cfRule>
    <cfRule type="expression" dxfId="581" priority="289">
      <formula>$E$92 &lt; 0</formula>
    </cfRule>
  </conditionalFormatting>
  <conditionalFormatting sqref="G58:I59 H92:I92">
    <cfRule type="expression" dxfId="580" priority="284">
      <formula>$H$92 &gt; 0</formula>
    </cfRule>
    <cfRule type="expression" dxfId="579" priority="285">
      <formula>$H$92 = 0</formula>
    </cfRule>
    <cfRule type="expression" dxfId="578" priority="286">
      <formula>$H$92 &lt; 0</formula>
    </cfRule>
  </conditionalFormatting>
  <conditionalFormatting sqref="J58:L59 K92:L92">
    <cfRule type="expression" dxfId="577" priority="281">
      <formula>$K$92 &gt; 0</formula>
    </cfRule>
    <cfRule type="expression" dxfId="576" priority="282">
      <formula>$K$92 = 0</formula>
    </cfRule>
    <cfRule type="expression" dxfId="575" priority="283">
      <formula>$K$92 &lt; 0</formula>
    </cfRule>
  </conditionalFormatting>
  <conditionalFormatting sqref="M58:O59 N92:O92">
    <cfRule type="expression" dxfId="574" priority="278">
      <formula>$N$92 &gt; 0</formula>
    </cfRule>
    <cfRule type="expression" dxfId="573" priority="279">
      <formula>$N$92 = 0</formula>
    </cfRule>
    <cfRule type="expression" dxfId="572" priority="280">
      <formula>$N$92 &lt; 0</formula>
    </cfRule>
  </conditionalFormatting>
  <conditionalFormatting sqref="D60:F90">
    <cfRule type="expression" dxfId="571" priority="275">
      <formula>AND($E60 &gt; 0, ISNUMBER($E60))</formula>
    </cfRule>
    <cfRule type="expression" dxfId="570" priority="276">
      <formula>AND($E60 = 0, ISNUMBER($E60))</formula>
    </cfRule>
    <cfRule type="expression" dxfId="569" priority="277">
      <formula>AND($E60 &lt; 0, ISNUMBER($E60))</formula>
    </cfRule>
  </conditionalFormatting>
  <conditionalFormatting sqref="G60:I90">
    <cfRule type="expression" dxfId="568" priority="272">
      <formula>AND($H60 &gt; 0, ISNUMBER($H60))</formula>
    </cfRule>
    <cfRule type="expression" dxfId="567" priority="273">
      <formula>AND($H60 = 0, ISNUMBER($H60))</formula>
    </cfRule>
    <cfRule type="expression" dxfId="566" priority="274">
      <formula>AND($H60 &lt; 0, ISNUMBER($H60))</formula>
    </cfRule>
  </conditionalFormatting>
  <conditionalFormatting sqref="J60:L90">
    <cfRule type="expression" dxfId="565" priority="269">
      <formula>AND($K60 &gt; 0, ISNUMBER($K60))</formula>
    </cfRule>
    <cfRule type="expression" dxfId="564" priority="270">
      <formula>AND($K60 = 0, ISNUMBER($K60))</formula>
    </cfRule>
    <cfRule type="expression" dxfId="563" priority="271">
      <formula>AND($K60 &lt; 0, ISNUMBER($K60))</formula>
    </cfRule>
  </conditionalFormatting>
  <conditionalFormatting sqref="M60:O90">
    <cfRule type="expression" dxfId="562" priority="266">
      <formula>AND($N60 &gt; 0, ISNUMBER($N60))</formula>
    </cfRule>
    <cfRule type="expression" dxfId="561" priority="267">
      <formula>AND($N60 = 0, ISNUMBER($N60))</formula>
    </cfRule>
    <cfRule type="expression" dxfId="560" priority="268">
      <formula>AND($N60 &lt; 0, ISNUMBER($N60))</formula>
    </cfRule>
  </conditionalFormatting>
  <conditionalFormatting sqref="D96:F97 E130:F130">
    <cfRule type="expression" dxfId="559" priority="263">
      <formula>$E$130 &gt; 0</formula>
    </cfRule>
    <cfRule type="expression" dxfId="558" priority="264">
      <formula>$E$130 = 0</formula>
    </cfRule>
    <cfRule type="expression" dxfId="557" priority="265">
      <formula>$E$130 &lt; 0</formula>
    </cfRule>
  </conditionalFormatting>
  <conditionalFormatting sqref="G96:I97 H130:I130">
    <cfRule type="expression" dxfId="556" priority="260">
      <formula>$H$130 &gt; 0</formula>
    </cfRule>
    <cfRule type="expression" dxfId="555" priority="261">
      <formula>$H$130 = 0</formula>
    </cfRule>
    <cfRule type="expression" dxfId="554" priority="262">
      <formula>$H$130 &lt; 0</formula>
    </cfRule>
  </conditionalFormatting>
  <conditionalFormatting sqref="J96:L97 K130:L130">
    <cfRule type="expression" dxfId="553" priority="257">
      <formula>$K$130 &gt; 0</formula>
    </cfRule>
    <cfRule type="expression" dxfId="552" priority="258">
      <formula>$K$130 = 0</formula>
    </cfRule>
    <cfRule type="expression" dxfId="551" priority="259">
      <formula>$K$130 &lt; 0</formula>
    </cfRule>
  </conditionalFormatting>
  <conditionalFormatting sqref="M96:O97 N130:O130">
    <cfRule type="expression" dxfId="550" priority="254">
      <formula>$N$130 &gt; 0</formula>
    </cfRule>
    <cfRule type="expression" dxfId="549" priority="255">
      <formula>$N$130 = 0</formula>
    </cfRule>
    <cfRule type="expression" dxfId="548" priority="256">
      <formula>$N$130 &lt; 0</formula>
    </cfRule>
  </conditionalFormatting>
  <conditionalFormatting sqref="D98:F128">
    <cfRule type="expression" dxfId="547" priority="251">
      <formula>AND($E98 &gt; 0, ISNUMBER($E98))</formula>
    </cfRule>
    <cfRule type="expression" dxfId="546" priority="252">
      <formula>AND($E98 = 0, ISNUMBER($E98))</formula>
    </cfRule>
    <cfRule type="expression" dxfId="545" priority="253">
      <formula>AND($E98 &lt; 0, ISNUMBER($E98))</formula>
    </cfRule>
  </conditionalFormatting>
  <conditionalFormatting sqref="G98:I128">
    <cfRule type="expression" dxfId="544" priority="248">
      <formula>AND($H98 &gt; 0, ISNUMBER($H98))</formula>
    </cfRule>
    <cfRule type="expression" dxfId="543" priority="249">
      <formula>AND($H98 = 0, ISNUMBER($H98))</formula>
    </cfRule>
    <cfRule type="expression" dxfId="542" priority="250">
      <formula>AND($H98 &lt; 0, ISNUMBER($H98))</formula>
    </cfRule>
  </conditionalFormatting>
  <conditionalFormatting sqref="J98:L128">
    <cfRule type="expression" dxfId="541" priority="245">
      <formula>AND($K98 &gt; 0, ISNUMBER($K98))</formula>
    </cfRule>
    <cfRule type="expression" dxfId="540" priority="246">
      <formula>AND($K98 = 0, ISNUMBER($K98))</formula>
    </cfRule>
    <cfRule type="expression" dxfId="539" priority="247">
      <formula>AND($K98 &lt; 0, ISNUMBER($K98))</formula>
    </cfRule>
  </conditionalFormatting>
  <conditionalFormatting sqref="M98:O128">
    <cfRule type="expression" dxfId="538" priority="242">
      <formula>AND($N98 &gt; 0, ISNUMBER($N98))</formula>
    </cfRule>
    <cfRule type="expression" dxfId="537" priority="243">
      <formula>AND($N98 = 0, ISNUMBER($N98))</formula>
    </cfRule>
    <cfRule type="expression" dxfId="536" priority="244">
      <formula>AND($N98 &lt; 0, ISNUMBER($N98))</formula>
    </cfRule>
  </conditionalFormatting>
  <conditionalFormatting sqref="D134:F135 E168:F168">
    <cfRule type="expression" dxfId="535" priority="239">
      <formula>$E$168 &gt; 0</formula>
    </cfRule>
    <cfRule type="expression" dxfId="534" priority="240">
      <formula>$E$168 = 0</formula>
    </cfRule>
    <cfRule type="expression" dxfId="533" priority="241">
      <formula>$E$168 &lt; 0</formula>
    </cfRule>
  </conditionalFormatting>
  <conditionalFormatting sqref="G134:I135 H168:I168">
    <cfRule type="expression" dxfId="532" priority="236">
      <formula>$H$168 &gt; 0</formula>
    </cfRule>
    <cfRule type="expression" dxfId="531" priority="237">
      <formula>$H$168 = 0</formula>
    </cfRule>
    <cfRule type="expression" dxfId="530" priority="238">
      <formula>$H$168 &lt; 0</formula>
    </cfRule>
  </conditionalFormatting>
  <conditionalFormatting sqref="J134:L135 K168:L168">
    <cfRule type="expression" dxfId="529" priority="233">
      <formula>$K$168 &gt; 0</formula>
    </cfRule>
    <cfRule type="expression" dxfId="528" priority="234">
      <formula>$K$168 = 0</formula>
    </cfRule>
    <cfRule type="expression" dxfId="527" priority="235">
      <formula>$K$168 &lt; 0</formula>
    </cfRule>
  </conditionalFormatting>
  <conditionalFormatting sqref="M134:O135 N168:O168">
    <cfRule type="expression" dxfId="526" priority="230">
      <formula>$N$168 &gt; 0</formula>
    </cfRule>
    <cfRule type="expression" dxfId="525" priority="231">
      <formula>$N$168 = 0</formula>
    </cfRule>
    <cfRule type="expression" dxfId="524" priority="232">
      <formula>$N$168 &lt; 0</formula>
    </cfRule>
  </conditionalFormatting>
  <conditionalFormatting sqref="D136:F166">
    <cfRule type="expression" dxfId="523" priority="227">
      <formula>AND($E136 &gt; 0, ISNUMBER($E136))</formula>
    </cfRule>
    <cfRule type="expression" dxfId="522" priority="228">
      <formula>AND($E136 = 0, ISNUMBER($E136))</formula>
    </cfRule>
    <cfRule type="expression" dxfId="521" priority="229">
      <formula>AND($E136 &lt; 0, ISNUMBER($E136))</formula>
    </cfRule>
  </conditionalFormatting>
  <conditionalFormatting sqref="G136:I166">
    <cfRule type="expression" dxfId="520" priority="224">
      <formula>AND($H136 &gt; 0, ISNUMBER($H136))</formula>
    </cfRule>
    <cfRule type="expression" dxfId="519" priority="225">
      <formula>AND($H136 = 0, ISNUMBER($H136))</formula>
    </cfRule>
    <cfRule type="expression" dxfId="518" priority="226">
      <formula>AND($H136 &lt; 0, ISNUMBER($H136))</formula>
    </cfRule>
  </conditionalFormatting>
  <conditionalFormatting sqref="J136:L166">
    <cfRule type="expression" dxfId="517" priority="221">
      <formula>AND($K136 &gt; 0, ISNUMBER($K136))</formula>
    </cfRule>
    <cfRule type="expression" dxfId="516" priority="222">
      <formula>AND($K136 = 0, ISNUMBER($K136))</formula>
    </cfRule>
    <cfRule type="expression" dxfId="515" priority="223">
      <formula>AND($K136 &lt; 0, ISNUMBER($K136))</formula>
    </cfRule>
  </conditionalFormatting>
  <conditionalFormatting sqref="M136:O166">
    <cfRule type="expression" dxfId="514" priority="218">
      <formula>AND($N136 &gt; 0, ISNUMBER($N136))</formula>
    </cfRule>
    <cfRule type="expression" dxfId="513" priority="219">
      <formula>AND($N136 = 0, ISNUMBER($N136))</formula>
    </cfRule>
    <cfRule type="expression" dxfId="512" priority="220">
      <formula>AND($N136 &lt; 0, ISNUMBER($N136))</formula>
    </cfRule>
  </conditionalFormatting>
  <conditionalFormatting sqref="D172:F173 E206:F206">
    <cfRule type="expression" dxfId="511" priority="215">
      <formula>$E$206 &gt; 0</formula>
    </cfRule>
    <cfRule type="expression" dxfId="510" priority="216">
      <formula>$E$206 = 0</formula>
    </cfRule>
    <cfRule type="expression" dxfId="509" priority="217">
      <formula>$E$206 &lt; 0</formula>
    </cfRule>
  </conditionalFormatting>
  <conditionalFormatting sqref="G172:I173 H206:I206">
    <cfRule type="expression" dxfId="508" priority="212">
      <formula>$H$206 &gt; 0</formula>
    </cfRule>
    <cfRule type="expression" dxfId="507" priority="213">
      <formula>$H$206 = 0</formula>
    </cfRule>
    <cfRule type="expression" dxfId="506" priority="214">
      <formula>$H$206 &lt; 0</formula>
    </cfRule>
  </conditionalFormatting>
  <conditionalFormatting sqref="J172:L173 K206:L206">
    <cfRule type="expression" dxfId="505" priority="209">
      <formula>$K$206 &gt; 0</formula>
    </cfRule>
    <cfRule type="expression" dxfId="504" priority="210">
      <formula>$K$206 = 0</formula>
    </cfRule>
    <cfRule type="expression" dxfId="503" priority="211">
      <formula>$K$206 &lt; 0</formula>
    </cfRule>
  </conditionalFormatting>
  <conditionalFormatting sqref="M172:O173 N206:O206">
    <cfRule type="expression" dxfId="502" priority="206">
      <formula>$N$206 &gt; 0</formula>
    </cfRule>
    <cfRule type="expression" dxfId="501" priority="207">
      <formula>$N$206 = 0</formula>
    </cfRule>
    <cfRule type="expression" dxfId="500" priority="208">
      <formula>$N$206 &lt; 0</formula>
    </cfRule>
  </conditionalFormatting>
  <conditionalFormatting sqref="D174:F204">
    <cfRule type="expression" dxfId="499" priority="203">
      <formula>AND($E174 &gt; 0, ISNUMBER($E174))</formula>
    </cfRule>
    <cfRule type="expression" dxfId="498" priority="204">
      <formula>AND($E174 = 0, ISNUMBER($E174))</formula>
    </cfRule>
    <cfRule type="expression" dxfId="497" priority="205">
      <formula>AND($E174 &lt; 0, ISNUMBER($E174))</formula>
    </cfRule>
  </conditionalFormatting>
  <conditionalFormatting sqref="G174:I204">
    <cfRule type="expression" dxfId="496" priority="200">
      <formula>AND($H174 &gt; 0, ISNUMBER($H174))</formula>
    </cfRule>
    <cfRule type="expression" dxfId="495" priority="201">
      <formula>AND($H174 = 0, ISNUMBER($H174))</formula>
    </cfRule>
    <cfRule type="expression" dxfId="494" priority="202">
      <formula>AND($H174 &lt; 0, ISNUMBER($H174))</formula>
    </cfRule>
  </conditionalFormatting>
  <conditionalFormatting sqref="J174:L204">
    <cfRule type="expression" dxfId="493" priority="197">
      <formula>AND($K174 &gt; 0, ISNUMBER($K174))</formula>
    </cfRule>
    <cfRule type="expression" dxfId="492" priority="198">
      <formula>AND($K174 = 0, ISNUMBER($K174))</formula>
    </cfRule>
    <cfRule type="expression" dxfId="491" priority="199">
      <formula>AND($K174 &lt; 0, ISNUMBER($K174))</formula>
    </cfRule>
  </conditionalFormatting>
  <conditionalFormatting sqref="M174:O204">
    <cfRule type="expression" dxfId="490" priority="194">
      <formula>AND($N174 &gt; 0, ISNUMBER($N174))</formula>
    </cfRule>
    <cfRule type="expression" dxfId="489" priority="195">
      <formula>AND($N174 = 0, ISNUMBER($N174))</formula>
    </cfRule>
    <cfRule type="expression" dxfId="488" priority="196">
      <formula>AND($N174 &lt; 0, ISNUMBER($N174))</formula>
    </cfRule>
  </conditionalFormatting>
  <conditionalFormatting sqref="D210:F211 E244:F244">
    <cfRule type="expression" dxfId="487" priority="191">
      <formula>$E$244 &gt; 0</formula>
    </cfRule>
    <cfRule type="expression" dxfId="486" priority="192">
      <formula>$E$244 = 0</formula>
    </cfRule>
    <cfRule type="expression" dxfId="485" priority="193">
      <formula>$E$244 &lt; 0</formula>
    </cfRule>
  </conditionalFormatting>
  <conditionalFormatting sqref="G210:I211 H244:I244">
    <cfRule type="expression" dxfId="484" priority="188">
      <formula>$H$244 &gt; 0</formula>
    </cfRule>
    <cfRule type="expression" dxfId="483" priority="189">
      <formula>$H$244 = 0</formula>
    </cfRule>
    <cfRule type="expression" dxfId="482" priority="190">
      <formula>$H$244 &lt; 0</formula>
    </cfRule>
  </conditionalFormatting>
  <conditionalFormatting sqref="J210:L211 K244:L244">
    <cfRule type="expression" dxfId="481" priority="185">
      <formula>$K$244 &gt; 0</formula>
    </cfRule>
    <cfRule type="expression" dxfId="480" priority="186">
      <formula>$K$244 = 0</formula>
    </cfRule>
    <cfRule type="expression" dxfId="479" priority="187">
      <formula>$K$244 &lt; 0</formula>
    </cfRule>
  </conditionalFormatting>
  <conditionalFormatting sqref="M210:O211 N244:O244">
    <cfRule type="expression" dxfId="478" priority="182">
      <formula>$N$244 &gt; 0</formula>
    </cfRule>
    <cfRule type="expression" dxfId="477" priority="183">
      <formula>$N$244 = 0</formula>
    </cfRule>
    <cfRule type="expression" dxfId="476" priority="184">
      <formula>$N$244 &lt; 0</formula>
    </cfRule>
  </conditionalFormatting>
  <conditionalFormatting sqref="D212:F242">
    <cfRule type="expression" dxfId="475" priority="179">
      <formula>AND($E212 &gt; 0, ISNUMBER($E212))</formula>
    </cfRule>
    <cfRule type="expression" dxfId="474" priority="180">
      <formula>AND($E212 = 0, ISNUMBER($E212))</formula>
    </cfRule>
    <cfRule type="expression" dxfId="473" priority="181">
      <formula>AND($E212 &lt; 0, ISNUMBER($E212))</formula>
    </cfRule>
  </conditionalFormatting>
  <conditionalFormatting sqref="G212:I242">
    <cfRule type="expression" dxfId="472" priority="176">
      <formula>AND($H212 &gt; 0, ISNUMBER($H212))</formula>
    </cfRule>
    <cfRule type="expression" dxfId="471" priority="177">
      <formula>AND($H212 = 0, ISNUMBER($H212))</formula>
    </cfRule>
    <cfRule type="expression" dxfId="470" priority="178">
      <formula>AND($H212 &lt; 0, ISNUMBER($H212))</formula>
    </cfRule>
  </conditionalFormatting>
  <conditionalFormatting sqref="J212:L242">
    <cfRule type="expression" dxfId="469" priority="173">
      <formula>AND($K212 &gt; 0, ISNUMBER($K212))</formula>
    </cfRule>
    <cfRule type="expression" dxfId="468" priority="174">
      <formula>AND($K212 = 0, ISNUMBER($K212))</formula>
    </cfRule>
    <cfRule type="expression" dxfId="467" priority="175">
      <formula>AND($K212 &lt; 0, ISNUMBER($K212))</formula>
    </cfRule>
  </conditionalFormatting>
  <conditionalFormatting sqref="M212:O242">
    <cfRule type="expression" dxfId="466" priority="170">
      <formula>AND($N212 &gt; 0, ISNUMBER($N212))</formula>
    </cfRule>
    <cfRule type="expression" dxfId="465" priority="171">
      <formula>AND($N212 = 0, ISNUMBER($N212))</formula>
    </cfRule>
    <cfRule type="expression" dxfId="464" priority="172">
      <formula>AND($N212 &lt; 0, ISNUMBER($N212))</formula>
    </cfRule>
  </conditionalFormatting>
  <conditionalFormatting sqref="D248:F249 E282:F282">
    <cfRule type="expression" dxfId="463" priority="167">
      <formula>$E$282 &gt; 0</formula>
    </cfRule>
    <cfRule type="expression" dxfId="462" priority="168">
      <formula>$E$282 = 0</formula>
    </cfRule>
    <cfRule type="expression" dxfId="461" priority="169">
      <formula>$E$282 &lt; 0</formula>
    </cfRule>
  </conditionalFormatting>
  <conditionalFormatting sqref="G248:I249 H282:I282">
    <cfRule type="expression" dxfId="460" priority="164">
      <formula>$H$282 &gt; 0</formula>
    </cfRule>
    <cfRule type="expression" dxfId="459" priority="165">
      <formula>$H$282 = 0</formula>
    </cfRule>
    <cfRule type="expression" dxfId="458" priority="166">
      <formula>$H$282 &lt; 0</formula>
    </cfRule>
  </conditionalFormatting>
  <conditionalFormatting sqref="J248:L249 K282:L282">
    <cfRule type="expression" dxfId="457" priority="161">
      <formula>$K$282 &gt; 0</formula>
    </cfRule>
    <cfRule type="expression" dxfId="456" priority="162">
      <formula>$K$282 = 0</formula>
    </cfRule>
    <cfRule type="expression" dxfId="455" priority="163">
      <formula>$K$282 &lt; 0</formula>
    </cfRule>
  </conditionalFormatting>
  <conditionalFormatting sqref="M248:O249 N282:O282">
    <cfRule type="expression" dxfId="454" priority="158">
      <formula>$N$282 &gt; 0</formula>
    </cfRule>
    <cfRule type="expression" dxfId="453" priority="159">
      <formula>$N$282 = 0</formula>
    </cfRule>
    <cfRule type="expression" dxfId="452" priority="160">
      <formula>$N$282 &lt; 0</formula>
    </cfRule>
  </conditionalFormatting>
  <conditionalFormatting sqref="D250:F280">
    <cfRule type="expression" dxfId="451" priority="155">
      <formula>AND($E250 &gt; 0, ISNUMBER($E250))</formula>
    </cfRule>
    <cfRule type="expression" dxfId="450" priority="156">
      <formula>AND($E250 = 0, ISNUMBER($E250))</formula>
    </cfRule>
    <cfRule type="expression" dxfId="449" priority="157">
      <formula>AND($E250 &lt; 0, ISNUMBER($E250))</formula>
    </cfRule>
  </conditionalFormatting>
  <conditionalFormatting sqref="G250:I280">
    <cfRule type="expression" dxfId="448" priority="152">
      <formula>AND($H250 &gt; 0, ISNUMBER($H250))</formula>
    </cfRule>
    <cfRule type="expression" dxfId="447" priority="153">
      <formula>AND($H250 = 0, ISNUMBER($H250))</formula>
    </cfRule>
    <cfRule type="expression" dxfId="446" priority="154">
      <formula>AND($H250 &lt; 0, ISNUMBER($H250))</formula>
    </cfRule>
  </conditionalFormatting>
  <conditionalFormatting sqref="J250:L280">
    <cfRule type="expression" dxfId="445" priority="149">
      <formula>AND($K250 &gt; 0, ISNUMBER($K250))</formula>
    </cfRule>
    <cfRule type="expression" dxfId="444" priority="150">
      <formula>AND($K250 = 0, ISNUMBER($K250))</formula>
    </cfRule>
    <cfRule type="expression" dxfId="443" priority="151">
      <formula>AND($K250 &lt; 0, ISNUMBER($K250))</formula>
    </cfRule>
  </conditionalFormatting>
  <conditionalFormatting sqref="M250:O280">
    <cfRule type="expression" dxfId="442" priority="146">
      <formula>AND($N250 &gt; 0, ISNUMBER($N250))</formula>
    </cfRule>
    <cfRule type="expression" dxfId="441" priority="147">
      <formula>AND($N250 = 0, ISNUMBER($N250))</formula>
    </cfRule>
    <cfRule type="expression" dxfId="440" priority="148">
      <formula>AND($N250 &lt; 0, ISNUMBER($N250))</formula>
    </cfRule>
  </conditionalFormatting>
  <conditionalFormatting sqref="D5:F6">
    <cfRule type="expression" dxfId="439" priority="143">
      <formula>$F$130 &gt; 0</formula>
    </cfRule>
    <cfRule type="expression" dxfId="438" priority="144">
      <formula>$F$130 = 0</formula>
    </cfRule>
    <cfRule type="expression" dxfId="437" priority="145">
      <formula>$F$130 &lt; 0</formula>
    </cfRule>
  </conditionalFormatting>
  <conditionalFormatting sqref="D7:F8">
    <cfRule type="expression" dxfId="436" priority="140">
      <formula>$F$206 &gt; 0</formula>
    </cfRule>
    <cfRule type="expression" dxfId="435" priority="141">
      <formula>$F$206 = 0</formula>
    </cfRule>
    <cfRule type="expression" dxfId="434" priority="142">
      <formula>$F$206 &lt; 0</formula>
    </cfRule>
  </conditionalFormatting>
  <conditionalFormatting sqref="D9:F10">
    <cfRule type="expression" dxfId="433" priority="137">
      <formula>$F$244 &gt; 0</formula>
    </cfRule>
    <cfRule type="expression" dxfId="432" priority="138">
      <formula>$F$244 = 0</formula>
    </cfRule>
    <cfRule type="expression" dxfId="431" priority="139">
      <formula>$F$244 &lt; 0</formula>
    </cfRule>
  </conditionalFormatting>
  <conditionalFormatting sqref="D11:F12">
    <cfRule type="expression" dxfId="430" priority="134">
      <formula>$F$168 &gt; 0</formula>
    </cfRule>
    <cfRule type="expression" dxfId="429" priority="135">
      <formula>$F$168 = 0</formula>
    </cfRule>
    <cfRule type="expression" dxfId="428" priority="136">
      <formula>$F$168 &lt; 0</formula>
    </cfRule>
  </conditionalFormatting>
  <conditionalFormatting sqref="D13:F14">
    <cfRule type="expression" dxfId="427" priority="92">
      <formula>$F$282 &gt; 0</formula>
    </cfRule>
    <cfRule type="expression" dxfId="426" priority="93">
      <formula>$F$282 = 0</formula>
    </cfRule>
    <cfRule type="expression" dxfId="425" priority="94">
      <formula>$F$282 &lt; 0</formula>
    </cfRule>
  </conditionalFormatting>
  <conditionalFormatting sqref="D15:F16">
    <cfRule type="expression" dxfId="424" priority="77">
      <formula>$F$54 &gt; 0</formula>
    </cfRule>
    <cfRule type="expression" dxfId="423" priority="78">
      <formula>$F$54 = 0</formula>
    </cfRule>
    <cfRule type="expression" dxfId="422" priority="79">
      <formula>$F$54 &lt; 0</formula>
    </cfRule>
  </conditionalFormatting>
  <conditionalFormatting sqref="G5:I6">
    <cfRule type="expression" dxfId="421" priority="65">
      <formula>$I$130 &gt; 0</formula>
    </cfRule>
    <cfRule type="expression" dxfId="420" priority="66">
      <formula>$I$130 = 0</formula>
    </cfRule>
    <cfRule type="expression" dxfId="419" priority="67">
      <formula>$I$130 &lt; 0</formula>
    </cfRule>
  </conditionalFormatting>
  <conditionalFormatting sqref="G7:I8">
    <cfRule type="expression" dxfId="418" priority="62">
      <formula>$I$206 &gt; 0</formula>
    </cfRule>
    <cfRule type="expression" dxfId="417" priority="63">
      <formula>$I$206 = 0</formula>
    </cfRule>
    <cfRule type="expression" dxfId="416" priority="64">
      <formula>$I$206 &lt; 0</formula>
    </cfRule>
  </conditionalFormatting>
  <conditionalFormatting sqref="G9:I10">
    <cfRule type="expression" dxfId="415" priority="59">
      <formula>$I$244 &gt; 0</formula>
    </cfRule>
    <cfRule type="expression" dxfId="414" priority="60">
      <formula>$I$244 = 0</formula>
    </cfRule>
    <cfRule type="expression" dxfId="413" priority="61">
      <formula>$I$244 &lt; 0</formula>
    </cfRule>
  </conditionalFormatting>
  <conditionalFormatting sqref="G11:I12">
    <cfRule type="expression" dxfId="412" priority="56">
      <formula>$I$168 &gt; 0</formula>
    </cfRule>
    <cfRule type="expression" dxfId="411" priority="57">
      <formula>$I$168 = 0</formula>
    </cfRule>
    <cfRule type="expression" dxfId="410" priority="58">
      <formula>$I$168 &lt; 0</formula>
    </cfRule>
  </conditionalFormatting>
  <conditionalFormatting sqref="G13:I14">
    <cfRule type="expression" dxfId="409" priority="53">
      <formula>$I$282 &gt; 0</formula>
    </cfRule>
    <cfRule type="expression" dxfId="408" priority="54">
      <formula>$I$282 = 0</formula>
    </cfRule>
    <cfRule type="expression" dxfId="407" priority="55">
      <formula>$I$282 &lt; 0</formula>
    </cfRule>
  </conditionalFormatting>
  <conditionalFormatting sqref="G15:I16">
    <cfRule type="expression" dxfId="406" priority="50">
      <formula>$I$54 &gt; 0</formula>
    </cfRule>
    <cfRule type="expression" dxfId="405" priority="51">
      <formula>$I$54 = 0</formula>
    </cfRule>
    <cfRule type="expression" dxfId="404" priority="52">
      <formula>$I$54 &lt; 0</formula>
    </cfRule>
  </conditionalFormatting>
  <conditionalFormatting sqref="J5:L6">
    <cfRule type="expression" dxfId="403" priority="47">
      <formula>$L$130 &gt; 0</formula>
    </cfRule>
    <cfRule type="expression" dxfId="402" priority="48">
      <formula>$L$130 = 0</formula>
    </cfRule>
    <cfRule type="expression" dxfId="401" priority="49">
      <formula>$L$130 &lt; 0</formula>
    </cfRule>
  </conditionalFormatting>
  <conditionalFormatting sqref="J7:L8">
    <cfRule type="expression" dxfId="400" priority="44">
      <formula>$L$206 &gt; 0</formula>
    </cfRule>
    <cfRule type="expression" dxfId="399" priority="45">
      <formula>$L$206 = 0</formula>
    </cfRule>
    <cfRule type="expression" dxfId="398" priority="46">
      <formula>$L$206 &lt; 0</formula>
    </cfRule>
  </conditionalFormatting>
  <conditionalFormatting sqref="J9:L10">
    <cfRule type="expression" dxfId="397" priority="41">
      <formula>$L$244 &gt; 0</formula>
    </cfRule>
    <cfRule type="expression" dxfId="396" priority="42">
      <formula>$L$244 = 0</formula>
    </cfRule>
    <cfRule type="expression" dxfId="395" priority="43">
      <formula>$L$244 &lt; 0</formula>
    </cfRule>
  </conditionalFormatting>
  <conditionalFormatting sqref="J11:L12">
    <cfRule type="expression" dxfId="394" priority="38">
      <formula>$L$168 &gt; 0</formula>
    </cfRule>
    <cfRule type="expression" dxfId="393" priority="39">
      <formula>$L$168 = 0</formula>
    </cfRule>
    <cfRule type="expression" dxfId="392" priority="40">
      <formula>$L$168 &lt; 0</formula>
    </cfRule>
  </conditionalFormatting>
  <conditionalFormatting sqref="J13:L14">
    <cfRule type="expression" dxfId="391" priority="35">
      <formula>$L$282 &gt; 0</formula>
    </cfRule>
    <cfRule type="expression" dxfId="390" priority="36">
      <formula>$L$282 = 0</formula>
    </cfRule>
    <cfRule type="expression" dxfId="389" priority="37">
      <formula>$L$282 &lt; 0</formula>
    </cfRule>
  </conditionalFormatting>
  <conditionalFormatting sqref="J15:L16">
    <cfRule type="expression" dxfId="388" priority="32">
      <formula>$L$54 &gt; 0</formula>
    </cfRule>
    <cfRule type="expression" dxfId="387" priority="33">
      <formula>$L$54 = 0</formula>
    </cfRule>
    <cfRule type="expression" dxfId="386" priority="34">
      <formula>$L$54 &lt; 0</formula>
    </cfRule>
  </conditionalFormatting>
  <conditionalFormatting sqref="M5:O6">
    <cfRule type="expression" dxfId="385" priority="29">
      <formula>$O$130 &gt; 0</formula>
    </cfRule>
    <cfRule type="expression" dxfId="384" priority="30">
      <formula>$O$130 = 0</formula>
    </cfRule>
    <cfRule type="expression" dxfId="383" priority="31">
      <formula>$O$130 &lt; 0</formula>
    </cfRule>
  </conditionalFormatting>
  <conditionalFormatting sqref="M7:O8">
    <cfRule type="expression" dxfId="382" priority="26">
      <formula>$O$206 &gt; 0</formula>
    </cfRule>
    <cfRule type="expression" dxfId="381" priority="27">
      <formula>$O$206 = 0</formula>
    </cfRule>
    <cfRule type="expression" dxfId="380" priority="28">
      <formula>$O$206 &lt; 0</formula>
    </cfRule>
  </conditionalFormatting>
  <conditionalFormatting sqref="M9:O10">
    <cfRule type="expression" dxfId="379" priority="23">
      <formula>$O$244 &gt; 0</formula>
    </cfRule>
    <cfRule type="expression" dxfId="378" priority="24">
      <formula>$O$244 = 0</formula>
    </cfRule>
    <cfRule type="expression" dxfId="377" priority="25">
      <formula>$O$244 &lt; 0</formula>
    </cfRule>
  </conditionalFormatting>
  <conditionalFormatting sqref="M11:O12">
    <cfRule type="expression" dxfId="376" priority="20">
      <formula>$O$168 &gt; 0</formula>
    </cfRule>
    <cfRule type="expression" dxfId="375" priority="21">
      <formula>$O$168 = 0</formula>
    </cfRule>
    <cfRule type="expression" dxfId="374" priority="22">
      <formula>$O$168 &lt; 0</formula>
    </cfRule>
  </conditionalFormatting>
  <conditionalFormatting sqref="M13:O14">
    <cfRule type="expression" dxfId="373" priority="17">
      <formula>$O$282 &gt; 0</formula>
    </cfRule>
    <cfRule type="expression" dxfId="372" priority="18">
      <formula>$O$282 = 0</formula>
    </cfRule>
    <cfRule type="expression" dxfId="371" priority="19">
      <formula>$O$282 &lt; 0</formula>
    </cfRule>
  </conditionalFormatting>
  <conditionalFormatting sqref="M15:O16">
    <cfRule type="expression" dxfId="370" priority="14">
      <formula>$O$54 &gt; 0</formula>
    </cfRule>
    <cfRule type="expression" dxfId="369" priority="15">
      <formula>$O$54 = 0</formula>
    </cfRule>
    <cfRule type="expression" dxfId="368" priority="16">
      <formula>$O$54 &lt; 0</formula>
    </cfRule>
  </conditionalFormatting>
  <conditionalFormatting sqref="D3:F4">
    <cfRule type="expression" dxfId="367" priority="13">
      <formula>$F$92 &lt; 0</formula>
    </cfRule>
    <cfRule type="expression" dxfId="366" priority="12">
      <formula>$F$92 = 0</formula>
    </cfRule>
    <cfRule type="expression" dxfId="365" priority="11">
      <formula>$F$92 &gt; 0</formula>
    </cfRule>
  </conditionalFormatting>
  <conditionalFormatting sqref="G3:I4">
    <cfRule type="expression" dxfId="364" priority="10">
      <formula>$I$92 &lt; 0</formula>
    </cfRule>
    <cfRule type="expression" dxfId="363" priority="9">
      <formula>$I$92 = 0</formula>
    </cfRule>
    <cfRule type="expression" dxfId="362" priority="8">
      <formula>$I$92 &gt; 0</formula>
    </cfRule>
  </conditionalFormatting>
  <conditionalFormatting sqref="J3:L4">
    <cfRule type="expression" dxfId="361" priority="5">
      <formula>$L$92 &gt; 0</formula>
    </cfRule>
    <cfRule type="expression" dxfId="360" priority="6">
      <formula>$L$92 = 0</formula>
    </cfRule>
    <cfRule type="expression" dxfId="359" priority="7">
      <formula>$L$92 &lt; 0</formula>
    </cfRule>
  </conditionalFormatting>
  <conditionalFormatting sqref="M3:O4">
    <cfRule type="expression" dxfId="358" priority="2">
      <formula>$O$92 &gt; 0</formula>
    </cfRule>
    <cfRule type="expression" dxfId="357" priority="3">
      <formula>$O$92 = 0</formula>
    </cfRule>
    <cfRule type="expression" dxfId="35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7" t="s">
        <v>0</v>
      </c>
      <c r="B1" s="188"/>
      <c r="C1" s="188"/>
      <c r="D1" s="188"/>
      <c r="E1" s="188"/>
      <c r="F1" s="189"/>
      <c r="G1" s="218">
        <v>44440</v>
      </c>
      <c r="H1" s="219"/>
      <c r="I1" s="220"/>
      <c r="J1" s="187" t="s">
        <v>1</v>
      </c>
      <c r="K1" s="188"/>
      <c r="L1" s="188"/>
      <c r="M1" s="188"/>
      <c r="N1" s="188"/>
      <c r="O1" s="189"/>
      <c r="Q1" s="187" t="s">
        <v>2</v>
      </c>
      <c r="R1" s="189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15" t="s">
        <v>46</v>
      </c>
      <c r="H2" s="216"/>
      <c r="I2" s="217"/>
      <c r="J2" s="1" t="s">
        <v>3</v>
      </c>
      <c r="K2" s="221" t="s">
        <v>320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12" t="s">
        <v>328</v>
      </c>
      <c r="C3" s="213"/>
      <c r="D3" s="213"/>
      <c r="E3" s="213"/>
      <c r="F3" s="214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-2,924 KRW (-0.10%)</v>
      </c>
      <c r="H3" s="209"/>
      <c r="I3" s="210"/>
      <c r="J3" s="4" t="s">
        <v>7</v>
      </c>
      <c r="K3" s="212" t="s">
        <v>321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2" t="s">
        <v>16</v>
      </c>
      <c r="C4" s="213"/>
      <c r="D4" s="213"/>
      <c r="E4" s="213"/>
      <c r="F4" s="214"/>
      <c r="G4" s="215" t="s">
        <v>44</v>
      </c>
      <c r="H4" s="216"/>
      <c r="I4" s="217"/>
      <c r="J4" s="4" t="s">
        <v>11</v>
      </c>
      <c r="K4" s="212" t="s">
        <v>322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2" t="s">
        <v>319</v>
      </c>
      <c r="C5" s="213"/>
      <c r="D5" s="213"/>
      <c r="E5" s="213"/>
      <c r="F5" s="214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144,006 KRW (5.65%)</v>
      </c>
      <c r="H5" s="209"/>
      <c r="I5" s="210"/>
      <c r="J5" s="4" t="s">
        <v>15</v>
      </c>
      <c r="K5" s="212" t="s">
        <v>323</v>
      </c>
      <c r="L5" s="213"/>
      <c r="M5" s="213"/>
      <c r="N5" s="213"/>
      <c r="O5" s="214"/>
    </row>
    <row r="6" spans="1:19">
      <c r="A6" s="118" t="s">
        <v>18</v>
      </c>
      <c r="B6" s="212"/>
      <c r="C6" s="213"/>
      <c r="D6" s="213"/>
      <c r="E6" s="213"/>
      <c r="F6" s="214"/>
      <c r="G6" s="215" t="s">
        <v>45</v>
      </c>
      <c r="H6" s="216"/>
      <c r="I6" s="217"/>
      <c r="J6" s="4" t="s">
        <v>18</v>
      </c>
      <c r="K6" s="212" t="s">
        <v>324</v>
      </c>
      <c r="L6" s="213"/>
      <c r="M6" s="213"/>
      <c r="N6" s="213"/>
      <c r="O6" s="214"/>
    </row>
    <row r="7" spans="1:19" ht="17.25" thickBot="1">
      <c r="A7" s="118" t="s">
        <v>21</v>
      </c>
      <c r="B7" s="212"/>
      <c r="C7" s="213"/>
      <c r="D7" s="213"/>
      <c r="E7" s="213"/>
      <c r="F7" s="214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76,540 KRW (2.55%)</v>
      </c>
      <c r="H7" s="209"/>
      <c r="I7" s="210"/>
      <c r="J7" s="4" t="s">
        <v>21</v>
      </c>
      <c r="K7" s="212" t="s">
        <v>325</v>
      </c>
      <c r="L7" s="213"/>
      <c r="M7" s="213"/>
      <c r="N7" s="213"/>
      <c r="O7" s="214"/>
    </row>
    <row r="8" spans="1:19" ht="17.25" thickBot="1">
      <c r="A8" s="118" t="s">
        <v>24</v>
      </c>
      <c r="B8" s="212"/>
      <c r="C8" s="213"/>
      <c r="D8" s="213"/>
      <c r="E8" s="213"/>
      <c r="F8" s="214"/>
      <c r="G8" s="215" t="s">
        <v>255</v>
      </c>
      <c r="H8" s="216"/>
      <c r="I8" s="217"/>
      <c r="J8" s="4" t="s">
        <v>24</v>
      </c>
      <c r="K8" s="212"/>
      <c r="L8" s="213"/>
      <c r="M8" s="213"/>
      <c r="N8" s="213"/>
      <c r="O8" s="214"/>
      <c r="Q8" s="187" t="s">
        <v>27</v>
      </c>
      <c r="R8" s="189"/>
    </row>
    <row r="9" spans="1:19" ht="17.25" thickBot="1">
      <c r="A9" s="118" t="s">
        <v>28</v>
      </c>
      <c r="B9" s="212"/>
      <c r="C9" s="213"/>
      <c r="D9" s="213"/>
      <c r="E9" s="213"/>
      <c r="F9" s="214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86,234 KRW (2.87%)</v>
      </c>
      <c r="H9" s="209"/>
      <c r="I9" s="210"/>
      <c r="J9" s="4" t="s">
        <v>28</v>
      </c>
      <c r="K9" s="212"/>
      <c r="L9" s="213"/>
      <c r="M9" s="213"/>
      <c r="N9" s="213"/>
      <c r="O9" s="214"/>
      <c r="Q9" s="2" t="s">
        <v>29</v>
      </c>
      <c r="R9" s="6">
        <v>10</v>
      </c>
    </row>
    <row r="10" spans="1:19">
      <c r="A10" s="118" t="s">
        <v>30</v>
      </c>
      <c r="B10" s="212"/>
      <c r="C10" s="213"/>
      <c r="D10" s="213"/>
      <c r="E10" s="213"/>
      <c r="F10" s="214"/>
      <c r="G10" s="215" t="s">
        <v>47</v>
      </c>
      <c r="H10" s="216"/>
      <c r="I10" s="217"/>
      <c r="J10" s="4" t="s">
        <v>30</v>
      </c>
      <c r="K10" s="212" t="s">
        <v>326</v>
      </c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119" t="s">
        <v>32</v>
      </c>
      <c r="B11" s="205" t="s">
        <v>327</v>
      </c>
      <c r="C11" s="206"/>
      <c r="D11" s="206"/>
      <c r="E11" s="206"/>
      <c r="F11" s="207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05" t="s">
        <v>318</v>
      </c>
      <c r="L11" s="206"/>
      <c r="M11" s="206"/>
      <c r="N11" s="206"/>
      <c r="O11" s="207"/>
      <c r="Q11" s="65" t="s">
        <v>33</v>
      </c>
      <c r="R11" s="8">
        <v>1000</v>
      </c>
    </row>
    <row r="12" spans="1:19" ht="17.25" thickBot="1"/>
    <row r="13" spans="1:19" ht="17.25" customHeight="1" thickBot="1">
      <c r="A13" s="187" t="s">
        <v>34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186"/>
      <c r="R13" s="186"/>
      <c r="S13" s="186"/>
    </row>
    <row r="14" spans="1:19" ht="17.25" customHeight="1" thickBot="1">
      <c r="A14" s="157" t="s">
        <v>35</v>
      </c>
      <c r="B14" s="187" t="s">
        <v>36</v>
      </c>
      <c r="C14" s="189"/>
      <c r="D14" s="187" t="s">
        <v>37</v>
      </c>
      <c r="E14" s="188"/>
      <c r="F14" s="189"/>
      <c r="G14" s="190">
        <f>_xlfn.IFNA(VLOOKUP(B14, 현재가테이블!$B$2:$D$200, 2, FALSE), "-")</f>
        <v>57970000</v>
      </c>
      <c r="H14" s="191"/>
      <c r="I14" s="192"/>
      <c r="J14" s="187" t="s">
        <v>38</v>
      </c>
      <c r="K14" s="188"/>
      <c r="L14" s="189"/>
      <c r="M14" s="193">
        <f>_xlfn.IFNA(VLOOKUP(B14, 현재가테이블!$B$2:$D$200, 3, FALSE), "-")</f>
        <v>2.6835532700000001E-2</v>
      </c>
      <c r="N14" s="194"/>
      <c r="O14" s="195"/>
      <c r="Q14" s="186"/>
      <c r="R14" s="186"/>
      <c r="S14" s="186"/>
    </row>
    <row r="15" spans="1:19" ht="17.25" customHeight="1" thickBot="1">
      <c r="A15" s="224" t="s">
        <v>39</v>
      </c>
      <c r="B15" s="225" t="str">
        <f>TEXT($G$1, "[$-ko-KR]yyyy-mm-dd(ddd) ") &amp; "오전 00:00"</f>
        <v>2021-09-01(수) 오전 00:00</v>
      </c>
      <c r="C15" s="226"/>
      <c r="D15" s="200" t="str">
        <f>TEXT($G$1, "[$-ko-KR]yyyy-mm-dd(ddd) ") &amp; "오후 14:00"</f>
        <v>2021-09-01(수) 오후 14:00</v>
      </c>
      <c r="E15" s="201"/>
      <c r="F15" s="202"/>
      <c r="G15" s="200" t="str">
        <f>TEXT($G$1, "[$-ko-KR]yyyy-mm-dd(ddd) ") &amp; "오후 19:00"</f>
        <v>2021-09-01(수) 오후 19:00</v>
      </c>
      <c r="H15" s="201"/>
      <c r="I15" s="202"/>
      <c r="J15" s="200" t="str">
        <f>TEXT($G$1, "[$-ko-KR]yyyy-mm-dd(ddd) ") &amp; "오후 21:00"</f>
        <v>2021-09-01(수) 오후 21:00</v>
      </c>
      <c r="K15" s="201"/>
      <c r="L15" s="202"/>
      <c r="M15" s="200" t="str">
        <f>TEXT($G$1+1, "[$-ko-KR]yyyy-mm-dd(ddd) ") &amp; "오전 00:00"</f>
        <v>2021-09-02(목) 오전 00:00</v>
      </c>
      <c r="N15" s="201"/>
      <c r="O15" s="202"/>
      <c r="Q15" s="186"/>
      <c r="R15" s="186"/>
      <c r="S15" s="186"/>
    </row>
    <row r="16" spans="1:19" ht="17.25" customHeight="1" thickBot="1">
      <c r="A16" s="2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6"/>
      <c r="R16" s="176"/>
      <c r="S16" s="17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6"/>
      <c r="R17" s="186"/>
      <c r="S17" s="1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6"/>
      <c r="R18" s="186"/>
      <c r="S18" s="1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6"/>
      <c r="R19" s="176"/>
      <c r="S19" s="17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6"/>
      <c r="R20" s="176"/>
      <c r="S20" s="17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6"/>
      <c r="R21" s="176"/>
      <c r="S21" s="17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6"/>
      <c r="R22" s="176"/>
      <c r="S22" s="17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6"/>
      <c r="R23" s="176"/>
      <c r="S23" s="17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6"/>
      <c r="R24" s="176"/>
      <c r="S24" s="17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7"/>
      <c r="R26" s="178"/>
      <c r="S26" s="17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0"/>
      <c r="R27" s="181"/>
      <c r="S27" s="18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3"/>
      <c r="R28" s="184"/>
      <c r="S28" s="18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6"/>
      <c r="R29" s="176"/>
      <c r="S29" s="17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6"/>
      <c r="R30" s="186"/>
      <c r="S30" s="1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6"/>
      <c r="R31" s="186"/>
      <c r="S31" s="1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6"/>
      <c r="R32" s="176"/>
      <c r="S32" s="17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6"/>
      <c r="R33" s="176"/>
      <c r="S33" s="17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6"/>
      <c r="R34" s="176"/>
      <c r="S34" s="17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5"/>
      <c r="R35" s="166"/>
      <c r="S35" s="1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8"/>
      <c r="R36" s="169"/>
      <c r="S36" s="170"/>
    </row>
    <row r="37" spans="1:19" ht="17.25" customHeight="1" thickBot="1">
      <c r="A37" s="132" t="s">
        <v>42</v>
      </c>
      <c r="B37" s="229">
        <v>150000</v>
      </c>
      <c r="C37" s="23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1"/>
      <c r="R37" s="172"/>
      <c r="S37" s="173"/>
    </row>
    <row r="38" spans="1:19" ht="17.25" customHeight="1"/>
    <row r="39" spans="1:19" ht="17.25" customHeight="1" thickBot="1"/>
    <row r="40" spans="1:19" ht="17.25" customHeight="1" thickBot="1">
      <c r="A40" s="187" t="s">
        <v>44</v>
      </c>
      <c r="B40" s="188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  <c r="N40" s="188"/>
      <c r="O40" s="189"/>
      <c r="Q40" s="186"/>
      <c r="R40" s="186"/>
      <c r="S40" s="186"/>
    </row>
    <row r="41" spans="1:19" ht="17.25" customHeight="1" thickBot="1">
      <c r="A41" s="157" t="s">
        <v>267</v>
      </c>
      <c r="B41" s="187" t="s">
        <v>49</v>
      </c>
      <c r="C41" s="189"/>
      <c r="D41" s="187" t="s">
        <v>58</v>
      </c>
      <c r="E41" s="188"/>
      <c r="F41" s="189"/>
      <c r="G41" s="190">
        <f>_xlfn.IFNA(VLOOKUP(B41, 현재가테이블!$B$2:$D$200, 2, FALSE), "-")</f>
        <v>57970000</v>
      </c>
      <c r="H41" s="191"/>
      <c r="I41" s="192"/>
      <c r="J41" s="187" t="s">
        <v>59</v>
      </c>
      <c r="K41" s="188"/>
      <c r="L41" s="189"/>
      <c r="M41" s="193">
        <f>_xlfn.IFNA(VLOOKUP(B41, 현재가테이블!$B$2:$D$200, 3, FALSE), "-")</f>
        <v>2.6835532700000001E-2</v>
      </c>
      <c r="N41" s="194"/>
      <c r="O41" s="195"/>
      <c r="Q41" s="186"/>
      <c r="R41" s="186"/>
      <c r="S41" s="186"/>
    </row>
    <row r="42" spans="1:19" ht="17.25" customHeight="1" thickBot="1">
      <c r="A42" s="231" t="s">
        <v>55</v>
      </c>
      <c r="B42" s="227" t="str">
        <f>TEXT($G$1, "[$-ko-KR]yyyy-mm-dd(ddd) ") &amp; "오전 00:00"</f>
        <v>2021-09-01(수) 오전 00:00</v>
      </c>
      <c r="C42" s="228"/>
      <c r="D42" s="200" t="str">
        <f>TEXT($G$1, "[$-ko-KR]yyyy-mm-dd(ddd) ") &amp; "오후 14:00"</f>
        <v>2021-09-01(수) 오후 14:00</v>
      </c>
      <c r="E42" s="201"/>
      <c r="F42" s="202"/>
      <c r="G42" s="200" t="str">
        <f>TEXT($G$1, "[$-ko-KR]yyyy-mm-dd(ddd) ") &amp; "오후 19:00"</f>
        <v>2021-09-01(수) 오후 19:00</v>
      </c>
      <c r="H42" s="201"/>
      <c r="I42" s="202"/>
      <c r="J42" s="200" t="str">
        <f>TEXT($G$1, "[$-ko-KR]yyyy-mm-dd(ddd) ") &amp; "오후 21:00"</f>
        <v>2021-09-01(수) 오후 21:00</v>
      </c>
      <c r="K42" s="201"/>
      <c r="L42" s="202"/>
      <c r="M42" s="200" t="str">
        <f>TEXT($G$1+1, "[$-ko-KR]yyyy-mm-dd(ddd) ") &amp; "오전 00:00"</f>
        <v>2021-09-02(목) 오전 00:00</v>
      </c>
      <c r="N42" s="201"/>
      <c r="O42" s="202"/>
      <c r="Q42" s="186"/>
      <c r="R42" s="186"/>
      <c r="S42" s="186"/>
    </row>
    <row r="43" spans="1:19" ht="17.25" customHeight="1" thickBot="1">
      <c r="A43" s="23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76"/>
      <c r="R43" s="176"/>
      <c r="S43" s="176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8914.7286821705311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8139.5348837209076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5426.3565891472808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8139.5348837209076</v>
      </c>
      <c r="Q44" s="186"/>
      <c r="R44" s="186"/>
      <c r="S44" s="186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2459.016393442625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5225.4098360655717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7069.672131147554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5225.4098360655717</v>
      </c>
      <c r="Q45" s="186"/>
      <c r="R45" s="186"/>
      <c r="S45" s="186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-785.34031413613673</v>
      </c>
      <c r="G46" s="31">
        <v>19.8</v>
      </c>
      <c r="H46" s="32">
        <f t="shared" si="15"/>
        <v>3.6649214659685826E-2</v>
      </c>
      <c r="I46" s="101">
        <f>IF(ISNUMBER(G46), $B64 * H46, "")</f>
        <v>5497.3821989528742</v>
      </c>
      <c r="J46" s="15">
        <v>19.5</v>
      </c>
      <c r="K46" s="32">
        <f t="shared" si="16"/>
        <v>2.0942408376963276E-2</v>
      </c>
      <c r="L46" s="18">
        <f>IF(ISNUMBER(J46), $B64 * K46, "")</f>
        <v>3141.3612565444914</v>
      </c>
      <c r="M46" s="31">
        <v>19.399999999999999</v>
      </c>
      <c r="N46" s="32">
        <f t="shared" si="17"/>
        <v>1.5706806282722363E-2</v>
      </c>
      <c r="O46" s="18">
        <f>IF(ISNUMBER(M46), $B64 * N46, "")</f>
        <v>2356.0209424083546</v>
      </c>
      <c r="Q46" s="176"/>
      <c r="R46" s="176"/>
      <c r="S46" s="176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2142.8571428571354</v>
      </c>
      <c r="G47" s="31">
        <v>14.6</v>
      </c>
      <c r="H47" s="32">
        <f t="shared" si="15"/>
        <v>4.285714285714283E-2</v>
      </c>
      <c r="I47" s="101">
        <f>IF(ISNUMBER(G47), $B64 * H47, "")</f>
        <v>6428.5714285714248</v>
      </c>
      <c r="J47" s="15">
        <v>14.4</v>
      </c>
      <c r="K47" s="32">
        <f t="shared" si="16"/>
        <v>2.8571428571428598E-2</v>
      </c>
      <c r="L47" s="18">
        <f>IF(ISNUMBER(J47), $B64 * K47, "")</f>
        <v>4285.7142857142899</v>
      </c>
      <c r="M47" s="31">
        <v>14.3</v>
      </c>
      <c r="N47" s="32">
        <f t="shared" si="17"/>
        <v>2.1428571428571481E-2</v>
      </c>
      <c r="O47" s="18">
        <f>IF(ISNUMBER(M47), $B64 * N47, "")</f>
        <v>3214.285714285722</v>
      </c>
      <c r="Q47" s="176"/>
      <c r="R47" s="176"/>
      <c r="S47" s="176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2853.7455410226075</v>
      </c>
      <c r="G48" s="30">
        <v>87.5</v>
      </c>
      <c r="H48" s="21">
        <f t="shared" si="15"/>
        <v>4.042806183115346E-2</v>
      </c>
      <c r="I48" s="105">
        <f>IF(ISNUMBER(G48), $B64 * H48, "")</f>
        <v>6064.2092746730186</v>
      </c>
      <c r="J48" s="20">
        <v>90.6</v>
      </c>
      <c r="K48" s="21">
        <f t="shared" si="16"/>
        <v>7.7288941736028544E-2</v>
      </c>
      <c r="L48" s="22">
        <f>IF(ISNUMBER(J48), $B64 * K48, "")</f>
        <v>11593.341260404282</v>
      </c>
      <c r="M48" s="30">
        <v>88.8</v>
      </c>
      <c r="N48" s="21">
        <f t="shared" si="17"/>
        <v>5.5885850178359134E-2</v>
      </c>
      <c r="O48" s="22">
        <f>IF(ISNUMBER(M48), $B64 * N48, "")</f>
        <v>8382.8775267538695</v>
      </c>
      <c r="Q48" s="176"/>
      <c r="R48" s="176"/>
      <c r="S48" s="176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-414.9377593361055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2074.6887966804979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3319.5020746888144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2489.6265560166039</v>
      </c>
      <c r="Q49" s="176"/>
      <c r="R49" s="176"/>
      <c r="S49" s="176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1195.219123505972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5378.4860557768834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4780.876494023888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5378.4860557768834</v>
      </c>
      <c r="Q50" s="176"/>
      <c r="R50" s="176"/>
      <c r="S50" s="176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8766.2337662337686</v>
      </c>
      <c r="J51" s="15">
        <v>16.399999999999999</v>
      </c>
      <c r="K51" s="32">
        <f t="shared" si="20"/>
        <v>6.4935064935064818E-2</v>
      </c>
      <c r="L51" s="18">
        <f>IF(ISNUMBER(J51), $B64 * K51, "")</f>
        <v>9740.2597402597221</v>
      </c>
      <c r="M51" s="31">
        <v>15.8</v>
      </c>
      <c r="N51" s="32">
        <f t="shared" si="21"/>
        <v>2.5974025974025997E-2</v>
      </c>
      <c r="O51" s="18">
        <f>IF(ISNUMBER(M51), $B64 * N51, "")</f>
        <v>3896.1038961038994</v>
      </c>
      <c r="Q51" s="176"/>
      <c r="R51" s="176"/>
      <c r="S51" s="176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4032.2580645161288</v>
      </c>
      <c r="G52" s="31">
        <v>19.600000000000001</v>
      </c>
      <c r="H52" s="32">
        <f t="shared" si="19"/>
        <v>5.3763440860215048E-2</v>
      </c>
      <c r="I52" s="101">
        <f>IF(ISNUMBER(G52), $B64 * H52, "")</f>
        <v>8064.5161290322576</v>
      </c>
      <c r="J52" s="15">
        <v>19.5</v>
      </c>
      <c r="K52" s="32">
        <f t="shared" si="20"/>
        <v>4.8387096774193471E-2</v>
      </c>
      <c r="L52" s="18">
        <f>IF(ISNUMBER(J52), $B64 * K52, "")</f>
        <v>7258.0645161290204</v>
      </c>
      <c r="M52" s="31">
        <v>19.8</v>
      </c>
      <c r="N52" s="32">
        <f t="shared" si="21"/>
        <v>6.4516129032258021E-2</v>
      </c>
      <c r="O52" s="18">
        <f>IF(ISNUMBER(M52), $B64 * N52, "")</f>
        <v>9677.4193548387029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1339.2857142857335</v>
      </c>
      <c r="G53" s="102">
        <v>11.9</v>
      </c>
      <c r="H53" s="25">
        <f t="shared" si="19"/>
        <v>6.2500000000000097E-2</v>
      </c>
      <c r="I53" s="103">
        <f>IF(ISNUMBER(G53), $B64 * H53, "")</f>
        <v>9375.0000000000146</v>
      </c>
      <c r="J53" s="24">
        <v>11.7</v>
      </c>
      <c r="K53" s="25">
        <f t="shared" si="20"/>
        <v>4.4642857142857144E-2</v>
      </c>
      <c r="L53" s="104">
        <f>IF(ISNUMBER(J53), $B64 * K53, "")</f>
        <v>6696.4285714285716</v>
      </c>
      <c r="M53" s="102">
        <v>11.7</v>
      </c>
      <c r="N53" s="25">
        <f t="shared" si="21"/>
        <v>4.4642857142857144E-2</v>
      </c>
      <c r="O53" s="104">
        <f>IF(ISNUMBER(M53), $B64 * N53, "")</f>
        <v>6696.4285714285716</v>
      </c>
      <c r="Q53" s="177"/>
      <c r="R53" s="178"/>
      <c r="S53" s="179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3067.4846625766872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4601.2269938650306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3374.2331288343603</v>
      </c>
      <c r="Q54" s="180"/>
      <c r="R54" s="181"/>
      <c r="S54" s="182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2586.2068965517383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5818.9655172413932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3879.3103448275956</v>
      </c>
      <c r="Q55" s="183"/>
      <c r="R55" s="184"/>
      <c r="S55" s="185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3409.0909090909176</v>
      </c>
      <c r="G56" s="31">
        <v>14.3</v>
      </c>
      <c r="H56" s="32">
        <f t="shared" si="23"/>
        <v>8.333333333333344E-2</v>
      </c>
      <c r="I56" s="101">
        <f>IF(ISNUMBER(G56), $B64 * H56, "")</f>
        <v>12500.000000000016</v>
      </c>
      <c r="J56" s="15">
        <v>14</v>
      </c>
      <c r="K56" s="32">
        <f t="shared" si="24"/>
        <v>6.0606060606060663E-2</v>
      </c>
      <c r="L56" s="18">
        <f>IF(ISNUMBER(J56), $B64 * K56, "")</f>
        <v>9090.9090909090992</v>
      </c>
      <c r="M56" s="31">
        <v>13.9</v>
      </c>
      <c r="N56" s="32">
        <f t="shared" si="25"/>
        <v>5.3030303030303115E-2</v>
      </c>
      <c r="O56" s="18">
        <f>IF(ISNUMBER(M56), $B64 * N56, "")</f>
        <v>7954.5454545454677</v>
      </c>
      <c r="Q56" s="176"/>
      <c r="R56" s="176"/>
      <c r="S56" s="176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1153.8461538461497</v>
      </c>
      <c r="G57" s="31">
        <v>13.6</v>
      </c>
      <c r="H57" s="32">
        <f t="shared" si="23"/>
        <v>4.6153846153846129E-2</v>
      </c>
      <c r="I57" s="101">
        <f>IF(ISNUMBER(G57), $B64 * H57, "")</f>
        <v>6923.0769230769192</v>
      </c>
      <c r="J57" s="15">
        <v>13.6</v>
      </c>
      <c r="K57" s="32">
        <f t="shared" si="24"/>
        <v>4.6153846153846129E-2</v>
      </c>
      <c r="L57" s="18">
        <f>IF(ISNUMBER(J57), $B64 * K57, "")</f>
        <v>6923.0769230769192</v>
      </c>
      <c r="M57" s="31">
        <v>13.4</v>
      </c>
      <c r="N57" s="32">
        <f t="shared" si="25"/>
        <v>3.0769230769230795E-2</v>
      </c>
      <c r="O57" s="18">
        <f>IF(ISNUMBER(M57), $B64 * N57, "")</f>
        <v>4615.3846153846189</v>
      </c>
      <c r="Q57" s="186"/>
      <c r="R57" s="186"/>
      <c r="S57" s="186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-177.30496453899704</v>
      </c>
      <c r="G58" s="30">
        <v>84.9</v>
      </c>
      <c r="H58" s="21">
        <f t="shared" si="23"/>
        <v>3.5460992907802766E-3</v>
      </c>
      <c r="I58" s="105">
        <f>IF(ISNUMBER(G58), $B64 * H58, "")</f>
        <v>531.91489361704146</v>
      </c>
      <c r="J58" s="20">
        <v>85.8</v>
      </c>
      <c r="K58" s="21">
        <f t="shared" si="24"/>
        <v>1.4184397163120602E-2</v>
      </c>
      <c r="L58" s="22">
        <f>IF(ISNUMBER(J58), $B64 * K58, "")</f>
        <v>2127.6595744680903</v>
      </c>
      <c r="M58" s="30">
        <v>85.7</v>
      </c>
      <c r="N58" s="21">
        <f t="shared" si="25"/>
        <v>1.3002364066193955E-2</v>
      </c>
      <c r="O58" s="22">
        <f>IF(ISNUMBER(M58), $B64 * N58, "")</f>
        <v>1950.3546099290934</v>
      </c>
      <c r="Q58" s="186"/>
      <c r="R58" s="186"/>
      <c r="S58" s="186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4785.478547854771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4455.4455445544363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4125.4125412541252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2970.2970297029656</v>
      </c>
      <c r="Q59" s="176"/>
      <c r="R59" s="176"/>
      <c r="S59" s="176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19029.85074626865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105223.88059701493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71641.791044776124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63805.970149253742</v>
      </c>
      <c r="Q60" s="176"/>
      <c r="R60" s="176"/>
      <c r="S60" s="17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76"/>
      <c r="R61" s="176"/>
      <c r="S61" s="17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65"/>
      <c r="R62" s="166"/>
      <c r="S62" s="16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68"/>
      <c r="R63" s="169"/>
      <c r="S63" s="170"/>
    </row>
    <row r="64" spans="1:19" ht="17.25" customHeight="1" thickBot="1">
      <c r="A64" s="132" t="s">
        <v>270</v>
      </c>
      <c r="B64" s="229">
        <f>$B$37</f>
        <v>150000</v>
      </c>
      <c r="C64" s="230"/>
      <c r="D64" s="26" t="s">
        <v>271</v>
      </c>
      <c r="E64" s="27">
        <f>IF(COUNT(E44:E63), SUM(E44:E63) / COUNT(E44:E63), 0)</f>
        <v>1.9583448619941168E-2</v>
      </c>
      <c r="F64" s="28">
        <f>SUM(F44:F63)</f>
        <v>49937.79398084998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200302.04188709898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167640.61860507872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144006.28866987693</v>
      </c>
      <c r="Q64" s="171"/>
      <c r="R64" s="172"/>
      <c r="S64" s="173"/>
    </row>
    <row r="65" spans="1:19" ht="17.25" customHeight="1"/>
    <row r="66" spans="1:19" ht="17.25" customHeight="1" thickBot="1"/>
    <row r="67" spans="1:19" ht="17.25" thickBot="1">
      <c r="A67" s="187" t="s">
        <v>45</v>
      </c>
      <c r="B67" s="188"/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9"/>
      <c r="Q67" s="186"/>
      <c r="R67" s="186"/>
      <c r="S67" s="186"/>
    </row>
    <row r="68" spans="1:19" ht="17.25" thickBot="1">
      <c r="A68" s="157" t="s">
        <v>267</v>
      </c>
      <c r="B68" s="187" t="s">
        <v>49</v>
      </c>
      <c r="C68" s="189"/>
      <c r="D68" s="187" t="s">
        <v>58</v>
      </c>
      <c r="E68" s="188"/>
      <c r="F68" s="189"/>
      <c r="G68" s="190">
        <f>_xlfn.IFNA(VLOOKUP(B68, 현재가테이블!$B$2:$D$200, 2, FALSE), "-")</f>
        <v>57970000</v>
      </c>
      <c r="H68" s="191"/>
      <c r="I68" s="192"/>
      <c r="J68" s="187" t="s">
        <v>59</v>
      </c>
      <c r="K68" s="188"/>
      <c r="L68" s="189"/>
      <c r="M68" s="193">
        <f>_xlfn.IFNA(VLOOKUP(B68, 현재가테이블!$B$2:$D$200, 3, FALSE), "-")</f>
        <v>2.6835532700000001E-2</v>
      </c>
      <c r="N68" s="194"/>
      <c r="O68" s="195"/>
      <c r="Q68" s="186"/>
      <c r="R68" s="186"/>
      <c r="S68" s="186"/>
    </row>
    <row r="69" spans="1:19" ht="17.25" thickBot="1">
      <c r="A69" s="231" t="s">
        <v>55</v>
      </c>
      <c r="B69" s="227" t="str">
        <f>TEXT($G$1, "[$-ko-KR]yyyy-mm-dd(ddd) ") &amp; "오전 00:00"</f>
        <v>2021-09-01(수) 오전 00:00</v>
      </c>
      <c r="C69" s="228"/>
      <c r="D69" s="200" t="str">
        <f>TEXT($G$1, "[$-ko-KR]yyyy-mm-dd(ddd) ") &amp; "오후 14:00"</f>
        <v>2021-09-01(수) 오후 14:00</v>
      </c>
      <c r="E69" s="201"/>
      <c r="F69" s="202"/>
      <c r="G69" s="200" t="str">
        <f>TEXT($G$1, "[$-ko-KR]yyyy-mm-dd(ddd) ") &amp; "오후 19:00"</f>
        <v>2021-09-01(수) 오후 19:00</v>
      </c>
      <c r="H69" s="201"/>
      <c r="I69" s="202"/>
      <c r="J69" s="200" t="str">
        <f>TEXT($G$1, "[$-ko-KR]yyyy-mm-dd(ddd) ") &amp; "오후 21:00"</f>
        <v>2021-09-01(수) 오후 21:00</v>
      </c>
      <c r="K69" s="201"/>
      <c r="L69" s="202"/>
      <c r="M69" s="200" t="str">
        <f>TEXT($G$1+1, "[$-ko-KR]yyyy-mm-dd(ddd) ") &amp; "오전 00:00"</f>
        <v>2021-09-02(목) 오전 00:00</v>
      </c>
      <c r="N69" s="201"/>
      <c r="O69" s="202"/>
      <c r="Q69" s="186"/>
      <c r="R69" s="186"/>
      <c r="S69" s="186"/>
    </row>
    <row r="70" spans="1:19" ht="17.25" thickBot="1">
      <c r="A70" s="23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76"/>
      <c r="R70" s="176"/>
      <c r="S70" s="176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-301.81086519114689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-1810.8651911468812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18108.651911468813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22032.19315895372</v>
      </c>
      <c r="Q71" s="186"/>
      <c r="R71" s="186"/>
      <c r="S71" s="186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-6586.402266288952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-4674.2209631728047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-3824.3626062322946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1487.2521246458923</v>
      </c>
      <c r="Q72" s="186"/>
      <c r="R72" s="186"/>
      <c r="S72" s="186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797.87234042553189</v>
      </c>
      <c r="G73" s="31">
        <v>213</v>
      </c>
      <c r="H73" s="32">
        <f t="shared" si="31"/>
        <v>0.13297872340425532</v>
      </c>
      <c r="I73" s="101">
        <f>IF(ISNUMBER(G73), $B91 * H73, "")</f>
        <v>19946.808510638297</v>
      </c>
      <c r="J73" s="15">
        <v>194</v>
      </c>
      <c r="K73" s="32">
        <f t="shared" si="32"/>
        <v>3.1914893617021274E-2</v>
      </c>
      <c r="L73" s="18">
        <f>IF(ISNUMBER(J73), $B91 * K73, "")</f>
        <v>4787.2340425531911</v>
      </c>
      <c r="M73" s="31">
        <v>191</v>
      </c>
      <c r="N73" s="32">
        <f t="shared" si="33"/>
        <v>1.5957446808510637E-2</v>
      </c>
      <c r="O73" s="18">
        <f>IF(ISNUMBER(M73), $B91 * N73, "")</f>
        <v>2393.6170212765956</v>
      </c>
      <c r="Q73" s="176"/>
      <c r="R73" s="176"/>
      <c r="S73" s="176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-3498.5422740524782</v>
      </c>
      <c r="G74" s="31">
        <v>338</v>
      </c>
      <c r="H74" s="32">
        <f t="shared" si="31"/>
        <v>-1.4577259475218658E-2</v>
      </c>
      <c r="I74" s="101">
        <f>IF(ISNUMBER(G74), $B91 * H74, "")</f>
        <v>-2186.5889212827988</v>
      </c>
      <c r="J74" s="15">
        <v>346</v>
      </c>
      <c r="K74" s="32">
        <f t="shared" si="32"/>
        <v>8.7463556851311956E-3</v>
      </c>
      <c r="L74" s="18">
        <f>IF(ISNUMBER(J74), $B91 * K74, "")</f>
        <v>1311.9533527696794</v>
      </c>
      <c r="M74" s="31">
        <v>341</v>
      </c>
      <c r="N74" s="32">
        <f t="shared" si="33"/>
        <v>-5.8309037900874635E-3</v>
      </c>
      <c r="O74" s="18">
        <f>IF(ISNUMBER(M74), $B91 * N74, "")</f>
        <v>-874.63556851311955</v>
      </c>
      <c r="Q74" s="176"/>
      <c r="R74" s="176"/>
      <c r="S74" s="176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-262.23776223776224</v>
      </c>
      <c r="G75" s="30">
        <v>565</v>
      </c>
      <c r="H75" s="21">
        <f t="shared" si="31"/>
        <v>-1.2237762237762238E-2</v>
      </c>
      <c r="I75" s="105">
        <f>IF(ISNUMBER(G75), $B91 * H75, "")</f>
        <v>-1835.6643356643358</v>
      </c>
      <c r="J75" s="20">
        <v>585</v>
      </c>
      <c r="K75" s="21">
        <f t="shared" si="32"/>
        <v>2.2727272727272728E-2</v>
      </c>
      <c r="L75" s="22">
        <f>IF(ISNUMBER(J75), $B91 * K75, "")</f>
        <v>3409.090909090909</v>
      </c>
      <c r="M75" s="30">
        <v>580</v>
      </c>
      <c r="N75" s="21">
        <f t="shared" si="33"/>
        <v>1.3986013986013986E-2</v>
      </c>
      <c r="O75" s="22">
        <f>IF(ISNUMBER(M75), $B91 * N75, "")</f>
        <v>2097.9020979020979</v>
      </c>
      <c r="Q75" s="176"/>
      <c r="R75" s="176"/>
      <c r="S75" s="176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-2013.4228187919462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503.35570469798654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2516.7785234899329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1006.7114093959731</v>
      </c>
      <c r="Q76" s="176"/>
      <c r="R76" s="176"/>
      <c r="S76" s="176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1403.3264033264034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2027.0270270270271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2338.8773388773388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2338.8773388773388</v>
      </c>
      <c r="Q77" s="176"/>
      <c r="R77" s="176"/>
      <c r="S77" s="176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1098.901098901099</v>
      </c>
      <c r="G78" s="31">
        <v>279</v>
      </c>
      <c r="H78" s="32">
        <f t="shared" si="35"/>
        <v>2.197802197802198E-2</v>
      </c>
      <c r="I78" s="101">
        <f>IF(ISNUMBER(G78), $B91 * H78, "")</f>
        <v>3296.7032967032969</v>
      </c>
      <c r="J78" s="15">
        <v>284</v>
      </c>
      <c r="K78" s="32">
        <f t="shared" si="36"/>
        <v>4.0293040293040296E-2</v>
      </c>
      <c r="L78" s="18">
        <f>IF(ISNUMBER(J78), $B91 * K78, "")</f>
        <v>6043.9560439560446</v>
      </c>
      <c r="M78" s="31">
        <v>284</v>
      </c>
      <c r="N78" s="32">
        <f t="shared" si="37"/>
        <v>4.0293040293040296E-2</v>
      </c>
      <c r="O78" s="18">
        <f>IF(ISNUMBER(M78), $B91 * N78, "")</f>
        <v>6043.9560439560446</v>
      </c>
      <c r="Q78" s="176"/>
      <c r="R78" s="176"/>
      <c r="S78" s="176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-2343.75</v>
      </c>
      <c r="G79" s="31">
        <v>129</v>
      </c>
      <c r="H79" s="32">
        <f t="shared" si="35"/>
        <v>7.8125E-3</v>
      </c>
      <c r="I79" s="101">
        <f>IF(ISNUMBER(G79), $B91 * H79, "")</f>
        <v>1171.875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3515.625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-1865.671641791045</v>
      </c>
      <c r="G80" s="102">
        <v>401</v>
      </c>
      <c r="H80" s="25">
        <f t="shared" si="35"/>
        <v>-2.4875621890547263E-3</v>
      </c>
      <c r="I80" s="103">
        <f>IF(ISNUMBER(G80), $B91 * H80, "")</f>
        <v>-373.13432835820896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-1119.4029850746269</v>
      </c>
      <c r="Q80" s="177"/>
      <c r="R80" s="178"/>
      <c r="S80" s="179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3169.0140845070423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13732.394366197184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14788.732394366196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17957.74647887324</v>
      </c>
      <c r="Q81" s="180"/>
      <c r="R81" s="181"/>
      <c r="S81" s="182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2644.8362720403024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3022.670025188917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3778.3375314861464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3022.670025188917</v>
      </c>
      <c r="Q82" s="183"/>
      <c r="R82" s="184"/>
      <c r="S82" s="185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-1174.9347258485639</v>
      </c>
      <c r="G83" s="31">
        <v>381</v>
      </c>
      <c r="H83" s="32">
        <f t="shared" si="39"/>
        <v>-5.2219321148825066E-3</v>
      </c>
      <c r="I83" s="101">
        <f>IF(ISNUMBER(G83), $B91 * H83, "")</f>
        <v>-783.28981723237598</v>
      </c>
      <c r="J83" s="15">
        <v>384</v>
      </c>
      <c r="K83" s="32">
        <f t="shared" si="40"/>
        <v>2.6109660574412533E-3</v>
      </c>
      <c r="L83" s="18">
        <f>IF(ISNUMBER(J83), $B91 * K83, "")</f>
        <v>391.64490861618799</v>
      </c>
      <c r="M83" s="31">
        <v>384</v>
      </c>
      <c r="N83" s="32">
        <f t="shared" si="41"/>
        <v>2.6109660574412533E-3</v>
      </c>
      <c r="O83" s="18">
        <f>IF(ISNUMBER(M83), $B91 * N83, "")</f>
        <v>391.64490861618799</v>
      </c>
      <c r="Q83" s="176"/>
      <c r="R83" s="176"/>
      <c r="S83" s="176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-2153.1100478468902</v>
      </c>
      <c r="G84" s="31">
        <v>416</v>
      </c>
      <c r="H84" s="32">
        <f t="shared" si="39"/>
        <v>-4.7846889952153108E-3</v>
      </c>
      <c r="I84" s="101">
        <f>IF(ISNUMBER(G84), $B91 * H84, "")</f>
        <v>-717.70334928229659</v>
      </c>
      <c r="J84" s="15">
        <v>422</v>
      </c>
      <c r="K84" s="32">
        <f t="shared" si="40"/>
        <v>9.5693779904306216E-3</v>
      </c>
      <c r="L84" s="18">
        <f>IF(ISNUMBER(J84), $B91 * K84, "")</f>
        <v>1435.4066985645932</v>
      </c>
      <c r="M84" s="31">
        <v>424</v>
      </c>
      <c r="N84" s="32">
        <f t="shared" si="41"/>
        <v>1.4354066985645933E-2</v>
      </c>
      <c r="O84" s="18">
        <f>IF(ISNUMBER(M84), $B91 * N84, "")</f>
        <v>2153.1100478468902</v>
      </c>
      <c r="Q84" s="186"/>
      <c r="R84" s="186"/>
      <c r="S84" s="186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2702.7027027027025</v>
      </c>
      <c r="J85" s="20">
        <v>114</v>
      </c>
      <c r="K85" s="21">
        <f t="shared" si="40"/>
        <v>2.7027027027027029E-2</v>
      </c>
      <c r="L85" s="22">
        <f>IF(ISNUMBER(J85), $B91 * K85, "")</f>
        <v>4054.0540540540542</v>
      </c>
      <c r="M85" s="30">
        <v>114</v>
      </c>
      <c r="N85" s="21">
        <f t="shared" si="41"/>
        <v>2.7027027027027029E-2</v>
      </c>
      <c r="O85" s="22">
        <f>IF(ISNUMBER(M85), $B91 * N85, "")</f>
        <v>4054.0540540540542</v>
      </c>
      <c r="Q85" s="186"/>
      <c r="R85" s="186"/>
      <c r="S85" s="186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-1102.9411764705883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2205.8823529411766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1102.9411764705883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176"/>
      <c r="R86" s="176"/>
      <c r="S86" s="176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2912.6213592233007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5825.2427184466014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7281.5533980582522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5825.2427184466014</v>
      </c>
      <c r="Q87" s="176"/>
      <c r="R87" s="176"/>
      <c r="S87" s="176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-719.42446043165467</v>
      </c>
      <c r="G88" s="31">
        <v>419</v>
      </c>
      <c r="H88" s="32">
        <f t="shared" si="43"/>
        <v>4.7961630695443642E-3</v>
      </c>
      <c r="I88" s="101">
        <f>IF(ISNUMBER(G88), $B91 * H88, "")</f>
        <v>719.42446043165467</v>
      </c>
      <c r="J88" s="15">
        <v>421</v>
      </c>
      <c r="K88" s="32">
        <f t="shared" si="44"/>
        <v>9.5923261390887284E-3</v>
      </c>
      <c r="L88" s="18">
        <f>IF(ISNUMBER(J88), $B91 * K88, "")</f>
        <v>1438.8489208633093</v>
      </c>
      <c r="M88" s="31">
        <v>419</v>
      </c>
      <c r="N88" s="32">
        <f t="shared" si="45"/>
        <v>4.7961630695443642E-3</v>
      </c>
      <c r="O88" s="18">
        <f>IF(ISNUMBER(M88), $B91 * N88, "")</f>
        <v>719.42446043165467</v>
      </c>
      <c r="Q88" s="176"/>
      <c r="R88" s="176"/>
      <c r="S88" s="176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1393.188854489164</v>
      </c>
      <c r="G89" s="31">
        <v>327</v>
      </c>
      <c r="H89" s="32">
        <f t="shared" si="43"/>
        <v>1.238390092879257E-2</v>
      </c>
      <c r="I89" s="101">
        <f>IF(ISNUMBER(G89), $B91 * H89, "")</f>
        <v>1857.5851393188855</v>
      </c>
      <c r="J89" s="15">
        <v>332</v>
      </c>
      <c r="K89" s="32">
        <f t="shared" si="44"/>
        <v>2.7863777089783281E-2</v>
      </c>
      <c r="L89" s="18">
        <f>IF(ISNUMBER(J89), $B91 * K89, "")</f>
        <v>4179.5665634674924</v>
      </c>
      <c r="M89" s="31">
        <v>328</v>
      </c>
      <c r="N89" s="32">
        <f t="shared" si="45"/>
        <v>1.5479876160990712E-2</v>
      </c>
      <c r="O89" s="18">
        <f>IF(ISNUMBER(M89), $B91 * N89, "")</f>
        <v>2321.9814241486069</v>
      </c>
      <c r="Q89" s="165"/>
      <c r="R89" s="166"/>
      <c r="S89" s="167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390.625</v>
      </c>
      <c r="G90" s="102">
        <v>385</v>
      </c>
      <c r="H90" s="25">
        <f t="shared" si="43"/>
        <v>2.6041666666666665E-3</v>
      </c>
      <c r="I90" s="103">
        <f>IF(ISNUMBER(G90), $B91 * H90, "")</f>
        <v>390.625</v>
      </c>
      <c r="J90" s="24">
        <v>388</v>
      </c>
      <c r="K90" s="25">
        <f t="shared" si="44"/>
        <v>1.0416666666666666E-2</v>
      </c>
      <c r="L90" s="104">
        <f>IF(ISNUMBER(J90), $B91 * K90, "")</f>
        <v>1562.5</v>
      </c>
      <c r="M90" s="102">
        <v>387</v>
      </c>
      <c r="N90" s="25">
        <f t="shared" si="45"/>
        <v>7.8125E-3</v>
      </c>
      <c r="O90" s="104">
        <f>IF(ISNUMBER(M90), $B91 * N90, "")</f>
        <v>1171.875</v>
      </c>
      <c r="Q90" s="168"/>
      <c r="R90" s="169"/>
      <c r="S90" s="170"/>
    </row>
    <row r="91" spans="1:19" ht="17.25" thickBot="1">
      <c r="A91" s="132" t="s">
        <v>270</v>
      </c>
      <c r="B91" s="229">
        <f>$B$37</f>
        <v>150000</v>
      </c>
      <c r="C91" s="230"/>
      <c r="D91" s="26" t="s">
        <v>271</v>
      </c>
      <c r="E91" s="27">
        <f>IF(COUNT(E71:E90), SUM(E71:E90) / COUNT(E71:E90), 0)</f>
        <v>-2.7372875420127282E-3</v>
      </c>
      <c r="F91" s="28">
        <f>SUM(F71:F90)</f>
        <v>-8211.8626260381843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45020.829398154026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74705.765161920441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76539.844759026062</v>
      </c>
      <c r="Q91" s="171"/>
      <c r="R91" s="172"/>
      <c r="S91" s="173"/>
    </row>
    <row r="93" spans="1:19" ht="17.25" thickBot="1"/>
    <row r="94" spans="1:19" ht="17.25" thickBot="1">
      <c r="A94" s="187" t="s">
        <v>46</v>
      </c>
      <c r="B94" s="188"/>
      <c r="C94" s="188"/>
      <c r="D94" s="188"/>
      <c r="E94" s="188"/>
      <c r="F94" s="188"/>
      <c r="G94" s="188"/>
      <c r="H94" s="188"/>
      <c r="I94" s="188"/>
      <c r="J94" s="188"/>
      <c r="K94" s="188"/>
      <c r="L94" s="188"/>
      <c r="M94" s="188"/>
      <c r="N94" s="188"/>
      <c r="O94" s="189"/>
      <c r="Q94" s="186"/>
      <c r="R94" s="186"/>
      <c r="S94" s="186"/>
    </row>
    <row r="95" spans="1:19" ht="17.25" thickBot="1">
      <c r="A95" s="157" t="s">
        <v>267</v>
      </c>
      <c r="B95" s="187" t="s">
        <v>49</v>
      </c>
      <c r="C95" s="189"/>
      <c r="D95" s="187" t="s">
        <v>58</v>
      </c>
      <c r="E95" s="188"/>
      <c r="F95" s="189"/>
      <c r="G95" s="190">
        <f>_xlfn.IFNA(VLOOKUP(B95, 현재가테이블!$B$2:$D$200, 2, FALSE), "-")</f>
        <v>57970000</v>
      </c>
      <c r="H95" s="191"/>
      <c r="I95" s="192"/>
      <c r="J95" s="187" t="s">
        <v>59</v>
      </c>
      <c r="K95" s="188"/>
      <c r="L95" s="189"/>
      <c r="M95" s="193">
        <f>_xlfn.IFNA(VLOOKUP(B95, 현재가테이블!$B$2:$D$200, 3, FALSE), "-")</f>
        <v>2.6835532700000001E-2</v>
      </c>
      <c r="N95" s="194"/>
      <c r="O95" s="195"/>
      <c r="Q95" s="186"/>
      <c r="R95" s="186"/>
      <c r="S95" s="186"/>
    </row>
    <row r="96" spans="1:19" ht="17.25" thickBot="1">
      <c r="A96" s="231" t="s">
        <v>55</v>
      </c>
      <c r="B96" s="227" t="str">
        <f>TEXT($G$1, "[$-ko-KR]yyyy-mm-dd(ddd) ") &amp; "오전 00:00"</f>
        <v>2021-09-01(수) 오전 00:00</v>
      </c>
      <c r="C96" s="228"/>
      <c r="D96" s="200" t="str">
        <f>TEXT($G$1, "[$-ko-KR]yyyy-mm-dd(ddd) ") &amp; "오후 14:00"</f>
        <v>2021-09-01(수) 오후 14:00</v>
      </c>
      <c r="E96" s="201"/>
      <c r="F96" s="202"/>
      <c r="G96" s="200" t="str">
        <f>TEXT($G$1, "[$-ko-KR]yyyy-mm-dd(ddd) ") &amp; "오후 19:00"</f>
        <v>2021-09-01(수) 오후 19:00</v>
      </c>
      <c r="H96" s="201"/>
      <c r="I96" s="202"/>
      <c r="J96" s="200" t="str">
        <f>TEXT($G$1, "[$-ko-KR]yyyy-mm-dd(ddd) ") &amp; "오후 21:00"</f>
        <v>2021-09-01(수) 오후 21:00</v>
      </c>
      <c r="K96" s="201"/>
      <c r="L96" s="202"/>
      <c r="M96" s="200" t="str">
        <f>TEXT($G$1+1, "[$-ko-KR]yyyy-mm-dd(ddd) ") &amp; "오전 00:00"</f>
        <v>2021-09-02(목) 오전 00:00</v>
      </c>
      <c r="N96" s="201"/>
      <c r="O96" s="202"/>
      <c r="Q96" s="186"/>
      <c r="R96" s="186"/>
      <c r="S96" s="186"/>
    </row>
    <row r="97" spans="1:19" ht="17.25" thickBot="1">
      <c r="A97" s="23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76"/>
      <c r="R97" s="176"/>
      <c r="S97" s="176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-16351.931330472104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-6952.7896995708152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-10815.450643776823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-11587.982832618027</v>
      </c>
      <c r="Q98" s="186"/>
      <c r="R98" s="186"/>
      <c r="S98" s="186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-15401.20793787748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-15918.895599654874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-13071.613459879207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-13718.72303710095</v>
      </c>
      <c r="Q99" s="186"/>
      <c r="R99" s="186"/>
      <c r="S99" s="186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5151.515151515151</v>
      </c>
      <c r="G100" s="31">
        <v>35350</v>
      </c>
      <c r="H100" s="32">
        <f t="shared" si="47"/>
        <v>2.0202020202020204E-2</v>
      </c>
      <c r="I100" s="101">
        <f>IF(ISNUMBER(G100), $B118 * H100, "")</f>
        <v>3030.3030303030305</v>
      </c>
      <c r="J100" s="15">
        <v>35140</v>
      </c>
      <c r="K100" s="32">
        <f t="shared" si="48"/>
        <v>1.4141414141414142E-2</v>
      </c>
      <c r="L100" s="18">
        <f>IF(ISNUMBER(J100), $B118 * K100, "")</f>
        <v>2121.2121212121215</v>
      </c>
      <c r="M100" s="31">
        <v>34920</v>
      </c>
      <c r="N100" s="32">
        <f t="shared" si="49"/>
        <v>7.7922077922077922E-3</v>
      </c>
      <c r="O100" s="18">
        <f>IF(ISNUMBER(M100), $B118 * N100, "")</f>
        <v>1168.8311688311687</v>
      </c>
      <c r="Q100" s="176"/>
      <c r="R100" s="176"/>
      <c r="S100" s="176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-6191.3696060037519</v>
      </c>
      <c r="G101" s="31">
        <v>10020</v>
      </c>
      <c r="H101" s="32">
        <f t="shared" si="47"/>
        <v>-6.0037523452157598E-2</v>
      </c>
      <c r="I101" s="101">
        <f>IF(ISNUMBER(G101), $B118 * H101, "")</f>
        <v>-9005.6285178236394</v>
      </c>
      <c r="J101" s="15">
        <v>10060</v>
      </c>
      <c r="K101" s="32">
        <f t="shared" si="48"/>
        <v>-5.6285178236397747E-2</v>
      </c>
      <c r="L101" s="18">
        <f>IF(ISNUMBER(J101), $B118 * K101, "")</f>
        <v>-8442.7767354596617</v>
      </c>
      <c r="M101" s="31">
        <v>9965</v>
      </c>
      <c r="N101" s="32">
        <f t="shared" si="49"/>
        <v>-6.5196998123827399E-2</v>
      </c>
      <c r="O101" s="18">
        <f>IF(ISNUMBER(M101), $B118 * N101, "")</f>
        <v>-9779.5497185741096</v>
      </c>
      <c r="Q101" s="176"/>
      <c r="R101" s="176"/>
      <c r="S101" s="176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-301.81086519114689</v>
      </c>
      <c r="G102" s="30">
        <v>491</v>
      </c>
      <c r="H102" s="21">
        <f t="shared" si="47"/>
        <v>-1.2072434607645875E-2</v>
      </c>
      <c r="I102" s="105">
        <f>IF(ISNUMBER(G102), $B118 * H102, "")</f>
        <v>-1810.8651911468812</v>
      </c>
      <c r="J102" s="20">
        <v>557</v>
      </c>
      <c r="K102" s="21">
        <f t="shared" si="48"/>
        <v>0.12072434607645875</v>
      </c>
      <c r="L102" s="22">
        <f>IF(ISNUMBER(J102), $B118 * K102, "")</f>
        <v>18108.651911468813</v>
      </c>
      <c r="M102" s="30">
        <v>570</v>
      </c>
      <c r="N102" s="21">
        <f t="shared" si="49"/>
        <v>0.14688128772635814</v>
      </c>
      <c r="O102" s="22">
        <f>IF(ISNUMBER(M102), $B118 * N102, "")</f>
        <v>22032.19315895372</v>
      </c>
      <c r="Q102" s="176"/>
      <c r="R102" s="176"/>
      <c r="S102" s="176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-3085.1063829787231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-10319.148936170213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-6010.6382978723404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-7659.5744680851058</v>
      </c>
      <c r="Q103" s="176"/>
      <c r="R103" s="176"/>
      <c r="S103" s="176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-8465.6084656084658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-7407.4074074074069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-4497.3544973544967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-6084.6560846560842</v>
      </c>
      <c r="Q104" s="176"/>
      <c r="R104" s="176"/>
      <c r="S104" s="176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-6987.9871081160272</v>
      </c>
      <c r="G105" s="31">
        <v>32730</v>
      </c>
      <c r="H105" s="32">
        <f t="shared" si="51"/>
        <v>-4.1019630823322592E-2</v>
      </c>
      <c r="I105" s="101">
        <f>IF(ISNUMBER(G105), $B118 * H105, "")</f>
        <v>-6152.9446234983889</v>
      </c>
      <c r="J105" s="15">
        <v>33100</v>
      </c>
      <c r="K105" s="32">
        <f t="shared" si="52"/>
        <v>-3.0178728391444476E-2</v>
      </c>
      <c r="L105" s="18">
        <f>IF(ISNUMBER(J105), $B118 * K105, "")</f>
        <v>-4526.8092587166711</v>
      </c>
      <c r="M105" s="31">
        <v>33170</v>
      </c>
      <c r="N105" s="32">
        <f t="shared" si="53"/>
        <v>-2.8127746850278346E-2</v>
      </c>
      <c r="O105" s="18">
        <f>IF(ISNUMBER(M105), $B118 * N105, "")</f>
        <v>-4219.1620275417517</v>
      </c>
      <c r="Q105" s="176"/>
      <c r="R105" s="176"/>
      <c r="S105" s="176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2492.8092042186004</v>
      </c>
      <c r="G106" s="31">
        <v>32170</v>
      </c>
      <c r="H106" s="32">
        <f t="shared" si="51"/>
        <v>2.8124001278363696E-2</v>
      </c>
      <c r="I106" s="101">
        <f>IF(ISNUMBER(G106), $B118 * H106, "")</f>
        <v>4218.6001917545545</v>
      </c>
      <c r="J106" s="15">
        <v>32870</v>
      </c>
      <c r="K106" s="32">
        <f t="shared" si="52"/>
        <v>5.0495365931607541E-2</v>
      </c>
      <c r="L106" s="18">
        <f>IF(ISNUMBER(J106), $B118 * K106, "")</f>
        <v>7574.3048897411309</v>
      </c>
      <c r="M106" s="31">
        <v>33400</v>
      </c>
      <c r="N106" s="32">
        <f t="shared" si="53"/>
        <v>6.7433684883349318E-2</v>
      </c>
      <c r="O106" s="18">
        <f>IF(ISNUMBER(M106), $B118 * N106, "")</f>
        <v>10115.052732502398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-6586.402266288952</v>
      </c>
      <c r="G107" s="102">
        <v>684</v>
      </c>
      <c r="H107" s="25">
        <f t="shared" si="51"/>
        <v>-3.1161473087818695E-2</v>
      </c>
      <c r="I107" s="103">
        <f>IF(ISNUMBER(G107), $B118 * H107, "")</f>
        <v>-4674.2209631728047</v>
      </c>
      <c r="J107" s="24">
        <v>688</v>
      </c>
      <c r="K107" s="25">
        <f t="shared" si="52"/>
        <v>-2.5495750708215296E-2</v>
      </c>
      <c r="L107" s="104">
        <f>IF(ISNUMBER(J107), $B118 * K107, "")</f>
        <v>-3824.3626062322946</v>
      </c>
      <c r="M107" s="102">
        <v>713</v>
      </c>
      <c r="N107" s="25">
        <f t="shared" si="53"/>
        <v>9.9150141643059488E-3</v>
      </c>
      <c r="O107" s="104">
        <f>IF(ISNUMBER(M107), $B118 * N107, "")</f>
        <v>1487.2521246458923</v>
      </c>
      <c r="Q107" s="177"/>
      <c r="R107" s="178"/>
      <c r="S107" s="179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797.87234042553189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19946.808510638297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4787.2340425531911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2393.6170212765956</v>
      </c>
      <c r="Q108" s="180"/>
      <c r="R108" s="181"/>
      <c r="S108" s="182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-5981.5950920245396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-5061.3496932515336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-1380.3680981595094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-2300.6134969325153</v>
      </c>
      <c r="Q109" s="183"/>
      <c r="R109" s="184"/>
      <c r="S109" s="185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1939.655172413793</v>
      </c>
      <c r="G110" s="31">
        <v>1180</v>
      </c>
      <c r="H110" s="32">
        <f t="shared" si="55"/>
        <v>1.7241379310344827E-2</v>
      </c>
      <c r="I110" s="101">
        <f>IF(ISNUMBER(G110), $B118 * H110, "")</f>
        <v>2586.2068965517242</v>
      </c>
      <c r="J110" s="15">
        <v>1195</v>
      </c>
      <c r="K110" s="32">
        <f t="shared" si="56"/>
        <v>3.017241379310345E-2</v>
      </c>
      <c r="L110" s="18">
        <f>IF(ISNUMBER(J110), $B118 * K110, "")</f>
        <v>4525.8620689655172</v>
      </c>
      <c r="M110" s="31">
        <v>1185</v>
      </c>
      <c r="N110" s="32">
        <f t="shared" si="57"/>
        <v>2.1551724137931036E-2</v>
      </c>
      <c r="O110" s="18">
        <f>IF(ISNUMBER(M110), $B118 * N110, "")</f>
        <v>3232.7586206896553</v>
      </c>
      <c r="Q110" s="176"/>
      <c r="R110" s="176"/>
      <c r="S110" s="176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4726.4935719687419</v>
      </c>
      <c r="G111" s="31">
        <v>4129000</v>
      </c>
      <c r="H111" s="32">
        <f t="shared" si="55"/>
        <v>4.0836904461809931E-2</v>
      </c>
      <c r="I111" s="101">
        <f>IF(ISNUMBER(G111), $B118 * H111, "")</f>
        <v>6125.5356692714895</v>
      </c>
      <c r="J111" s="15">
        <v>4132000</v>
      </c>
      <c r="K111" s="32">
        <f t="shared" si="56"/>
        <v>4.1593143433324931E-2</v>
      </c>
      <c r="L111" s="18">
        <f>IF(ISNUMBER(J111), $B118 * K111, "")</f>
        <v>6238.9715149987396</v>
      </c>
      <c r="M111" s="31">
        <v>4138000</v>
      </c>
      <c r="N111" s="32">
        <f t="shared" si="57"/>
        <v>4.310562137635493E-2</v>
      </c>
      <c r="O111" s="18">
        <f>IF(ISNUMBER(M111), $B118 * N111, "")</f>
        <v>6465.8432064532399</v>
      </c>
      <c r="Q111" s="186"/>
      <c r="R111" s="186"/>
      <c r="S111" s="186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-3498.5422740524782</v>
      </c>
      <c r="G112" s="30">
        <v>338</v>
      </c>
      <c r="H112" s="21">
        <f t="shared" si="55"/>
        <v>-1.4577259475218658E-2</v>
      </c>
      <c r="I112" s="105">
        <f>IF(ISNUMBER(G112), $B118 * H112, "")</f>
        <v>-2186.5889212827988</v>
      </c>
      <c r="J112" s="20">
        <v>346</v>
      </c>
      <c r="K112" s="21">
        <f t="shared" si="56"/>
        <v>8.7463556851311956E-3</v>
      </c>
      <c r="L112" s="22">
        <f>IF(ISNUMBER(J112), $B118 * K112, "")</f>
        <v>1311.9533527696794</v>
      </c>
      <c r="M112" s="30">
        <v>341</v>
      </c>
      <c r="N112" s="21">
        <f t="shared" si="57"/>
        <v>-5.8309037900874635E-3</v>
      </c>
      <c r="O112" s="22">
        <f>IF(ISNUMBER(M112), $B118 * N112, "")</f>
        <v>-874.63556851311955</v>
      </c>
      <c r="Q112" s="186"/>
      <c r="R112" s="186"/>
      <c r="S112" s="186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-3702.7310924369744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-1339.2857142857142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1339.2857142857142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630.25210084033608</v>
      </c>
      <c r="Q113" s="176"/>
      <c r="R113" s="176"/>
      <c r="S113" s="176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8914.7286821705311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8139.5348837209076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5426.3565891472808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8139.5348837209076</v>
      </c>
      <c r="Q114" s="176"/>
      <c r="R114" s="176"/>
      <c r="S114" s="176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-4182.6351262058943</v>
      </c>
      <c r="G115" s="31">
        <v>73700</v>
      </c>
      <c r="H115" s="32">
        <f t="shared" si="59"/>
        <v>-2.6034095414298929E-2</v>
      </c>
      <c r="I115" s="101">
        <f>IF(ISNUMBER(G115), $B118 * H115, "")</f>
        <v>-3905.1143121448395</v>
      </c>
      <c r="J115" s="15">
        <v>74300</v>
      </c>
      <c r="K115" s="32">
        <f t="shared" si="60"/>
        <v>-1.8104929298268797E-2</v>
      </c>
      <c r="L115" s="18">
        <f>IF(ISNUMBER(J115), $B118 * K115, "")</f>
        <v>-2715.7393947403198</v>
      </c>
      <c r="M115" s="31">
        <v>74150</v>
      </c>
      <c r="N115" s="32">
        <f t="shared" si="61"/>
        <v>-2.008722082727633E-2</v>
      </c>
      <c r="O115" s="18">
        <f>IF(ISNUMBER(M115), $B118 * N115, "")</f>
        <v>-3013.0831240914495</v>
      </c>
      <c r="Q115" s="176"/>
      <c r="R115" s="176"/>
      <c r="S115" s="176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-3260.869565217391</v>
      </c>
      <c r="G116" s="31">
        <v>2045</v>
      </c>
      <c r="H116" s="32">
        <f t="shared" si="59"/>
        <v>-1.2077294685990338E-2</v>
      </c>
      <c r="I116" s="101">
        <f>IF(ISNUMBER(G116), $B118 * H116, "")</f>
        <v>-1811.5942028985507</v>
      </c>
      <c r="J116" s="15">
        <v>2065</v>
      </c>
      <c r="K116" s="32">
        <f t="shared" si="60"/>
        <v>-2.4154589371980675E-3</v>
      </c>
      <c r="L116" s="18">
        <f>IF(ISNUMBER(J116), $B118 * K116, "")</f>
        <v>-362.31884057971013</v>
      </c>
      <c r="M116" s="31">
        <v>2050</v>
      </c>
      <c r="N116" s="32">
        <f t="shared" si="61"/>
        <v>-9.6618357487922701E-3</v>
      </c>
      <c r="O116" s="18">
        <f>IF(ISNUMBER(M116), $B118 * N116, "")</f>
        <v>-1449.2753623188405</v>
      </c>
      <c r="Q116" s="165"/>
      <c r="R116" s="166"/>
      <c r="S116" s="167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-262.23776223776224</v>
      </c>
      <c r="G117" s="102">
        <v>565</v>
      </c>
      <c r="H117" s="25">
        <f t="shared" si="59"/>
        <v>-1.2237762237762238E-2</v>
      </c>
      <c r="I117" s="103">
        <f>IF(ISNUMBER(G117), $B118 * H117, "")</f>
        <v>-1835.6643356643358</v>
      </c>
      <c r="J117" s="24">
        <v>585</v>
      </c>
      <c r="K117" s="25">
        <f t="shared" si="60"/>
        <v>2.2727272727272728E-2</v>
      </c>
      <c r="L117" s="104">
        <f>IF(ISNUMBER(J117), $B118 * K117, "")</f>
        <v>3409.090909090909</v>
      </c>
      <c r="M117" s="102">
        <v>580</v>
      </c>
      <c r="N117" s="25">
        <f t="shared" si="61"/>
        <v>1.3986013986013986E-2</v>
      </c>
      <c r="O117" s="104">
        <f>IF(ISNUMBER(M117), $B118 * N117, "")</f>
        <v>2097.9020979020979</v>
      </c>
      <c r="Q117" s="168"/>
      <c r="R117" s="169"/>
      <c r="S117" s="170"/>
    </row>
    <row r="118" spans="1:19" ht="17.25" thickBot="1">
      <c r="A118" s="132" t="s">
        <v>270</v>
      </c>
      <c r="B118" s="229">
        <f>$B$37</f>
        <v>150000</v>
      </c>
      <c r="C118" s="230"/>
      <c r="D118" s="26" t="s">
        <v>271</v>
      </c>
      <c r="E118" s="27">
        <f>IF(COUNT(E98:E117), SUM(E98:E117) / COUNT(E98:E117), 0)</f>
        <v>-2.0078986917333112E-2</v>
      </c>
      <c r="F118" s="28">
        <f>SUM(F98:F117)</f>
        <v>-60236.960751999344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-34334.508935732803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-804.50871853793888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-2924.0186046159406</v>
      </c>
      <c r="Q118" s="171"/>
      <c r="R118" s="172"/>
      <c r="S118" s="173"/>
    </row>
    <row r="120" spans="1:19" ht="17.25" thickBot="1"/>
    <row r="121" spans="1:19" ht="17.25" thickBot="1">
      <c r="A121" s="187" t="s">
        <v>258</v>
      </c>
      <c r="B121" s="188"/>
      <c r="C121" s="188"/>
      <c r="D121" s="188"/>
      <c r="E121" s="188"/>
      <c r="F121" s="188"/>
      <c r="G121" s="188"/>
      <c r="H121" s="188"/>
      <c r="I121" s="188"/>
      <c r="J121" s="188"/>
      <c r="K121" s="188"/>
      <c r="L121" s="188"/>
      <c r="M121" s="188"/>
      <c r="N121" s="188"/>
      <c r="O121" s="189"/>
      <c r="Q121" s="186"/>
      <c r="R121" s="186"/>
      <c r="S121" s="186"/>
    </row>
    <row r="122" spans="1:19" ht="17.25" thickBot="1">
      <c r="A122" s="157" t="s">
        <v>267</v>
      </c>
      <c r="B122" s="187" t="s">
        <v>49</v>
      </c>
      <c r="C122" s="189"/>
      <c r="D122" s="187" t="s">
        <v>58</v>
      </c>
      <c r="E122" s="188"/>
      <c r="F122" s="189"/>
      <c r="G122" s="190">
        <f>_xlfn.IFNA(VLOOKUP(B122, 현재가테이블!$B$2:$D$200, 2, FALSE), "-")</f>
        <v>57970000</v>
      </c>
      <c r="H122" s="191"/>
      <c r="I122" s="192"/>
      <c r="J122" s="187" t="s">
        <v>59</v>
      </c>
      <c r="K122" s="188"/>
      <c r="L122" s="189"/>
      <c r="M122" s="193">
        <f>_xlfn.IFNA(VLOOKUP(B122, 현재가테이블!$B$2:$D$200, 3, FALSE), "-")</f>
        <v>2.6835532700000001E-2</v>
      </c>
      <c r="N122" s="194"/>
      <c r="O122" s="195"/>
      <c r="Q122" s="186"/>
      <c r="R122" s="186"/>
      <c r="S122" s="186"/>
    </row>
    <row r="123" spans="1:19" ht="17.25" thickBot="1">
      <c r="A123" s="231" t="s">
        <v>55</v>
      </c>
      <c r="B123" s="227" t="str">
        <f>TEXT($G$1, "[$-ko-KR]yyyy-mm-dd(ddd) ") &amp; "오전 00:00"</f>
        <v>2021-09-01(수) 오전 00:00</v>
      </c>
      <c r="C123" s="228"/>
      <c r="D123" s="200" t="str">
        <f>TEXT($G$1, "[$-ko-KR]yyyy-mm-dd(ddd) ") &amp; "오후 14:00"</f>
        <v>2021-09-01(수) 오후 14:00</v>
      </c>
      <c r="E123" s="201"/>
      <c r="F123" s="202"/>
      <c r="G123" s="200" t="str">
        <f>TEXT($G$1, "[$-ko-KR]yyyy-mm-dd(ddd) ") &amp; "오후 19:00"</f>
        <v>2021-09-01(수) 오후 19:00</v>
      </c>
      <c r="H123" s="201"/>
      <c r="I123" s="202"/>
      <c r="J123" s="200" t="str">
        <f>TEXT($G$1, "[$-ko-KR]yyyy-mm-dd(ddd) ") &amp; "오후 21:00"</f>
        <v>2021-09-01(수) 오후 21:00</v>
      </c>
      <c r="K123" s="201"/>
      <c r="L123" s="202"/>
      <c r="M123" s="200" t="str">
        <f>TEXT($G$1+1, "[$-ko-KR]yyyy-mm-dd(ddd) ") &amp; "오전 00:00"</f>
        <v>2021-09-02(목) 오전 00:00</v>
      </c>
      <c r="N123" s="201"/>
      <c r="O123" s="202"/>
      <c r="Q123" s="186"/>
      <c r="R123" s="186"/>
      <c r="S123" s="186"/>
    </row>
    <row r="124" spans="1:19" ht="17.25" thickBot="1">
      <c r="A124" s="23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76"/>
      <c r="R124" s="176"/>
      <c r="S124" s="176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8914.7286821705311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8139.5348837209076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5426.3565891472808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8139.5348837209076</v>
      </c>
      <c r="Q125" s="186"/>
      <c r="R125" s="186"/>
      <c r="S125" s="186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2459.016393442625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5225.4098360655717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7069.672131147554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5225.4098360655717</v>
      </c>
      <c r="Q126" s="186"/>
      <c r="R126" s="186"/>
      <c r="S126" s="186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-785.34031413613673</v>
      </c>
      <c r="G127" s="31">
        <v>19.8</v>
      </c>
      <c r="H127" s="32">
        <f t="shared" si="63"/>
        <v>3.6649214659685826E-2</v>
      </c>
      <c r="I127" s="101">
        <f>IF(ISNUMBER(G127), $B145 * H127, "")</f>
        <v>5497.3821989528742</v>
      </c>
      <c r="J127" s="15">
        <v>19.5</v>
      </c>
      <c r="K127" s="32">
        <f t="shared" si="64"/>
        <v>2.0942408376963276E-2</v>
      </c>
      <c r="L127" s="18">
        <f>IF(ISNUMBER(J127), $B145 * K127, "")</f>
        <v>3141.3612565444914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2356.0209424083546</v>
      </c>
      <c r="Q127" s="176"/>
      <c r="R127" s="176"/>
      <c r="S127" s="176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2142.8571428571354</v>
      </c>
      <c r="G128" s="31">
        <v>14.6</v>
      </c>
      <c r="H128" s="32">
        <f t="shared" si="63"/>
        <v>4.285714285714283E-2</v>
      </c>
      <c r="I128" s="101">
        <f>IF(ISNUMBER(G128), $B145 * H128, "")</f>
        <v>6428.5714285714248</v>
      </c>
      <c r="J128" s="15">
        <v>14.4</v>
      </c>
      <c r="K128" s="32">
        <f t="shared" si="64"/>
        <v>2.8571428571428598E-2</v>
      </c>
      <c r="L128" s="18">
        <f>IF(ISNUMBER(J128), $B145 * K128, "")</f>
        <v>4285.7142857142899</v>
      </c>
      <c r="M128" s="31">
        <v>14.3</v>
      </c>
      <c r="N128" s="32">
        <f t="shared" si="65"/>
        <v>2.1428571428571481E-2</v>
      </c>
      <c r="O128" s="18">
        <f>IF(ISNUMBER(M128), $B145 * N128, "")</f>
        <v>3214.285714285722</v>
      </c>
      <c r="Q128" s="176"/>
      <c r="R128" s="176"/>
      <c r="S128" s="176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2853.7455410226075</v>
      </c>
      <c r="G129" s="30">
        <v>87.5</v>
      </c>
      <c r="H129" s="21">
        <f t="shared" si="63"/>
        <v>4.042806183115346E-2</v>
      </c>
      <c r="I129" s="105">
        <f>IF(ISNUMBER(G129), $B145 * H129, "")</f>
        <v>6064.2092746730186</v>
      </c>
      <c r="J129" s="20">
        <v>90.6</v>
      </c>
      <c r="K129" s="21">
        <f t="shared" si="64"/>
        <v>7.7288941736028544E-2</v>
      </c>
      <c r="L129" s="22">
        <f>IF(ISNUMBER(J129), $B145 * K129, "")</f>
        <v>11593.341260404282</v>
      </c>
      <c r="M129" s="30">
        <v>88.8</v>
      </c>
      <c r="N129" s="21">
        <f t="shared" si="65"/>
        <v>5.5885850178359134E-2</v>
      </c>
      <c r="O129" s="22">
        <f>IF(ISNUMBER(M129), $B145 * N129, "")</f>
        <v>8382.8775267538695</v>
      </c>
      <c r="Q129" s="176"/>
      <c r="R129" s="176"/>
      <c r="S129" s="176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-414.9377593361055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2074.6887966804979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3319.5020746888144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2489.6265560166039</v>
      </c>
      <c r="Q130" s="176"/>
      <c r="R130" s="176"/>
      <c r="S130" s="176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1195.219123505972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5378.4860557768834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4780.876494023888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5378.4860557768834</v>
      </c>
      <c r="Q131" s="176"/>
      <c r="R131" s="176"/>
      <c r="S131" s="176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8766.2337662337686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9740.2597402597221</v>
      </c>
      <c r="M132" s="31">
        <v>15.8</v>
      </c>
      <c r="N132" s="32">
        <f t="shared" si="69"/>
        <v>2.5974025974025997E-2</v>
      </c>
      <c r="O132" s="18">
        <f>IF(ISNUMBER(M132), $B145 * N132, "")</f>
        <v>3896.1038961038994</v>
      </c>
      <c r="Q132" s="176"/>
      <c r="R132" s="176"/>
      <c r="S132" s="176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4032.2580645161288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8064.5161290322576</v>
      </c>
      <c r="J133" s="15">
        <v>19.5</v>
      </c>
      <c r="K133" s="32">
        <f t="shared" si="68"/>
        <v>4.8387096774193471E-2</v>
      </c>
      <c r="L133" s="18">
        <f>IF(ISNUMBER(J133), $B145 * K133, "")</f>
        <v>7258.0645161290204</v>
      </c>
      <c r="M133" s="31">
        <v>19.8</v>
      </c>
      <c r="N133" s="32">
        <f t="shared" si="69"/>
        <v>6.4516129032258021E-2</v>
      </c>
      <c r="O133" s="18">
        <f>IF(ISNUMBER(M133), $B145 * N133, "")</f>
        <v>9677.4193548387029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1339.2857142857335</v>
      </c>
      <c r="G134" s="102">
        <v>11.9</v>
      </c>
      <c r="H134" s="25">
        <f t="shared" si="67"/>
        <v>6.2500000000000097E-2</v>
      </c>
      <c r="I134" s="103">
        <f>IF(ISNUMBER(G134), $B145 * H134, "")</f>
        <v>9375.0000000000146</v>
      </c>
      <c r="J134" s="24">
        <v>11.7</v>
      </c>
      <c r="K134" s="25">
        <f t="shared" si="68"/>
        <v>4.4642857142857144E-2</v>
      </c>
      <c r="L134" s="104">
        <f>IF(ISNUMBER(J134), $B145 * K134, "")</f>
        <v>6696.4285714285716</v>
      </c>
      <c r="M134" s="102">
        <v>11.7</v>
      </c>
      <c r="N134" s="25">
        <f t="shared" si="69"/>
        <v>4.4642857142857144E-2</v>
      </c>
      <c r="O134" s="104">
        <f>IF(ISNUMBER(M134), $B145 * N134, "")</f>
        <v>6696.4285714285716</v>
      </c>
      <c r="Q134" s="177"/>
      <c r="R134" s="178"/>
      <c r="S134" s="179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3067.4846625766872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4601.2269938650306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3374.2331288343603</v>
      </c>
      <c r="Q135" s="180"/>
      <c r="R135" s="181"/>
      <c r="S135" s="182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2586.2068965517383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5818.9655172413932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3879.3103448275956</v>
      </c>
      <c r="Q136" s="183"/>
      <c r="R136" s="184"/>
      <c r="S136" s="185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3409.0909090909176</v>
      </c>
      <c r="G137" s="31">
        <v>14.3</v>
      </c>
      <c r="H137" s="32">
        <f t="shared" si="71"/>
        <v>8.333333333333344E-2</v>
      </c>
      <c r="I137" s="101">
        <f>IF(ISNUMBER(G137), $B145 * H137, "")</f>
        <v>12500.000000000016</v>
      </c>
      <c r="J137" s="15">
        <v>14</v>
      </c>
      <c r="K137" s="32">
        <f t="shared" si="72"/>
        <v>6.0606060606060663E-2</v>
      </c>
      <c r="L137" s="18">
        <f>IF(ISNUMBER(J137), $B145 * K137, "")</f>
        <v>9090.9090909090992</v>
      </c>
      <c r="M137" s="31">
        <v>13.9</v>
      </c>
      <c r="N137" s="32">
        <f t="shared" si="73"/>
        <v>5.3030303030303115E-2</v>
      </c>
      <c r="O137" s="18">
        <f>IF(ISNUMBER(M137), $B145 * N137, "")</f>
        <v>7954.5454545454677</v>
      </c>
      <c r="Q137" s="176"/>
      <c r="R137" s="176"/>
      <c r="S137" s="176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1153.8461538461497</v>
      </c>
      <c r="G138" s="31">
        <v>13.6</v>
      </c>
      <c r="H138" s="32">
        <f t="shared" si="71"/>
        <v>4.6153846153846129E-2</v>
      </c>
      <c r="I138" s="101">
        <f>IF(ISNUMBER(G138), $B145 * H138, "")</f>
        <v>6923.0769230769192</v>
      </c>
      <c r="J138" s="15">
        <v>13.6</v>
      </c>
      <c r="K138" s="32">
        <f t="shared" si="72"/>
        <v>4.6153846153846129E-2</v>
      </c>
      <c r="L138" s="18">
        <f>IF(ISNUMBER(J138), $B145 * K138, "")</f>
        <v>6923.0769230769192</v>
      </c>
      <c r="M138" s="31">
        <v>13.4</v>
      </c>
      <c r="N138" s="32">
        <f t="shared" si="73"/>
        <v>3.0769230769230795E-2</v>
      </c>
      <c r="O138" s="18">
        <f>IF(ISNUMBER(M138), $B145 * N138, "")</f>
        <v>4615.3846153846189</v>
      </c>
      <c r="Q138" s="186"/>
      <c r="R138" s="186"/>
      <c r="S138" s="186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-177.30496453899704</v>
      </c>
      <c r="G139" s="30">
        <v>84.9</v>
      </c>
      <c r="H139" s="21">
        <f t="shared" si="71"/>
        <v>3.5460992907802766E-3</v>
      </c>
      <c r="I139" s="105">
        <f>IF(ISNUMBER(G139), $B145 * H139, "")</f>
        <v>531.91489361704146</v>
      </c>
      <c r="J139" s="20">
        <v>85.8</v>
      </c>
      <c r="K139" s="21">
        <f t="shared" si="72"/>
        <v>1.4184397163120602E-2</v>
      </c>
      <c r="L139" s="22">
        <f>IF(ISNUMBER(J139), $B145 * K139, "")</f>
        <v>2127.6595744680903</v>
      </c>
      <c r="M139" s="30">
        <v>85.7</v>
      </c>
      <c r="N139" s="21">
        <f t="shared" si="73"/>
        <v>1.3002364066193955E-2</v>
      </c>
      <c r="O139" s="22">
        <f>IF(ISNUMBER(M139), $B145 * N139, "")</f>
        <v>1950.3546099290934</v>
      </c>
      <c r="Q139" s="186"/>
      <c r="R139" s="186"/>
      <c r="S139" s="186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4785.478547854771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4455.4455445544363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4125.4125412541252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2970.2970297029656</v>
      </c>
      <c r="Q140" s="176"/>
      <c r="R140" s="176"/>
      <c r="S140" s="176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19029.85074626865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105223.88059701493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71641.791044776124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63805.970149253742</v>
      </c>
      <c r="Q141" s="176"/>
      <c r="R141" s="176"/>
      <c r="S141" s="17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76"/>
      <c r="R142" s="176"/>
      <c r="S142" s="17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65"/>
      <c r="R143" s="166"/>
      <c r="S143" s="16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68"/>
      <c r="R144" s="169"/>
      <c r="S144" s="170"/>
    </row>
    <row r="145" spans="1:19" ht="17.25" thickBot="1">
      <c r="A145" s="132" t="s">
        <v>270</v>
      </c>
      <c r="B145" s="229">
        <f>$B$37</f>
        <v>150000</v>
      </c>
      <c r="C145" s="230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49937.79398084998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200302.04188709898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167640.61860507872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144006.28866987693</v>
      </c>
      <c r="Q145" s="171"/>
      <c r="R145" s="172"/>
      <c r="S145" s="173"/>
    </row>
    <row r="147" spans="1:19" ht="17.25" thickBot="1"/>
    <row r="148" spans="1:19" ht="17.25" thickBot="1">
      <c r="A148" s="187" t="s">
        <v>259</v>
      </c>
      <c r="B148" s="188"/>
      <c r="C148" s="188"/>
      <c r="D148" s="188"/>
      <c r="E148" s="188"/>
      <c r="F148" s="188"/>
      <c r="G148" s="188"/>
      <c r="H148" s="188"/>
      <c r="I148" s="188"/>
      <c r="J148" s="188"/>
      <c r="K148" s="188"/>
      <c r="L148" s="188"/>
      <c r="M148" s="188"/>
      <c r="N148" s="188"/>
      <c r="O148" s="189"/>
      <c r="Q148" s="186"/>
      <c r="R148" s="186"/>
      <c r="S148" s="186"/>
    </row>
    <row r="149" spans="1:19" ht="17.25" thickBot="1">
      <c r="A149" s="157" t="s">
        <v>267</v>
      </c>
      <c r="B149" s="187" t="s">
        <v>49</v>
      </c>
      <c r="C149" s="189"/>
      <c r="D149" s="187" t="s">
        <v>58</v>
      </c>
      <c r="E149" s="188"/>
      <c r="F149" s="189"/>
      <c r="G149" s="190">
        <f>_xlfn.IFNA(VLOOKUP(B149, 현재가테이블!$B$2:$D$200, 2, FALSE), "-")</f>
        <v>57970000</v>
      </c>
      <c r="H149" s="191"/>
      <c r="I149" s="192"/>
      <c r="J149" s="187" t="s">
        <v>59</v>
      </c>
      <c r="K149" s="188"/>
      <c r="L149" s="189"/>
      <c r="M149" s="193">
        <f>_xlfn.IFNA(VLOOKUP(B149, 현재가테이블!$B$2:$D$200, 3, FALSE), "-")</f>
        <v>2.6835532700000001E-2</v>
      </c>
      <c r="N149" s="194"/>
      <c r="O149" s="195"/>
      <c r="Q149" s="186"/>
      <c r="R149" s="186"/>
      <c r="S149" s="186"/>
    </row>
    <row r="150" spans="1:19" ht="17.25" thickBot="1">
      <c r="A150" s="231" t="s">
        <v>55</v>
      </c>
      <c r="B150" s="227" t="str">
        <f>TEXT($G$1, "[$-ko-KR]yyyy-mm-dd(ddd) ") &amp; "오전 00:00"</f>
        <v>2021-09-01(수) 오전 00:00</v>
      </c>
      <c r="C150" s="228"/>
      <c r="D150" s="200" t="str">
        <f>TEXT($G$1, "[$-ko-KR]yyyy-mm-dd(ddd) ") &amp; "오후 14:00"</f>
        <v>2021-09-01(수) 오후 14:00</v>
      </c>
      <c r="E150" s="201"/>
      <c r="F150" s="202"/>
      <c r="G150" s="200" t="str">
        <f>TEXT($G$1, "[$-ko-KR]yyyy-mm-dd(ddd) ") &amp; "오후 19:00"</f>
        <v>2021-09-01(수) 오후 19:00</v>
      </c>
      <c r="H150" s="201"/>
      <c r="I150" s="202"/>
      <c r="J150" s="200" t="str">
        <f>TEXT($G$1, "[$-ko-KR]yyyy-mm-dd(ddd) ") &amp; "오후 21:00"</f>
        <v>2021-09-01(수) 오후 21:00</v>
      </c>
      <c r="K150" s="201"/>
      <c r="L150" s="202"/>
      <c r="M150" s="200" t="str">
        <f>TEXT($G$1+1, "[$-ko-KR]yyyy-mm-dd(ddd) ") &amp; "오전 00:00"</f>
        <v>2021-09-02(목) 오전 00:00</v>
      </c>
      <c r="N150" s="201"/>
      <c r="O150" s="202"/>
      <c r="Q150" s="186"/>
      <c r="R150" s="186"/>
      <c r="S150" s="186"/>
    </row>
    <row r="151" spans="1:19" ht="17.25" thickBot="1">
      <c r="A151" s="23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76"/>
      <c r="R151" s="176"/>
      <c r="S151" s="176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-2153.1100478468902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-717.70334928229659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1435.4066985645932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2153.1100478468902</v>
      </c>
      <c r="Q152" s="186"/>
      <c r="R152" s="186"/>
      <c r="S152" s="186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2702.7027027027025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4054.0540540540542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4054.0540540540542</v>
      </c>
      <c r="Q153" s="186"/>
      <c r="R153" s="186"/>
      <c r="S153" s="186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-1102.9411764705883</v>
      </c>
      <c r="G154" s="31">
        <v>138</v>
      </c>
      <c r="H154" s="32">
        <f t="shared" si="79"/>
        <v>1.4705882352941176E-2</v>
      </c>
      <c r="I154" s="101">
        <f>IF(ISNUMBER(G154), $B172 * H154, "")</f>
        <v>2205.8823529411766</v>
      </c>
      <c r="J154" s="15">
        <v>137</v>
      </c>
      <c r="K154" s="32">
        <f t="shared" si="80"/>
        <v>7.3529411764705881E-3</v>
      </c>
      <c r="L154" s="18">
        <f>IF(ISNUMBER(J154), $B172 * K154, "")</f>
        <v>1102.9411764705883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176"/>
      <c r="R154" s="176"/>
      <c r="S154" s="176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2912.6213592233007</v>
      </c>
      <c r="G155" s="31">
        <v>107</v>
      </c>
      <c r="H155" s="32">
        <f t="shared" si="79"/>
        <v>3.8834951456310676E-2</v>
      </c>
      <c r="I155" s="101">
        <f>IF(ISNUMBER(G155), $B172 * H155, "")</f>
        <v>5825.2427184466014</v>
      </c>
      <c r="J155" s="15">
        <v>108</v>
      </c>
      <c r="K155" s="32">
        <f t="shared" si="80"/>
        <v>4.8543689320388349E-2</v>
      </c>
      <c r="L155" s="18">
        <f>IF(ISNUMBER(J155), $B172 * K155, "")</f>
        <v>7281.5533980582522</v>
      </c>
      <c r="M155" s="31">
        <v>107</v>
      </c>
      <c r="N155" s="32">
        <f t="shared" si="81"/>
        <v>3.8834951456310676E-2</v>
      </c>
      <c r="O155" s="18">
        <f>IF(ISNUMBER(M155), $B172 * N155, "")</f>
        <v>5825.2427184466014</v>
      </c>
      <c r="Q155" s="176"/>
      <c r="R155" s="176"/>
      <c r="S155" s="176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-719.42446043165467</v>
      </c>
      <c r="G156" s="30">
        <v>419</v>
      </c>
      <c r="H156" s="21">
        <f t="shared" si="79"/>
        <v>4.7961630695443642E-3</v>
      </c>
      <c r="I156" s="105">
        <f>IF(ISNUMBER(G156), $B172 * H156, "")</f>
        <v>719.42446043165467</v>
      </c>
      <c r="J156" s="20">
        <v>421</v>
      </c>
      <c r="K156" s="21">
        <f t="shared" si="80"/>
        <v>9.5923261390887284E-3</v>
      </c>
      <c r="L156" s="22">
        <f>IF(ISNUMBER(J156), $B172 * K156, "")</f>
        <v>1438.8489208633093</v>
      </c>
      <c r="M156" s="30">
        <v>419</v>
      </c>
      <c r="N156" s="21">
        <f t="shared" si="81"/>
        <v>4.7961630695443642E-3</v>
      </c>
      <c r="O156" s="22">
        <f>IF(ISNUMBER(M156), $B172 * N156, "")</f>
        <v>719.42446043165467</v>
      </c>
      <c r="Q156" s="176"/>
      <c r="R156" s="176"/>
      <c r="S156" s="176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1393.188854489164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1857.5851393188855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4179.5665634674924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2321.9814241486069</v>
      </c>
      <c r="Q157" s="176"/>
      <c r="R157" s="176"/>
      <c r="S157" s="176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390.625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390.625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1562.5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1171.875</v>
      </c>
      <c r="Q158" s="176"/>
      <c r="R158" s="176"/>
      <c r="S158" s="176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672.64573991031386</v>
      </c>
      <c r="G159" s="31">
        <v>225</v>
      </c>
      <c r="H159" s="32">
        <f t="shared" si="83"/>
        <v>8.9686098654708519E-3</v>
      </c>
      <c r="I159" s="101">
        <f>IF(ISNUMBER(G159), $B172 * H159, "")</f>
        <v>1345.2914798206277</v>
      </c>
      <c r="J159" s="15">
        <v>229</v>
      </c>
      <c r="K159" s="32">
        <f t="shared" si="84"/>
        <v>2.6905829596412557E-2</v>
      </c>
      <c r="L159" s="18">
        <f>IF(ISNUMBER(J159), $B172 * K159, "")</f>
        <v>4035.8744394618834</v>
      </c>
      <c r="M159" s="31">
        <v>229</v>
      </c>
      <c r="N159" s="32">
        <f t="shared" si="85"/>
        <v>2.6905829596412557E-2</v>
      </c>
      <c r="O159" s="18">
        <f>IF(ISNUMBER(M159), $B172 * N159, "")</f>
        <v>4035.8744394618834</v>
      </c>
      <c r="Q159" s="176"/>
      <c r="R159" s="176"/>
      <c r="S159" s="176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2690.5829596412555</v>
      </c>
      <c r="J160" s="15">
        <v>227</v>
      </c>
      <c r="K160" s="32">
        <f t="shared" si="84"/>
        <v>1.7937219730941704E-2</v>
      </c>
      <c r="L160" s="18">
        <f>IF(ISNUMBER(J160), $B172 * K160, "")</f>
        <v>2690.5829596412555</v>
      </c>
      <c r="M160" s="31">
        <v>226</v>
      </c>
      <c r="N160" s="32">
        <f t="shared" si="85"/>
        <v>1.3452914798206279E-2</v>
      </c>
      <c r="O160" s="18">
        <f>IF(ISNUMBER(M160), $B172 * N160, "")</f>
        <v>2017.9372197309417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1657.4585635359115</v>
      </c>
      <c r="M161" s="102">
        <v>182</v>
      </c>
      <c r="N161" s="25">
        <f t="shared" si="85"/>
        <v>5.5248618784530384E-3</v>
      </c>
      <c r="O161" s="104">
        <f>IF(ISNUMBER(M161), $B172 * N161, "")</f>
        <v>828.72928176795574</v>
      </c>
      <c r="Q161" s="177"/>
      <c r="R161" s="178"/>
      <c r="S161" s="179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2542.3728813559323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2542.3728813559323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8898.3050847457635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7627.1186440677975</v>
      </c>
      <c r="Q162" s="180"/>
      <c r="R162" s="181"/>
      <c r="S162" s="182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1562.5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2343.75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2343.75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3906.25</v>
      </c>
      <c r="Q163" s="183"/>
      <c r="R163" s="184"/>
      <c r="S163" s="185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348.02784222737819</v>
      </c>
      <c r="G164" s="31">
        <v>441</v>
      </c>
      <c r="H164" s="32">
        <f t="shared" si="87"/>
        <v>2.3201856148491878E-2</v>
      </c>
      <c r="I164" s="101">
        <f>IF(ISNUMBER(G164), $B172 * H164, "")</f>
        <v>3480.2784222737819</v>
      </c>
      <c r="J164" s="15">
        <v>442</v>
      </c>
      <c r="K164" s="32">
        <f t="shared" si="88"/>
        <v>2.5522041763341066E-2</v>
      </c>
      <c r="L164" s="18">
        <f>IF(ISNUMBER(J164), $B172 * K164, "")</f>
        <v>3828.3062645011601</v>
      </c>
      <c r="M164" s="31">
        <v>442</v>
      </c>
      <c r="N164" s="32">
        <f t="shared" si="89"/>
        <v>2.5522041763341066E-2</v>
      </c>
      <c r="O164" s="18">
        <f>IF(ISNUMBER(M164), $B172 * N164, "")</f>
        <v>3828.3062645011601</v>
      </c>
      <c r="Q164" s="176"/>
      <c r="R164" s="176"/>
      <c r="S164" s="176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1111.1111111111111</v>
      </c>
      <c r="G165" s="31">
        <v>138</v>
      </c>
      <c r="H165" s="32">
        <f t="shared" si="87"/>
        <v>2.2222222222222223E-2</v>
      </c>
      <c r="I165" s="101">
        <f>IF(ISNUMBER(G165), $B172 * H165, "")</f>
        <v>3333.3333333333335</v>
      </c>
      <c r="J165" s="15">
        <v>140</v>
      </c>
      <c r="K165" s="32">
        <f t="shared" si="88"/>
        <v>3.7037037037037035E-2</v>
      </c>
      <c r="L165" s="18">
        <f>IF(ISNUMBER(J165), $B172 * K165, "")</f>
        <v>5555.5555555555557</v>
      </c>
      <c r="M165" s="31">
        <v>140</v>
      </c>
      <c r="N165" s="32">
        <f t="shared" si="89"/>
        <v>3.7037037037037035E-2</v>
      </c>
      <c r="O165" s="18">
        <f>IF(ISNUMBER(M165), $B172 * N165, "")</f>
        <v>5555.5555555555557</v>
      </c>
      <c r="Q165" s="186"/>
      <c r="R165" s="186"/>
      <c r="S165" s="186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2521.0084033613443</v>
      </c>
      <c r="G166" s="30">
        <v>122</v>
      </c>
      <c r="H166" s="21">
        <f t="shared" si="87"/>
        <v>2.5210084033613446E-2</v>
      </c>
      <c r="I166" s="105">
        <f>IF(ISNUMBER(G166), $B172 * H166, "")</f>
        <v>3781.5126050420167</v>
      </c>
      <c r="J166" s="20">
        <v>122</v>
      </c>
      <c r="K166" s="21">
        <f t="shared" si="88"/>
        <v>2.5210084033613446E-2</v>
      </c>
      <c r="L166" s="22">
        <f>IF(ISNUMBER(J166), $B172 * K166, "")</f>
        <v>3781.5126050420167</v>
      </c>
      <c r="M166" s="30">
        <v>121</v>
      </c>
      <c r="N166" s="21">
        <f t="shared" si="89"/>
        <v>1.680672268907563E-2</v>
      </c>
      <c r="O166" s="22">
        <f>IF(ISNUMBER(M166), $B172 * N166, "")</f>
        <v>2521.0084033613443</v>
      </c>
      <c r="Q166" s="186"/>
      <c r="R166" s="186"/>
      <c r="S166" s="186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-1507.537688442211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-376.88442211055275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1130.6532663316582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376.88442211055275</v>
      </c>
      <c r="Q167" s="176"/>
      <c r="R167" s="176"/>
      <c r="S167" s="176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3169.0140845070423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4225.3521126760561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5281.6901408450703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5281.6901408450703</v>
      </c>
      <c r="Q168" s="176"/>
      <c r="R168" s="176"/>
      <c r="S168" s="176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-1152.073732718894</v>
      </c>
      <c r="G169" s="31">
        <v>650</v>
      </c>
      <c r="H169" s="32">
        <f t="shared" si="91"/>
        <v>-1.5360983102918587E-3</v>
      </c>
      <c r="I169" s="101">
        <f>IF(ISNUMBER(G169), $B172 * H169, "")</f>
        <v>-230.41474654377879</v>
      </c>
      <c r="J169" s="15">
        <v>649</v>
      </c>
      <c r="K169" s="32">
        <f t="shared" si="92"/>
        <v>-3.0721966205837174E-3</v>
      </c>
      <c r="L169" s="18">
        <f>IF(ISNUMBER(J169), $B172 * K169, "")</f>
        <v>-460.82949308755758</v>
      </c>
      <c r="M169" s="31">
        <v>650</v>
      </c>
      <c r="N169" s="32">
        <f t="shared" si="93"/>
        <v>-1.5360983102918587E-3</v>
      </c>
      <c r="O169" s="18">
        <f>IF(ISNUMBER(M169), $B172 * N169, "")</f>
        <v>-230.41474654377879</v>
      </c>
      <c r="Q169" s="176"/>
      <c r="R169" s="176"/>
      <c r="S169" s="176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4761.9047619047615</v>
      </c>
      <c r="G170" s="31">
        <v>263</v>
      </c>
      <c r="H170" s="32">
        <f t="shared" si="91"/>
        <v>4.3650793650793648E-2</v>
      </c>
      <c r="I170" s="101">
        <f>IF(ISNUMBER(G170), $B172 * H170, "")</f>
        <v>6547.6190476190477</v>
      </c>
      <c r="J170" s="15">
        <v>259</v>
      </c>
      <c r="K170" s="32">
        <f t="shared" si="92"/>
        <v>2.7777777777777776E-2</v>
      </c>
      <c r="L170" s="18">
        <f>IF(ISNUMBER(J170), $B172 * K170, "")</f>
        <v>4166.6666666666661</v>
      </c>
      <c r="M170" s="31">
        <v>266</v>
      </c>
      <c r="N170" s="32">
        <f t="shared" si="93"/>
        <v>5.5555555555555552E-2</v>
      </c>
      <c r="O170" s="18">
        <f>IF(ISNUMBER(M170), $B172 * N170, "")</f>
        <v>8333.3333333333321</v>
      </c>
      <c r="Q170" s="165"/>
      <c r="R170" s="166"/>
      <c r="S170" s="167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-1840.4907975460123</v>
      </c>
      <c r="G171" s="102">
        <v>164</v>
      </c>
      <c r="H171" s="25">
        <f t="shared" si="91"/>
        <v>6.1349693251533744E-3</v>
      </c>
      <c r="I171" s="103">
        <f>IF(ISNUMBER(G171), $B172 * H171, "")</f>
        <v>920.24539877300617</v>
      </c>
      <c r="J171" s="24">
        <v>164</v>
      </c>
      <c r="K171" s="25">
        <f t="shared" si="92"/>
        <v>6.1349693251533744E-3</v>
      </c>
      <c r="L171" s="104">
        <f>IF(ISNUMBER(J171), $B172 * K171, "")</f>
        <v>920.24539877300617</v>
      </c>
      <c r="M171" s="102">
        <v>162</v>
      </c>
      <c r="N171" s="25">
        <f t="shared" si="93"/>
        <v>-6.1349693251533744E-3</v>
      </c>
      <c r="O171" s="104">
        <f>IF(ISNUMBER(M171), $B172 * N171, "")</f>
        <v>-920.24539877300617</v>
      </c>
      <c r="Q171" s="168"/>
      <c r="R171" s="169"/>
      <c r="S171" s="170"/>
    </row>
    <row r="172" spans="1:19" ht="17.25" thickBot="1">
      <c r="A172" s="132" t="s">
        <v>270</v>
      </c>
      <c r="B172" s="229">
        <f>$B$37</f>
        <v>150000</v>
      </c>
      <c r="C172" s="230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12909.442134634097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43586.798096439445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64884.642263490678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59407.715264346618</v>
      </c>
      <c r="Q172" s="171"/>
      <c r="R172" s="172"/>
      <c r="S172" s="173"/>
    </row>
    <row r="174" spans="1:19" ht="17.25" thickBot="1"/>
    <row r="175" spans="1:19" ht="17.25" thickBot="1">
      <c r="A175" s="187" t="s">
        <v>255</v>
      </c>
      <c r="B175" s="188"/>
      <c r="C175" s="188"/>
      <c r="D175" s="188"/>
      <c r="E175" s="188"/>
      <c r="F175" s="188"/>
      <c r="G175" s="188"/>
      <c r="H175" s="188"/>
      <c r="I175" s="188"/>
      <c r="J175" s="188"/>
      <c r="K175" s="188"/>
      <c r="L175" s="188"/>
      <c r="M175" s="188"/>
      <c r="N175" s="188"/>
      <c r="O175" s="189"/>
      <c r="Q175" s="186"/>
      <c r="R175" s="186"/>
      <c r="S175" s="186"/>
    </row>
    <row r="176" spans="1:19" ht="17.25" thickBot="1">
      <c r="A176" s="157" t="s">
        <v>267</v>
      </c>
      <c r="B176" s="187" t="s">
        <v>49</v>
      </c>
      <c r="C176" s="189"/>
      <c r="D176" s="187" t="s">
        <v>58</v>
      </c>
      <c r="E176" s="188"/>
      <c r="F176" s="189"/>
      <c r="G176" s="190">
        <f>_xlfn.IFNA(VLOOKUP(B176, 현재가테이블!$B$2:$D$200, 2, FALSE), "-")</f>
        <v>57970000</v>
      </c>
      <c r="H176" s="191"/>
      <c r="I176" s="192"/>
      <c r="J176" s="187" t="s">
        <v>59</v>
      </c>
      <c r="K176" s="188"/>
      <c r="L176" s="189"/>
      <c r="M176" s="193">
        <f>_xlfn.IFNA(VLOOKUP(B176, 현재가테이블!$B$2:$D$200, 3, FALSE), "-")</f>
        <v>2.6835532700000001E-2</v>
      </c>
      <c r="N176" s="194"/>
      <c r="O176" s="195"/>
      <c r="Q176" s="186"/>
      <c r="R176" s="186"/>
      <c r="S176" s="186"/>
    </row>
    <row r="177" spans="1:19" ht="17.25" thickBot="1">
      <c r="A177" s="231" t="s">
        <v>55</v>
      </c>
      <c r="B177" s="227" t="str">
        <f>TEXT($G$1, "[$-ko-KR]yyyy-mm-dd(ddd) ") &amp; "오전 00:00"</f>
        <v>2021-09-01(수) 오전 00:00</v>
      </c>
      <c r="C177" s="228"/>
      <c r="D177" s="200" t="str">
        <f>TEXT($G$1, "[$-ko-KR]yyyy-mm-dd(ddd) ") &amp; "오후 14:00"</f>
        <v>2021-09-01(수) 오후 14:00</v>
      </c>
      <c r="E177" s="201"/>
      <c r="F177" s="202"/>
      <c r="G177" s="200" t="str">
        <f>TEXT($G$1, "[$-ko-KR]yyyy-mm-dd(ddd) ") &amp; "오후 19:00"</f>
        <v>2021-09-01(수) 오후 19:00</v>
      </c>
      <c r="H177" s="201"/>
      <c r="I177" s="202"/>
      <c r="J177" s="200" t="str">
        <f>TEXT($G$1, "[$-ko-KR]yyyy-mm-dd(ddd) ") &amp; "오후 21:00"</f>
        <v>2021-09-01(수) 오후 21:00</v>
      </c>
      <c r="K177" s="201"/>
      <c r="L177" s="202"/>
      <c r="M177" s="200" t="str">
        <f>TEXT($G$1+1, "[$-ko-KR]yyyy-mm-dd(ddd) ") &amp; "오전 00:00"</f>
        <v>2021-09-02(목) 오전 00:00</v>
      </c>
      <c r="N177" s="201"/>
      <c r="O177" s="202"/>
      <c r="Q177" s="186"/>
      <c r="R177" s="186"/>
      <c r="S177" s="186"/>
    </row>
    <row r="178" spans="1:19" ht="17.25" thickBot="1">
      <c r="A178" s="23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76"/>
      <c r="R178" s="176"/>
      <c r="S178" s="176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4785.478547854771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4455.4455445544363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4125.4125412541252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2970.2970297029656</v>
      </c>
      <c r="Q179" s="186"/>
      <c r="R179" s="186"/>
      <c r="S179" s="186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348.02784222737819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3480.2784222737819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3828.3062645011601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3828.3062645011601</v>
      </c>
      <c r="Q180" s="186"/>
      <c r="R180" s="186"/>
      <c r="S180" s="186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5775.4880694143176</v>
      </c>
      <c r="G181" s="31">
        <v>9315</v>
      </c>
      <c r="H181" s="32">
        <f t="shared" si="95"/>
        <v>1.0303687635574838E-2</v>
      </c>
      <c r="I181" s="101">
        <f>IF(ISNUMBER(G181), $B199 * H181, "")</f>
        <v>1545.5531453362257</v>
      </c>
      <c r="J181" s="15">
        <v>9385</v>
      </c>
      <c r="K181" s="32">
        <f t="shared" si="96"/>
        <v>1.7895878524945771E-2</v>
      </c>
      <c r="L181" s="18">
        <f>IF(ISNUMBER(J181), $B199 * K181, "")</f>
        <v>2684.3817787418657</v>
      </c>
      <c r="M181" s="31">
        <v>9305</v>
      </c>
      <c r="N181" s="32">
        <f t="shared" si="97"/>
        <v>9.2190889370932748E-3</v>
      </c>
      <c r="O181" s="18">
        <f>IF(ISNUMBER(M181), $B199 * N181, "")</f>
        <v>1382.8633405639912</v>
      </c>
      <c r="Q181" s="176"/>
      <c r="R181" s="176"/>
      <c r="S181" s="176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489.66267682263333</v>
      </c>
      <c r="G182" s="31">
        <v>4575</v>
      </c>
      <c r="H182" s="32">
        <f t="shared" si="95"/>
        <v>-4.3525571273122961E-3</v>
      </c>
      <c r="I182" s="101">
        <f>IF(ISNUMBER(G182), $B199 * H182, "")</f>
        <v>-652.88356909684444</v>
      </c>
      <c r="J182" s="15">
        <v>4615</v>
      </c>
      <c r="K182" s="32">
        <f t="shared" si="96"/>
        <v>4.3525571273122961E-3</v>
      </c>
      <c r="L182" s="18">
        <f>IF(ISNUMBER(J182), $B199 * K182, "")</f>
        <v>652.88356909684444</v>
      </c>
      <c r="M182" s="31">
        <v>4625</v>
      </c>
      <c r="N182" s="32">
        <f t="shared" si="97"/>
        <v>6.5288356909684441E-3</v>
      </c>
      <c r="O182" s="18">
        <f>IF(ISNUMBER(M182), $B199 * N182, "")</f>
        <v>979.32535364526666</v>
      </c>
      <c r="Q182" s="176"/>
      <c r="R182" s="176"/>
      <c r="S182" s="176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-3647.3628568072359</v>
      </c>
      <c r="G183" s="30">
        <v>83600</v>
      </c>
      <c r="H183" s="21">
        <f t="shared" si="95"/>
        <v>-1.7972512627745799E-2</v>
      </c>
      <c r="I183" s="105">
        <f>IF(ISNUMBER(G183), $B199 * H183, "")</f>
        <v>-2695.87689416187</v>
      </c>
      <c r="J183" s="20">
        <v>83710</v>
      </c>
      <c r="K183" s="21">
        <f t="shared" si="96"/>
        <v>-1.6680371196992835E-2</v>
      </c>
      <c r="L183" s="22">
        <f>IF(ISNUMBER(J183), $B199 * K183, "")</f>
        <v>-2502.0556795489251</v>
      </c>
      <c r="M183" s="30">
        <v>83050</v>
      </c>
      <c r="N183" s="21">
        <f t="shared" si="97"/>
        <v>-2.443321978151063E-2</v>
      </c>
      <c r="O183" s="22">
        <f>IF(ISNUMBER(M183), $B199 * N183, "")</f>
        <v>-3664.9829672265946</v>
      </c>
      <c r="Q183" s="176"/>
      <c r="R183" s="176"/>
      <c r="S183" s="176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1111.1111111111111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3333.3333333333335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5555.5555555555557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5555.5555555555557</v>
      </c>
      <c r="Q184" s="176"/>
      <c r="R184" s="176"/>
      <c r="S184" s="176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2521.0084033613443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3781.5126050420167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3781.5126050420167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2521.0084033613443</v>
      </c>
      <c r="Q185" s="176"/>
      <c r="R185" s="176"/>
      <c r="S185" s="176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-1507.537688442211</v>
      </c>
      <c r="G186" s="31">
        <v>397</v>
      </c>
      <c r="H186" s="32">
        <f t="shared" si="99"/>
        <v>-2.5125628140703518E-3</v>
      </c>
      <c r="I186" s="101">
        <f>IF(ISNUMBER(G186), $B199 * H186, "")</f>
        <v>-376.88442211055275</v>
      </c>
      <c r="J186" s="15">
        <v>401</v>
      </c>
      <c r="K186" s="32">
        <f t="shared" si="100"/>
        <v>7.537688442211055E-3</v>
      </c>
      <c r="L186" s="18">
        <f>IF(ISNUMBER(J186), $B199 * K186, "")</f>
        <v>1130.6532663316582</v>
      </c>
      <c r="M186" s="31">
        <v>399</v>
      </c>
      <c r="N186" s="32">
        <f t="shared" si="101"/>
        <v>2.5125628140703518E-3</v>
      </c>
      <c r="O186" s="18">
        <f>IF(ISNUMBER(M186), $B199 * N186, "")</f>
        <v>376.88442211055275</v>
      </c>
      <c r="Q186" s="176"/>
      <c r="R186" s="176"/>
      <c r="S186" s="176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3169.0140845070423</v>
      </c>
      <c r="G187" s="31">
        <v>146</v>
      </c>
      <c r="H187" s="32">
        <f t="shared" si="99"/>
        <v>2.8169014084507043E-2</v>
      </c>
      <c r="I187" s="101">
        <f>IF(ISNUMBER(G187), $B199 * H187, "")</f>
        <v>4225.3521126760561</v>
      </c>
      <c r="J187" s="15">
        <v>147</v>
      </c>
      <c r="K187" s="32">
        <f t="shared" si="100"/>
        <v>3.5211267605633804E-2</v>
      </c>
      <c r="L187" s="18">
        <f>IF(ISNUMBER(J187), $B199 * K187, "")</f>
        <v>5281.6901408450703</v>
      </c>
      <c r="M187" s="31">
        <v>147</v>
      </c>
      <c r="N187" s="32">
        <f t="shared" si="101"/>
        <v>3.5211267605633804E-2</v>
      </c>
      <c r="O187" s="18">
        <f>IF(ISNUMBER(M187), $B199 * N187, "")</f>
        <v>5281.6901408450703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-3357.3141486810555</v>
      </c>
      <c r="G188" s="102">
        <v>6035</v>
      </c>
      <c r="H188" s="25">
        <f t="shared" si="99"/>
        <v>-3.5171862509992005E-2</v>
      </c>
      <c r="I188" s="103">
        <f>IF(ISNUMBER(G188), $B199 * H188, "")</f>
        <v>-5275.779376498801</v>
      </c>
      <c r="J188" s="24">
        <v>6140</v>
      </c>
      <c r="K188" s="25">
        <f t="shared" si="100"/>
        <v>-1.838529176658673E-2</v>
      </c>
      <c r="L188" s="104">
        <f>IF(ISNUMBER(J188), $B199 * K188, "")</f>
        <v>-2757.7937649880096</v>
      </c>
      <c r="M188" s="102">
        <v>6100</v>
      </c>
      <c r="N188" s="25">
        <f t="shared" si="101"/>
        <v>-2.478017585931255E-2</v>
      </c>
      <c r="O188" s="104">
        <f>IF(ISNUMBER(M188), $B199 * N188, "")</f>
        <v>-3717.0263788968823</v>
      </c>
      <c r="Q188" s="177"/>
      <c r="R188" s="178"/>
      <c r="S188" s="179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19029.85074626865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105223.88059701493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71641.791044776124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63805.970149253742</v>
      </c>
      <c r="Q189" s="180"/>
      <c r="R189" s="181"/>
      <c r="S189" s="182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-1152.073732718894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-230.41474654377879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-460.82949308755758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-230.41474654377879</v>
      </c>
      <c r="Q190" s="183"/>
      <c r="R190" s="184"/>
      <c r="S190" s="185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2406.9648344144757</v>
      </c>
      <c r="G191" s="31">
        <v>29010</v>
      </c>
      <c r="H191" s="32">
        <f t="shared" si="103"/>
        <v>-9.5595766473199045E-3</v>
      </c>
      <c r="I191" s="101">
        <f>IF(ISNUMBER(G191), $B199 * H191, "")</f>
        <v>-1433.9364970979857</v>
      </c>
      <c r="J191" s="15">
        <v>29110</v>
      </c>
      <c r="K191" s="32">
        <f t="shared" si="104"/>
        <v>-6.1454421304199388E-3</v>
      </c>
      <c r="L191" s="18">
        <f>IF(ISNUMBER(J191), $B199 * K191, "")</f>
        <v>-921.81631956299077</v>
      </c>
      <c r="M191" s="31">
        <v>29060</v>
      </c>
      <c r="N191" s="32">
        <f t="shared" si="105"/>
        <v>-7.8525093888699212E-3</v>
      </c>
      <c r="O191" s="18">
        <f>IF(ISNUMBER(M191), $B199 * N191, "")</f>
        <v>-1177.8764083304882</v>
      </c>
      <c r="Q191" s="176"/>
      <c r="R191" s="176"/>
      <c r="S191" s="176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-937.5</v>
      </c>
      <c r="G192" s="31">
        <v>2380</v>
      </c>
      <c r="H192" s="32">
        <f t="shared" si="103"/>
        <v>-8.3333333333333332E-3</v>
      </c>
      <c r="I192" s="101">
        <f>IF(ISNUMBER(G192), $B199 * H192, "")</f>
        <v>-1250</v>
      </c>
      <c r="J192" s="15">
        <v>2380</v>
      </c>
      <c r="K192" s="32">
        <f t="shared" si="104"/>
        <v>-8.3333333333333332E-3</v>
      </c>
      <c r="L192" s="18">
        <f>IF(ISNUMBER(J192), $B199 * K192, "")</f>
        <v>-1250</v>
      </c>
      <c r="M192" s="31">
        <v>2365</v>
      </c>
      <c r="N192" s="32">
        <f t="shared" si="105"/>
        <v>-1.4583333333333334E-2</v>
      </c>
      <c r="O192" s="18">
        <f>IF(ISNUMBER(M192), $B199 * N192, "")</f>
        <v>-2187.5</v>
      </c>
      <c r="Q192" s="186"/>
      <c r="R192" s="186"/>
      <c r="S192" s="186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-2357.3339277753007</v>
      </c>
      <c r="G193" s="30">
        <v>88010</v>
      </c>
      <c r="H193" s="21">
        <f t="shared" si="103"/>
        <v>-1.9059295586268392E-2</v>
      </c>
      <c r="I193" s="105">
        <f>IF(ISNUMBER(G193), $B199 * H193, "")</f>
        <v>-2858.894337940259</v>
      </c>
      <c r="J193" s="20">
        <v>88400</v>
      </c>
      <c r="K193" s="21">
        <f t="shared" si="104"/>
        <v>-1.4712438698172091E-2</v>
      </c>
      <c r="L193" s="22">
        <f>IF(ISNUMBER(J193), $B199 * K193, "")</f>
        <v>-2206.8658047258136</v>
      </c>
      <c r="M193" s="30">
        <v>88320</v>
      </c>
      <c r="N193" s="21">
        <f t="shared" si="105"/>
        <v>-1.5604101649576461E-2</v>
      </c>
      <c r="O193" s="22">
        <f>IF(ISNUMBER(M193), $B199 * N193, "")</f>
        <v>-2340.615247436469</v>
      </c>
      <c r="Q193" s="186"/>
      <c r="R193" s="186"/>
      <c r="S193" s="186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4761.9047619047615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6547.6190476190477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4166.6666666666661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8333.3333333333321</v>
      </c>
      <c r="Q194" s="176"/>
      <c r="R194" s="176"/>
      <c r="S194" s="176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-3152.3096129837704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-4463.1710362047443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-1747.8152309612983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-1685.3932584269662</v>
      </c>
      <c r="Q195" s="176"/>
      <c r="R195" s="176"/>
      <c r="S195" s="176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-1840.4907975460123</v>
      </c>
      <c r="G196" s="31">
        <v>164</v>
      </c>
      <c r="H196" s="32">
        <f t="shared" si="107"/>
        <v>6.1349693251533744E-3</v>
      </c>
      <c r="I196" s="101">
        <f>IF(ISNUMBER(G196), $B199 * H196, "")</f>
        <v>920.24539877300617</v>
      </c>
      <c r="J196" s="15">
        <v>164</v>
      </c>
      <c r="K196" s="32">
        <f t="shared" si="108"/>
        <v>6.1349693251533744E-3</v>
      </c>
      <c r="L196" s="18">
        <f>IF(ISNUMBER(J196), $B199 * K196, "")</f>
        <v>920.24539877300617</v>
      </c>
      <c r="M196" s="31">
        <v>162</v>
      </c>
      <c r="N196" s="32">
        <f t="shared" si="109"/>
        <v>-6.1349693251533744E-3</v>
      </c>
      <c r="O196" s="18">
        <f>IF(ISNUMBER(M196), $B199 * N196, "")</f>
        <v>-920.24539877300617</v>
      </c>
      <c r="Q196" s="176"/>
      <c r="R196" s="176"/>
      <c r="S196" s="176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24418.604651162794</v>
      </c>
      <c r="G197" s="31">
        <v>1180</v>
      </c>
      <c r="H197" s="32">
        <f t="shared" si="107"/>
        <v>9.7674418604651161E-2</v>
      </c>
      <c r="I197" s="101">
        <f>IF(ISNUMBER(G197), $B199 * H197, "")</f>
        <v>14651.162790697674</v>
      </c>
      <c r="J197" s="15">
        <v>1175</v>
      </c>
      <c r="K197" s="32">
        <f t="shared" si="108"/>
        <v>9.3023255813953487E-2</v>
      </c>
      <c r="L197" s="18">
        <f>IF(ISNUMBER(J197), $B199 * K197, "")</f>
        <v>13953.488372093023</v>
      </c>
      <c r="M197" s="31">
        <v>1155</v>
      </c>
      <c r="N197" s="32">
        <f t="shared" si="109"/>
        <v>7.441860465116279E-2</v>
      </c>
      <c r="O197" s="18">
        <f>IF(ISNUMBER(M197), $B199 * N197, "")</f>
        <v>11162.790697674418</v>
      </c>
      <c r="Q197" s="165"/>
      <c r="R197" s="166"/>
      <c r="S197" s="167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-505.05050505050502</v>
      </c>
      <c r="G198" s="102">
        <v>1445</v>
      </c>
      <c r="H198" s="25">
        <f t="shared" si="107"/>
        <v>-2.6936026936026935E-2</v>
      </c>
      <c r="I198" s="103">
        <f>IF(ISNUMBER(G198), $B199 * H198, "")</f>
        <v>-4040.4040404040402</v>
      </c>
      <c r="J198" s="24">
        <v>1450</v>
      </c>
      <c r="K198" s="25">
        <f t="shared" si="108"/>
        <v>-2.3569023569023569E-2</v>
      </c>
      <c r="L198" s="104">
        <f>IF(ISNUMBER(J198), $B199 * K198, "")</f>
        <v>-3535.3535353535353</v>
      </c>
      <c r="M198" s="102">
        <v>1445</v>
      </c>
      <c r="N198" s="25">
        <f t="shared" si="109"/>
        <v>-2.6936026936026935E-2</v>
      </c>
      <c r="O198" s="104">
        <f>IF(ISNUMBER(M198), $B199 * N198, "")</f>
        <v>-4040.4040404040402</v>
      </c>
      <c r="Q198" s="168"/>
      <c r="R198" s="169"/>
      <c r="S198" s="170"/>
    </row>
    <row r="199" spans="1:19" ht="17.25" thickBot="1">
      <c r="A199" s="132" t="s">
        <v>270</v>
      </c>
      <c r="B199" s="229">
        <f>$B$37</f>
        <v>150000</v>
      </c>
      <c r="C199" s="230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50360.142459044291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124886.13807726164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102340.057375449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86233.566244509158</v>
      </c>
      <c r="Q199" s="171"/>
      <c r="R199" s="172"/>
      <c r="S199" s="1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7" t="s">
        <v>0</v>
      </c>
      <c r="B1" s="188"/>
      <c r="C1" s="188"/>
      <c r="D1" s="188"/>
      <c r="E1" s="188"/>
      <c r="F1" s="189"/>
      <c r="G1" s="218">
        <v>44441</v>
      </c>
      <c r="H1" s="219"/>
      <c r="I1" s="220"/>
      <c r="J1" s="187" t="s">
        <v>1</v>
      </c>
      <c r="K1" s="188"/>
      <c r="L1" s="188"/>
      <c r="M1" s="188"/>
      <c r="N1" s="188"/>
      <c r="O1" s="189"/>
      <c r="Q1" s="187" t="s">
        <v>2</v>
      </c>
      <c r="R1" s="189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15" t="s">
        <v>46</v>
      </c>
      <c r="H2" s="216"/>
      <c r="I2" s="217"/>
      <c r="J2" s="1" t="s">
        <v>3</v>
      </c>
      <c r="K2" s="221" t="s">
        <v>320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12" t="s">
        <v>328</v>
      </c>
      <c r="C3" s="213"/>
      <c r="D3" s="213"/>
      <c r="E3" s="213"/>
      <c r="F3" s="214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64,020 KRW (2.13%)</v>
      </c>
      <c r="H3" s="209"/>
      <c r="I3" s="210"/>
      <c r="J3" s="4" t="s">
        <v>7</v>
      </c>
      <c r="K3" s="212" t="s">
        <v>321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2" t="s">
        <v>16</v>
      </c>
      <c r="C4" s="213"/>
      <c r="D4" s="213"/>
      <c r="E4" s="213"/>
      <c r="F4" s="214"/>
      <c r="G4" s="215" t="s">
        <v>44</v>
      </c>
      <c r="H4" s="216"/>
      <c r="I4" s="217"/>
      <c r="J4" s="4" t="s">
        <v>11</v>
      </c>
      <c r="K4" s="212" t="s">
        <v>322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2" t="s">
        <v>319</v>
      </c>
      <c r="C5" s="213"/>
      <c r="D5" s="213"/>
      <c r="E5" s="213"/>
      <c r="F5" s="214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88,195 KRW (3.46%)</v>
      </c>
      <c r="H5" s="209"/>
      <c r="I5" s="210"/>
      <c r="J5" s="4" t="s">
        <v>15</v>
      </c>
      <c r="K5" s="212" t="s">
        <v>323</v>
      </c>
      <c r="L5" s="213"/>
      <c r="M5" s="213"/>
      <c r="N5" s="213"/>
      <c r="O5" s="214"/>
    </row>
    <row r="6" spans="1:19">
      <c r="A6" s="118" t="s">
        <v>18</v>
      </c>
      <c r="B6" s="212"/>
      <c r="C6" s="213"/>
      <c r="D6" s="213"/>
      <c r="E6" s="213"/>
      <c r="F6" s="214"/>
      <c r="G6" s="215" t="s">
        <v>45</v>
      </c>
      <c r="H6" s="216"/>
      <c r="I6" s="217"/>
      <c r="J6" s="4" t="s">
        <v>18</v>
      </c>
      <c r="K6" s="212" t="s">
        <v>324</v>
      </c>
      <c r="L6" s="213"/>
      <c r="M6" s="213"/>
      <c r="N6" s="213"/>
      <c r="O6" s="214"/>
    </row>
    <row r="7" spans="1:19" ht="17.25" thickBot="1">
      <c r="A7" s="118" t="s">
        <v>21</v>
      </c>
      <c r="B7" s="212"/>
      <c r="C7" s="213"/>
      <c r="D7" s="213"/>
      <c r="E7" s="213"/>
      <c r="F7" s="214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128,166 KRW (4.27%)</v>
      </c>
      <c r="H7" s="209"/>
      <c r="I7" s="210"/>
      <c r="J7" s="4" t="s">
        <v>21</v>
      </c>
      <c r="K7" s="212" t="s">
        <v>325</v>
      </c>
      <c r="L7" s="213"/>
      <c r="M7" s="213"/>
      <c r="N7" s="213"/>
      <c r="O7" s="214"/>
    </row>
    <row r="8" spans="1:19" ht="17.25" thickBot="1">
      <c r="A8" s="118" t="s">
        <v>24</v>
      </c>
      <c r="B8" s="212"/>
      <c r="C8" s="213"/>
      <c r="D8" s="213"/>
      <c r="E8" s="213"/>
      <c r="F8" s="214"/>
      <c r="G8" s="215" t="s">
        <v>255</v>
      </c>
      <c r="H8" s="216"/>
      <c r="I8" s="217"/>
      <c r="J8" s="4" t="s">
        <v>24</v>
      </c>
      <c r="K8" s="212"/>
      <c r="L8" s="213"/>
      <c r="M8" s="213"/>
      <c r="N8" s="213"/>
      <c r="O8" s="214"/>
      <c r="Q8" s="187" t="s">
        <v>27</v>
      </c>
      <c r="R8" s="189"/>
    </row>
    <row r="9" spans="1:19" ht="17.25" thickBot="1">
      <c r="A9" s="118" t="s">
        <v>28</v>
      </c>
      <c r="B9" s="212"/>
      <c r="C9" s="213"/>
      <c r="D9" s="213"/>
      <c r="E9" s="213"/>
      <c r="F9" s="214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85,220 KRW (2.84%)</v>
      </c>
      <c r="H9" s="209"/>
      <c r="I9" s="210"/>
      <c r="J9" s="4" t="s">
        <v>28</v>
      </c>
      <c r="K9" s="212"/>
      <c r="L9" s="213"/>
      <c r="M9" s="213"/>
      <c r="N9" s="213"/>
      <c r="O9" s="214"/>
      <c r="Q9" s="2" t="s">
        <v>29</v>
      </c>
      <c r="R9" s="6">
        <v>10</v>
      </c>
    </row>
    <row r="10" spans="1:19">
      <c r="A10" s="118" t="s">
        <v>30</v>
      </c>
      <c r="B10" s="212"/>
      <c r="C10" s="213"/>
      <c r="D10" s="213"/>
      <c r="E10" s="213"/>
      <c r="F10" s="214"/>
      <c r="G10" s="215" t="s">
        <v>47</v>
      </c>
      <c r="H10" s="216"/>
      <c r="I10" s="217"/>
      <c r="J10" s="4" t="s">
        <v>30</v>
      </c>
      <c r="K10" s="212" t="s">
        <v>326</v>
      </c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119" t="s">
        <v>32</v>
      </c>
      <c r="B11" s="205" t="s">
        <v>327</v>
      </c>
      <c r="C11" s="206"/>
      <c r="D11" s="206"/>
      <c r="E11" s="206"/>
      <c r="F11" s="207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05" t="s">
        <v>318</v>
      </c>
      <c r="L11" s="206"/>
      <c r="M11" s="206"/>
      <c r="N11" s="206"/>
      <c r="O11" s="207"/>
      <c r="Q11" s="65" t="s">
        <v>33</v>
      </c>
      <c r="R11" s="8">
        <v>1000</v>
      </c>
    </row>
    <row r="12" spans="1:19" ht="17.25" thickBot="1"/>
    <row r="13" spans="1:19" ht="17.25" customHeight="1" thickBot="1">
      <c r="A13" s="187" t="s">
        <v>34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186"/>
      <c r="R13" s="186"/>
      <c r="S13" s="186"/>
    </row>
    <row r="14" spans="1:19" ht="17.25" customHeight="1" thickBot="1">
      <c r="A14" s="161" t="s">
        <v>35</v>
      </c>
      <c r="B14" s="187" t="s">
        <v>36</v>
      </c>
      <c r="C14" s="189"/>
      <c r="D14" s="187" t="s">
        <v>37</v>
      </c>
      <c r="E14" s="188"/>
      <c r="F14" s="189"/>
      <c r="G14" s="190">
        <f>_xlfn.IFNA(VLOOKUP(B14, 현재가테이블!$B$2:$D$200, 2, FALSE), "-")</f>
        <v>57970000</v>
      </c>
      <c r="H14" s="191"/>
      <c r="I14" s="192"/>
      <c r="J14" s="187" t="s">
        <v>38</v>
      </c>
      <c r="K14" s="188"/>
      <c r="L14" s="189"/>
      <c r="M14" s="193">
        <f>_xlfn.IFNA(VLOOKUP(B14, 현재가테이블!$B$2:$D$200, 3, FALSE), "-")</f>
        <v>2.6835532700000001E-2</v>
      </c>
      <c r="N14" s="194"/>
      <c r="O14" s="195"/>
      <c r="Q14" s="186"/>
      <c r="R14" s="186"/>
      <c r="S14" s="186"/>
    </row>
    <row r="15" spans="1:19" ht="17.25" customHeight="1" thickBot="1">
      <c r="A15" s="224" t="s">
        <v>39</v>
      </c>
      <c r="B15" s="225" t="str">
        <f>TEXT($G$1, "[$-ko-KR]yyyy-mm-dd(ddd) ") &amp; "오전 00:00"</f>
        <v>2021-09-02(목) 오전 00:00</v>
      </c>
      <c r="C15" s="226"/>
      <c r="D15" s="200" t="str">
        <f>TEXT($G$1, "[$-ko-KR]yyyy-mm-dd(ddd) ") &amp; "오후 14:00"</f>
        <v>2021-09-02(목) 오후 14:00</v>
      </c>
      <c r="E15" s="201"/>
      <c r="F15" s="202"/>
      <c r="G15" s="200" t="str">
        <f>TEXT($G$1, "[$-ko-KR]yyyy-mm-dd(ddd) ") &amp; "오후 19:00"</f>
        <v>2021-09-02(목) 오후 19:00</v>
      </c>
      <c r="H15" s="201"/>
      <c r="I15" s="202"/>
      <c r="J15" s="200" t="str">
        <f>TEXT($G$1, "[$-ko-KR]yyyy-mm-dd(ddd) ") &amp; "오후 21:00"</f>
        <v>2021-09-02(목) 오후 21:00</v>
      </c>
      <c r="K15" s="201"/>
      <c r="L15" s="202"/>
      <c r="M15" s="200" t="str">
        <f>TEXT($G$1+1, "[$-ko-KR]yyyy-mm-dd(ddd) ") &amp; "오전 00:00"</f>
        <v>2021-09-03(금) 오전 00:00</v>
      </c>
      <c r="N15" s="201"/>
      <c r="O15" s="202"/>
      <c r="Q15" s="186"/>
      <c r="R15" s="186"/>
      <c r="S15" s="186"/>
    </row>
    <row r="16" spans="1:19" ht="17.25" customHeight="1" thickBot="1">
      <c r="A16" s="2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6"/>
      <c r="R16" s="176"/>
      <c r="S16" s="17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6"/>
      <c r="R17" s="186"/>
      <c r="S17" s="1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6"/>
      <c r="R18" s="186"/>
      <c r="S18" s="1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6"/>
      <c r="R19" s="176"/>
      <c r="S19" s="17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6"/>
      <c r="R20" s="176"/>
      <c r="S20" s="17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6"/>
      <c r="R21" s="176"/>
      <c r="S21" s="17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6"/>
      <c r="R22" s="176"/>
      <c r="S22" s="17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6"/>
      <c r="R23" s="176"/>
      <c r="S23" s="17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6"/>
      <c r="R24" s="176"/>
      <c r="S24" s="17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7"/>
      <c r="R26" s="178"/>
      <c r="S26" s="17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0"/>
      <c r="R27" s="181"/>
      <c r="S27" s="18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3"/>
      <c r="R28" s="184"/>
      <c r="S28" s="18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6"/>
      <c r="R29" s="176"/>
      <c r="S29" s="17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6"/>
      <c r="R30" s="186"/>
      <c r="S30" s="1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6"/>
      <c r="R31" s="186"/>
      <c r="S31" s="1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6"/>
      <c r="R32" s="176"/>
      <c r="S32" s="17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6"/>
      <c r="R33" s="176"/>
      <c r="S33" s="17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6"/>
      <c r="R34" s="176"/>
      <c r="S34" s="17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5"/>
      <c r="R35" s="166"/>
      <c r="S35" s="1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8"/>
      <c r="R36" s="169"/>
      <c r="S36" s="170"/>
    </row>
    <row r="37" spans="1:19" ht="17.25" customHeight="1" thickBot="1">
      <c r="A37" s="132" t="s">
        <v>42</v>
      </c>
      <c r="B37" s="229">
        <v>150000</v>
      </c>
      <c r="C37" s="23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1"/>
      <c r="R37" s="172"/>
      <c r="S37" s="173"/>
    </row>
    <row r="38" spans="1:19" ht="17.25" customHeight="1"/>
    <row r="39" spans="1:19" ht="17.25" customHeight="1" thickBot="1"/>
    <row r="40" spans="1:19" ht="17.25" customHeight="1" thickBot="1">
      <c r="A40" s="187" t="s">
        <v>44</v>
      </c>
      <c r="B40" s="188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  <c r="N40" s="188"/>
      <c r="O40" s="189"/>
      <c r="Q40" s="186"/>
      <c r="R40" s="186"/>
      <c r="S40" s="186"/>
    </row>
    <row r="41" spans="1:19" ht="17.25" customHeight="1" thickBot="1">
      <c r="A41" s="161" t="s">
        <v>267</v>
      </c>
      <c r="B41" s="187" t="s">
        <v>49</v>
      </c>
      <c r="C41" s="189"/>
      <c r="D41" s="187" t="s">
        <v>58</v>
      </c>
      <c r="E41" s="188"/>
      <c r="F41" s="189"/>
      <c r="G41" s="190">
        <f>_xlfn.IFNA(VLOOKUP(B41, 현재가테이블!$B$2:$D$200, 2, FALSE), "-")</f>
        <v>57970000</v>
      </c>
      <c r="H41" s="191"/>
      <c r="I41" s="192"/>
      <c r="J41" s="187" t="s">
        <v>59</v>
      </c>
      <c r="K41" s="188"/>
      <c r="L41" s="189"/>
      <c r="M41" s="193">
        <f>_xlfn.IFNA(VLOOKUP(B41, 현재가테이블!$B$2:$D$200, 3, FALSE), "-")</f>
        <v>2.6835532700000001E-2</v>
      </c>
      <c r="N41" s="194"/>
      <c r="O41" s="195"/>
      <c r="Q41" s="186"/>
      <c r="R41" s="186"/>
      <c r="S41" s="186"/>
    </row>
    <row r="42" spans="1:19" ht="17.25" customHeight="1" thickBot="1">
      <c r="A42" s="231" t="s">
        <v>55</v>
      </c>
      <c r="B42" s="227" t="str">
        <f>TEXT($G$1, "[$-ko-KR]yyyy-mm-dd(ddd) ") &amp; "오전 00:00"</f>
        <v>2021-09-02(목) 오전 00:00</v>
      </c>
      <c r="C42" s="228"/>
      <c r="D42" s="200" t="str">
        <f>TEXT($G$1, "[$-ko-KR]yyyy-mm-dd(ddd) ") &amp; "오후 14:00"</f>
        <v>2021-09-02(목) 오후 14:00</v>
      </c>
      <c r="E42" s="201"/>
      <c r="F42" s="202"/>
      <c r="G42" s="200" t="str">
        <f>TEXT($G$1, "[$-ko-KR]yyyy-mm-dd(ddd) ") &amp; "오후 19:00"</f>
        <v>2021-09-02(목) 오후 19:00</v>
      </c>
      <c r="H42" s="201"/>
      <c r="I42" s="202"/>
      <c r="J42" s="200" t="str">
        <f>TEXT($G$1, "[$-ko-KR]yyyy-mm-dd(ddd) ") &amp; "오후 21:00"</f>
        <v>2021-09-02(목) 오후 21:00</v>
      </c>
      <c r="K42" s="201"/>
      <c r="L42" s="202"/>
      <c r="M42" s="200" t="str">
        <f>TEXT($G$1+1, "[$-ko-KR]yyyy-mm-dd(ddd) ") &amp; "오전 00:00"</f>
        <v>2021-09-03(금) 오전 00:00</v>
      </c>
      <c r="N42" s="201"/>
      <c r="O42" s="202"/>
      <c r="Q42" s="186"/>
      <c r="R42" s="186"/>
      <c r="S42" s="186"/>
    </row>
    <row r="43" spans="1:19" ht="17.25" customHeight="1" thickBot="1">
      <c r="A43" s="23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76"/>
      <c r="R43" s="176"/>
      <c r="S43" s="176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-10994.764397905776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-14921.465968586403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-13350.785340314156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6"/>
      <c r="R44" s="186"/>
      <c r="S44" s="186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1515.1515151515098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2272.727272727278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6"/>
      <c r="R45" s="186"/>
      <c r="S45" s="186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-1470.5882352941123</v>
      </c>
      <c r="G46" s="31">
        <v>41.2</v>
      </c>
      <c r="H46" s="32">
        <f t="shared" si="15"/>
        <v>9.8039215686275914E-3</v>
      </c>
      <c r="I46" s="101">
        <f>IF(ISNUMBER(G46), $B64 * H46, "")</f>
        <v>1470.5882352941387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/>
      <c r="N46" s="32" t="str">
        <f t="shared" si="17"/>
        <v/>
      </c>
      <c r="O46" s="18" t="str">
        <f>IF(ISNUMBER(M46), $B64 * N46, "")</f>
        <v/>
      </c>
      <c r="Q46" s="176"/>
      <c r="R46" s="176"/>
      <c r="S46" s="176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3237.4100719424341</v>
      </c>
      <c r="J47" s="15">
        <v>14.2</v>
      </c>
      <c r="K47" s="32">
        <f t="shared" si="16"/>
        <v>2.1582733812949562E-2</v>
      </c>
      <c r="L47" s="18">
        <f>IF(ISNUMBER(J47), $B64 * K47, "")</f>
        <v>3237.4100719424341</v>
      </c>
      <c r="M47" s="31"/>
      <c r="N47" s="32" t="str">
        <f t="shared" si="17"/>
        <v/>
      </c>
      <c r="O47" s="18" t="str">
        <f>IF(ISNUMBER(M47), $B64 * N47, "")</f>
        <v/>
      </c>
      <c r="Q47" s="176"/>
      <c r="R47" s="176"/>
      <c r="S47" s="176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3151.2605042016803</v>
      </c>
      <c r="G48" s="30">
        <v>24.3</v>
      </c>
      <c r="H48" s="21">
        <f t="shared" si="15"/>
        <v>2.1008403361344536E-2</v>
      </c>
      <c r="I48" s="105">
        <f>IF(ISNUMBER(G48), $B64 * H48, "")</f>
        <v>3151.2605042016803</v>
      </c>
      <c r="J48" s="20">
        <v>24.4</v>
      </c>
      <c r="K48" s="21">
        <f t="shared" si="16"/>
        <v>2.5210084033613356E-2</v>
      </c>
      <c r="L48" s="22">
        <f>IF(ISNUMBER(J48), $B64 * K48, "")</f>
        <v>3781.5126050420035</v>
      </c>
      <c r="M48" s="30"/>
      <c r="N48" s="21" t="str">
        <f t="shared" si="17"/>
        <v/>
      </c>
      <c r="O48" s="22" t="str">
        <f>IF(ISNUMBER(M48), $B64 * N48, "")</f>
        <v/>
      </c>
      <c r="Q48" s="176"/>
      <c r="R48" s="176"/>
      <c r="S48" s="176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5244.7552447552443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5244.7552447552443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5244.7552447552443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6"/>
      <c r="R49" s="176"/>
      <c r="S49" s="176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6410.2564102564102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7692.3076923077106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7692.3076923077106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6"/>
      <c r="R50" s="176"/>
      <c r="S50" s="176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6250.0000000000045</v>
      </c>
      <c r="G51" s="31">
        <v>93.6</v>
      </c>
      <c r="H51" s="32">
        <f t="shared" si="19"/>
        <v>5.4054054054054022E-2</v>
      </c>
      <c r="I51" s="101">
        <f>IF(ISNUMBER(G51), $B64 * H51, "")</f>
        <v>8108.1081081081038</v>
      </c>
      <c r="J51" s="15">
        <v>99.3</v>
      </c>
      <c r="K51" s="32">
        <f t="shared" si="20"/>
        <v>0.11824324324324324</v>
      </c>
      <c r="L51" s="18">
        <f>IF(ISNUMBER(J51), $B64 * K51, "")</f>
        <v>17736.486486486487</v>
      </c>
      <c r="M51" s="31"/>
      <c r="N51" s="32" t="str">
        <f t="shared" si="21"/>
        <v/>
      </c>
      <c r="O51" s="18" t="str">
        <f>IF(ISNUMBER(M51), $B64 * N51, "")</f>
        <v/>
      </c>
      <c r="Q51" s="176"/>
      <c r="R51" s="176"/>
      <c r="S51" s="176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1782.178217821797</v>
      </c>
      <c r="G52" s="31">
        <v>5.23</v>
      </c>
      <c r="H52" s="32">
        <f t="shared" si="19"/>
        <v>3.5643564356435765E-2</v>
      </c>
      <c r="I52" s="101">
        <f>IF(ISNUMBER(G52), $B64 * H52, "")</f>
        <v>5346.5346534653645</v>
      </c>
      <c r="J52" s="15">
        <v>5.47</v>
      </c>
      <c r="K52" s="32">
        <f t="shared" si="20"/>
        <v>8.3168316831683159E-2</v>
      </c>
      <c r="L52" s="18">
        <f>IF(ISNUMBER(J52), $B64 * K52, "")</f>
        <v>12475.247524752474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4477.6119402985114</v>
      </c>
      <c r="G53" s="102">
        <v>14</v>
      </c>
      <c r="H53" s="25">
        <f t="shared" si="19"/>
        <v>4.4776119402985044E-2</v>
      </c>
      <c r="I53" s="103">
        <f>IF(ISNUMBER(G53), $B64 * H53, "")</f>
        <v>6716.4179104477571</v>
      </c>
      <c r="J53" s="24">
        <v>14</v>
      </c>
      <c r="K53" s="25">
        <f t="shared" si="20"/>
        <v>4.4776119402985044E-2</v>
      </c>
      <c r="L53" s="104">
        <f>IF(ISNUMBER(J53), $B64 * K53, "")</f>
        <v>6716.4179104477571</v>
      </c>
      <c r="M53" s="102"/>
      <c r="N53" s="25" t="str">
        <f t="shared" si="21"/>
        <v/>
      </c>
      <c r="O53" s="104" t="str">
        <f>IF(ISNUMBER(M53), $B64 * N53, "")</f>
        <v/>
      </c>
      <c r="Q53" s="177"/>
      <c r="R53" s="178"/>
      <c r="S53" s="179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19936.708860759471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13291.139240506314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13291.139240506314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0"/>
      <c r="R54" s="181"/>
      <c r="S54" s="182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5769.2307692307695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5769.2307692307695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5769.2307692307695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3"/>
      <c r="R55" s="184"/>
      <c r="S55" s="185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5412.371134020641</v>
      </c>
      <c r="G56" s="31">
        <v>20.100000000000001</v>
      </c>
      <c r="H56" s="32">
        <f t="shared" si="23"/>
        <v>3.6082474226804273E-2</v>
      </c>
      <c r="I56" s="101">
        <f>IF(ISNUMBER(G56), $B64 * H56, "")</f>
        <v>5412.371134020641</v>
      </c>
      <c r="J56" s="15">
        <v>20.2</v>
      </c>
      <c r="K56" s="32">
        <f t="shared" si="24"/>
        <v>4.1237113402061897E-2</v>
      </c>
      <c r="L56" s="18">
        <f>IF(ISNUMBER(J56), $B64 * K56, "")</f>
        <v>6185.5670103092843</v>
      </c>
      <c r="M56" s="31"/>
      <c r="N56" s="32" t="str">
        <f t="shared" si="25"/>
        <v/>
      </c>
      <c r="O56" s="18" t="str">
        <f>IF(ISNUMBER(M56), $B64 * N56, "")</f>
        <v/>
      </c>
      <c r="Q56" s="176"/>
      <c r="R56" s="176"/>
      <c r="S56" s="176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2100.0000000000086</v>
      </c>
      <c r="G57" s="31">
        <v>52.7</v>
      </c>
      <c r="H57" s="32">
        <f t="shared" si="23"/>
        <v>5.4000000000000055E-2</v>
      </c>
      <c r="I57" s="101">
        <f>IF(ISNUMBER(G57), $B64 * H57, "")</f>
        <v>8100.0000000000082</v>
      </c>
      <c r="J57" s="15">
        <v>51.8</v>
      </c>
      <c r="K57" s="32">
        <f t="shared" si="24"/>
        <v>3.5999999999999942E-2</v>
      </c>
      <c r="L57" s="18">
        <f>IF(ISNUMBER(J57), $B64 * K57, "")</f>
        <v>5399.9999999999909</v>
      </c>
      <c r="M57" s="31"/>
      <c r="N57" s="32" t="str">
        <f t="shared" si="25"/>
        <v/>
      </c>
      <c r="O57" s="18" t="str">
        <f>IF(ISNUMBER(M57), $B64 * N57, "")</f>
        <v/>
      </c>
      <c r="Q57" s="186"/>
      <c r="R57" s="186"/>
      <c r="S57" s="186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1294.4983818770181</v>
      </c>
      <c r="G58" s="30">
        <v>93.9</v>
      </c>
      <c r="H58" s="21">
        <f t="shared" si="23"/>
        <v>1.2944983818770257E-2</v>
      </c>
      <c r="I58" s="105">
        <f>IF(ISNUMBER(G58), $B64 * H58, "")</f>
        <v>1941.7475728155384</v>
      </c>
      <c r="J58" s="20">
        <v>94.1</v>
      </c>
      <c r="K58" s="21">
        <f t="shared" si="24"/>
        <v>1.5102481121898504E-2</v>
      </c>
      <c r="L58" s="22">
        <f>IF(ISNUMBER(J58), $B64 * K58, "")</f>
        <v>2265.3721682847759</v>
      </c>
      <c r="M58" s="30"/>
      <c r="N58" s="21" t="str">
        <f t="shared" si="25"/>
        <v/>
      </c>
      <c r="O58" s="22" t="str">
        <f>IF(ISNUMBER(M58), $B64 * N58, "")</f>
        <v/>
      </c>
      <c r="Q58" s="186"/>
      <c r="R58" s="186"/>
      <c r="S58" s="186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3325.5542590431587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4025.6709451575211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4375.7292882147021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6"/>
      <c r="R59" s="176"/>
      <c r="S59" s="176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2448.9795918367408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4081.6326530612241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5102.0408163265311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6"/>
      <c r="R60" s="176"/>
      <c r="S60" s="17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6"/>
      <c r="R61" s="176"/>
      <c r="S61" s="17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5"/>
      <c r="R62" s="166"/>
      <c r="S62" s="16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8"/>
      <c r="R63" s="169"/>
      <c r="S63" s="170"/>
    </row>
    <row r="64" spans="1:19" ht="17.25" customHeight="1" thickBot="1">
      <c r="A64" s="132" t="s">
        <v>270</v>
      </c>
      <c r="B64" s="229">
        <f>$B$37</f>
        <v>150000</v>
      </c>
      <c r="C64" s="230"/>
      <c r="D64" s="26" t="s">
        <v>271</v>
      </c>
      <c r="E64" s="27">
        <f>IF(COUNT(E44:E63), SUM(E44:E63) / COUNT(E44:E63), 0)</f>
        <v>2.1622765757216306E-2</v>
      </c>
      <c r="F64" s="28">
        <f>SUM(F44:F63)</f>
        <v>55138.052680901557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70182.860281879563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88195.158761019615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71"/>
      <c r="R64" s="172"/>
      <c r="S64" s="173"/>
    </row>
    <row r="65" spans="1:19" ht="17.25" customHeight="1"/>
    <row r="66" spans="1:19" ht="17.25" customHeight="1" thickBot="1"/>
    <row r="67" spans="1:19" ht="17.25" thickBot="1">
      <c r="A67" s="187" t="s">
        <v>45</v>
      </c>
      <c r="B67" s="188"/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9"/>
      <c r="Q67" s="186"/>
      <c r="R67" s="186"/>
      <c r="S67" s="186"/>
    </row>
    <row r="68" spans="1:19" ht="17.25" thickBot="1">
      <c r="A68" s="161" t="s">
        <v>267</v>
      </c>
      <c r="B68" s="187" t="s">
        <v>49</v>
      </c>
      <c r="C68" s="189"/>
      <c r="D68" s="187" t="s">
        <v>58</v>
      </c>
      <c r="E68" s="188"/>
      <c r="F68" s="189"/>
      <c r="G68" s="190">
        <f>_xlfn.IFNA(VLOOKUP(B68, 현재가테이블!$B$2:$D$200, 2, FALSE), "-")</f>
        <v>57970000</v>
      </c>
      <c r="H68" s="191"/>
      <c r="I68" s="192"/>
      <c r="J68" s="187" t="s">
        <v>59</v>
      </c>
      <c r="K68" s="188"/>
      <c r="L68" s="189"/>
      <c r="M68" s="193">
        <f>_xlfn.IFNA(VLOOKUP(B68, 현재가테이블!$B$2:$D$200, 3, FALSE), "-")</f>
        <v>2.6835532700000001E-2</v>
      </c>
      <c r="N68" s="194"/>
      <c r="O68" s="195"/>
      <c r="Q68" s="186"/>
      <c r="R68" s="186"/>
      <c r="S68" s="186"/>
    </row>
    <row r="69" spans="1:19" ht="17.25" thickBot="1">
      <c r="A69" s="231" t="s">
        <v>55</v>
      </c>
      <c r="B69" s="227" t="str">
        <f>TEXT($G$1, "[$-ko-KR]yyyy-mm-dd(ddd) ") &amp; "오전 00:00"</f>
        <v>2021-09-02(목) 오전 00:00</v>
      </c>
      <c r="C69" s="228"/>
      <c r="D69" s="200" t="str">
        <f>TEXT($G$1, "[$-ko-KR]yyyy-mm-dd(ddd) ") &amp; "오후 14:00"</f>
        <v>2021-09-02(목) 오후 14:00</v>
      </c>
      <c r="E69" s="201"/>
      <c r="F69" s="202"/>
      <c r="G69" s="200" t="str">
        <f>TEXT($G$1, "[$-ko-KR]yyyy-mm-dd(ddd) ") &amp; "오후 19:00"</f>
        <v>2021-09-02(목) 오후 19:00</v>
      </c>
      <c r="H69" s="201"/>
      <c r="I69" s="202"/>
      <c r="J69" s="200" t="str">
        <f>TEXT($G$1, "[$-ko-KR]yyyy-mm-dd(ddd) ") &amp; "오후 21:00"</f>
        <v>2021-09-02(목) 오후 21:00</v>
      </c>
      <c r="K69" s="201"/>
      <c r="L69" s="202"/>
      <c r="M69" s="200" t="str">
        <f>TEXT($G$1+1, "[$-ko-KR]yyyy-mm-dd(ddd) ") &amp; "오전 00:00"</f>
        <v>2021-09-03(금) 오전 00:00</v>
      </c>
      <c r="N69" s="201"/>
      <c r="O69" s="202"/>
      <c r="Q69" s="186"/>
      <c r="R69" s="186"/>
      <c r="S69" s="186"/>
    </row>
    <row r="70" spans="1:19" ht="17.25" thickBot="1">
      <c r="A70" s="23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76"/>
      <c r="R70" s="176"/>
      <c r="S70" s="176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-1315.7894736842104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8421.0526315789484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10000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6"/>
      <c r="R71" s="186"/>
      <c r="S71" s="186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-943.39622641509436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5660.3773584905657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7547.1698113207549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6"/>
      <c r="R72" s="186"/>
      <c r="S72" s="186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3214.2857142857142</v>
      </c>
      <c r="G73" s="31">
        <v>148</v>
      </c>
      <c r="H73" s="32">
        <f t="shared" si="31"/>
        <v>5.7142857142857141E-2</v>
      </c>
      <c r="I73" s="101">
        <f>IF(ISNUMBER(G73), $B91 * H73, "")</f>
        <v>8571.4285714285706</v>
      </c>
      <c r="J73" s="15">
        <v>147</v>
      </c>
      <c r="K73" s="32">
        <f t="shared" si="32"/>
        <v>0.05</v>
      </c>
      <c r="L73" s="18">
        <f>IF(ISNUMBER(J73), $B91 * K73, "")</f>
        <v>7500</v>
      </c>
      <c r="M73" s="31"/>
      <c r="N73" s="32" t="str">
        <f t="shared" si="33"/>
        <v/>
      </c>
      <c r="O73" s="18" t="str">
        <f>IF(ISNUMBER(M73), $B91 * N73, "")</f>
        <v/>
      </c>
      <c r="Q73" s="176"/>
      <c r="R73" s="176"/>
      <c r="S73" s="176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-2314.1654978962133</v>
      </c>
      <c r="G74" s="31">
        <v>709</v>
      </c>
      <c r="H74" s="32">
        <f t="shared" si="31"/>
        <v>-5.6100981767180924E-3</v>
      </c>
      <c r="I74" s="101">
        <f>IF(ISNUMBER(G74), $B91 * H74, "")</f>
        <v>-841.51472650771382</v>
      </c>
      <c r="J74" s="15">
        <v>711</v>
      </c>
      <c r="K74" s="32">
        <f t="shared" si="32"/>
        <v>-2.8050490883590462E-3</v>
      </c>
      <c r="L74" s="18">
        <f>IF(ISNUMBER(J74), $B91 * K74, "")</f>
        <v>-420.75736325385691</v>
      </c>
      <c r="M74" s="31"/>
      <c r="N74" s="32" t="str">
        <f t="shared" si="33"/>
        <v/>
      </c>
      <c r="O74" s="18" t="str">
        <f>IF(ISNUMBER(M74), $B91 * N74, "")</f>
        <v/>
      </c>
      <c r="Q74" s="176"/>
      <c r="R74" s="176"/>
      <c r="S74" s="176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1145.0381679389313</v>
      </c>
      <c r="G75" s="30">
        <v>133</v>
      </c>
      <c r="H75" s="21">
        <f t="shared" si="31"/>
        <v>1.5267175572519083E-2</v>
      </c>
      <c r="I75" s="105">
        <f>IF(ISNUMBER(G75), $B91 * H75, "")</f>
        <v>2290.0763358778627</v>
      </c>
      <c r="J75" s="20">
        <v>133</v>
      </c>
      <c r="K75" s="21">
        <f t="shared" si="32"/>
        <v>1.5267175572519083E-2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176"/>
      <c r="R75" s="176"/>
      <c r="S75" s="176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1691.7293233082705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-1127.8195488721803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-1127.8195488721803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6"/>
      <c r="R76" s="176"/>
      <c r="S76" s="176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5607.4766355140182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11214.953271028036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12616.82242990654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6"/>
      <c r="R77" s="176"/>
      <c r="S77" s="176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678.73303167420818</v>
      </c>
      <c r="G78" s="31">
        <v>449</v>
      </c>
      <c r="H78" s="32">
        <f t="shared" si="35"/>
        <v>1.5837104072398189E-2</v>
      </c>
      <c r="I78" s="101">
        <f>IF(ISNUMBER(G78), $B91 * H78, "")</f>
        <v>2375.5656108597282</v>
      </c>
      <c r="J78" s="15">
        <v>452</v>
      </c>
      <c r="K78" s="32">
        <f t="shared" si="36"/>
        <v>2.2624434389140271E-2</v>
      </c>
      <c r="L78" s="18">
        <f>IF(ISNUMBER(J78), $B91 * K78, "")</f>
        <v>3393.6651583710404</v>
      </c>
      <c r="M78" s="31"/>
      <c r="N78" s="32" t="str">
        <f t="shared" si="37"/>
        <v/>
      </c>
      <c r="O78" s="18" t="str">
        <f>IF(ISNUMBER(M78), $B91 * N78, "")</f>
        <v/>
      </c>
      <c r="Q78" s="176"/>
      <c r="R78" s="176"/>
      <c r="S78" s="176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1995.9058341862847</v>
      </c>
      <c r="G79" s="31">
        <v>997</v>
      </c>
      <c r="H79" s="32">
        <f t="shared" si="35"/>
        <v>2.0470829068577279E-2</v>
      </c>
      <c r="I79" s="101">
        <f>IF(ISNUMBER(G79), $B91 * H79, "")</f>
        <v>3070.6243602865916</v>
      </c>
      <c r="J79" s="15">
        <v>1000</v>
      </c>
      <c r="K79" s="32">
        <f t="shared" si="36"/>
        <v>2.3541453428863868E-2</v>
      </c>
      <c r="L79" s="18">
        <f>IF(ISNUMBER(J79), $B91 * K79, "")</f>
        <v>3531.2180143295805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3045.6852791878168</v>
      </c>
      <c r="G80" s="102">
        <v>201</v>
      </c>
      <c r="H80" s="25">
        <f t="shared" si="35"/>
        <v>2.030456852791878E-2</v>
      </c>
      <c r="I80" s="103">
        <f>IF(ISNUMBER(G80), $B91 * H80, "")</f>
        <v>3045.6852791878168</v>
      </c>
      <c r="J80" s="24">
        <v>201</v>
      </c>
      <c r="K80" s="25">
        <f t="shared" si="36"/>
        <v>2.030456852791878E-2</v>
      </c>
      <c r="L80" s="104">
        <f>IF(ISNUMBER(J80), $B91 * K80, "")</f>
        <v>3045.6852791878168</v>
      </c>
      <c r="M80" s="102"/>
      <c r="N80" s="25" t="str">
        <f t="shared" si="37"/>
        <v/>
      </c>
      <c r="O80" s="104" t="str">
        <f>IF(ISNUMBER(M80), $B91 * N80, "")</f>
        <v/>
      </c>
      <c r="Q80" s="177"/>
      <c r="R80" s="178"/>
      <c r="S80" s="179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6048.3870967741932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6048.3870967741932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7258.0645161290322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0"/>
      <c r="R81" s="181"/>
      <c r="S81" s="182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2068.9655172413791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20948.275862068967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28706.896551724138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3"/>
      <c r="R82" s="184"/>
      <c r="S82" s="185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2962.962962962963</v>
      </c>
      <c r="G83" s="31">
        <v>418</v>
      </c>
      <c r="H83" s="32">
        <f t="shared" si="39"/>
        <v>3.2098765432098768E-2</v>
      </c>
      <c r="I83" s="101">
        <f>IF(ISNUMBER(G83), $B91 * H83, "")</f>
        <v>4814.8148148148148</v>
      </c>
      <c r="J83" s="15">
        <v>425</v>
      </c>
      <c r="K83" s="32">
        <f t="shared" si="40"/>
        <v>4.9382716049382713E-2</v>
      </c>
      <c r="L83" s="18">
        <f>IF(ISNUMBER(J83), $B91 * K83, "")</f>
        <v>7407.4074074074069</v>
      </c>
      <c r="M83" s="31"/>
      <c r="N83" s="32" t="str">
        <f t="shared" si="41"/>
        <v/>
      </c>
      <c r="O83" s="18" t="str">
        <f>IF(ISNUMBER(M83), $B91 * N83, "")</f>
        <v/>
      </c>
      <c r="Q83" s="176"/>
      <c r="R83" s="176"/>
      <c r="S83" s="176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1239.6694214876034</v>
      </c>
      <c r="G84" s="31">
        <v>124</v>
      </c>
      <c r="H84" s="32">
        <f t="shared" si="39"/>
        <v>2.4793388429752067E-2</v>
      </c>
      <c r="I84" s="101">
        <f>IF(ISNUMBER(G84), $B91 * H84, "")</f>
        <v>3719.0082644628101</v>
      </c>
      <c r="J84" s="15">
        <v>125</v>
      </c>
      <c r="K84" s="32">
        <f t="shared" si="40"/>
        <v>3.3057851239669422E-2</v>
      </c>
      <c r="L84" s="18">
        <f>IF(ISNUMBER(J84), $B91 * K84, "")</f>
        <v>4958.6776859504134</v>
      </c>
      <c r="M84" s="31"/>
      <c r="N84" s="32" t="str">
        <f t="shared" si="41"/>
        <v/>
      </c>
      <c r="O84" s="18" t="str">
        <f>IF(ISNUMBER(M84), $B91 * N84, "")</f>
        <v/>
      </c>
      <c r="Q84" s="186"/>
      <c r="R84" s="186"/>
      <c r="S84" s="186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1570.6806282722514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/>
      <c r="N85" s="21" t="str">
        <f t="shared" si="41"/>
        <v/>
      </c>
      <c r="O85" s="22" t="str">
        <f>IF(ISNUMBER(M85), $B91 * N85, "")</f>
        <v/>
      </c>
      <c r="Q85" s="186"/>
      <c r="R85" s="186"/>
      <c r="S85" s="186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5514.7058823529414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5514.7058823529414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6617.6470588235297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6"/>
      <c r="R86" s="176"/>
      <c r="S86" s="176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1500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6000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6500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6"/>
      <c r="R87" s="176"/>
      <c r="S87" s="176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1965.0655021834061</v>
      </c>
      <c r="G88" s="31">
        <v>234</v>
      </c>
      <c r="H88" s="32">
        <f t="shared" si="43"/>
        <v>2.1834061135371178E-2</v>
      </c>
      <c r="I88" s="101">
        <f>IF(ISNUMBER(G88), $B91 * H88, "")</f>
        <v>3275.1091703056768</v>
      </c>
      <c r="J88" s="15">
        <v>236</v>
      </c>
      <c r="K88" s="32">
        <f t="shared" si="44"/>
        <v>3.0567685589519649E-2</v>
      </c>
      <c r="L88" s="18">
        <f>IF(ISNUMBER(J88), $B91 * K88, "")</f>
        <v>4585.1528384279472</v>
      </c>
      <c r="M88" s="31"/>
      <c r="N88" s="32" t="str">
        <f t="shared" si="45"/>
        <v/>
      </c>
      <c r="O88" s="18" t="str">
        <f>IF(ISNUMBER(M88), $B91 * N88, "")</f>
        <v/>
      </c>
      <c r="Q88" s="176"/>
      <c r="R88" s="176"/>
      <c r="S88" s="176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4120.8791208791208</v>
      </c>
      <c r="G89" s="31">
        <v>189</v>
      </c>
      <c r="H89" s="32">
        <f t="shared" si="43"/>
        <v>3.8461538461538464E-2</v>
      </c>
      <c r="I89" s="101">
        <f>IF(ISNUMBER(G89), $B91 * H89, "")</f>
        <v>5769.2307692307695</v>
      </c>
      <c r="J89" s="15">
        <v>191</v>
      </c>
      <c r="K89" s="32">
        <f t="shared" si="44"/>
        <v>4.9450549450549448E-2</v>
      </c>
      <c r="L89" s="18">
        <f>IF(ISNUMBER(J89), $B91 * K89, "")</f>
        <v>7417.5824175824173</v>
      </c>
      <c r="M89" s="31"/>
      <c r="N89" s="32" t="str">
        <f t="shared" si="45"/>
        <v/>
      </c>
      <c r="O89" s="18" t="str">
        <f>IF(ISNUMBER(M89), $B91 * N89, "")</f>
        <v/>
      </c>
      <c r="Q89" s="165"/>
      <c r="R89" s="166"/>
      <c r="S89" s="167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4753.5211267605637</v>
      </c>
      <c r="G90" s="102">
        <v>295</v>
      </c>
      <c r="H90" s="25">
        <f t="shared" si="43"/>
        <v>3.873239436619718E-2</v>
      </c>
      <c r="I90" s="103">
        <f>IF(ISNUMBER(G90), $B91 * H90, "")</f>
        <v>5809.859154929577</v>
      </c>
      <c r="J90" s="24">
        <v>296</v>
      </c>
      <c r="K90" s="25">
        <f t="shared" si="44"/>
        <v>4.2253521126760563E-2</v>
      </c>
      <c r="L90" s="104">
        <f>IF(ISNUMBER(J90), $B91 * K90, "")</f>
        <v>6338.0281690140846</v>
      </c>
      <c r="M90" s="102"/>
      <c r="N90" s="25" t="str">
        <f t="shared" si="45"/>
        <v/>
      </c>
      <c r="O90" s="104" t="str">
        <f>IF(ISNUMBER(M90), $B91 * N90, "")</f>
        <v/>
      </c>
      <c r="Q90" s="168"/>
      <c r="R90" s="169"/>
      <c r="S90" s="170"/>
    </row>
    <row r="91" spans="1:19" ht="17.25" thickBot="1">
      <c r="A91" s="132" t="s">
        <v>270</v>
      </c>
      <c r="B91" s="229">
        <f>$B$37</f>
        <v>150000</v>
      </c>
      <c r="C91" s="230"/>
      <c r="D91" s="26" t="s">
        <v>271</v>
      </c>
      <c r="E91" s="27">
        <f>IF(COUNT(E71:E90), SUM(E71:E90) / COUNT(E71:E90), 0)</f>
        <v>1.4326553139580634E-2</v>
      </c>
      <c r="F91" s="28">
        <f>SUM(F71:F90)</f>
        <v>42979.659418741896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106150.50078657024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128165.51676192654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71"/>
      <c r="R91" s="172"/>
      <c r="S91" s="173"/>
    </row>
    <row r="93" spans="1:19" ht="17.25" thickBot="1"/>
    <row r="94" spans="1:19" ht="17.25" thickBot="1">
      <c r="A94" s="187" t="s">
        <v>46</v>
      </c>
      <c r="B94" s="188"/>
      <c r="C94" s="188"/>
      <c r="D94" s="188"/>
      <c r="E94" s="188"/>
      <c r="F94" s="188"/>
      <c r="G94" s="188"/>
      <c r="H94" s="188"/>
      <c r="I94" s="188"/>
      <c r="J94" s="188"/>
      <c r="K94" s="188"/>
      <c r="L94" s="188"/>
      <c r="M94" s="188"/>
      <c r="N94" s="188"/>
      <c r="O94" s="189"/>
      <c r="Q94" s="186"/>
      <c r="R94" s="186"/>
      <c r="S94" s="186"/>
    </row>
    <row r="95" spans="1:19" ht="17.25" thickBot="1">
      <c r="A95" s="161" t="s">
        <v>267</v>
      </c>
      <c r="B95" s="187" t="s">
        <v>49</v>
      </c>
      <c r="C95" s="189"/>
      <c r="D95" s="187" t="s">
        <v>58</v>
      </c>
      <c r="E95" s="188"/>
      <c r="F95" s="189"/>
      <c r="G95" s="190">
        <f>_xlfn.IFNA(VLOOKUP(B95, 현재가테이블!$B$2:$D$200, 2, FALSE), "-")</f>
        <v>57970000</v>
      </c>
      <c r="H95" s="191"/>
      <c r="I95" s="192"/>
      <c r="J95" s="187" t="s">
        <v>59</v>
      </c>
      <c r="K95" s="188"/>
      <c r="L95" s="189"/>
      <c r="M95" s="193">
        <f>_xlfn.IFNA(VLOOKUP(B95, 현재가테이블!$B$2:$D$200, 3, FALSE), "-")</f>
        <v>2.6835532700000001E-2</v>
      </c>
      <c r="N95" s="194"/>
      <c r="O95" s="195"/>
      <c r="Q95" s="186"/>
      <c r="R95" s="186"/>
      <c r="S95" s="186"/>
    </row>
    <row r="96" spans="1:19" ht="17.25" thickBot="1">
      <c r="A96" s="231" t="s">
        <v>55</v>
      </c>
      <c r="B96" s="227" t="str">
        <f>TEXT($G$1, "[$-ko-KR]yyyy-mm-dd(ddd) ") &amp; "오전 00:00"</f>
        <v>2021-09-02(목) 오전 00:00</v>
      </c>
      <c r="C96" s="228"/>
      <c r="D96" s="200" t="str">
        <f>TEXT($G$1, "[$-ko-KR]yyyy-mm-dd(ddd) ") &amp; "오후 14:00"</f>
        <v>2021-09-02(목) 오후 14:00</v>
      </c>
      <c r="E96" s="201"/>
      <c r="F96" s="202"/>
      <c r="G96" s="200" t="str">
        <f>TEXT($G$1, "[$-ko-KR]yyyy-mm-dd(ddd) ") &amp; "오후 19:00"</f>
        <v>2021-09-02(목) 오후 19:00</v>
      </c>
      <c r="H96" s="201"/>
      <c r="I96" s="202"/>
      <c r="J96" s="200" t="str">
        <f>TEXT($G$1, "[$-ko-KR]yyyy-mm-dd(ddd) ") &amp; "오후 21:00"</f>
        <v>2021-09-02(목) 오후 21:00</v>
      </c>
      <c r="K96" s="201"/>
      <c r="L96" s="202"/>
      <c r="M96" s="200" t="str">
        <f>TEXT($G$1+1, "[$-ko-KR]yyyy-mm-dd(ddd) ") &amp; "오전 00:00"</f>
        <v>2021-09-03(금) 오전 00:00</v>
      </c>
      <c r="N96" s="201"/>
      <c r="O96" s="202"/>
      <c r="Q96" s="186"/>
      <c r="R96" s="186"/>
      <c r="S96" s="186"/>
    </row>
    <row r="97" spans="1:19" ht="17.25" thickBot="1">
      <c r="A97" s="23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76"/>
      <c r="R97" s="176"/>
      <c r="S97" s="176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-10994.764397905776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-14921.465968586403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-13350.785340314156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6"/>
      <c r="R98" s="186"/>
      <c r="S98" s="186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-1315.7894736842104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8421.0526315789484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10000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6"/>
      <c r="R99" s="186"/>
      <c r="S99" s="186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-943.39622641509436</v>
      </c>
      <c r="G100" s="31">
        <v>165</v>
      </c>
      <c r="H100" s="32">
        <f t="shared" si="47"/>
        <v>3.7735849056603772E-2</v>
      </c>
      <c r="I100" s="101">
        <f>IF(ISNUMBER(G100), $B118 * H100, "")</f>
        <v>5660.3773584905657</v>
      </c>
      <c r="J100" s="15">
        <v>167</v>
      </c>
      <c r="K100" s="32">
        <f t="shared" si="48"/>
        <v>5.0314465408805034E-2</v>
      </c>
      <c r="L100" s="18">
        <f>IF(ISNUMBER(J100), $B118 * K100, "")</f>
        <v>7547.1698113207549</v>
      </c>
      <c r="M100" s="31"/>
      <c r="N100" s="32" t="str">
        <f t="shared" si="49"/>
        <v/>
      </c>
      <c r="O100" s="18" t="str">
        <f>IF(ISNUMBER(M100), $B118 * N100, "")</f>
        <v/>
      </c>
      <c r="Q100" s="176"/>
      <c r="R100" s="176"/>
      <c r="S100" s="176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-2622.3776223776226</v>
      </c>
      <c r="G101" s="31">
        <v>1410</v>
      </c>
      <c r="H101" s="32">
        <f t="shared" si="47"/>
        <v>-1.3986013986013986E-2</v>
      </c>
      <c r="I101" s="101">
        <f>IF(ISNUMBER(G101), $B118 * H101, "")</f>
        <v>-2097.9020979020979</v>
      </c>
      <c r="J101" s="15">
        <v>1410</v>
      </c>
      <c r="K101" s="32">
        <f t="shared" si="48"/>
        <v>-1.3986013986013986E-2</v>
      </c>
      <c r="L101" s="18">
        <f>IF(ISNUMBER(J101), $B118 * K101, "")</f>
        <v>-2097.9020979020979</v>
      </c>
      <c r="M101" s="31"/>
      <c r="N101" s="32" t="str">
        <f t="shared" si="49"/>
        <v/>
      </c>
      <c r="O101" s="18" t="str">
        <f>IF(ISNUMBER(M101), $B118 * N101, "")</f>
        <v/>
      </c>
      <c r="Q101" s="176"/>
      <c r="R101" s="176"/>
      <c r="S101" s="176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494.01197604790417</v>
      </c>
      <c r="G102" s="30">
        <v>33890</v>
      </c>
      <c r="H102" s="21">
        <f t="shared" si="47"/>
        <v>1.4670658682634731E-2</v>
      </c>
      <c r="I102" s="105">
        <f>IF(ISNUMBER(G102), $B118 * H102, "")</f>
        <v>2200.5988023952095</v>
      </c>
      <c r="J102" s="20">
        <v>34340</v>
      </c>
      <c r="K102" s="21">
        <f t="shared" si="48"/>
        <v>2.8143712574850301E-2</v>
      </c>
      <c r="L102" s="22">
        <f>IF(ISNUMBER(J102), $B118 * K102, "")</f>
        <v>4221.556886227545</v>
      </c>
      <c r="M102" s="30"/>
      <c r="N102" s="21" t="str">
        <f t="shared" si="49"/>
        <v/>
      </c>
      <c r="O102" s="22" t="str">
        <f>IF(ISNUMBER(M102), $B118 * N102, "")</f>
        <v/>
      </c>
      <c r="Q102" s="176"/>
      <c r="R102" s="176"/>
      <c r="S102" s="176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1515.1515151515098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2272.727272727278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6"/>
      <c r="R103" s="176"/>
      <c r="S103" s="176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-1470.5882352941123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1470.5882352941387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6"/>
      <c r="R104" s="176"/>
      <c r="S104" s="176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522.04176334106728</v>
      </c>
      <c r="G105" s="31">
        <v>4325</v>
      </c>
      <c r="H105" s="32">
        <f t="shared" si="51"/>
        <v>3.4802784222737818E-3</v>
      </c>
      <c r="I105" s="101">
        <f>IF(ISNUMBER(G105), $B118 * H105, "")</f>
        <v>522.04176334106728</v>
      </c>
      <c r="J105" s="15">
        <v>4360</v>
      </c>
      <c r="K105" s="32">
        <f t="shared" si="52"/>
        <v>1.1600928074245939E-2</v>
      </c>
      <c r="L105" s="18">
        <f>IF(ISNUMBER(J105), $B118 * K105, "")</f>
        <v>1740.1392111368909</v>
      </c>
      <c r="M105" s="31"/>
      <c r="N105" s="32" t="str">
        <f t="shared" si="53"/>
        <v/>
      </c>
      <c r="O105" s="18" t="str">
        <f>IF(ISNUMBER(M105), $B118 * N105, "")</f>
        <v/>
      </c>
      <c r="Q105" s="176"/>
      <c r="R105" s="176"/>
      <c r="S105" s="176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3237.4100719424341</v>
      </c>
      <c r="J106" s="15">
        <v>14.2</v>
      </c>
      <c r="K106" s="32">
        <f t="shared" si="52"/>
        <v>2.1582733812949562E-2</v>
      </c>
      <c r="L106" s="18">
        <f>IF(ISNUMBER(J106), $B118 * K106, "")</f>
        <v>3237.4100719424341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3214.2857142857142</v>
      </c>
      <c r="G107" s="102">
        <v>148</v>
      </c>
      <c r="H107" s="25">
        <f t="shared" si="51"/>
        <v>5.7142857142857141E-2</v>
      </c>
      <c r="I107" s="103">
        <f>IF(ISNUMBER(G107), $B118 * H107, "")</f>
        <v>8571.4285714285706</v>
      </c>
      <c r="J107" s="24">
        <v>147</v>
      </c>
      <c r="K107" s="25">
        <f t="shared" si="52"/>
        <v>0.05</v>
      </c>
      <c r="L107" s="104">
        <f>IF(ISNUMBER(J107), $B118 * K107, "")</f>
        <v>7500</v>
      </c>
      <c r="M107" s="102"/>
      <c r="N107" s="25" t="str">
        <f t="shared" si="53"/>
        <v/>
      </c>
      <c r="O107" s="104" t="str">
        <f>IF(ISNUMBER(M107), $B118 * N107, "")</f>
        <v/>
      </c>
      <c r="Q107" s="177"/>
      <c r="R107" s="178"/>
      <c r="S107" s="179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-2314.1654978962133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-841.51472650771382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-420.75736325385691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0"/>
      <c r="R108" s="181"/>
      <c r="S108" s="182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1145.0381679389313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2290.0763358778627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2290.0763358778627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3"/>
      <c r="R109" s="184"/>
      <c r="S109" s="185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1691.7293233082705</v>
      </c>
      <c r="G110" s="31">
        <v>264</v>
      </c>
      <c r="H110" s="32">
        <f t="shared" si="55"/>
        <v>-7.5187969924812026E-3</v>
      </c>
      <c r="I110" s="101">
        <f>IF(ISNUMBER(G110), $B118 * H110, "")</f>
        <v>-1127.8195488721803</v>
      </c>
      <c r="J110" s="15">
        <v>264</v>
      </c>
      <c r="K110" s="32">
        <f t="shared" si="56"/>
        <v>-7.5187969924812026E-3</v>
      </c>
      <c r="L110" s="18">
        <f>IF(ISNUMBER(J110), $B118 * K110, "")</f>
        <v>-1127.8195488721803</v>
      </c>
      <c r="M110" s="31"/>
      <c r="N110" s="32" t="str">
        <f t="shared" si="57"/>
        <v/>
      </c>
      <c r="O110" s="18" t="str">
        <f>IF(ISNUMBER(M110), $B118 * N110, "")</f>
        <v/>
      </c>
      <c r="Q110" s="176"/>
      <c r="R110" s="176"/>
      <c r="S110" s="176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3246.7532467532465</v>
      </c>
      <c r="G111" s="31">
        <v>1180</v>
      </c>
      <c r="H111" s="32">
        <f t="shared" si="55"/>
        <v>2.1645021645021644E-2</v>
      </c>
      <c r="I111" s="101">
        <f>IF(ISNUMBER(G111), $B118 * H111, "")</f>
        <v>3246.7532467532465</v>
      </c>
      <c r="J111" s="15">
        <v>1190</v>
      </c>
      <c r="K111" s="32">
        <f t="shared" si="56"/>
        <v>3.0303030303030304E-2</v>
      </c>
      <c r="L111" s="18">
        <f>IF(ISNUMBER(J111), $B118 * K111, "")</f>
        <v>4545.454545454546</v>
      </c>
      <c r="M111" s="31"/>
      <c r="N111" s="32" t="str">
        <f t="shared" si="57"/>
        <v/>
      </c>
      <c r="O111" s="18" t="str">
        <f>IF(ISNUMBER(M111), $B118 * N111, "")</f>
        <v/>
      </c>
      <c r="Q111" s="186"/>
      <c r="R111" s="186"/>
      <c r="S111" s="186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-1284.796573875803</v>
      </c>
      <c r="G112" s="30">
        <v>2340</v>
      </c>
      <c r="H112" s="21">
        <f t="shared" si="55"/>
        <v>2.1413276231263384E-3</v>
      </c>
      <c r="I112" s="105">
        <f>IF(ISNUMBER(G112), $B118 * H112, "")</f>
        <v>321.19914346895075</v>
      </c>
      <c r="J112" s="20">
        <v>2355</v>
      </c>
      <c r="K112" s="21">
        <f t="shared" si="56"/>
        <v>8.5653104925053538E-3</v>
      </c>
      <c r="L112" s="22">
        <f>IF(ISNUMBER(J112), $B118 * K112, "")</f>
        <v>1284.796573875803</v>
      </c>
      <c r="M112" s="30"/>
      <c r="N112" s="21" t="str">
        <f t="shared" si="57"/>
        <v/>
      </c>
      <c r="O112" s="22" t="str">
        <f>IF(ISNUMBER(M112), $B118 * N112, "")</f>
        <v/>
      </c>
      <c r="Q112" s="186"/>
      <c r="R112" s="186"/>
      <c r="S112" s="186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7974.8670855485734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7394.8767520541323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8192.363460608989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6"/>
      <c r="R113" s="176"/>
      <c r="S113" s="176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3151.2605042016803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3151.2605042016803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3781.5126050420035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6"/>
      <c r="R114" s="176"/>
      <c r="S114" s="176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3271.0280373831774</v>
      </c>
      <c r="G115" s="31">
        <v>1660</v>
      </c>
      <c r="H115" s="32">
        <f t="shared" si="59"/>
        <v>3.4267912772585667E-2</v>
      </c>
      <c r="I115" s="101">
        <f>IF(ISNUMBER(G115), $B118 * H115, "")</f>
        <v>5140.1869158878499</v>
      </c>
      <c r="J115" s="15">
        <v>1675</v>
      </c>
      <c r="K115" s="32">
        <f t="shared" si="60"/>
        <v>4.3613707165109032E-2</v>
      </c>
      <c r="L115" s="18">
        <f>IF(ISNUMBER(J115), $B118 * K115, "")</f>
        <v>6542.0560747663549</v>
      </c>
      <c r="M115" s="31"/>
      <c r="N115" s="32" t="str">
        <f t="shared" si="61"/>
        <v/>
      </c>
      <c r="O115" s="18" t="str">
        <f>IF(ISNUMBER(M115), $B118 * N115, "")</f>
        <v/>
      </c>
      <c r="Q115" s="176"/>
      <c r="R115" s="176"/>
      <c r="S115" s="176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5607.4766355140182</v>
      </c>
      <c r="G116" s="31">
        <v>115</v>
      </c>
      <c r="H116" s="32">
        <f t="shared" si="59"/>
        <v>7.476635514018691E-2</v>
      </c>
      <c r="I116" s="101">
        <f>IF(ISNUMBER(G116), $B118 * H116, "")</f>
        <v>11214.953271028036</v>
      </c>
      <c r="J116" s="15">
        <v>116</v>
      </c>
      <c r="K116" s="32">
        <f t="shared" si="60"/>
        <v>8.4112149532710276E-2</v>
      </c>
      <c r="L116" s="18">
        <f>IF(ISNUMBER(J116), $B118 * K116, "")</f>
        <v>12616.82242990654</v>
      </c>
      <c r="M116" s="31"/>
      <c r="N116" s="32" t="str">
        <f t="shared" si="61"/>
        <v/>
      </c>
      <c r="O116" s="18" t="str">
        <f>IF(ISNUMBER(M116), $B118 * N116, "")</f>
        <v/>
      </c>
      <c r="Q116" s="165"/>
      <c r="R116" s="166"/>
      <c r="S116" s="167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5244.7552447552443</v>
      </c>
      <c r="G117" s="102">
        <v>14.8</v>
      </c>
      <c r="H117" s="25">
        <f t="shared" si="59"/>
        <v>3.4965034965034961E-2</v>
      </c>
      <c r="I117" s="103">
        <f>IF(ISNUMBER(G117), $B118 * H117, "")</f>
        <v>5244.7552447552443</v>
      </c>
      <c r="J117" s="24">
        <v>14.8</v>
      </c>
      <c r="K117" s="25">
        <f t="shared" si="60"/>
        <v>3.4965034965034961E-2</v>
      </c>
      <c r="L117" s="104">
        <f>IF(ISNUMBER(J117), $B118 * K117, "")</f>
        <v>5244.7552447552443</v>
      </c>
      <c r="M117" s="102"/>
      <c r="N117" s="25" t="str">
        <f t="shared" si="61"/>
        <v/>
      </c>
      <c r="O117" s="104" t="str">
        <f>IF(ISNUMBER(M117), $B118 * N117, "")</f>
        <v/>
      </c>
      <c r="Q117" s="168"/>
      <c r="R117" s="169"/>
      <c r="S117" s="170"/>
    </row>
    <row r="118" spans="1:19" ht="17.25" thickBot="1">
      <c r="A118" s="132" t="s">
        <v>270</v>
      </c>
      <c r="B118" s="229">
        <f>$B$37</f>
        <v>150000</v>
      </c>
      <c r="C118" s="230"/>
      <c r="D118" s="26" t="s">
        <v>271</v>
      </c>
      <c r="E118" s="27">
        <f>IF(COUNT(E98:E117), SUM(E98:E117) / COUNT(E98:E117), 0)</f>
        <v>4.8724565572096671E-3</v>
      </c>
      <c r="F118" s="28">
        <f>SUM(F98:F117)</f>
        <v>14617.369671629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50614.008021781046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64019.576173299953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71"/>
      <c r="R118" s="172"/>
      <c r="S118" s="173"/>
    </row>
    <row r="120" spans="1:19" ht="17.25" thickBot="1"/>
    <row r="121" spans="1:19" ht="17.25" thickBot="1">
      <c r="A121" s="187" t="s">
        <v>258</v>
      </c>
      <c r="B121" s="188"/>
      <c r="C121" s="188"/>
      <c r="D121" s="188"/>
      <c r="E121" s="188"/>
      <c r="F121" s="188"/>
      <c r="G121" s="188"/>
      <c r="H121" s="188"/>
      <c r="I121" s="188"/>
      <c r="J121" s="188"/>
      <c r="K121" s="188"/>
      <c r="L121" s="188"/>
      <c r="M121" s="188"/>
      <c r="N121" s="188"/>
      <c r="O121" s="189"/>
      <c r="Q121" s="186"/>
      <c r="R121" s="186"/>
      <c r="S121" s="186"/>
    </row>
    <row r="122" spans="1:19" ht="17.25" thickBot="1">
      <c r="A122" s="161" t="s">
        <v>267</v>
      </c>
      <c r="B122" s="187" t="s">
        <v>49</v>
      </c>
      <c r="C122" s="189"/>
      <c r="D122" s="187" t="s">
        <v>58</v>
      </c>
      <c r="E122" s="188"/>
      <c r="F122" s="189"/>
      <c r="G122" s="190">
        <f>_xlfn.IFNA(VLOOKUP(B122, 현재가테이블!$B$2:$D$200, 2, FALSE), "-")</f>
        <v>57970000</v>
      </c>
      <c r="H122" s="191"/>
      <c r="I122" s="192"/>
      <c r="J122" s="187" t="s">
        <v>59</v>
      </c>
      <c r="K122" s="188"/>
      <c r="L122" s="189"/>
      <c r="M122" s="193">
        <f>_xlfn.IFNA(VLOOKUP(B122, 현재가테이블!$B$2:$D$200, 3, FALSE), "-")</f>
        <v>2.6835532700000001E-2</v>
      </c>
      <c r="N122" s="194"/>
      <c r="O122" s="195"/>
      <c r="Q122" s="186"/>
      <c r="R122" s="186"/>
      <c r="S122" s="186"/>
    </row>
    <row r="123" spans="1:19" ht="17.25" thickBot="1">
      <c r="A123" s="231" t="s">
        <v>55</v>
      </c>
      <c r="B123" s="227" t="str">
        <f>TEXT($G$1, "[$-ko-KR]yyyy-mm-dd(ddd) ") &amp; "오전 00:00"</f>
        <v>2021-09-02(목) 오전 00:00</v>
      </c>
      <c r="C123" s="228"/>
      <c r="D123" s="200" t="str">
        <f>TEXT($G$1, "[$-ko-KR]yyyy-mm-dd(ddd) ") &amp; "오후 14:00"</f>
        <v>2021-09-02(목) 오후 14:00</v>
      </c>
      <c r="E123" s="201"/>
      <c r="F123" s="202"/>
      <c r="G123" s="200" t="str">
        <f>TEXT($G$1, "[$-ko-KR]yyyy-mm-dd(ddd) ") &amp; "오후 19:00"</f>
        <v>2021-09-02(목) 오후 19:00</v>
      </c>
      <c r="H123" s="201"/>
      <c r="I123" s="202"/>
      <c r="J123" s="200" t="str">
        <f>TEXT($G$1, "[$-ko-KR]yyyy-mm-dd(ddd) ") &amp; "오후 21:00"</f>
        <v>2021-09-02(목) 오후 21:00</v>
      </c>
      <c r="K123" s="201"/>
      <c r="L123" s="202"/>
      <c r="M123" s="200" t="str">
        <f>TEXT($G$1+1, "[$-ko-KR]yyyy-mm-dd(ddd) ") &amp; "오전 00:00"</f>
        <v>2021-09-03(금) 오전 00:00</v>
      </c>
      <c r="N123" s="201"/>
      <c r="O123" s="202"/>
      <c r="Q123" s="186"/>
      <c r="R123" s="186"/>
      <c r="S123" s="186"/>
    </row>
    <row r="124" spans="1:19" ht="17.25" thickBot="1">
      <c r="A124" s="23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76"/>
      <c r="R124" s="176"/>
      <c r="S124" s="176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-10994.764397905776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-14921.465968586403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-13350.785340314156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6"/>
      <c r="R125" s="186"/>
      <c r="S125" s="186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1515.1515151515098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2272.727272727278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6"/>
      <c r="R126" s="186"/>
      <c r="S126" s="186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-1470.5882352941123</v>
      </c>
      <c r="G127" s="31">
        <v>41.2</v>
      </c>
      <c r="H127" s="32">
        <f t="shared" si="63"/>
        <v>9.8039215686275914E-3</v>
      </c>
      <c r="I127" s="101">
        <f>IF(ISNUMBER(G127), $B145 * H127, "")</f>
        <v>1470.5882352941387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/>
      <c r="N127" s="32" t="str">
        <f t="shared" si="65"/>
        <v/>
      </c>
      <c r="O127" s="18" t="str">
        <f>IF(ISNUMBER(M127), $B145 * N127, "")</f>
        <v/>
      </c>
      <c r="Q127" s="176"/>
      <c r="R127" s="176"/>
      <c r="S127" s="176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3237.4100719424341</v>
      </c>
      <c r="J128" s="15">
        <v>14.2</v>
      </c>
      <c r="K128" s="32">
        <f t="shared" si="64"/>
        <v>2.1582733812949562E-2</v>
      </c>
      <c r="L128" s="18">
        <f>IF(ISNUMBER(J128), $B145 * K128, "")</f>
        <v>3237.4100719424341</v>
      </c>
      <c r="M128" s="31"/>
      <c r="N128" s="32" t="str">
        <f t="shared" si="65"/>
        <v/>
      </c>
      <c r="O128" s="18" t="str">
        <f>IF(ISNUMBER(M128), $B145 * N128, "")</f>
        <v/>
      </c>
      <c r="Q128" s="176"/>
      <c r="R128" s="176"/>
      <c r="S128" s="176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3151.2605042016803</v>
      </c>
      <c r="G129" s="30">
        <v>24.3</v>
      </c>
      <c r="H129" s="21">
        <f t="shared" si="63"/>
        <v>2.1008403361344536E-2</v>
      </c>
      <c r="I129" s="105">
        <f>IF(ISNUMBER(G129), $B145 * H129, "")</f>
        <v>3151.2605042016803</v>
      </c>
      <c r="J129" s="20">
        <v>24.4</v>
      </c>
      <c r="K129" s="21">
        <f t="shared" si="64"/>
        <v>2.5210084033613356E-2</v>
      </c>
      <c r="L129" s="22">
        <f>IF(ISNUMBER(J129), $B145 * K129, "")</f>
        <v>3781.5126050420035</v>
      </c>
      <c r="M129" s="30"/>
      <c r="N129" s="21" t="str">
        <f t="shared" si="65"/>
        <v/>
      </c>
      <c r="O129" s="22" t="str">
        <f>IF(ISNUMBER(M129), $B145 * N129, "")</f>
        <v/>
      </c>
      <c r="Q129" s="176"/>
      <c r="R129" s="176"/>
      <c r="S129" s="176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5244.7552447552443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5244.7552447552443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5244.7552447552443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6"/>
      <c r="R130" s="176"/>
      <c r="S130" s="176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6410.2564102564102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7692.3076923077106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7692.3076923077106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6"/>
      <c r="R131" s="176"/>
      <c r="S131" s="176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6250.0000000000045</v>
      </c>
      <c r="G132" s="31">
        <v>93.6</v>
      </c>
      <c r="H132" s="32">
        <f t="shared" si="67"/>
        <v>5.4054054054054022E-2</v>
      </c>
      <c r="I132" s="101">
        <f>IF(ISNUMBER(G132), $B145 * H132, "")</f>
        <v>8108.1081081081038</v>
      </c>
      <c r="J132" s="15">
        <v>99.3</v>
      </c>
      <c r="K132" s="32">
        <f t="shared" si="68"/>
        <v>0.11824324324324324</v>
      </c>
      <c r="L132" s="18">
        <f>IF(ISNUMBER(J132), $B145 * K132, "")</f>
        <v>17736.486486486487</v>
      </c>
      <c r="M132" s="31"/>
      <c r="N132" s="32" t="str">
        <f t="shared" si="69"/>
        <v/>
      </c>
      <c r="O132" s="18" t="str">
        <f>IF(ISNUMBER(M132), $B145 * N132, "")</f>
        <v/>
      </c>
      <c r="Q132" s="176"/>
      <c r="R132" s="176"/>
      <c r="S132" s="176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1782.178217821797</v>
      </c>
      <c r="G133" s="31">
        <v>5.23</v>
      </c>
      <c r="H133" s="32">
        <f t="shared" si="67"/>
        <v>3.5643564356435765E-2</v>
      </c>
      <c r="I133" s="101">
        <f>IF(ISNUMBER(G133), $B145 * H133, "")</f>
        <v>5346.5346534653645</v>
      </c>
      <c r="J133" s="15">
        <v>5.47</v>
      </c>
      <c r="K133" s="32">
        <f t="shared" si="68"/>
        <v>8.3168316831683159E-2</v>
      </c>
      <c r="L133" s="18">
        <f>IF(ISNUMBER(J133), $B145 * K133, "")</f>
        <v>12475.247524752474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4477.6119402985114</v>
      </c>
      <c r="G134" s="102">
        <v>14</v>
      </c>
      <c r="H134" s="25">
        <f t="shared" si="67"/>
        <v>4.4776119402985044E-2</v>
      </c>
      <c r="I134" s="103">
        <f>IF(ISNUMBER(G134), $B145 * H134, "")</f>
        <v>6716.4179104477571</v>
      </c>
      <c r="J134" s="24">
        <v>14</v>
      </c>
      <c r="K134" s="25">
        <f t="shared" si="68"/>
        <v>4.4776119402985044E-2</v>
      </c>
      <c r="L134" s="104">
        <f>IF(ISNUMBER(J134), $B145 * K134, "")</f>
        <v>6716.4179104477571</v>
      </c>
      <c r="M134" s="102"/>
      <c r="N134" s="25" t="str">
        <f t="shared" si="69"/>
        <v/>
      </c>
      <c r="O134" s="104" t="str">
        <f>IF(ISNUMBER(M134), $B145 * N134, "")</f>
        <v/>
      </c>
      <c r="Q134" s="177"/>
      <c r="R134" s="178"/>
      <c r="S134" s="179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19936.708860759471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13291.139240506314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13291.139240506314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0"/>
      <c r="R135" s="181"/>
      <c r="S135" s="182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5769.2307692307695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5769.2307692307695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5769.2307692307695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3"/>
      <c r="R136" s="184"/>
      <c r="S136" s="185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5412.371134020641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5412.371134020641</v>
      </c>
      <c r="J137" s="15">
        <v>20.2</v>
      </c>
      <c r="K137" s="32">
        <f t="shared" si="72"/>
        <v>4.1237113402061897E-2</v>
      </c>
      <c r="L137" s="18">
        <f>IF(ISNUMBER(J137), $B145 * K137, "")</f>
        <v>6185.5670103092843</v>
      </c>
      <c r="M137" s="31"/>
      <c r="N137" s="32" t="str">
        <f t="shared" si="73"/>
        <v/>
      </c>
      <c r="O137" s="18" t="str">
        <f>IF(ISNUMBER(M137), $B145 * N137, "")</f>
        <v/>
      </c>
      <c r="Q137" s="176"/>
      <c r="R137" s="176"/>
      <c r="S137" s="176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2100.0000000000086</v>
      </c>
      <c r="G138" s="31">
        <v>52.7</v>
      </c>
      <c r="H138" s="32">
        <f t="shared" si="71"/>
        <v>5.4000000000000055E-2</v>
      </c>
      <c r="I138" s="101">
        <f>IF(ISNUMBER(G138), $B145 * H138, "")</f>
        <v>8100.0000000000082</v>
      </c>
      <c r="J138" s="15">
        <v>51.8</v>
      </c>
      <c r="K138" s="32">
        <f t="shared" si="72"/>
        <v>3.5999999999999942E-2</v>
      </c>
      <c r="L138" s="18">
        <f>IF(ISNUMBER(J138), $B145 * K138, "")</f>
        <v>5399.9999999999909</v>
      </c>
      <c r="M138" s="31"/>
      <c r="N138" s="32" t="str">
        <f t="shared" si="73"/>
        <v/>
      </c>
      <c r="O138" s="18" t="str">
        <f>IF(ISNUMBER(M138), $B145 * N138, "")</f>
        <v/>
      </c>
      <c r="Q138" s="186"/>
      <c r="R138" s="186"/>
      <c r="S138" s="186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1294.4983818770181</v>
      </c>
      <c r="G139" s="30">
        <v>93.9</v>
      </c>
      <c r="H139" s="21">
        <f t="shared" si="71"/>
        <v>1.2944983818770257E-2</v>
      </c>
      <c r="I139" s="105">
        <f>IF(ISNUMBER(G139), $B145 * H139, "")</f>
        <v>1941.7475728155384</v>
      </c>
      <c r="J139" s="20">
        <v>94.1</v>
      </c>
      <c r="K139" s="21">
        <f t="shared" si="72"/>
        <v>1.5102481121898504E-2</v>
      </c>
      <c r="L139" s="22">
        <f>IF(ISNUMBER(J139), $B145 * K139, "")</f>
        <v>2265.3721682847759</v>
      </c>
      <c r="M139" s="30"/>
      <c r="N139" s="21" t="str">
        <f t="shared" si="73"/>
        <v/>
      </c>
      <c r="O139" s="22" t="str">
        <f>IF(ISNUMBER(M139), $B145 * N139, "")</f>
        <v/>
      </c>
      <c r="Q139" s="186"/>
      <c r="R139" s="186"/>
      <c r="S139" s="186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3325.5542590431587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4025.6709451575211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4375.7292882147021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6"/>
      <c r="R140" s="176"/>
      <c r="S140" s="176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2448.9795918367408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4081.6326530612241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5102.0408163265311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6"/>
      <c r="R141" s="176"/>
      <c r="S141" s="17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6"/>
      <c r="R142" s="176"/>
      <c r="S142" s="17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5"/>
      <c r="R143" s="166"/>
      <c r="S143" s="16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8"/>
      <c r="R144" s="169"/>
      <c r="S144" s="170"/>
    </row>
    <row r="145" spans="1:19" ht="17.25" thickBot="1">
      <c r="A145" s="132" t="s">
        <v>270</v>
      </c>
      <c r="B145" s="229">
        <f>$B$37</f>
        <v>150000</v>
      </c>
      <c r="C145" s="230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55138.052680901557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70182.860281879563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88195.158761019615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71"/>
      <c r="R145" s="172"/>
      <c r="S145" s="173"/>
    </row>
    <row r="147" spans="1:19" ht="17.25" thickBot="1"/>
    <row r="148" spans="1:19" ht="17.25" thickBot="1">
      <c r="A148" s="187" t="s">
        <v>259</v>
      </c>
      <c r="B148" s="188"/>
      <c r="C148" s="188"/>
      <c r="D148" s="188"/>
      <c r="E148" s="188"/>
      <c r="F148" s="188"/>
      <c r="G148" s="188"/>
      <c r="H148" s="188"/>
      <c r="I148" s="188"/>
      <c r="J148" s="188"/>
      <c r="K148" s="188"/>
      <c r="L148" s="188"/>
      <c r="M148" s="188"/>
      <c r="N148" s="188"/>
      <c r="O148" s="189"/>
      <c r="Q148" s="186"/>
      <c r="R148" s="186"/>
      <c r="S148" s="186"/>
    </row>
    <row r="149" spans="1:19" ht="17.25" thickBot="1">
      <c r="A149" s="161" t="s">
        <v>267</v>
      </c>
      <c r="B149" s="187" t="s">
        <v>49</v>
      </c>
      <c r="C149" s="189"/>
      <c r="D149" s="187" t="s">
        <v>58</v>
      </c>
      <c r="E149" s="188"/>
      <c r="F149" s="189"/>
      <c r="G149" s="190">
        <f>_xlfn.IFNA(VLOOKUP(B149, 현재가테이블!$B$2:$D$200, 2, FALSE), "-")</f>
        <v>57970000</v>
      </c>
      <c r="H149" s="191"/>
      <c r="I149" s="192"/>
      <c r="J149" s="187" t="s">
        <v>59</v>
      </c>
      <c r="K149" s="188"/>
      <c r="L149" s="189"/>
      <c r="M149" s="193">
        <f>_xlfn.IFNA(VLOOKUP(B149, 현재가테이블!$B$2:$D$200, 3, FALSE), "-")</f>
        <v>2.6835532700000001E-2</v>
      </c>
      <c r="N149" s="194"/>
      <c r="O149" s="195"/>
      <c r="Q149" s="186"/>
      <c r="R149" s="186"/>
      <c r="S149" s="186"/>
    </row>
    <row r="150" spans="1:19" ht="17.25" thickBot="1">
      <c r="A150" s="231" t="s">
        <v>55</v>
      </c>
      <c r="B150" s="227" t="str">
        <f>TEXT($G$1, "[$-ko-KR]yyyy-mm-dd(ddd) ") &amp; "오전 00:00"</f>
        <v>2021-09-02(목) 오전 00:00</v>
      </c>
      <c r="C150" s="228"/>
      <c r="D150" s="200" t="str">
        <f>TEXT($G$1, "[$-ko-KR]yyyy-mm-dd(ddd) ") &amp; "오후 14:00"</f>
        <v>2021-09-02(목) 오후 14:00</v>
      </c>
      <c r="E150" s="201"/>
      <c r="F150" s="202"/>
      <c r="G150" s="200" t="str">
        <f>TEXT($G$1, "[$-ko-KR]yyyy-mm-dd(ddd) ") &amp; "오후 19:00"</f>
        <v>2021-09-02(목) 오후 19:00</v>
      </c>
      <c r="H150" s="201"/>
      <c r="I150" s="202"/>
      <c r="J150" s="200" t="str">
        <f>TEXT($G$1, "[$-ko-KR]yyyy-mm-dd(ddd) ") &amp; "오후 21:00"</f>
        <v>2021-09-02(목) 오후 21:00</v>
      </c>
      <c r="K150" s="201"/>
      <c r="L150" s="202"/>
      <c r="M150" s="200" t="str">
        <f>TEXT($G$1+1, "[$-ko-KR]yyyy-mm-dd(ddd) ") &amp; "오전 00:00"</f>
        <v>2021-09-03(금) 오전 00:00</v>
      </c>
      <c r="N150" s="201"/>
      <c r="O150" s="202"/>
      <c r="Q150" s="186"/>
      <c r="R150" s="186"/>
      <c r="S150" s="186"/>
    </row>
    <row r="151" spans="1:19" ht="17.25" thickBot="1">
      <c r="A151" s="23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76"/>
      <c r="R151" s="176"/>
      <c r="S151" s="176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1239.6694214876034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3719.0082644628101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4958.6776859504134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6"/>
      <c r="R152" s="186"/>
      <c r="S152" s="186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1570.6806282722514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6"/>
      <c r="R153" s="186"/>
      <c r="S153" s="186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5514.7058823529414</v>
      </c>
      <c r="G154" s="31">
        <v>141</v>
      </c>
      <c r="H154" s="32">
        <f t="shared" si="79"/>
        <v>3.6764705882352942E-2</v>
      </c>
      <c r="I154" s="101">
        <f>IF(ISNUMBER(G154), $B172 * H154, "")</f>
        <v>5514.7058823529414</v>
      </c>
      <c r="J154" s="15">
        <v>142</v>
      </c>
      <c r="K154" s="32">
        <f t="shared" si="80"/>
        <v>4.4117647058823532E-2</v>
      </c>
      <c r="L154" s="18">
        <f>IF(ISNUMBER(J154), $B172 * K154, "")</f>
        <v>6617.6470588235297</v>
      </c>
      <c r="M154" s="31"/>
      <c r="N154" s="32" t="str">
        <f t="shared" si="81"/>
        <v/>
      </c>
      <c r="O154" s="18" t="str">
        <f>IF(ISNUMBER(M154), $B172 * N154, "")</f>
        <v/>
      </c>
      <c r="Q154" s="176"/>
      <c r="R154" s="176"/>
      <c r="S154" s="176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1500</v>
      </c>
      <c r="G155" s="31">
        <v>312</v>
      </c>
      <c r="H155" s="32">
        <f t="shared" si="79"/>
        <v>0.04</v>
      </c>
      <c r="I155" s="101">
        <f>IF(ISNUMBER(G155), $B172 * H155, "")</f>
        <v>6000</v>
      </c>
      <c r="J155" s="15">
        <v>313</v>
      </c>
      <c r="K155" s="32">
        <f t="shared" si="80"/>
        <v>4.3333333333333335E-2</v>
      </c>
      <c r="L155" s="18">
        <f>IF(ISNUMBER(J155), $B172 * K155, "")</f>
        <v>6500</v>
      </c>
      <c r="M155" s="31"/>
      <c r="N155" s="32" t="str">
        <f t="shared" si="81"/>
        <v/>
      </c>
      <c r="O155" s="18" t="str">
        <f>IF(ISNUMBER(M155), $B172 * N155, "")</f>
        <v/>
      </c>
      <c r="Q155" s="176"/>
      <c r="R155" s="176"/>
      <c r="S155" s="176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1965.0655021834061</v>
      </c>
      <c r="G156" s="30">
        <v>234</v>
      </c>
      <c r="H156" s="21">
        <f t="shared" si="79"/>
        <v>2.1834061135371178E-2</v>
      </c>
      <c r="I156" s="105">
        <f>IF(ISNUMBER(G156), $B172 * H156, "")</f>
        <v>3275.1091703056768</v>
      </c>
      <c r="J156" s="20">
        <v>236</v>
      </c>
      <c r="K156" s="21">
        <f t="shared" si="80"/>
        <v>3.0567685589519649E-2</v>
      </c>
      <c r="L156" s="22">
        <f>IF(ISNUMBER(J156), $B172 * K156, "")</f>
        <v>4585.1528384279472</v>
      </c>
      <c r="M156" s="30"/>
      <c r="N156" s="21" t="str">
        <f t="shared" si="81"/>
        <v/>
      </c>
      <c r="O156" s="22" t="str">
        <f>IF(ISNUMBER(M156), $B172 * N156, "")</f>
        <v/>
      </c>
      <c r="Q156" s="176"/>
      <c r="R156" s="176"/>
      <c r="S156" s="176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4120.8791208791208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5769.2307692307695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7417.5824175824173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6"/>
      <c r="R157" s="176"/>
      <c r="S157" s="176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4753.5211267605637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5809.859154929577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6338.0281690140846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6"/>
      <c r="R158" s="176"/>
      <c r="S158" s="176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2122.6415094339623</v>
      </c>
      <c r="G159" s="31">
        <v>436</v>
      </c>
      <c r="H159" s="32">
        <f t="shared" si="83"/>
        <v>2.8301886792452831E-2</v>
      </c>
      <c r="I159" s="101">
        <f>IF(ISNUMBER(G159), $B172 * H159, "")</f>
        <v>4245.2830188679245</v>
      </c>
      <c r="J159" s="15">
        <v>438</v>
      </c>
      <c r="K159" s="32">
        <f t="shared" si="84"/>
        <v>3.3018867924528301E-2</v>
      </c>
      <c r="L159" s="18">
        <f>IF(ISNUMBER(J159), $B172 * K159, "")</f>
        <v>4952.8301886792451</v>
      </c>
      <c r="M159" s="31"/>
      <c r="N159" s="32" t="str">
        <f t="shared" si="85"/>
        <v/>
      </c>
      <c r="O159" s="18" t="str">
        <f>IF(ISNUMBER(M159), $B172 * N159, "")</f>
        <v/>
      </c>
      <c r="Q159" s="176"/>
      <c r="R159" s="176"/>
      <c r="S159" s="176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2631.5789473684208</v>
      </c>
      <c r="G160" s="31">
        <v>117</v>
      </c>
      <c r="H160" s="32">
        <f t="shared" si="83"/>
        <v>2.6315789473684209E-2</v>
      </c>
      <c r="I160" s="101">
        <f>IF(ISNUMBER(G160), $B172 * H160, "")</f>
        <v>3947.3684210526312</v>
      </c>
      <c r="J160" s="15">
        <v>120</v>
      </c>
      <c r="K160" s="32">
        <f t="shared" si="84"/>
        <v>5.2631578947368418E-2</v>
      </c>
      <c r="L160" s="18">
        <f>IF(ISNUMBER(J160), $B172 * K160, "")</f>
        <v>7894.7368421052624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3061.2244897959181</v>
      </c>
      <c r="G161" s="102">
        <v>150</v>
      </c>
      <c r="H161" s="25">
        <f t="shared" si="83"/>
        <v>2.0408163265306121E-2</v>
      </c>
      <c r="I161" s="103">
        <f>IF(ISNUMBER(G161), $B172 * H161, "")</f>
        <v>3061.2244897959181</v>
      </c>
      <c r="J161" s="24">
        <v>150</v>
      </c>
      <c r="K161" s="25">
        <f t="shared" si="84"/>
        <v>2.0408163265306121E-2</v>
      </c>
      <c r="L161" s="104">
        <f>IF(ISNUMBER(J161), $B172 * K161, "")</f>
        <v>3061.2244897959181</v>
      </c>
      <c r="M161" s="102"/>
      <c r="N161" s="25" t="str">
        <f t="shared" si="85"/>
        <v/>
      </c>
      <c r="O161" s="104" t="str">
        <f>IF(ISNUMBER(M161), $B172 * N161, "")</f>
        <v/>
      </c>
      <c r="Q161" s="177"/>
      <c r="R161" s="178"/>
      <c r="S161" s="179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8231.707317073171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9603.6585365853662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11890.243902439024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0"/>
      <c r="R162" s="181"/>
      <c r="S162" s="182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3515.625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6640.625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7812.5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3"/>
      <c r="R163" s="184"/>
      <c r="S163" s="185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7300.8849557522126</v>
      </c>
      <c r="G164" s="31">
        <v>237</v>
      </c>
      <c r="H164" s="32">
        <f t="shared" si="87"/>
        <v>4.8672566371681415E-2</v>
      </c>
      <c r="I164" s="101">
        <f>IF(ISNUMBER(G164), $B172 * H164, "")</f>
        <v>7300.8849557522126</v>
      </c>
      <c r="J164" s="15">
        <v>236</v>
      </c>
      <c r="K164" s="32">
        <f t="shared" si="88"/>
        <v>4.4247787610619468E-2</v>
      </c>
      <c r="L164" s="18">
        <f>IF(ISNUMBER(J164), $B172 * K164, "")</f>
        <v>6637.1681415929206</v>
      </c>
      <c r="M164" s="31"/>
      <c r="N164" s="32" t="str">
        <f t="shared" si="89"/>
        <v/>
      </c>
      <c r="O164" s="18" t="str">
        <f>IF(ISNUMBER(M164), $B172 * N164, "")</f>
        <v/>
      </c>
      <c r="Q164" s="176"/>
      <c r="R164" s="176"/>
      <c r="S164" s="176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3007.5187969924809</v>
      </c>
      <c r="G165" s="31">
        <v>415</v>
      </c>
      <c r="H165" s="32">
        <f t="shared" si="87"/>
        <v>4.0100250626566414E-2</v>
      </c>
      <c r="I165" s="101">
        <f>IF(ISNUMBER(G165), $B172 * H165, "")</f>
        <v>6015.0375939849619</v>
      </c>
      <c r="J165" s="15">
        <v>416</v>
      </c>
      <c r="K165" s="32">
        <f t="shared" si="88"/>
        <v>4.2606516290726815E-2</v>
      </c>
      <c r="L165" s="18">
        <f>IF(ISNUMBER(J165), $B172 * K165, "")</f>
        <v>6390.977443609022</v>
      </c>
      <c r="M165" s="31"/>
      <c r="N165" s="32" t="str">
        <f t="shared" si="89"/>
        <v/>
      </c>
      <c r="O165" s="18" t="str">
        <f>IF(ISNUMBER(M165), $B172 * N165, "")</f>
        <v/>
      </c>
      <c r="Q165" s="186"/>
      <c r="R165" s="186"/>
      <c r="S165" s="186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1851.8518518518517</v>
      </c>
      <c r="G166" s="30">
        <v>171</v>
      </c>
      <c r="H166" s="21">
        <f t="shared" si="87"/>
        <v>5.5555555555555552E-2</v>
      </c>
      <c r="I166" s="105">
        <f>IF(ISNUMBER(G166), $B172 * H166, "")</f>
        <v>8333.3333333333321</v>
      </c>
      <c r="J166" s="20">
        <v>172</v>
      </c>
      <c r="K166" s="21">
        <f t="shared" si="88"/>
        <v>6.1728395061728392E-2</v>
      </c>
      <c r="L166" s="22">
        <f>IF(ISNUMBER(J166), $B172 * K166, "")</f>
        <v>9259.2592592592591</v>
      </c>
      <c r="M166" s="30"/>
      <c r="N166" s="21" t="str">
        <f t="shared" si="89"/>
        <v/>
      </c>
      <c r="O166" s="22" t="str">
        <f>IF(ISNUMBER(M166), $B172 * N166, "")</f>
        <v/>
      </c>
      <c r="Q166" s="186"/>
      <c r="R166" s="186"/>
      <c r="S166" s="186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1384.6153846153848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4153.8461538461543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3923.0769230769229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6"/>
      <c r="R167" s="176"/>
      <c r="S167" s="176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1127.8195488721803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7518.7969924812023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7518.7969924812023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6"/>
      <c r="R168" s="176"/>
      <c r="S168" s="176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2325.5813953488373</v>
      </c>
      <c r="G169" s="31">
        <v>403</v>
      </c>
      <c r="H169" s="32">
        <f t="shared" si="91"/>
        <v>4.1343669250645997E-2</v>
      </c>
      <c r="I169" s="101">
        <f>IF(ISNUMBER(G169), $B172 * H169, "")</f>
        <v>6201.5503875968998</v>
      </c>
      <c r="J169" s="15">
        <v>406</v>
      </c>
      <c r="K169" s="32">
        <f t="shared" si="92"/>
        <v>4.909560723514212E-2</v>
      </c>
      <c r="L169" s="18">
        <f>IF(ISNUMBER(J169), $B172 * K169, "")</f>
        <v>7364.3410852713178</v>
      </c>
      <c r="M169" s="31"/>
      <c r="N169" s="32" t="str">
        <f t="shared" si="93"/>
        <v/>
      </c>
      <c r="O169" s="18" t="str">
        <f>IF(ISNUMBER(M169), $B172 * N169, "")</f>
        <v/>
      </c>
      <c r="Q169" s="176"/>
      <c r="R169" s="176"/>
      <c r="S169" s="176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3937.947494033413</v>
      </c>
      <c r="G170" s="31">
        <v>435</v>
      </c>
      <c r="H170" s="32">
        <f t="shared" si="91"/>
        <v>3.8186157517899763E-2</v>
      </c>
      <c r="I170" s="101">
        <f>IF(ISNUMBER(G170), $B172 * H170, "")</f>
        <v>5727.9236276849642</v>
      </c>
      <c r="J170" s="15">
        <v>436</v>
      </c>
      <c r="K170" s="32">
        <f t="shared" si="92"/>
        <v>4.0572792362768499E-2</v>
      </c>
      <c r="L170" s="18">
        <f>IF(ISNUMBER(J170), $B172 * K170, "")</f>
        <v>6085.9188544152748</v>
      </c>
      <c r="M170" s="31"/>
      <c r="N170" s="32" t="str">
        <f t="shared" si="93"/>
        <v/>
      </c>
      <c r="O170" s="18" t="str">
        <f>IF(ISNUMBER(M170), $B172 * N170, "")</f>
        <v/>
      </c>
      <c r="Q170" s="165"/>
      <c r="R170" s="166"/>
      <c r="S170" s="167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2199.4134897360705</v>
      </c>
      <c r="G171" s="102">
        <v>352</v>
      </c>
      <c r="H171" s="25">
        <f t="shared" si="91"/>
        <v>3.2258064516129031E-2</v>
      </c>
      <c r="I171" s="103">
        <f>IF(ISNUMBER(G171), $B172 * H171, "")</f>
        <v>4838.7096774193551</v>
      </c>
      <c r="J171" s="24">
        <v>353</v>
      </c>
      <c r="K171" s="25">
        <f t="shared" si="92"/>
        <v>3.519061583577713E-2</v>
      </c>
      <c r="L171" s="104">
        <f>IF(ISNUMBER(J171), $B172 * K171, "")</f>
        <v>5278.5923753665693</v>
      </c>
      <c r="M171" s="102"/>
      <c r="N171" s="25" t="str">
        <f t="shared" si="93"/>
        <v/>
      </c>
      <c r="O171" s="104" t="str">
        <f>IF(ISNUMBER(M171), $B172 * N171, "")</f>
        <v/>
      </c>
      <c r="Q171" s="168"/>
      <c r="R171" s="169"/>
      <c r="S171" s="170"/>
    </row>
    <row r="172" spans="1:19" ht="17.25" thickBot="1">
      <c r="A172" s="132" t="s">
        <v>270</v>
      </c>
      <c r="B172" s="229">
        <f>$B$37</f>
        <v>150000</v>
      </c>
      <c r="C172" s="230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61792.251234537536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109246.83605795496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124486.75466789032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71"/>
      <c r="R172" s="172"/>
      <c r="S172" s="173"/>
    </row>
    <row r="174" spans="1:19" ht="17.25" thickBot="1"/>
    <row r="175" spans="1:19" ht="17.25" thickBot="1">
      <c r="A175" s="187" t="s">
        <v>255</v>
      </c>
      <c r="B175" s="188"/>
      <c r="C175" s="188"/>
      <c r="D175" s="188"/>
      <c r="E175" s="188"/>
      <c r="F175" s="188"/>
      <c r="G175" s="188"/>
      <c r="H175" s="188"/>
      <c r="I175" s="188"/>
      <c r="J175" s="188"/>
      <c r="K175" s="188"/>
      <c r="L175" s="188"/>
      <c r="M175" s="188"/>
      <c r="N175" s="188"/>
      <c r="O175" s="189"/>
      <c r="Q175" s="186"/>
      <c r="R175" s="186"/>
      <c r="S175" s="186"/>
    </row>
    <row r="176" spans="1:19" ht="17.25" thickBot="1">
      <c r="A176" s="161" t="s">
        <v>267</v>
      </c>
      <c r="B176" s="187" t="s">
        <v>49</v>
      </c>
      <c r="C176" s="189"/>
      <c r="D176" s="187" t="s">
        <v>58</v>
      </c>
      <c r="E176" s="188"/>
      <c r="F176" s="189"/>
      <c r="G176" s="190">
        <f>_xlfn.IFNA(VLOOKUP(B176, 현재가테이블!$B$2:$D$200, 2, FALSE), "-")</f>
        <v>57970000</v>
      </c>
      <c r="H176" s="191"/>
      <c r="I176" s="192"/>
      <c r="J176" s="187" t="s">
        <v>59</v>
      </c>
      <c r="K176" s="188"/>
      <c r="L176" s="189"/>
      <c r="M176" s="193">
        <f>_xlfn.IFNA(VLOOKUP(B176, 현재가테이블!$B$2:$D$200, 3, FALSE), "-")</f>
        <v>2.6835532700000001E-2</v>
      </c>
      <c r="N176" s="194"/>
      <c r="O176" s="195"/>
      <c r="Q176" s="186"/>
      <c r="R176" s="186"/>
      <c r="S176" s="186"/>
    </row>
    <row r="177" spans="1:19" ht="17.25" thickBot="1">
      <c r="A177" s="231" t="s">
        <v>55</v>
      </c>
      <c r="B177" s="227" t="str">
        <f>TEXT($G$1, "[$-ko-KR]yyyy-mm-dd(ddd) ") &amp; "오전 00:00"</f>
        <v>2021-09-02(목) 오전 00:00</v>
      </c>
      <c r="C177" s="228"/>
      <c r="D177" s="200" t="str">
        <f>TEXT($G$1, "[$-ko-KR]yyyy-mm-dd(ddd) ") &amp; "오후 14:00"</f>
        <v>2021-09-02(목) 오후 14:00</v>
      </c>
      <c r="E177" s="201"/>
      <c r="F177" s="202"/>
      <c r="G177" s="200" t="str">
        <f>TEXT($G$1, "[$-ko-KR]yyyy-mm-dd(ddd) ") &amp; "오후 19:00"</f>
        <v>2021-09-02(목) 오후 19:00</v>
      </c>
      <c r="H177" s="201"/>
      <c r="I177" s="202"/>
      <c r="J177" s="200" t="str">
        <f>TEXT($G$1, "[$-ko-KR]yyyy-mm-dd(ddd) ") &amp; "오후 21:00"</f>
        <v>2021-09-02(목) 오후 21:00</v>
      </c>
      <c r="K177" s="201"/>
      <c r="L177" s="202"/>
      <c r="M177" s="200" t="str">
        <f>TEXT($G$1+1, "[$-ko-KR]yyyy-mm-dd(ddd) ") &amp; "오전 00:00"</f>
        <v>2021-09-03(금) 오전 00:00</v>
      </c>
      <c r="N177" s="201"/>
      <c r="O177" s="202"/>
      <c r="Q177" s="186"/>
      <c r="R177" s="186"/>
      <c r="S177" s="186"/>
    </row>
    <row r="178" spans="1:19" ht="17.25" thickBot="1">
      <c r="A178" s="23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76"/>
      <c r="R178" s="176"/>
      <c r="S178" s="176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2325.5813953488373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6201.5503875968998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7364.3410852713178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6"/>
      <c r="R179" s="186"/>
      <c r="S179" s="186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9753.3632286995507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8912.5560538116588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7847.5336322869953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6"/>
      <c r="R180" s="186"/>
      <c r="S180" s="186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1739.1304347826087</v>
      </c>
      <c r="G181" s="31">
        <v>1745</v>
      </c>
      <c r="H181" s="32">
        <f t="shared" si="95"/>
        <v>1.1594202898550725E-2</v>
      </c>
      <c r="I181" s="101">
        <f>IF(ISNUMBER(G181), $B199 * H181, "")</f>
        <v>1739.1304347826087</v>
      </c>
      <c r="J181" s="15">
        <v>1775</v>
      </c>
      <c r="K181" s="32">
        <f t="shared" si="96"/>
        <v>2.8985507246376812E-2</v>
      </c>
      <c r="L181" s="18">
        <f>IF(ISNUMBER(J181), $B199 * K181, "")</f>
        <v>4347.826086956522</v>
      </c>
      <c r="M181" s="31"/>
      <c r="N181" s="32" t="str">
        <f t="shared" si="97"/>
        <v/>
      </c>
      <c r="O181" s="18" t="str">
        <f>IF(ISNUMBER(M181), $B199 * N181, "")</f>
        <v/>
      </c>
      <c r="Q181" s="176"/>
      <c r="R181" s="176"/>
      <c r="S181" s="176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7444.8529411764703</v>
      </c>
      <c r="G182" s="31">
        <v>2845</v>
      </c>
      <c r="H182" s="32">
        <f t="shared" si="95"/>
        <v>4.595588235294118E-2</v>
      </c>
      <c r="I182" s="101">
        <f>IF(ISNUMBER(G182), $B199 * H182, "")</f>
        <v>6893.3823529411766</v>
      </c>
      <c r="J182" s="15">
        <v>2850</v>
      </c>
      <c r="K182" s="32">
        <f t="shared" si="96"/>
        <v>4.779411764705882E-2</v>
      </c>
      <c r="L182" s="18">
        <f>IF(ISNUMBER(J182), $B199 * K182, "")</f>
        <v>7169.1176470588234</v>
      </c>
      <c r="M182" s="31"/>
      <c r="N182" s="32" t="str">
        <f t="shared" si="97"/>
        <v/>
      </c>
      <c r="O182" s="18" t="str">
        <f>IF(ISNUMBER(M182), $B199 * N182, "")</f>
        <v/>
      </c>
      <c r="Q182" s="176"/>
      <c r="R182" s="176"/>
      <c r="S182" s="176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1709.4017094017095</v>
      </c>
      <c r="G183" s="30">
        <v>5335</v>
      </c>
      <c r="H183" s="21">
        <f t="shared" si="95"/>
        <v>1.3295346628679962E-2</v>
      </c>
      <c r="I183" s="105">
        <f>IF(ISNUMBER(G183), $B199 * H183, "")</f>
        <v>1994.3019943019942</v>
      </c>
      <c r="J183" s="20">
        <v>5330</v>
      </c>
      <c r="K183" s="21">
        <f t="shared" si="96"/>
        <v>1.2345679012345678E-2</v>
      </c>
      <c r="L183" s="22">
        <f>IF(ISNUMBER(J183), $B199 * K183, "")</f>
        <v>1851.8518518518517</v>
      </c>
      <c r="M183" s="30"/>
      <c r="N183" s="21" t="str">
        <f t="shared" si="97"/>
        <v/>
      </c>
      <c r="O183" s="22" t="str">
        <f>IF(ISNUMBER(M183), $B199 * N183, "")</f>
        <v/>
      </c>
      <c r="Q183" s="176"/>
      <c r="R183" s="176"/>
      <c r="S183" s="176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2730.9507754551587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3641.267700606878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4025.6237356709371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6"/>
      <c r="R184" s="176"/>
      <c r="S184" s="176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8918.9189189189201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7135.135135135135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7297.2972972972975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6"/>
      <c r="R185" s="176"/>
      <c r="S185" s="176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3937.947494033413</v>
      </c>
      <c r="G186" s="31">
        <v>435</v>
      </c>
      <c r="H186" s="32">
        <f t="shared" si="99"/>
        <v>3.8186157517899763E-2</v>
      </c>
      <c r="I186" s="101">
        <f>IF(ISNUMBER(G186), $B199 * H186, "")</f>
        <v>5727.9236276849642</v>
      </c>
      <c r="J186" s="15">
        <v>436</v>
      </c>
      <c r="K186" s="32">
        <f t="shared" si="100"/>
        <v>4.0572792362768499E-2</v>
      </c>
      <c r="L186" s="18">
        <f>IF(ISNUMBER(J186), $B199 * K186, "")</f>
        <v>6085.9188544152748</v>
      </c>
      <c r="M186" s="31"/>
      <c r="N186" s="32" t="str">
        <f t="shared" si="101"/>
        <v/>
      </c>
      <c r="O186" s="18" t="str">
        <f>IF(ISNUMBER(M186), $B199 * N186, "")</f>
        <v/>
      </c>
      <c r="Q186" s="176"/>
      <c r="R186" s="176"/>
      <c r="S186" s="176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2199.4134897360705</v>
      </c>
      <c r="G187" s="31">
        <v>352</v>
      </c>
      <c r="H187" s="32">
        <f t="shared" si="99"/>
        <v>3.2258064516129031E-2</v>
      </c>
      <c r="I187" s="101">
        <f>IF(ISNUMBER(G187), $B199 * H187, "")</f>
        <v>4838.7096774193551</v>
      </c>
      <c r="J187" s="15">
        <v>353</v>
      </c>
      <c r="K187" s="32">
        <f t="shared" si="100"/>
        <v>3.519061583577713E-2</v>
      </c>
      <c r="L187" s="18">
        <f>IF(ISNUMBER(J187), $B199 * K187, "")</f>
        <v>5278.5923753665693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3658.5365853658536</v>
      </c>
      <c r="G188" s="102">
        <v>2100</v>
      </c>
      <c r="H188" s="25">
        <f t="shared" si="99"/>
        <v>2.4390243902439025E-2</v>
      </c>
      <c r="I188" s="103">
        <f>IF(ISNUMBER(G188), $B199 * H188, "")</f>
        <v>3658.5365853658536</v>
      </c>
      <c r="J188" s="24">
        <v>2125</v>
      </c>
      <c r="K188" s="25">
        <f t="shared" si="100"/>
        <v>3.6585365853658534E-2</v>
      </c>
      <c r="L188" s="104">
        <f>IF(ISNUMBER(J188), $B199 * K188, "")</f>
        <v>5487.8048780487798</v>
      </c>
      <c r="M188" s="102"/>
      <c r="N188" s="25" t="str">
        <f t="shared" si="101"/>
        <v/>
      </c>
      <c r="O188" s="104" t="str">
        <f>IF(ISNUMBER(M188), $B199 * N188, "")</f>
        <v/>
      </c>
      <c r="Q188" s="177"/>
      <c r="R188" s="178"/>
      <c r="S188" s="179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-8774.3732590529253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-10027.855153203343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-7938.7186629526459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0"/>
      <c r="R189" s="181"/>
      <c r="S189" s="182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1265.8227848101264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3164.5569620253164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3797.4683544303798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3"/>
      <c r="R190" s="184"/>
      <c r="S190" s="185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1630.4347826086955</v>
      </c>
      <c r="G191" s="31">
        <v>91320</v>
      </c>
      <c r="H191" s="32">
        <f t="shared" si="103"/>
        <v>3.3967391304347824E-2</v>
      </c>
      <c r="I191" s="101">
        <f>IF(ISNUMBER(G191), $B199 * H191, "")</f>
        <v>5095.108695652174</v>
      </c>
      <c r="J191" s="15">
        <v>91130</v>
      </c>
      <c r="K191" s="32">
        <f t="shared" si="104"/>
        <v>3.18161231884058E-2</v>
      </c>
      <c r="L191" s="18">
        <f>IF(ISNUMBER(J191), $B199 * K191, "")</f>
        <v>4772.41847826087</v>
      </c>
      <c r="M191" s="31"/>
      <c r="N191" s="32" t="str">
        <f t="shared" si="105"/>
        <v/>
      </c>
      <c r="O191" s="18" t="str">
        <f>IF(ISNUMBER(M191), $B199 * N191, "")</f>
        <v/>
      </c>
      <c r="Q191" s="176"/>
      <c r="R191" s="176"/>
      <c r="S191" s="176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1149.4252873563219</v>
      </c>
      <c r="G192" s="31">
        <v>1320</v>
      </c>
      <c r="H192" s="32">
        <f t="shared" si="103"/>
        <v>1.1494252873563218E-2</v>
      </c>
      <c r="I192" s="101">
        <f>IF(ISNUMBER(G192), $B199 * H192, "")</f>
        <v>1724.1379310344828</v>
      </c>
      <c r="J192" s="15">
        <v>1330</v>
      </c>
      <c r="K192" s="32">
        <f t="shared" si="104"/>
        <v>1.9157088122605363E-2</v>
      </c>
      <c r="L192" s="18">
        <f>IF(ISNUMBER(J192), $B199 * K192, "")</f>
        <v>2873.5632183908042</v>
      </c>
      <c r="M192" s="31"/>
      <c r="N192" s="32" t="str">
        <f t="shared" si="105"/>
        <v/>
      </c>
      <c r="O192" s="18" t="str">
        <f>IF(ISNUMBER(M192), $B199 * N192, "")</f>
        <v/>
      </c>
      <c r="Q192" s="186"/>
      <c r="R192" s="186"/>
      <c r="S192" s="186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2588.3838383838388</v>
      </c>
      <c r="G193" s="30">
        <v>251550</v>
      </c>
      <c r="H193" s="21">
        <f t="shared" si="103"/>
        <v>5.8712121212121215E-2</v>
      </c>
      <c r="I193" s="105">
        <f>IF(ISNUMBER(G193), $B199 * H193, "")</f>
        <v>8806.818181818182</v>
      </c>
      <c r="J193" s="20">
        <v>251650</v>
      </c>
      <c r="K193" s="21">
        <f t="shared" si="104"/>
        <v>5.9132996632996634E-2</v>
      </c>
      <c r="L193" s="22">
        <f>IF(ISNUMBER(J193), $B199 * K193, "")</f>
        <v>8869.9494949494947</v>
      </c>
      <c r="M193" s="30"/>
      <c r="N193" s="21" t="str">
        <f t="shared" si="105"/>
        <v/>
      </c>
      <c r="O193" s="22" t="str">
        <f>IF(ISNUMBER(M193), $B199 * N193, "")</f>
        <v/>
      </c>
      <c r="Q193" s="186"/>
      <c r="R193" s="186"/>
      <c r="S193" s="186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5638.5542168674701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15325.301204819276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12867.469879518074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6"/>
      <c r="R194" s="176"/>
      <c r="S194" s="176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-519.03114186851212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-1557.0934256055361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-2595.1557093425608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6"/>
      <c r="R195" s="176"/>
      <c r="S195" s="176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2600.8428657435279</v>
      </c>
      <c r="G196" s="31">
        <v>84870</v>
      </c>
      <c r="H196" s="32">
        <f t="shared" si="107"/>
        <v>2.1914509331727876E-2</v>
      </c>
      <c r="I196" s="101">
        <f>IF(ISNUMBER(G196), $B199 * H196, "")</f>
        <v>3287.1763997591815</v>
      </c>
      <c r="J196" s="15">
        <v>85810</v>
      </c>
      <c r="K196" s="32">
        <f t="shared" si="108"/>
        <v>3.3232992173389528E-2</v>
      </c>
      <c r="L196" s="18">
        <f>IF(ISNUMBER(J196), $B199 * K196, "")</f>
        <v>4984.948826008429</v>
      </c>
      <c r="M196" s="31"/>
      <c r="N196" s="32" t="str">
        <f t="shared" si="109"/>
        <v/>
      </c>
      <c r="O196" s="18" t="str">
        <f>IF(ISNUMBER(M196), $B199 * N196, "")</f>
        <v/>
      </c>
      <c r="Q196" s="176"/>
      <c r="R196" s="176"/>
      <c r="S196" s="176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10309.278350515464</v>
      </c>
      <c r="G197" s="31">
        <v>37450</v>
      </c>
      <c r="H197" s="32">
        <f t="shared" si="107"/>
        <v>7.2451317296678128E-2</v>
      </c>
      <c r="I197" s="101">
        <f>IF(ISNUMBER(G197), $B199 * H197, "")</f>
        <v>10867.697594501718</v>
      </c>
      <c r="J197" s="15">
        <v>37680</v>
      </c>
      <c r="K197" s="32">
        <f t="shared" si="108"/>
        <v>7.903780068728522E-2</v>
      </c>
      <c r="L197" s="18">
        <f>IF(ISNUMBER(J197), $B199 * K197, "")</f>
        <v>11855.670103092783</v>
      </c>
      <c r="M197" s="31"/>
      <c r="N197" s="32" t="str">
        <f t="shared" si="109"/>
        <v/>
      </c>
      <c r="O197" s="18" t="str">
        <f>IF(ISNUMBER(M197), $B199 * N197, "")</f>
        <v/>
      </c>
      <c r="Q197" s="165"/>
      <c r="R197" s="166"/>
      <c r="S197" s="167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-8511.6279069767443</v>
      </c>
      <c r="G198" s="102">
        <v>4950</v>
      </c>
      <c r="H198" s="25">
        <f t="shared" si="107"/>
        <v>-7.9069767441860464E-2</v>
      </c>
      <c r="I198" s="103">
        <f>IF(ISNUMBER(G198), $B199 * H198, "")</f>
        <v>-11860.465116279069</v>
      </c>
      <c r="J198" s="24">
        <v>4980</v>
      </c>
      <c r="K198" s="25">
        <f t="shared" si="108"/>
        <v>-7.3488372093023252E-2</v>
      </c>
      <c r="L198" s="104">
        <f>IF(ISNUMBER(J198), $B199 * K198, "")</f>
        <v>-11023.255813953489</v>
      </c>
      <c r="M198" s="102"/>
      <c r="N198" s="25" t="str">
        <f t="shared" si="109"/>
        <v/>
      </c>
      <c r="O198" s="104" t="str">
        <f>IF(ISNUMBER(M198), $B199 * N198, "")</f>
        <v/>
      </c>
      <c r="Q198" s="168"/>
      <c r="R198" s="169"/>
      <c r="S198" s="170"/>
    </row>
    <row r="199" spans="1:19" ht="17.25" thickBot="1">
      <c r="A199" s="132" t="s">
        <v>270</v>
      </c>
      <c r="B199" s="229">
        <f>$B$37</f>
        <v>150000</v>
      </c>
      <c r="C199" s="230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51795.806791305862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75567.877224168915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85220.265612626506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71"/>
      <c r="R199" s="172"/>
      <c r="S199" s="1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2021-09-02T12:17:56Z</dcterms:modified>
</cp:coreProperties>
</file>