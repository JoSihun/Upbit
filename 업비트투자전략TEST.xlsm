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3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1A27B92-EEE9-4050-AFC0-7CB7705CF279}" xr6:coauthVersionLast="46" xr6:coauthVersionMax="46" xr10:uidLastSave="{00000000-0000-0000-0000-000000000000}"/>
  <bookViews>
    <workbookView xWindow="28680" yWindow="-120" windowWidth="29040" windowHeight="15840" activeTab="2" xr2:uid="{6DFA4163-58A4-446A-8567-281C8DD649E3}"/>
  </bookViews>
  <sheets>
    <sheet name="투자전략" sheetId="2" r:id="rId1"/>
    <sheet name="2021.04.14" sheetId="4" r:id="rId2"/>
    <sheet name="현재가테이블" sheetId="3" r:id="rId3"/>
    <sheet name="종목선정" sheetId="5" r:id="rId4"/>
    <sheet name="2021.04.18" sheetId="6" r:id="rId5"/>
  </sheets>
  <definedNames>
    <definedName name="_xlnm._FilterDatabase" localSheetId="1" hidden="1">'2021.04.14'!#REF!</definedName>
    <definedName name="_xlnm._FilterDatabase" localSheetId="4" hidden="1">'2021.04.18'!#REF!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8" i="6" l="1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6" i="6"/>
  <c r="G176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2" i="6"/>
  <c r="G122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5" i="6"/>
  <c r="G95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K91" i="6" s="1"/>
  <c r="I71" i="6"/>
  <c r="I91" i="6" s="1"/>
  <c r="H71" i="6"/>
  <c r="H91" i="6" s="1"/>
  <c r="F71" i="6"/>
  <c r="F91" i="6" s="1"/>
  <c r="E71" i="6"/>
  <c r="E91" i="6" s="1"/>
  <c r="M68" i="6"/>
  <c r="G68" i="6"/>
  <c r="O63" i="6"/>
  <c r="N63" i="6"/>
  <c r="L63" i="6"/>
  <c r="K63" i="6"/>
  <c r="I63" i="6"/>
  <c r="H63" i="6"/>
  <c r="F63" i="6"/>
  <c r="E63" i="6"/>
  <c r="O62" i="6"/>
  <c r="N62" i="6"/>
  <c r="L62" i="6"/>
  <c r="K62" i="6"/>
  <c r="I62" i="6"/>
  <c r="H62" i="6"/>
  <c r="F62" i="6"/>
  <c r="E62" i="6"/>
  <c r="O61" i="6"/>
  <c r="N61" i="6"/>
  <c r="L61" i="6"/>
  <c r="K61" i="6"/>
  <c r="I61" i="6"/>
  <c r="H61" i="6"/>
  <c r="F61" i="6"/>
  <c r="E61" i="6"/>
  <c r="O60" i="6"/>
  <c r="N60" i="6"/>
  <c r="L60" i="6"/>
  <c r="K60" i="6"/>
  <c r="I60" i="6"/>
  <c r="H60" i="6"/>
  <c r="F60" i="6"/>
  <c r="E60" i="6"/>
  <c r="O59" i="6"/>
  <c r="N59" i="6"/>
  <c r="L59" i="6"/>
  <c r="K59" i="6"/>
  <c r="I59" i="6"/>
  <c r="H59" i="6"/>
  <c r="F59" i="6"/>
  <c r="E59" i="6"/>
  <c r="O58" i="6"/>
  <c r="N58" i="6"/>
  <c r="L58" i="6"/>
  <c r="K58" i="6"/>
  <c r="I58" i="6"/>
  <c r="H58" i="6"/>
  <c r="F58" i="6"/>
  <c r="E58" i="6"/>
  <c r="O57" i="6"/>
  <c r="N57" i="6"/>
  <c r="L57" i="6"/>
  <c r="K57" i="6"/>
  <c r="I57" i="6"/>
  <c r="H57" i="6"/>
  <c r="F57" i="6"/>
  <c r="E57" i="6"/>
  <c r="O56" i="6"/>
  <c r="N56" i="6"/>
  <c r="L56" i="6"/>
  <c r="K56" i="6"/>
  <c r="I56" i="6"/>
  <c r="H56" i="6"/>
  <c r="F56" i="6"/>
  <c r="E56" i="6"/>
  <c r="O55" i="6"/>
  <c r="N55" i="6"/>
  <c r="L55" i="6"/>
  <c r="K55" i="6"/>
  <c r="I55" i="6"/>
  <c r="H55" i="6"/>
  <c r="F55" i="6"/>
  <c r="E55" i="6"/>
  <c r="O54" i="6"/>
  <c r="N54" i="6"/>
  <c r="L54" i="6"/>
  <c r="K54" i="6"/>
  <c r="I54" i="6"/>
  <c r="H54" i="6"/>
  <c r="F54" i="6"/>
  <c r="E54" i="6"/>
  <c r="O53" i="6"/>
  <c r="N53" i="6"/>
  <c r="L53" i="6"/>
  <c r="K53" i="6"/>
  <c r="I53" i="6"/>
  <c r="H53" i="6"/>
  <c r="F53" i="6"/>
  <c r="E53" i="6"/>
  <c r="O52" i="6"/>
  <c r="N52" i="6"/>
  <c r="L52" i="6"/>
  <c r="K52" i="6"/>
  <c r="I52" i="6"/>
  <c r="H52" i="6"/>
  <c r="F52" i="6"/>
  <c r="E52" i="6"/>
  <c r="O51" i="6"/>
  <c r="N51" i="6"/>
  <c r="L51" i="6"/>
  <c r="K51" i="6"/>
  <c r="I51" i="6"/>
  <c r="H51" i="6"/>
  <c r="F51" i="6"/>
  <c r="E51" i="6"/>
  <c r="O50" i="6"/>
  <c r="N50" i="6"/>
  <c r="L50" i="6"/>
  <c r="K50" i="6"/>
  <c r="I50" i="6"/>
  <c r="H50" i="6"/>
  <c r="F50" i="6"/>
  <c r="E50" i="6"/>
  <c r="O49" i="6"/>
  <c r="N49" i="6"/>
  <c r="L49" i="6"/>
  <c r="K49" i="6"/>
  <c r="I49" i="6"/>
  <c r="H49" i="6"/>
  <c r="F49" i="6"/>
  <c r="E49" i="6"/>
  <c r="O48" i="6"/>
  <c r="N48" i="6"/>
  <c r="L48" i="6"/>
  <c r="K48" i="6"/>
  <c r="I48" i="6"/>
  <c r="H48" i="6"/>
  <c r="F48" i="6"/>
  <c r="E48" i="6"/>
  <c r="O47" i="6"/>
  <c r="N47" i="6"/>
  <c r="L47" i="6"/>
  <c r="K47" i="6"/>
  <c r="I47" i="6"/>
  <c r="H47" i="6"/>
  <c r="F47" i="6"/>
  <c r="E47" i="6"/>
  <c r="O46" i="6"/>
  <c r="N46" i="6"/>
  <c r="L46" i="6"/>
  <c r="K46" i="6"/>
  <c r="I46" i="6"/>
  <c r="H46" i="6"/>
  <c r="F46" i="6"/>
  <c r="E46" i="6"/>
  <c r="O45" i="6"/>
  <c r="N45" i="6"/>
  <c r="L45" i="6"/>
  <c r="K45" i="6"/>
  <c r="I45" i="6"/>
  <c r="H45" i="6"/>
  <c r="F45" i="6"/>
  <c r="E45" i="6"/>
  <c r="O44" i="6"/>
  <c r="O64" i="6" s="1"/>
  <c r="N44" i="6"/>
  <c r="N64" i="6" s="1"/>
  <c r="L44" i="6"/>
  <c r="L64" i="6" s="1"/>
  <c r="K44" i="6"/>
  <c r="K64" i="6" s="1"/>
  <c r="I44" i="6"/>
  <c r="I64" i="6" s="1"/>
  <c r="H44" i="6"/>
  <c r="H64" i="6" s="1"/>
  <c r="F44" i="6"/>
  <c r="F64" i="6" s="1"/>
  <c r="E44" i="6"/>
  <c r="E64" i="6" s="1"/>
  <c r="M41" i="6"/>
  <c r="G41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4" i="6"/>
  <c r="G14" i="6"/>
  <c r="K50" i="5" a="1"/>
  <c r="K50" i="5" s="1"/>
  <c r="K49" i="5" a="1"/>
  <c r="K49" i="5" s="1"/>
  <c r="K48" i="5" a="1"/>
  <c r="K48" i="5" s="1"/>
  <c r="K47" i="5" a="1"/>
  <c r="K47" i="5" s="1"/>
  <c r="K46" i="5" a="1"/>
  <c r="K46" i="5" s="1"/>
  <c r="K45" i="5" a="1"/>
  <c r="K45" i="5" s="1"/>
  <c r="K44" i="5" a="1"/>
  <c r="K44" i="5" s="1"/>
  <c r="K43" i="5" a="1"/>
  <c r="K43" i="5" s="1"/>
  <c r="K42" i="5" a="1"/>
  <c r="K42" i="5" s="1"/>
  <c r="K41" i="5" a="1"/>
  <c r="K41" i="5" s="1"/>
  <c r="K40" i="5" a="1"/>
  <c r="K40" i="5" s="1"/>
  <c r="K39" i="5" a="1"/>
  <c r="K39" i="5" s="1"/>
  <c r="K38" i="5" a="1"/>
  <c r="K38" i="5" s="1"/>
  <c r="K37" i="5" a="1"/>
  <c r="K37" i="5" s="1"/>
  <c r="K36" i="5" a="1"/>
  <c r="K36" i="5" s="1"/>
  <c r="K35" i="5" a="1"/>
  <c r="K35" i="5" s="1"/>
  <c r="K34" i="5" a="1"/>
  <c r="K34" i="5" s="1"/>
  <c r="K33" i="5" a="1"/>
  <c r="K33" i="5" s="1"/>
  <c r="K32" i="5" a="1"/>
  <c r="K32" i="5" s="1"/>
  <c r="K31" i="5" a="1"/>
  <c r="K31" i="5" s="1"/>
  <c r="G56" i="5"/>
  <c r="G57" i="5"/>
  <c r="G58" i="5"/>
  <c r="G59" i="5"/>
  <c r="G60" i="5"/>
  <c r="G61" i="5"/>
  <c r="G62" i="5"/>
  <c r="G63" i="5"/>
  <c r="G64" i="5"/>
  <c r="G65" i="5"/>
  <c r="G66" i="5"/>
  <c r="H66" i="5" s="1"/>
  <c r="G67" i="5"/>
  <c r="I67" i="5" s="1"/>
  <c r="G68" i="5"/>
  <c r="H68" i="5" s="1"/>
  <c r="G69" i="5"/>
  <c r="I69" i="5" s="1"/>
  <c r="G70" i="5"/>
  <c r="H70" i="5" s="1"/>
  <c r="G71" i="5"/>
  <c r="I71" i="5" s="1"/>
  <c r="G72" i="5"/>
  <c r="H72" i="5" s="1"/>
  <c r="G73" i="5"/>
  <c r="I73" i="5" s="1"/>
  <c r="G74" i="5"/>
  <c r="H74" i="5" s="1"/>
  <c r="G75" i="5"/>
  <c r="I75" i="5" s="1"/>
  <c r="G3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O25" i="5"/>
  <c r="Q25" i="5" s="1"/>
  <c r="O24" i="5"/>
  <c r="Q24" i="5" s="1"/>
  <c r="H24" i="5"/>
  <c r="G24" i="5"/>
  <c r="O23" i="5"/>
  <c r="Q23" i="5" s="1"/>
  <c r="O22" i="5"/>
  <c r="P22" i="5" s="1"/>
  <c r="O21" i="5"/>
  <c r="Q21" i="5" s="1"/>
  <c r="O20" i="5"/>
  <c r="P20" i="5" s="1"/>
  <c r="O19" i="5"/>
  <c r="Q19" i="5" s="1"/>
  <c r="O18" i="5"/>
  <c r="P18" i="5" s="1"/>
  <c r="O17" i="5"/>
  <c r="Q17" i="5" s="1"/>
  <c r="H17" i="5"/>
  <c r="G17" i="5"/>
  <c r="O16" i="5"/>
  <c r="Q16" i="5" s="1"/>
  <c r="O15" i="5"/>
  <c r="Q15" i="5" s="1"/>
  <c r="O14" i="5"/>
  <c r="Q14" i="5" s="1"/>
  <c r="O13" i="5"/>
  <c r="Q13" i="5" s="1"/>
  <c r="O12" i="5"/>
  <c r="Q12" i="5" s="1"/>
  <c r="O11" i="5"/>
  <c r="Q11" i="5" s="1"/>
  <c r="O10" i="5"/>
  <c r="Q10" i="5" s="1"/>
  <c r="H10" i="5"/>
  <c r="G10" i="5"/>
  <c r="O9" i="5"/>
  <c r="Q9" i="5" s="1"/>
  <c r="O8" i="5"/>
  <c r="Q8" i="5" s="1"/>
  <c r="O7" i="5"/>
  <c r="Q7" i="5" s="1"/>
  <c r="O6" i="5"/>
  <c r="Q6" i="5" s="1"/>
  <c r="O198" i="4"/>
  <c r="N198" i="4"/>
  <c r="L198" i="4"/>
  <c r="K198" i="4"/>
  <c r="I198" i="4"/>
  <c r="H198" i="4"/>
  <c r="F198" i="4"/>
  <c r="E198" i="4"/>
  <c r="O197" i="4"/>
  <c r="N197" i="4"/>
  <c r="L197" i="4"/>
  <c r="K197" i="4"/>
  <c r="I197" i="4"/>
  <c r="H197" i="4"/>
  <c r="F197" i="4"/>
  <c r="E197" i="4"/>
  <c r="O196" i="4"/>
  <c r="N196" i="4"/>
  <c r="L196" i="4"/>
  <c r="K196" i="4"/>
  <c r="I196" i="4"/>
  <c r="H196" i="4"/>
  <c r="F196" i="4"/>
  <c r="E196" i="4"/>
  <c r="O195" i="4"/>
  <c r="N195" i="4"/>
  <c r="L195" i="4"/>
  <c r="K195" i="4"/>
  <c r="I195" i="4"/>
  <c r="H195" i="4"/>
  <c r="F195" i="4"/>
  <c r="E195" i="4"/>
  <c r="O194" i="4"/>
  <c r="N194" i="4"/>
  <c r="L194" i="4"/>
  <c r="K194" i="4"/>
  <c r="I194" i="4"/>
  <c r="H194" i="4"/>
  <c r="F194" i="4"/>
  <c r="E194" i="4"/>
  <c r="O193" i="4"/>
  <c r="N193" i="4"/>
  <c r="L193" i="4"/>
  <c r="K193" i="4"/>
  <c r="I193" i="4"/>
  <c r="H193" i="4"/>
  <c r="F193" i="4"/>
  <c r="E193" i="4"/>
  <c r="O192" i="4"/>
  <c r="N192" i="4"/>
  <c r="L192" i="4"/>
  <c r="K192" i="4"/>
  <c r="I192" i="4"/>
  <c r="H192" i="4"/>
  <c r="F192" i="4"/>
  <c r="E192" i="4"/>
  <c r="O191" i="4"/>
  <c r="N191" i="4"/>
  <c r="L191" i="4"/>
  <c r="K191" i="4"/>
  <c r="I191" i="4"/>
  <c r="H191" i="4"/>
  <c r="F191" i="4"/>
  <c r="E191" i="4"/>
  <c r="O190" i="4"/>
  <c r="N190" i="4"/>
  <c r="L190" i="4"/>
  <c r="K190" i="4"/>
  <c r="I190" i="4"/>
  <c r="H190" i="4"/>
  <c r="F190" i="4"/>
  <c r="E190" i="4"/>
  <c r="O189" i="4"/>
  <c r="N189" i="4"/>
  <c r="L189" i="4"/>
  <c r="K189" i="4"/>
  <c r="I189" i="4"/>
  <c r="H189" i="4"/>
  <c r="F189" i="4"/>
  <c r="E189" i="4"/>
  <c r="O188" i="4"/>
  <c r="N188" i="4"/>
  <c r="L188" i="4"/>
  <c r="K188" i="4"/>
  <c r="I188" i="4"/>
  <c r="H188" i="4"/>
  <c r="F188" i="4"/>
  <c r="E188" i="4"/>
  <c r="O187" i="4"/>
  <c r="N187" i="4"/>
  <c r="L187" i="4"/>
  <c r="K187" i="4"/>
  <c r="I187" i="4"/>
  <c r="H187" i="4"/>
  <c r="F187" i="4"/>
  <c r="E187" i="4"/>
  <c r="O186" i="4"/>
  <c r="N186" i="4"/>
  <c r="L186" i="4"/>
  <c r="K186" i="4"/>
  <c r="I186" i="4"/>
  <c r="H186" i="4"/>
  <c r="F186" i="4"/>
  <c r="E186" i="4"/>
  <c r="O185" i="4"/>
  <c r="N185" i="4"/>
  <c r="L185" i="4"/>
  <c r="K185" i="4"/>
  <c r="I185" i="4"/>
  <c r="H185" i="4"/>
  <c r="F185" i="4"/>
  <c r="E185" i="4"/>
  <c r="O184" i="4"/>
  <c r="N184" i="4"/>
  <c r="L184" i="4"/>
  <c r="K184" i="4"/>
  <c r="I184" i="4"/>
  <c r="H184" i="4"/>
  <c r="F184" i="4"/>
  <c r="E184" i="4"/>
  <c r="O183" i="4"/>
  <c r="N183" i="4"/>
  <c r="L183" i="4"/>
  <c r="K183" i="4"/>
  <c r="I183" i="4"/>
  <c r="H183" i="4"/>
  <c r="F183" i="4"/>
  <c r="E183" i="4"/>
  <c r="O182" i="4"/>
  <c r="N182" i="4"/>
  <c r="L182" i="4"/>
  <c r="K182" i="4"/>
  <c r="I182" i="4"/>
  <c r="H182" i="4"/>
  <c r="F182" i="4"/>
  <c r="E182" i="4"/>
  <c r="O181" i="4"/>
  <c r="N181" i="4"/>
  <c r="L181" i="4"/>
  <c r="K181" i="4"/>
  <c r="I181" i="4"/>
  <c r="H181" i="4"/>
  <c r="F181" i="4"/>
  <c r="E181" i="4"/>
  <c r="O180" i="4"/>
  <c r="N180" i="4"/>
  <c r="L180" i="4"/>
  <c r="K180" i="4"/>
  <c r="I180" i="4"/>
  <c r="H180" i="4"/>
  <c r="F180" i="4"/>
  <c r="E180" i="4"/>
  <c r="O179" i="4"/>
  <c r="O199" i="4" s="1"/>
  <c r="N179" i="4"/>
  <c r="N199" i="4" s="1"/>
  <c r="L179" i="4"/>
  <c r="L199" i="4" s="1"/>
  <c r="K179" i="4"/>
  <c r="K199" i="4" s="1"/>
  <c r="I179" i="4"/>
  <c r="I199" i="4" s="1"/>
  <c r="H179" i="4"/>
  <c r="H199" i="4" s="1"/>
  <c r="F179" i="4"/>
  <c r="F199" i="4" s="1"/>
  <c r="E179" i="4"/>
  <c r="E199" i="4" s="1"/>
  <c r="M176" i="4"/>
  <c r="G176" i="4"/>
  <c r="O171" i="4"/>
  <c r="N171" i="4"/>
  <c r="L171" i="4"/>
  <c r="K171" i="4"/>
  <c r="I171" i="4"/>
  <c r="H171" i="4"/>
  <c r="F171" i="4"/>
  <c r="E171" i="4"/>
  <c r="O170" i="4"/>
  <c r="N170" i="4"/>
  <c r="L170" i="4"/>
  <c r="K170" i="4"/>
  <c r="I170" i="4"/>
  <c r="H170" i="4"/>
  <c r="F170" i="4"/>
  <c r="E170" i="4"/>
  <c r="O169" i="4"/>
  <c r="N169" i="4"/>
  <c r="L169" i="4"/>
  <c r="K169" i="4"/>
  <c r="I169" i="4"/>
  <c r="H169" i="4"/>
  <c r="F169" i="4"/>
  <c r="E169" i="4"/>
  <c r="O168" i="4"/>
  <c r="N168" i="4"/>
  <c r="L168" i="4"/>
  <c r="K168" i="4"/>
  <c r="I168" i="4"/>
  <c r="H168" i="4"/>
  <c r="F168" i="4"/>
  <c r="E168" i="4"/>
  <c r="O167" i="4"/>
  <c r="N167" i="4"/>
  <c r="L167" i="4"/>
  <c r="K167" i="4"/>
  <c r="I167" i="4"/>
  <c r="H167" i="4"/>
  <c r="F167" i="4"/>
  <c r="E167" i="4"/>
  <c r="O166" i="4"/>
  <c r="N166" i="4"/>
  <c r="L166" i="4"/>
  <c r="K166" i="4"/>
  <c r="I166" i="4"/>
  <c r="H166" i="4"/>
  <c r="F166" i="4"/>
  <c r="E166" i="4"/>
  <c r="O165" i="4"/>
  <c r="N165" i="4"/>
  <c r="L165" i="4"/>
  <c r="K165" i="4"/>
  <c r="I165" i="4"/>
  <c r="H165" i="4"/>
  <c r="F165" i="4"/>
  <c r="E165" i="4"/>
  <c r="O164" i="4"/>
  <c r="N164" i="4"/>
  <c r="L164" i="4"/>
  <c r="K164" i="4"/>
  <c r="I164" i="4"/>
  <c r="H164" i="4"/>
  <c r="F164" i="4"/>
  <c r="E164" i="4"/>
  <c r="O163" i="4"/>
  <c r="N163" i="4"/>
  <c r="L163" i="4"/>
  <c r="K163" i="4"/>
  <c r="I163" i="4"/>
  <c r="H163" i="4"/>
  <c r="F163" i="4"/>
  <c r="E163" i="4"/>
  <c r="O162" i="4"/>
  <c r="N162" i="4"/>
  <c r="L162" i="4"/>
  <c r="K162" i="4"/>
  <c r="I162" i="4"/>
  <c r="H162" i="4"/>
  <c r="F162" i="4"/>
  <c r="E162" i="4"/>
  <c r="O161" i="4"/>
  <c r="N161" i="4"/>
  <c r="L161" i="4"/>
  <c r="K161" i="4"/>
  <c r="I161" i="4"/>
  <c r="H161" i="4"/>
  <c r="F161" i="4"/>
  <c r="E161" i="4"/>
  <c r="O160" i="4"/>
  <c r="N160" i="4"/>
  <c r="L160" i="4"/>
  <c r="K160" i="4"/>
  <c r="I160" i="4"/>
  <c r="H160" i="4"/>
  <c r="F160" i="4"/>
  <c r="E160" i="4"/>
  <c r="O159" i="4"/>
  <c r="N159" i="4"/>
  <c r="L159" i="4"/>
  <c r="K159" i="4"/>
  <c r="I159" i="4"/>
  <c r="H159" i="4"/>
  <c r="F159" i="4"/>
  <c r="E159" i="4"/>
  <c r="O158" i="4"/>
  <c r="N158" i="4"/>
  <c r="L158" i="4"/>
  <c r="K158" i="4"/>
  <c r="I158" i="4"/>
  <c r="H158" i="4"/>
  <c r="F158" i="4"/>
  <c r="E158" i="4"/>
  <c r="O157" i="4"/>
  <c r="N157" i="4"/>
  <c r="L157" i="4"/>
  <c r="K157" i="4"/>
  <c r="I157" i="4"/>
  <c r="H157" i="4"/>
  <c r="F157" i="4"/>
  <c r="E157" i="4"/>
  <c r="O156" i="4"/>
  <c r="N156" i="4"/>
  <c r="L156" i="4"/>
  <c r="K156" i="4"/>
  <c r="I156" i="4"/>
  <c r="H156" i="4"/>
  <c r="F156" i="4"/>
  <c r="E156" i="4"/>
  <c r="O155" i="4"/>
  <c r="N155" i="4"/>
  <c r="L155" i="4"/>
  <c r="K155" i="4"/>
  <c r="I155" i="4"/>
  <c r="H155" i="4"/>
  <c r="F155" i="4"/>
  <c r="E155" i="4"/>
  <c r="O154" i="4"/>
  <c r="N154" i="4"/>
  <c r="L154" i="4"/>
  <c r="K154" i="4"/>
  <c r="I154" i="4"/>
  <c r="H154" i="4"/>
  <c r="F154" i="4"/>
  <c r="E154" i="4"/>
  <c r="O153" i="4"/>
  <c r="N153" i="4"/>
  <c r="L153" i="4"/>
  <c r="K153" i="4"/>
  <c r="I153" i="4"/>
  <c r="H153" i="4"/>
  <c r="F153" i="4"/>
  <c r="E153" i="4"/>
  <c r="O152" i="4"/>
  <c r="O172" i="4" s="1"/>
  <c r="N152" i="4"/>
  <c r="N172" i="4" s="1"/>
  <c r="L152" i="4"/>
  <c r="L172" i="4" s="1"/>
  <c r="K152" i="4"/>
  <c r="K172" i="4" s="1"/>
  <c r="I152" i="4"/>
  <c r="I172" i="4" s="1"/>
  <c r="H152" i="4"/>
  <c r="H172" i="4" s="1"/>
  <c r="F152" i="4"/>
  <c r="F172" i="4" s="1"/>
  <c r="E152" i="4"/>
  <c r="E172" i="4" s="1"/>
  <c r="M149" i="4"/>
  <c r="G149" i="4"/>
  <c r="O144" i="4"/>
  <c r="N144" i="4"/>
  <c r="L144" i="4"/>
  <c r="K144" i="4"/>
  <c r="I144" i="4"/>
  <c r="H144" i="4"/>
  <c r="F144" i="4"/>
  <c r="E144" i="4"/>
  <c r="O143" i="4"/>
  <c r="N143" i="4"/>
  <c r="L143" i="4"/>
  <c r="K143" i="4"/>
  <c r="I143" i="4"/>
  <c r="H143" i="4"/>
  <c r="F143" i="4"/>
  <c r="E143" i="4"/>
  <c r="O142" i="4"/>
  <c r="N142" i="4"/>
  <c r="L142" i="4"/>
  <c r="K142" i="4"/>
  <c r="I142" i="4"/>
  <c r="H142" i="4"/>
  <c r="F142" i="4"/>
  <c r="E142" i="4"/>
  <c r="O141" i="4"/>
  <c r="N141" i="4"/>
  <c r="L141" i="4"/>
  <c r="K141" i="4"/>
  <c r="I141" i="4"/>
  <c r="H141" i="4"/>
  <c r="F141" i="4"/>
  <c r="E141" i="4"/>
  <c r="O140" i="4"/>
  <c r="N140" i="4"/>
  <c r="L140" i="4"/>
  <c r="K140" i="4"/>
  <c r="I140" i="4"/>
  <c r="H140" i="4"/>
  <c r="F140" i="4"/>
  <c r="E140" i="4"/>
  <c r="O139" i="4"/>
  <c r="N139" i="4"/>
  <c r="L139" i="4"/>
  <c r="K139" i="4"/>
  <c r="I139" i="4"/>
  <c r="H139" i="4"/>
  <c r="F139" i="4"/>
  <c r="E139" i="4"/>
  <c r="O138" i="4"/>
  <c r="N138" i="4"/>
  <c r="L138" i="4"/>
  <c r="K138" i="4"/>
  <c r="I138" i="4"/>
  <c r="H138" i="4"/>
  <c r="F138" i="4"/>
  <c r="E138" i="4"/>
  <c r="O137" i="4"/>
  <c r="N137" i="4"/>
  <c r="L137" i="4"/>
  <c r="K137" i="4"/>
  <c r="I137" i="4"/>
  <c r="H137" i="4"/>
  <c r="F137" i="4"/>
  <c r="E137" i="4"/>
  <c r="O136" i="4"/>
  <c r="N136" i="4"/>
  <c r="L136" i="4"/>
  <c r="K136" i="4"/>
  <c r="I136" i="4"/>
  <c r="H136" i="4"/>
  <c r="F136" i="4"/>
  <c r="E136" i="4"/>
  <c r="O135" i="4"/>
  <c r="N135" i="4"/>
  <c r="L135" i="4"/>
  <c r="K135" i="4"/>
  <c r="I135" i="4"/>
  <c r="H135" i="4"/>
  <c r="F135" i="4"/>
  <c r="E135" i="4"/>
  <c r="O134" i="4"/>
  <c r="N134" i="4"/>
  <c r="L134" i="4"/>
  <c r="K134" i="4"/>
  <c r="I134" i="4"/>
  <c r="H134" i="4"/>
  <c r="F134" i="4"/>
  <c r="E134" i="4"/>
  <c r="O133" i="4"/>
  <c r="N133" i="4"/>
  <c r="L133" i="4"/>
  <c r="K133" i="4"/>
  <c r="I133" i="4"/>
  <c r="H133" i="4"/>
  <c r="F133" i="4"/>
  <c r="E133" i="4"/>
  <c r="O132" i="4"/>
  <c r="N132" i="4"/>
  <c r="L132" i="4"/>
  <c r="K132" i="4"/>
  <c r="I132" i="4"/>
  <c r="H132" i="4"/>
  <c r="F132" i="4"/>
  <c r="E132" i="4"/>
  <c r="O131" i="4"/>
  <c r="N131" i="4"/>
  <c r="L131" i="4"/>
  <c r="K131" i="4"/>
  <c r="I131" i="4"/>
  <c r="H131" i="4"/>
  <c r="F131" i="4"/>
  <c r="E131" i="4"/>
  <c r="O130" i="4"/>
  <c r="N130" i="4"/>
  <c r="L130" i="4"/>
  <c r="K130" i="4"/>
  <c r="I130" i="4"/>
  <c r="H130" i="4"/>
  <c r="F130" i="4"/>
  <c r="E130" i="4"/>
  <c r="O129" i="4"/>
  <c r="N129" i="4"/>
  <c r="L129" i="4"/>
  <c r="K129" i="4"/>
  <c r="I129" i="4"/>
  <c r="H129" i="4"/>
  <c r="F129" i="4"/>
  <c r="E129" i="4"/>
  <c r="O128" i="4"/>
  <c r="N128" i="4"/>
  <c r="L128" i="4"/>
  <c r="K128" i="4"/>
  <c r="I128" i="4"/>
  <c r="H128" i="4"/>
  <c r="F128" i="4"/>
  <c r="E128" i="4"/>
  <c r="O127" i="4"/>
  <c r="N127" i="4"/>
  <c r="L127" i="4"/>
  <c r="K127" i="4"/>
  <c r="I127" i="4"/>
  <c r="H127" i="4"/>
  <c r="F127" i="4"/>
  <c r="E127" i="4"/>
  <c r="O126" i="4"/>
  <c r="N126" i="4"/>
  <c r="L126" i="4"/>
  <c r="K126" i="4"/>
  <c r="I126" i="4"/>
  <c r="H126" i="4"/>
  <c r="F126" i="4"/>
  <c r="E126" i="4"/>
  <c r="O125" i="4"/>
  <c r="O145" i="4" s="1"/>
  <c r="N125" i="4"/>
  <c r="N145" i="4" s="1"/>
  <c r="L125" i="4"/>
  <c r="L145" i="4" s="1"/>
  <c r="K125" i="4"/>
  <c r="K145" i="4" s="1"/>
  <c r="I125" i="4"/>
  <c r="I145" i="4" s="1"/>
  <c r="H125" i="4"/>
  <c r="H145" i="4" s="1"/>
  <c r="F125" i="4"/>
  <c r="F145" i="4" s="1"/>
  <c r="E125" i="4"/>
  <c r="E145" i="4" s="1"/>
  <c r="M122" i="4"/>
  <c r="G122" i="4"/>
  <c r="O117" i="4"/>
  <c r="N117" i="4"/>
  <c r="L117" i="4"/>
  <c r="K117" i="4"/>
  <c r="I117" i="4"/>
  <c r="H117" i="4"/>
  <c r="F117" i="4"/>
  <c r="E117" i="4"/>
  <c r="O116" i="4"/>
  <c r="N116" i="4"/>
  <c r="L116" i="4"/>
  <c r="K116" i="4"/>
  <c r="I116" i="4"/>
  <c r="H116" i="4"/>
  <c r="F116" i="4"/>
  <c r="E116" i="4"/>
  <c r="O115" i="4"/>
  <c r="N115" i="4"/>
  <c r="L115" i="4"/>
  <c r="K115" i="4"/>
  <c r="I115" i="4"/>
  <c r="H115" i="4"/>
  <c r="F115" i="4"/>
  <c r="E115" i="4"/>
  <c r="O114" i="4"/>
  <c r="N114" i="4"/>
  <c r="L114" i="4"/>
  <c r="K114" i="4"/>
  <c r="I114" i="4"/>
  <c r="H114" i="4"/>
  <c r="F114" i="4"/>
  <c r="E114" i="4"/>
  <c r="O113" i="4"/>
  <c r="N113" i="4"/>
  <c r="L113" i="4"/>
  <c r="K113" i="4"/>
  <c r="I113" i="4"/>
  <c r="H113" i="4"/>
  <c r="F113" i="4"/>
  <c r="E113" i="4"/>
  <c r="O112" i="4"/>
  <c r="N112" i="4"/>
  <c r="L112" i="4"/>
  <c r="K112" i="4"/>
  <c r="I112" i="4"/>
  <c r="H112" i="4"/>
  <c r="F112" i="4"/>
  <c r="E112" i="4"/>
  <c r="O111" i="4"/>
  <c r="N111" i="4"/>
  <c r="L111" i="4"/>
  <c r="K111" i="4"/>
  <c r="I111" i="4"/>
  <c r="H111" i="4"/>
  <c r="F111" i="4"/>
  <c r="E111" i="4"/>
  <c r="O110" i="4"/>
  <c r="N110" i="4"/>
  <c r="L110" i="4"/>
  <c r="K110" i="4"/>
  <c r="I110" i="4"/>
  <c r="H110" i="4"/>
  <c r="F110" i="4"/>
  <c r="E110" i="4"/>
  <c r="O109" i="4"/>
  <c r="N109" i="4"/>
  <c r="L109" i="4"/>
  <c r="K109" i="4"/>
  <c r="I109" i="4"/>
  <c r="H109" i="4"/>
  <c r="F109" i="4"/>
  <c r="E109" i="4"/>
  <c r="O108" i="4"/>
  <c r="N108" i="4"/>
  <c r="L108" i="4"/>
  <c r="K108" i="4"/>
  <c r="I108" i="4"/>
  <c r="H108" i="4"/>
  <c r="F108" i="4"/>
  <c r="E108" i="4"/>
  <c r="O107" i="4"/>
  <c r="N107" i="4"/>
  <c r="L107" i="4"/>
  <c r="K107" i="4"/>
  <c r="I107" i="4"/>
  <c r="H107" i="4"/>
  <c r="F107" i="4"/>
  <c r="E107" i="4"/>
  <c r="O106" i="4"/>
  <c r="N106" i="4"/>
  <c r="L106" i="4"/>
  <c r="K106" i="4"/>
  <c r="I106" i="4"/>
  <c r="H106" i="4"/>
  <c r="F106" i="4"/>
  <c r="E106" i="4"/>
  <c r="O105" i="4"/>
  <c r="N105" i="4"/>
  <c r="L105" i="4"/>
  <c r="K105" i="4"/>
  <c r="I105" i="4"/>
  <c r="H105" i="4"/>
  <c r="F105" i="4"/>
  <c r="E105" i="4"/>
  <c r="O104" i="4"/>
  <c r="N104" i="4"/>
  <c r="L104" i="4"/>
  <c r="K104" i="4"/>
  <c r="I104" i="4"/>
  <c r="H104" i="4"/>
  <c r="F104" i="4"/>
  <c r="E104" i="4"/>
  <c r="O103" i="4"/>
  <c r="N103" i="4"/>
  <c r="L103" i="4"/>
  <c r="K103" i="4"/>
  <c r="I103" i="4"/>
  <c r="H103" i="4"/>
  <c r="F103" i="4"/>
  <c r="E103" i="4"/>
  <c r="O102" i="4"/>
  <c r="N102" i="4"/>
  <c r="L102" i="4"/>
  <c r="K102" i="4"/>
  <c r="I102" i="4"/>
  <c r="H102" i="4"/>
  <c r="F102" i="4"/>
  <c r="E102" i="4"/>
  <c r="O101" i="4"/>
  <c r="N101" i="4"/>
  <c r="L101" i="4"/>
  <c r="K101" i="4"/>
  <c r="I101" i="4"/>
  <c r="H101" i="4"/>
  <c r="F101" i="4"/>
  <c r="E101" i="4"/>
  <c r="O100" i="4"/>
  <c r="N100" i="4"/>
  <c r="L100" i="4"/>
  <c r="K100" i="4"/>
  <c r="I100" i="4"/>
  <c r="H100" i="4"/>
  <c r="F100" i="4"/>
  <c r="E100" i="4"/>
  <c r="O99" i="4"/>
  <c r="N99" i="4"/>
  <c r="L99" i="4"/>
  <c r="K99" i="4"/>
  <c r="I99" i="4"/>
  <c r="H99" i="4"/>
  <c r="F99" i="4"/>
  <c r="E99" i="4"/>
  <c r="O98" i="4"/>
  <c r="O118" i="4" s="1"/>
  <c r="N98" i="4"/>
  <c r="N118" i="4" s="1"/>
  <c r="L98" i="4"/>
  <c r="L118" i="4" s="1"/>
  <c r="K98" i="4"/>
  <c r="K118" i="4" s="1"/>
  <c r="I98" i="4"/>
  <c r="I118" i="4" s="1"/>
  <c r="H98" i="4"/>
  <c r="H118" i="4" s="1"/>
  <c r="F98" i="4"/>
  <c r="F118" i="4" s="1"/>
  <c r="E98" i="4"/>
  <c r="E118" i="4" s="1"/>
  <c r="M95" i="4"/>
  <c r="G95" i="4"/>
  <c r="O90" i="4"/>
  <c r="N90" i="4"/>
  <c r="L90" i="4"/>
  <c r="K90" i="4"/>
  <c r="I90" i="4"/>
  <c r="H90" i="4"/>
  <c r="F90" i="4"/>
  <c r="E90" i="4"/>
  <c r="O89" i="4"/>
  <c r="N89" i="4"/>
  <c r="L89" i="4"/>
  <c r="K89" i="4"/>
  <c r="I89" i="4"/>
  <c r="H89" i="4"/>
  <c r="F89" i="4"/>
  <c r="E89" i="4"/>
  <c r="O88" i="4"/>
  <c r="N88" i="4"/>
  <c r="L88" i="4"/>
  <c r="K88" i="4"/>
  <c r="I88" i="4"/>
  <c r="H88" i="4"/>
  <c r="F88" i="4"/>
  <c r="E88" i="4"/>
  <c r="O87" i="4"/>
  <c r="N87" i="4"/>
  <c r="L87" i="4"/>
  <c r="K87" i="4"/>
  <c r="I87" i="4"/>
  <c r="H87" i="4"/>
  <c r="F87" i="4"/>
  <c r="E87" i="4"/>
  <c r="O86" i="4"/>
  <c r="N86" i="4"/>
  <c r="L86" i="4"/>
  <c r="K86" i="4"/>
  <c r="I86" i="4"/>
  <c r="H86" i="4"/>
  <c r="F86" i="4"/>
  <c r="E86" i="4"/>
  <c r="O85" i="4"/>
  <c r="N85" i="4"/>
  <c r="L85" i="4"/>
  <c r="K85" i="4"/>
  <c r="I85" i="4"/>
  <c r="H85" i="4"/>
  <c r="F85" i="4"/>
  <c r="E85" i="4"/>
  <c r="O84" i="4"/>
  <c r="N84" i="4"/>
  <c r="L84" i="4"/>
  <c r="K84" i="4"/>
  <c r="I84" i="4"/>
  <c r="H84" i="4"/>
  <c r="F84" i="4"/>
  <c r="E84" i="4"/>
  <c r="O83" i="4"/>
  <c r="N83" i="4"/>
  <c r="L83" i="4"/>
  <c r="K83" i="4"/>
  <c r="I83" i="4"/>
  <c r="H83" i="4"/>
  <c r="F83" i="4"/>
  <c r="E83" i="4"/>
  <c r="O82" i="4"/>
  <c r="N82" i="4"/>
  <c r="L82" i="4"/>
  <c r="K82" i="4"/>
  <c r="I82" i="4"/>
  <c r="H82" i="4"/>
  <c r="F82" i="4"/>
  <c r="E82" i="4"/>
  <c r="O81" i="4"/>
  <c r="N81" i="4"/>
  <c r="L81" i="4"/>
  <c r="K81" i="4"/>
  <c r="I81" i="4"/>
  <c r="H81" i="4"/>
  <c r="F81" i="4"/>
  <c r="E81" i="4"/>
  <c r="O80" i="4"/>
  <c r="N80" i="4"/>
  <c r="L80" i="4"/>
  <c r="K80" i="4"/>
  <c r="I80" i="4"/>
  <c r="H80" i="4"/>
  <c r="F80" i="4"/>
  <c r="E80" i="4"/>
  <c r="O79" i="4"/>
  <c r="N79" i="4"/>
  <c r="L79" i="4"/>
  <c r="K79" i="4"/>
  <c r="I79" i="4"/>
  <c r="H79" i="4"/>
  <c r="F79" i="4"/>
  <c r="E79" i="4"/>
  <c r="O78" i="4"/>
  <c r="N78" i="4"/>
  <c r="L78" i="4"/>
  <c r="K78" i="4"/>
  <c r="I78" i="4"/>
  <c r="H78" i="4"/>
  <c r="F78" i="4"/>
  <c r="E78" i="4"/>
  <c r="O77" i="4"/>
  <c r="N77" i="4"/>
  <c r="L77" i="4"/>
  <c r="K77" i="4"/>
  <c r="I77" i="4"/>
  <c r="H77" i="4"/>
  <c r="F77" i="4"/>
  <c r="E77" i="4"/>
  <c r="O76" i="4"/>
  <c r="N76" i="4"/>
  <c r="L76" i="4"/>
  <c r="K76" i="4"/>
  <c r="I76" i="4"/>
  <c r="H76" i="4"/>
  <c r="F76" i="4"/>
  <c r="E76" i="4"/>
  <c r="O75" i="4"/>
  <c r="N75" i="4"/>
  <c r="L75" i="4"/>
  <c r="K75" i="4"/>
  <c r="I75" i="4"/>
  <c r="H75" i="4"/>
  <c r="F75" i="4"/>
  <c r="E75" i="4"/>
  <c r="O74" i="4"/>
  <c r="N74" i="4"/>
  <c r="L74" i="4"/>
  <c r="K74" i="4"/>
  <c r="I74" i="4"/>
  <c r="H74" i="4"/>
  <c r="F74" i="4"/>
  <c r="E74" i="4"/>
  <c r="O73" i="4"/>
  <c r="N73" i="4"/>
  <c r="L73" i="4"/>
  <c r="K73" i="4"/>
  <c r="I73" i="4"/>
  <c r="H73" i="4"/>
  <c r="F73" i="4"/>
  <c r="E73" i="4"/>
  <c r="O72" i="4"/>
  <c r="N72" i="4"/>
  <c r="L72" i="4"/>
  <c r="K72" i="4"/>
  <c r="I72" i="4"/>
  <c r="H72" i="4"/>
  <c r="F72" i="4"/>
  <c r="E72" i="4"/>
  <c r="O71" i="4"/>
  <c r="O91" i="4" s="1"/>
  <c r="N71" i="4"/>
  <c r="N91" i="4" s="1"/>
  <c r="L71" i="4"/>
  <c r="L91" i="4" s="1"/>
  <c r="K71" i="4"/>
  <c r="K91" i="4" s="1"/>
  <c r="I71" i="4"/>
  <c r="I91" i="4" s="1"/>
  <c r="H71" i="4"/>
  <c r="H91" i="4" s="1"/>
  <c r="F71" i="4"/>
  <c r="F91" i="4" s="1"/>
  <c r="E71" i="4"/>
  <c r="E91" i="4" s="1"/>
  <c r="M68" i="4"/>
  <c r="G68" i="4"/>
  <c r="O63" i="4"/>
  <c r="N63" i="4"/>
  <c r="L63" i="4"/>
  <c r="K63" i="4"/>
  <c r="I63" i="4"/>
  <c r="H63" i="4"/>
  <c r="F63" i="4"/>
  <c r="E63" i="4"/>
  <c r="O62" i="4"/>
  <c r="N62" i="4"/>
  <c r="L62" i="4"/>
  <c r="K62" i="4"/>
  <c r="I62" i="4"/>
  <c r="H62" i="4"/>
  <c r="F62" i="4"/>
  <c r="E62" i="4"/>
  <c r="O61" i="4"/>
  <c r="N61" i="4"/>
  <c r="L61" i="4"/>
  <c r="K61" i="4"/>
  <c r="I61" i="4"/>
  <c r="H61" i="4"/>
  <c r="F61" i="4"/>
  <c r="E61" i="4"/>
  <c r="O60" i="4"/>
  <c r="N60" i="4"/>
  <c r="L60" i="4"/>
  <c r="K60" i="4"/>
  <c r="I60" i="4"/>
  <c r="H60" i="4"/>
  <c r="F60" i="4"/>
  <c r="E60" i="4"/>
  <c r="O59" i="4"/>
  <c r="N59" i="4"/>
  <c r="L59" i="4"/>
  <c r="K59" i="4"/>
  <c r="I59" i="4"/>
  <c r="H59" i="4"/>
  <c r="F59" i="4"/>
  <c r="E59" i="4"/>
  <c r="O58" i="4"/>
  <c r="N58" i="4"/>
  <c r="L58" i="4"/>
  <c r="K58" i="4"/>
  <c r="I58" i="4"/>
  <c r="H58" i="4"/>
  <c r="F58" i="4"/>
  <c r="E58" i="4"/>
  <c r="O57" i="4"/>
  <c r="N57" i="4"/>
  <c r="L57" i="4"/>
  <c r="K57" i="4"/>
  <c r="I57" i="4"/>
  <c r="H57" i="4"/>
  <c r="F57" i="4"/>
  <c r="E57" i="4"/>
  <c r="O56" i="4"/>
  <c r="N56" i="4"/>
  <c r="L56" i="4"/>
  <c r="K56" i="4"/>
  <c r="I56" i="4"/>
  <c r="H56" i="4"/>
  <c r="F56" i="4"/>
  <c r="E56" i="4"/>
  <c r="O55" i="4"/>
  <c r="N55" i="4"/>
  <c r="L55" i="4"/>
  <c r="K55" i="4"/>
  <c r="I55" i="4"/>
  <c r="H55" i="4"/>
  <c r="F55" i="4"/>
  <c r="E55" i="4"/>
  <c r="O54" i="4"/>
  <c r="N54" i="4"/>
  <c r="L54" i="4"/>
  <c r="K54" i="4"/>
  <c r="I54" i="4"/>
  <c r="H54" i="4"/>
  <c r="F54" i="4"/>
  <c r="E54" i="4"/>
  <c r="O53" i="4"/>
  <c r="N53" i="4"/>
  <c r="L53" i="4"/>
  <c r="K53" i="4"/>
  <c r="I53" i="4"/>
  <c r="H53" i="4"/>
  <c r="F53" i="4"/>
  <c r="E53" i="4"/>
  <c r="O52" i="4"/>
  <c r="N52" i="4"/>
  <c r="L52" i="4"/>
  <c r="K52" i="4"/>
  <c r="I52" i="4"/>
  <c r="H52" i="4"/>
  <c r="F52" i="4"/>
  <c r="E52" i="4"/>
  <c r="O51" i="4"/>
  <c r="N51" i="4"/>
  <c r="L51" i="4"/>
  <c r="K51" i="4"/>
  <c r="I51" i="4"/>
  <c r="H51" i="4"/>
  <c r="F51" i="4"/>
  <c r="E51" i="4"/>
  <c r="O50" i="4"/>
  <c r="N50" i="4"/>
  <c r="L50" i="4"/>
  <c r="K50" i="4"/>
  <c r="I50" i="4"/>
  <c r="H50" i="4"/>
  <c r="F50" i="4"/>
  <c r="E50" i="4"/>
  <c r="O49" i="4"/>
  <c r="N49" i="4"/>
  <c r="L49" i="4"/>
  <c r="K49" i="4"/>
  <c r="I49" i="4"/>
  <c r="H49" i="4"/>
  <c r="F49" i="4"/>
  <c r="E49" i="4"/>
  <c r="O48" i="4"/>
  <c r="N48" i="4"/>
  <c r="L48" i="4"/>
  <c r="K48" i="4"/>
  <c r="I48" i="4"/>
  <c r="H48" i="4"/>
  <c r="F48" i="4"/>
  <c r="E48" i="4"/>
  <c r="O47" i="4"/>
  <c r="N47" i="4"/>
  <c r="L47" i="4"/>
  <c r="K47" i="4"/>
  <c r="I47" i="4"/>
  <c r="H47" i="4"/>
  <c r="F47" i="4"/>
  <c r="E47" i="4"/>
  <c r="O46" i="4"/>
  <c r="N46" i="4"/>
  <c r="L46" i="4"/>
  <c r="K46" i="4"/>
  <c r="I46" i="4"/>
  <c r="H46" i="4"/>
  <c r="F46" i="4"/>
  <c r="E46" i="4"/>
  <c r="O45" i="4"/>
  <c r="N45" i="4"/>
  <c r="L45" i="4"/>
  <c r="K45" i="4"/>
  <c r="I45" i="4"/>
  <c r="H45" i="4"/>
  <c r="F45" i="4"/>
  <c r="E45" i="4"/>
  <c r="O44" i="4"/>
  <c r="O64" i="4" s="1"/>
  <c r="N44" i="4"/>
  <c r="N64" i="4" s="1"/>
  <c r="L44" i="4"/>
  <c r="L64" i="4" s="1"/>
  <c r="K44" i="4"/>
  <c r="K64" i="4" s="1"/>
  <c r="I44" i="4"/>
  <c r="I64" i="4" s="1"/>
  <c r="H44" i="4"/>
  <c r="H64" i="4" s="1"/>
  <c r="F44" i="4"/>
  <c r="F64" i="4" s="1"/>
  <c r="E44" i="4"/>
  <c r="E64" i="4" s="1"/>
  <c r="M41" i="4"/>
  <c r="G41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M14" i="4"/>
  <c r="G14" i="4"/>
  <c r="O25" i="3"/>
  <c r="P25" i="3" s="1"/>
  <c r="O24" i="3"/>
  <c r="P24" i="3" s="1"/>
  <c r="O23" i="3"/>
  <c r="Q23" i="3" s="1"/>
  <c r="O22" i="3"/>
  <c r="P22" i="3" s="1"/>
  <c r="O21" i="3"/>
  <c r="P21" i="3" s="1"/>
  <c r="O20" i="3"/>
  <c r="P20" i="3" s="1"/>
  <c r="O19" i="3"/>
  <c r="P19" i="3" s="1"/>
  <c r="O18" i="3"/>
  <c r="P18" i="3" s="1"/>
  <c r="O17" i="3"/>
  <c r="P17" i="3" s="1"/>
  <c r="O16" i="3"/>
  <c r="P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G9" i="2"/>
  <c r="G7" i="2"/>
  <c r="O198" i="2"/>
  <c r="N198" i="2"/>
  <c r="L198" i="2"/>
  <c r="K198" i="2"/>
  <c r="I198" i="2"/>
  <c r="H198" i="2"/>
  <c r="F198" i="2"/>
  <c r="E198" i="2"/>
  <c r="O197" i="2"/>
  <c r="N197" i="2"/>
  <c r="L197" i="2"/>
  <c r="K197" i="2"/>
  <c r="I197" i="2"/>
  <c r="H197" i="2"/>
  <c r="F197" i="2"/>
  <c r="E197" i="2"/>
  <c r="O196" i="2"/>
  <c r="N196" i="2"/>
  <c r="L196" i="2"/>
  <c r="K196" i="2"/>
  <c r="I196" i="2"/>
  <c r="H196" i="2"/>
  <c r="F196" i="2"/>
  <c r="E196" i="2"/>
  <c r="O195" i="2"/>
  <c r="N195" i="2"/>
  <c r="L195" i="2"/>
  <c r="K195" i="2"/>
  <c r="I195" i="2"/>
  <c r="H195" i="2"/>
  <c r="F195" i="2"/>
  <c r="E195" i="2"/>
  <c r="O194" i="2"/>
  <c r="N194" i="2"/>
  <c r="L194" i="2"/>
  <c r="K194" i="2"/>
  <c r="I194" i="2"/>
  <c r="H194" i="2"/>
  <c r="F194" i="2"/>
  <c r="E194" i="2"/>
  <c r="O193" i="2"/>
  <c r="N193" i="2"/>
  <c r="L193" i="2"/>
  <c r="K193" i="2"/>
  <c r="I193" i="2"/>
  <c r="H193" i="2"/>
  <c r="F193" i="2"/>
  <c r="E193" i="2"/>
  <c r="O192" i="2"/>
  <c r="N192" i="2"/>
  <c r="L192" i="2"/>
  <c r="K192" i="2"/>
  <c r="I192" i="2"/>
  <c r="H192" i="2"/>
  <c r="F192" i="2"/>
  <c r="E192" i="2"/>
  <c r="O191" i="2"/>
  <c r="N191" i="2"/>
  <c r="L191" i="2"/>
  <c r="K191" i="2"/>
  <c r="I191" i="2"/>
  <c r="H191" i="2"/>
  <c r="F191" i="2"/>
  <c r="E191" i="2"/>
  <c r="O190" i="2"/>
  <c r="N190" i="2"/>
  <c r="L190" i="2"/>
  <c r="K190" i="2"/>
  <c r="I190" i="2"/>
  <c r="H190" i="2"/>
  <c r="F190" i="2"/>
  <c r="E190" i="2"/>
  <c r="O189" i="2"/>
  <c r="N189" i="2"/>
  <c r="L189" i="2"/>
  <c r="K189" i="2"/>
  <c r="I189" i="2"/>
  <c r="H189" i="2"/>
  <c r="F189" i="2"/>
  <c r="E189" i="2"/>
  <c r="O188" i="2"/>
  <c r="N188" i="2"/>
  <c r="L188" i="2"/>
  <c r="K188" i="2"/>
  <c r="I188" i="2"/>
  <c r="H188" i="2"/>
  <c r="F188" i="2"/>
  <c r="E188" i="2"/>
  <c r="O187" i="2"/>
  <c r="N187" i="2"/>
  <c r="L187" i="2"/>
  <c r="K187" i="2"/>
  <c r="I187" i="2"/>
  <c r="H187" i="2"/>
  <c r="F187" i="2"/>
  <c r="E187" i="2"/>
  <c r="O186" i="2"/>
  <c r="N186" i="2"/>
  <c r="L186" i="2"/>
  <c r="K186" i="2"/>
  <c r="I186" i="2"/>
  <c r="H186" i="2"/>
  <c r="F186" i="2"/>
  <c r="E186" i="2"/>
  <c r="O185" i="2"/>
  <c r="N185" i="2"/>
  <c r="L185" i="2"/>
  <c r="K185" i="2"/>
  <c r="I185" i="2"/>
  <c r="H185" i="2"/>
  <c r="F185" i="2"/>
  <c r="E185" i="2"/>
  <c r="O184" i="2"/>
  <c r="N184" i="2"/>
  <c r="L184" i="2"/>
  <c r="K184" i="2"/>
  <c r="I184" i="2"/>
  <c r="H184" i="2"/>
  <c r="F184" i="2"/>
  <c r="E184" i="2"/>
  <c r="O183" i="2"/>
  <c r="N183" i="2"/>
  <c r="L183" i="2"/>
  <c r="K183" i="2"/>
  <c r="I183" i="2"/>
  <c r="H183" i="2"/>
  <c r="F183" i="2"/>
  <c r="E183" i="2"/>
  <c r="O182" i="2"/>
  <c r="N182" i="2"/>
  <c r="L182" i="2"/>
  <c r="K182" i="2"/>
  <c r="I182" i="2"/>
  <c r="H182" i="2"/>
  <c r="F182" i="2"/>
  <c r="E182" i="2"/>
  <c r="O181" i="2"/>
  <c r="N181" i="2"/>
  <c r="L181" i="2"/>
  <c r="K181" i="2"/>
  <c r="I181" i="2"/>
  <c r="H181" i="2"/>
  <c r="F181" i="2"/>
  <c r="E181" i="2"/>
  <c r="O180" i="2"/>
  <c r="N180" i="2"/>
  <c r="L180" i="2"/>
  <c r="K180" i="2"/>
  <c r="I180" i="2"/>
  <c r="H180" i="2"/>
  <c r="F180" i="2"/>
  <c r="E180" i="2"/>
  <c r="O179" i="2"/>
  <c r="O199" i="2" s="1"/>
  <c r="N179" i="2"/>
  <c r="N199" i="2" s="1"/>
  <c r="L179" i="2"/>
  <c r="L199" i="2" s="1"/>
  <c r="K179" i="2"/>
  <c r="K199" i="2" s="1"/>
  <c r="I179" i="2"/>
  <c r="I199" i="2" s="1"/>
  <c r="H179" i="2"/>
  <c r="H199" i="2" s="1"/>
  <c r="F179" i="2"/>
  <c r="F199" i="2" s="1"/>
  <c r="E179" i="2"/>
  <c r="E199" i="2" s="1"/>
  <c r="M176" i="2"/>
  <c r="G176" i="2"/>
  <c r="O171" i="2"/>
  <c r="N171" i="2"/>
  <c r="L171" i="2"/>
  <c r="K171" i="2"/>
  <c r="I171" i="2"/>
  <c r="H171" i="2"/>
  <c r="F171" i="2"/>
  <c r="E171" i="2"/>
  <c r="O170" i="2"/>
  <c r="N170" i="2"/>
  <c r="L170" i="2"/>
  <c r="K170" i="2"/>
  <c r="I170" i="2"/>
  <c r="H170" i="2"/>
  <c r="F170" i="2"/>
  <c r="E170" i="2"/>
  <c r="O169" i="2"/>
  <c r="N169" i="2"/>
  <c r="L169" i="2"/>
  <c r="K169" i="2"/>
  <c r="I169" i="2"/>
  <c r="H169" i="2"/>
  <c r="F169" i="2"/>
  <c r="E169" i="2"/>
  <c r="O168" i="2"/>
  <c r="N168" i="2"/>
  <c r="L168" i="2"/>
  <c r="K168" i="2"/>
  <c r="I168" i="2"/>
  <c r="H168" i="2"/>
  <c r="F168" i="2"/>
  <c r="E168" i="2"/>
  <c r="O167" i="2"/>
  <c r="N167" i="2"/>
  <c r="L167" i="2"/>
  <c r="K167" i="2"/>
  <c r="I167" i="2"/>
  <c r="H167" i="2"/>
  <c r="F167" i="2"/>
  <c r="E167" i="2"/>
  <c r="O166" i="2"/>
  <c r="N166" i="2"/>
  <c r="L166" i="2"/>
  <c r="K166" i="2"/>
  <c r="I166" i="2"/>
  <c r="H166" i="2"/>
  <c r="F166" i="2"/>
  <c r="E166" i="2"/>
  <c r="O165" i="2"/>
  <c r="N165" i="2"/>
  <c r="L165" i="2"/>
  <c r="K165" i="2"/>
  <c r="I165" i="2"/>
  <c r="H165" i="2"/>
  <c r="F165" i="2"/>
  <c r="E165" i="2"/>
  <c r="O164" i="2"/>
  <c r="N164" i="2"/>
  <c r="L164" i="2"/>
  <c r="K164" i="2"/>
  <c r="I164" i="2"/>
  <c r="H164" i="2"/>
  <c r="F164" i="2"/>
  <c r="E164" i="2"/>
  <c r="O163" i="2"/>
  <c r="N163" i="2"/>
  <c r="L163" i="2"/>
  <c r="K163" i="2"/>
  <c r="I163" i="2"/>
  <c r="H163" i="2"/>
  <c r="F163" i="2"/>
  <c r="E163" i="2"/>
  <c r="O162" i="2"/>
  <c r="N162" i="2"/>
  <c r="L162" i="2"/>
  <c r="K162" i="2"/>
  <c r="I162" i="2"/>
  <c r="H162" i="2"/>
  <c r="F162" i="2"/>
  <c r="E162" i="2"/>
  <c r="O161" i="2"/>
  <c r="N161" i="2"/>
  <c r="L161" i="2"/>
  <c r="K161" i="2"/>
  <c r="I161" i="2"/>
  <c r="H161" i="2"/>
  <c r="F161" i="2"/>
  <c r="E161" i="2"/>
  <c r="O160" i="2"/>
  <c r="N160" i="2"/>
  <c r="L160" i="2"/>
  <c r="K160" i="2"/>
  <c r="I160" i="2"/>
  <c r="H160" i="2"/>
  <c r="F160" i="2"/>
  <c r="E160" i="2"/>
  <c r="O159" i="2"/>
  <c r="N159" i="2"/>
  <c r="L159" i="2"/>
  <c r="K159" i="2"/>
  <c r="I159" i="2"/>
  <c r="H159" i="2"/>
  <c r="F159" i="2"/>
  <c r="E159" i="2"/>
  <c r="O158" i="2"/>
  <c r="N158" i="2"/>
  <c r="L158" i="2"/>
  <c r="K158" i="2"/>
  <c r="I158" i="2"/>
  <c r="H158" i="2"/>
  <c r="F158" i="2"/>
  <c r="E158" i="2"/>
  <c r="O157" i="2"/>
  <c r="N157" i="2"/>
  <c r="L157" i="2"/>
  <c r="K157" i="2"/>
  <c r="I157" i="2"/>
  <c r="H157" i="2"/>
  <c r="F157" i="2"/>
  <c r="E157" i="2"/>
  <c r="O156" i="2"/>
  <c r="N156" i="2"/>
  <c r="L156" i="2"/>
  <c r="K156" i="2"/>
  <c r="I156" i="2"/>
  <c r="H156" i="2"/>
  <c r="F156" i="2"/>
  <c r="E156" i="2"/>
  <c r="O155" i="2"/>
  <c r="N155" i="2"/>
  <c r="L155" i="2"/>
  <c r="K155" i="2"/>
  <c r="I155" i="2"/>
  <c r="H155" i="2"/>
  <c r="F155" i="2"/>
  <c r="E155" i="2"/>
  <c r="O154" i="2"/>
  <c r="N154" i="2"/>
  <c r="L154" i="2"/>
  <c r="K154" i="2"/>
  <c r="I154" i="2"/>
  <c r="H154" i="2"/>
  <c r="F154" i="2"/>
  <c r="E154" i="2"/>
  <c r="O153" i="2"/>
  <c r="N153" i="2"/>
  <c r="L153" i="2"/>
  <c r="K153" i="2"/>
  <c r="I153" i="2"/>
  <c r="H153" i="2"/>
  <c r="F153" i="2"/>
  <c r="E153" i="2"/>
  <c r="O152" i="2"/>
  <c r="O172" i="2" s="1"/>
  <c r="N152" i="2"/>
  <c r="N172" i="2" s="1"/>
  <c r="L152" i="2"/>
  <c r="L172" i="2" s="1"/>
  <c r="K152" i="2"/>
  <c r="K172" i="2" s="1"/>
  <c r="I152" i="2"/>
  <c r="I172" i="2" s="1"/>
  <c r="H152" i="2"/>
  <c r="H172" i="2" s="1"/>
  <c r="F152" i="2"/>
  <c r="F172" i="2" s="1"/>
  <c r="E152" i="2"/>
  <c r="E172" i="2" s="1"/>
  <c r="M149" i="2"/>
  <c r="G149" i="2"/>
  <c r="O144" i="2"/>
  <c r="N144" i="2"/>
  <c r="L144" i="2"/>
  <c r="K144" i="2"/>
  <c r="I144" i="2"/>
  <c r="H144" i="2"/>
  <c r="F144" i="2"/>
  <c r="E144" i="2"/>
  <c r="O143" i="2"/>
  <c r="N143" i="2"/>
  <c r="L143" i="2"/>
  <c r="K143" i="2"/>
  <c r="I143" i="2"/>
  <c r="H143" i="2"/>
  <c r="F143" i="2"/>
  <c r="E143" i="2"/>
  <c r="O142" i="2"/>
  <c r="N142" i="2"/>
  <c r="L142" i="2"/>
  <c r="K142" i="2"/>
  <c r="I142" i="2"/>
  <c r="H142" i="2"/>
  <c r="F142" i="2"/>
  <c r="E142" i="2"/>
  <c r="O141" i="2"/>
  <c r="N141" i="2"/>
  <c r="L141" i="2"/>
  <c r="K141" i="2"/>
  <c r="I141" i="2"/>
  <c r="H141" i="2"/>
  <c r="F141" i="2"/>
  <c r="E141" i="2"/>
  <c r="O140" i="2"/>
  <c r="N140" i="2"/>
  <c r="L140" i="2"/>
  <c r="K140" i="2"/>
  <c r="I140" i="2"/>
  <c r="H140" i="2"/>
  <c r="F140" i="2"/>
  <c r="E140" i="2"/>
  <c r="O139" i="2"/>
  <c r="N139" i="2"/>
  <c r="L139" i="2"/>
  <c r="K139" i="2"/>
  <c r="I139" i="2"/>
  <c r="H139" i="2"/>
  <c r="F139" i="2"/>
  <c r="E139" i="2"/>
  <c r="O138" i="2"/>
  <c r="N138" i="2"/>
  <c r="L138" i="2"/>
  <c r="K138" i="2"/>
  <c r="I138" i="2"/>
  <c r="H138" i="2"/>
  <c r="F138" i="2"/>
  <c r="E138" i="2"/>
  <c r="O137" i="2"/>
  <c r="N137" i="2"/>
  <c r="L137" i="2"/>
  <c r="K137" i="2"/>
  <c r="I137" i="2"/>
  <c r="H137" i="2"/>
  <c r="F137" i="2"/>
  <c r="E137" i="2"/>
  <c r="O136" i="2"/>
  <c r="N136" i="2"/>
  <c r="L136" i="2"/>
  <c r="K136" i="2"/>
  <c r="I136" i="2"/>
  <c r="H136" i="2"/>
  <c r="F136" i="2"/>
  <c r="E136" i="2"/>
  <c r="O135" i="2"/>
  <c r="N135" i="2"/>
  <c r="L135" i="2"/>
  <c r="K135" i="2"/>
  <c r="I135" i="2"/>
  <c r="H135" i="2"/>
  <c r="F135" i="2"/>
  <c r="E135" i="2"/>
  <c r="O134" i="2"/>
  <c r="N134" i="2"/>
  <c r="L134" i="2"/>
  <c r="K134" i="2"/>
  <c r="I134" i="2"/>
  <c r="H134" i="2"/>
  <c r="F134" i="2"/>
  <c r="E134" i="2"/>
  <c r="O133" i="2"/>
  <c r="N133" i="2"/>
  <c r="L133" i="2"/>
  <c r="K133" i="2"/>
  <c r="I133" i="2"/>
  <c r="H133" i="2"/>
  <c r="F133" i="2"/>
  <c r="E133" i="2"/>
  <c r="O132" i="2"/>
  <c r="N132" i="2"/>
  <c r="L132" i="2"/>
  <c r="K132" i="2"/>
  <c r="I132" i="2"/>
  <c r="H132" i="2"/>
  <c r="F132" i="2"/>
  <c r="E132" i="2"/>
  <c r="O131" i="2"/>
  <c r="N131" i="2"/>
  <c r="L131" i="2"/>
  <c r="K131" i="2"/>
  <c r="I131" i="2"/>
  <c r="H131" i="2"/>
  <c r="F131" i="2"/>
  <c r="E131" i="2"/>
  <c r="O130" i="2"/>
  <c r="N130" i="2"/>
  <c r="L130" i="2"/>
  <c r="K130" i="2"/>
  <c r="I130" i="2"/>
  <c r="H130" i="2"/>
  <c r="F130" i="2"/>
  <c r="E130" i="2"/>
  <c r="O129" i="2"/>
  <c r="N129" i="2"/>
  <c r="L129" i="2"/>
  <c r="K129" i="2"/>
  <c r="I129" i="2"/>
  <c r="H129" i="2"/>
  <c r="F129" i="2"/>
  <c r="E129" i="2"/>
  <c r="O128" i="2"/>
  <c r="N128" i="2"/>
  <c r="L128" i="2"/>
  <c r="K128" i="2"/>
  <c r="I128" i="2"/>
  <c r="H128" i="2"/>
  <c r="F128" i="2"/>
  <c r="E128" i="2"/>
  <c r="O127" i="2"/>
  <c r="N127" i="2"/>
  <c r="L127" i="2"/>
  <c r="K127" i="2"/>
  <c r="I127" i="2"/>
  <c r="H127" i="2"/>
  <c r="F127" i="2"/>
  <c r="E127" i="2"/>
  <c r="O126" i="2"/>
  <c r="N126" i="2"/>
  <c r="L126" i="2"/>
  <c r="K126" i="2"/>
  <c r="I126" i="2"/>
  <c r="H126" i="2"/>
  <c r="F126" i="2"/>
  <c r="E126" i="2"/>
  <c r="O125" i="2"/>
  <c r="O145" i="2" s="1"/>
  <c r="N125" i="2"/>
  <c r="N145" i="2" s="1"/>
  <c r="L125" i="2"/>
  <c r="L145" i="2" s="1"/>
  <c r="K125" i="2"/>
  <c r="K145" i="2" s="1"/>
  <c r="I125" i="2"/>
  <c r="I145" i="2" s="1"/>
  <c r="H125" i="2"/>
  <c r="H145" i="2" s="1"/>
  <c r="F125" i="2"/>
  <c r="F145" i="2" s="1"/>
  <c r="E125" i="2"/>
  <c r="E145" i="2" s="1"/>
  <c r="M122" i="2"/>
  <c r="G122" i="2"/>
  <c r="Q25" i="3"/>
  <c r="H24" i="3"/>
  <c r="G24" i="3"/>
  <c r="H17" i="3"/>
  <c r="G17" i="3"/>
  <c r="H10" i="3"/>
  <c r="G10" i="3"/>
  <c r="O117" i="2"/>
  <c r="N117" i="2"/>
  <c r="L117" i="2"/>
  <c r="K117" i="2"/>
  <c r="I117" i="2"/>
  <c r="H117" i="2"/>
  <c r="F117" i="2"/>
  <c r="E117" i="2"/>
  <c r="O116" i="2"/>
  <c r="N116" i="2"/>
  <c r="L116" i="2"/>
  <c r="K116" i="2"/>
  <c r="I116" i="2"/>
  <c r="H116" i="2"/>
  <c r="F116" i="2"/>
  <c r="E116" i="2"/>
  <c r="O115" i="2"/>
  <c r="N115" i="2"/>
  <c r="L115" i="2"/>
  <c r="K115" i="2"/>
  <c r="I115" i="2"/>
  <c r="H115" i="2"/>
  <c r="F115" i="2"/>
  <c r="E115" i="2"/>
  <c r="O114" i="2"/>
  <c r="N114" i="2"/>
  <c r="L114" i="2"/>
  <c r="K114" i="2"/>
  <c r="I114" i="2"/>
  <c r="H114" i="2"/>
  <c r="F114" i="2"/>
  <c r="E114" i="2"/>
  <c r="O113" i="2"/>
  <c r="N113" i="2"/>
  <c r="L113" i="2"/>
  <c r="K113" i="2"/>
  <c r="I113" i="2"/>
  <c r="H113" i="2"/>
  <c r="F113" i="2"/>
  <c r="E113" i="2"/>
  <c r="O112" i="2"/>
  <c r="N112" i="2"/>
  <c r="L112" i="2"/>
  <c r="K112" i="2"/>
  <c r="I112" i="2"/>
  <c r="H112" i="2"/>
  <c r="F112" i="2"/>
  <c r="E112" i="2"/>
  <c r="O111" i="2"/>
  <c r="N111" i="2"/>
  <c r="L111" i="2"/>
  <c r="K111" i="2"/>
  <c r="I111" i="2"/>
  <c r="H111" i="2"/>
  <c r="F111" i="2"/>
  <c r="E111" i="2"/>
  <c r="O110" i="2"/>
  <c r="N110" i="2"/>
  <c r="L110" i="2"/>
  <c r="K110" i="2"/>
  <c r="I110" i="2"/>
  <c r="H110" i="2"/>
  <c r="F110" i="2"/>
  <c r="E110" i="2"/>
  <c r="O109" i="2"/>
  <c r="N109" i="2"/>
  <c r="L109" i="2"/>
  <c r="K109" i="2"/>
  <c r="I109" i="2"/>
  <c r="H109" i="2"/>
  <c r="F109" i="2"/>
  <c r="E109" i="2"/>
  <c r="O108" i="2"/>
  <c r="N108" i="2"/>
  <c r="L108" i="2"/>
  <c r="K108" i="2"/>
  <c r="I108" i="2"/>
  <c r="H108" i="2"/>
  <c r="F108" i="2"/>
  <c r="E108" i="2"/>
  <c r="O107" i="2"/>
  <c r="N107" i="2"/>
  <c r="L107" i="2"/>
  <c r="K107" i="2"/>
  <c r="I107" i="2"/>
  <c r="H107" i="2"/>
  <c r="F107" i="2"/>
  <c r="E107" i="2"/>
  <c r="O106" i="2"/>
  <c r="N106" i="2"/>
  <c r="L106" i="2"/>
  <c r="K106" i="2"/>
  <c r="I106" i="2"/>
  <c r="H106" i="2"/>
  <c r="F106" i="2"/>
  <c r="E106" i="2"/>
  <c r="O105" i="2"/>
  <c r="N105" i="2"/>
  <c r="L105" i="2"/>
  <c r="K105" i="2"/>
  <c r="I105" i="2"/>
  <c r="H105" i="2"/>
  <c r="F105" i="2"/>
  <c r="E105" i="2"/>
  <c r="O104" i="2"/>
  <c r="N104" i="2"/>
  <c r="L104" i="2"/>
  <c r="K104" i="2"/>
  <c r="I104" i="2"/>
  <c r="H104" i="2"/>
  <c r="F104" i="2"/>
  <c r="E104" i="2"/>
  <c r="O103" i="2"/>
  <c r="N103" i="2"/>
  <c r="L103" i="2"/>
  <c r="K103" i="2"/>
  <c r="I103" i="2"/>
  <c r="H103" i="2"/>
  <c r="F103" i="2"/>
  <c r="E103" i="2"/>
  <c r="O102" i="2"/>
  <c r="N102" i="2"/>
  <c r="L102" i="2"/>
  <c r="K102" i="2"/>
  <c r="I102" i="2"/>
  <c r="H102" i="2"/>
  <c r="F102" i="2"/>
  <c r="E102" i="2"/>
  <c r="O101" i="2"/>
  <c r="N101" i="2"/>
  <c r="L101" i="2"/>
  <c r="K101" i="2"/>
  <c r="I101" i="2"/>
  <c r="H101" i="2"/>
  <c r="F101" i="2"/>
  <c r="E101" i="2"/>
  <c r="O100" i="2"/>
  <c r="N100" i="2"/>
  <c r="L100" i="2"/>
  <c r="K100" i="2"/>
  <c r="I100" i="2"/>
  <c r="H100" i="2"/>
  <c r="F100" i="2"/>
  <c r="E100" i="2"/>
  <c r="O99" i="2"/>
  <c r="N99" i="2"/>
  <c r="L99" i="2"/>
  <c r="K99" i="2"/>
  <c r="I99" i="2"/>
  <c r="H99" i="2"/>
  <c r="F99" i="2"/>
  <c r="E99" i="2"/>
  <c r="O98" i="2"/>
  <c r="O118" i="2" s="1"/>
  <c r="G3" i="2" s="1"/>
  <c r="N98" i="2"/>
  <c r="N118" i="2" s="1"/>
  <c r="L98" i="2"/>
  <c r="L118" i="2" s="1"/>
  <c r="K98" i="2"/>
  <c r="K118" i="2" s="1"/>
  <c r="I98" i="2"/>
  <c r="I118" i="2" s="1"/>
  <c r="H98" i="2"/>
  <c r="H118" i="2" s="1"/>
  <c r="F98" i="2"/>
  <c r="F118" i="2" s="1"/>
  <c r="E98" i="2"/>
  <c r="E118" i="2" s="1"/>
  <c r="M95" i="2"/>
  <c r="G95" i="2"/>
  <c r="O90" i="2"/>
  <c r="N90" i="2"/>
  <c r="L90" i="2"/>
  <c r="K90" i="2"/>
  <c r="I90" i="2"/>
  <c r="H90" i="2"/>
  <c r="F90" i="2"/>
  <c r="E90" i="2"/>
  <c r="O89" i="2"/>
  <c r="N89" i="2"/>
  <c r="L89" i="2"/>
  <c r="K89" i="2"/>
  <c r="I89" i="2"/>
  <c r="H89" i="2"/>
  <c r="F89" i="2"/>
  <c r="E89" i="2"/>
  <c r="O88" i="2"/>
  <c r="N88" i="2"/>
  <c r="L88" i="2"/>
  <c r="K88" i="2"/>
  <c r="I88" i="2"/>
  <c r="H88" i="2"/>
  <c r="F88" i="2"/>
  <c r="E88" i="2"/>
  <c r="O87" i="2"/>
  <c r="N87" i="2"/>
  <c r="L87" i="2"/>
  <c r="K87" i="2"/>
  <c r="I87" i="2"/>
  <c r="H87" i="2"/>
  <c r="F87" i="2"/>
  <c r="E87" i="2"/>
  <c r="O86" i="2"/>
  <c r="N86" i="2"/>
  <c r="L86" i="2"/>
  <c r="K86" i="2"/>
  <c r="I86" i="2"/>
  <c r="H86" i="2"/>
  <c r="F86" i="2"/>
  <c r="E86" i="2"/>
  <c r="O85" i="2"/>
  <c r="N85" i="2"/>
  <c r="L85" i="2"/>
  <c r="K85" i="2"/>
  <c r="I85" i="2"/>
  <c r="H85" i="2"/>
  <c r="F85" i="2"/>
  <c r="E85" i="2"/>
  <c r="O84" i="2"/>
  <c r="N84" i="2"/>
  <c r="L84" i="2"/>
  <c r="K84" i="2"/>
  <c r="I84" i="2"/>
  <c r="H84" i="2"/>
  <c r="F84" i="2"/>
  <c r="E84" i="2"/>
  <c r="O83" i="2"/>
  <c r="N83" i="2"/>
  <c r="L83" i="2"/>
  <c r="K83" i="2"/>
  <c r="I83" i="2"/>
  <c r="H83" i="2"/>
  <c r="F83" i="2"/>
  <c r="E83" i="2"/>
  <c r="O82" i="2"/>
  <c r="N82" i="2"/>
  <c r="L82" i="2"/>
  <c r="K82" i="2"/>
  <c r="I82" i="2"/>
  <c r="H82" i="2"/>
  <c r="F82" i="2"/>
  <c r="E82" i="2"/>
  <c r="O81" i="2"/>
  <c r="N81" i="2"/>
  <c r="L81" i="2"/>
  <c r="K81" i="2"/>
  <c r="I81" i="2"/>
  <c r="H81" i="2"/>
  <c r="F81" i="2"/>
  <c r="E81" i="2"/>
  <c r="O80" i="2"/>
  <c r="N80" i="2"/>
  <c r="L80" i="2"/>
  <c r="K80" i="2"/>
  <c r="I80" i="2"/>
  <c r="H80" i="2"/>
  <c r="F80" i="2"/>
  <c r="E80" i="2"/>
  <c r="O79" i="2"/>
  <c r="N79" i="2"/>
  <c r="L79" i="2"/>
  <c r="K79" i="2"/>
  <c r="I79" i="2"/>
  <c r="H79" i="2"/>
  <c r="F79" i="2"/>
  <c r="E79" i="2"/>
  <c r="O78" i="2"/>
  <c r="N78" i="2"/>
  <c r="L78" i="2"/>
  <c r="K78" i="2"/>
  <c r="I78" i="2"/>
  <c r="H78" i="2"/>
  <c r="F78" i="2"/>
  <c r="E78" i="2"/>
  <c r="O77" i="2"/>
  <c r="N77" i="2"/>
  <c r="L77" i="2"/>
  <c r="K77" i="2"/>
  <c r="I77" i="2"/>
  <c r="H77" i="2"/>
  <c r="F77" i="2"/>
  <c r="E77" i="2"/>
  <c r="O76" i="2"/>
  <c r="N76" i="2"/>
  <c r="L76" i="2"/>
  <c r="K76" i="2"/>
  <c r="I76" i="2"/>
  <c r="H76" i="2"/>
  <c r="F76" i="2"/>
  <c r="E76" i="2"/>
  <c r="O75" i="2"/>
  <c r="N75" i="2"/>
  <c r="L75" i="2"/>
  <c r="K75" i="2"/>
  <c r="I75" i="2"/>
  <c r="H75" i="2"/>
  <c r="F75" i="2"/>
  <c r="E75" i="2"/>
  <c r="O74" i="2"/>
  <c r="N74" i="2"/>
  <c r="L74" i="2"/>
  <c r="K74" i="2"/>
  <c r="I74" i="2"/>
  <c r="H74" i="2"/>
  <c r="F74" i="2"/>
  <c r="E74" i="2"/>
  <c r="O73" i="2"/>
  <c r="N73" i="2"/>
  <c r="L73" i="2"/>
  <c r="K73" i="2"/>
  <c r="I73" i="2"/>
  <c r="H73" i="2"/>
  <c r="F73" i="2"/>
  <c r="E73" i="2"/>
  <c r="O72" i="2"/>
  <c r="N72" i="2"/>
  <c r="L72" i="2"/>
  <c r="K72" i="2"/>
  <c r="I72" i="2"/>
  <c r="H72" i="2"/>
  <c r="F72" i="2"/>
  <c r="E72" i="2"/>
  <c r="O71" i="2"/>
  <c r="O91" i="2" s="1"/>
  <c r="N71" i="2"/>
  <c r="N91" i="2" s="1"/>
  <c r="L71" i="2"/>
  <c r="L91" i="2" s="1"/>
  <c r="K71" i="2"/>
  <c r="K91" i="2" s="1"/>
  <c r="I71" i="2"/>
  <c r="I91" i="2" s="1"/>
  <c r="H71" i="2"/>
  <c r="H91" i="2" s="1"/>
  <c r="F71" i="2"/>
  <c r="F91" i="2" s="1"/>
  <c r="E71" i="2"/>
  <c r="E91" i="2" s="1"/>
  <c r="M68" i="2"/>
  <c r="G68" i="2"/>
  <c r="M41" i="2"/>
  <c r="G41" i="2"/>
  <c r="M14" i="2"/>
  <c r="G14" i="2"/>
  <c r="K74" i="5"/>
  <c r="K75" i="5"/>
  <c r="K25" i="5"/>
  <c r="O34" i="5"/>
  <c r="K65" i="5"/>
  <c r="G61" i="3"/>
  <c r="G34" i="3"/>
  <c r="K16" i="3"/>
  <c r="K75" i="3"/>
  <c r="K38" i="3"/>
  <c r="G62" i="3"/>
  <c r="G32" i="3"/>
  <c r="K6" i="3"/>
  <c r="K41" i="3"/>
  <c r="O58" i="3"/>
  <c r="O36" i="3"/>
  <c r="K15" i="5"/>
  <c r="K50" i="3"/>
  <c r="G56" i="3"/>
  <c r="K42" i="3"/>
  <c r="O40" i="5"/>
  <c r="O39" i="5"/>
  <c r="O46" i="5"/>
  <c r="K11" i="5"/>
  <c r="K10" i="5"/>
  <c r="K71" i="3"/>
  <c r="K49" i="3"/>
  <c r="K65" i="3"/>
  <c r="K45" i="3"/>
  <c r="G39" i="3"/>
  <c r="G45" i="3"/>
  <c r="K18" i="3"/>
  <c r="K47" i="3"/>
  <c r="K8" i="5"/>
  <c r="K37" i="3"/>
  <c r="G41" i="3"/>
  <c r="G69" i="3"/>
  <c r="G46" i="3"/>
  <c r="O67" i="5"/>
  <c r="K7" i="5"/>
  <c r="K59" i="3"/>
  <c r="G35" i="3"/>
  <c r="O47" i="3"/>
  <c r="O36" i="5"/>
  <c r="O35" i="5"/>
  <c r="O42" i="5"/>
  <c r="O33" i="5"/>
  <c r="G72" i="3"/>
  <c r="O57" i="3"/>
  <c r="O43" i="3"/>
  <c r="O32" i="5"/>
  <c r="K58" i="5"/>
  <c r="G40" i="3"/>
  <c r="K48" i="3"/>
  <c r="K10" i="3"/>
  <c r="K67" i="3"/>
  <c r="G70" i="3"/>
  <c r="K43" i="3"/>
  <c r="O66" i="5"/>
  <c r="O60" i="3"/>
  <c r="G47" i="3"/>
  <c r="O61" i="3"/>
  <c r="O72" i="3"/>
  <c r="K64" i="3"/>
  <c r="K32" i="3"/>
  <c r="O48" i="5"/>
  <c r="O40" i="3"/>
  <c r="K57" i="3"/>
  <c r="K68" i="5"/>
  <c r="O42" i="3"/>
  <c r="K25" i="3"/>
  <c r="K14" i="5"/>
  <c r="O71" i="3"/>
  <c r="O43" i="5"/>
  <c r="K13" i="5"/>
  <c r="K74" i="3"/>
  <c r="O63" i="3"/>
  <c r="G49" i="3"/>
  <c r="K22" i="3"/>
  <c r="K19" i="3"/>
  <c r="O38" i="5"/>
  <c r="K15" i="3"/>
  <c r="O57" i="5"/>
  <c r="K62" i="5"/>
  <c r="K17" i="5"/>
  <c r="K35" i="3"/>
  <c r="O50" i="3"/>
  <c r="K66" i="3"/>
  <c r="K40" i="3"/>
  <c r="K62" i="3"/>
  <c r="G64" i="3"/>
  <c r="K23" i="5"/>
  <c r="O68" i="3"/>
  <c r="K56" i="5"/>
  <c r="O59" i="5"/>
  <c r="K9" i="5"/>
  <c r="G68" i="3"/>
  <c r="O75" i="3"/>
  <c r="O41" i="3"/>
  <c r="K66" i="5"/>
  <c r="K67" i="5"/>
  <c r="K72" i="5"/>
  <c r="K57" i="5"/>
  <c r="K69" i="5"/>
  <c r="G75" i="3"/>
  <c r="O35" i="3"/>
  <c r="G71" i="3"/>
  <c r="G31" i="3"/>
  <c r="K11" i="3"/>
  <c r="O59" i="3"/>
  <c r="O32" i="3"/>
  <c r="O56" i="3"/>
  <c r="K21" i="3"/>
  <c r="G42" i="3"/>
  <c r="O61" i="5"/>
  <c r="K24" i="5"/>
  <c r="G60" i="3"/>
  <c r="K56" i="3"/>
  <c r="O73" i="5"/>
  <c r="O74" i="5"/>
  <c r="K22" i="5"/>
  <c r="K73" i="5"/>
  <c r="O49" i="5"/>
  <c r="G63" i="3"/>
  <c r="G50" i="3"/>
  <c r="K12" i="3"/>
  <c r="K68" i="3"/>
  <c r="K23" i="3"/>
  <c r="G59" i="3"/>
  <c r="G48" i="3"/>
  <c r="G73" i="3"/>
  <c r="G36" i="3"/>
  <c r="O62" i="3"/>
  <c r="K24" i="3"/>
  <c r="O48" i="3"/>
  <c r="K63" i="3"/>
  <c r="K13" i="3"/>
  <c r="O62" i="5"/>
  <c r="K58" i="3"/>
  <c r="O38" i="3"/>
  <c r="K46" i="3"/>
  <c r="K70" i="5"/>
  <c r="K71" i="5"/>
  <c r="K20" i="5"/>
  <c r="O68" i="5"/>
  <c r="O45" i="5"/>
  <c r="K61" i="3"/>
  <c r="G44" i="3"/>
  <c r="K14" i="3"/>
  <c r="O70" i="5"/>
  <c r="K6" i="5"/>
  <c r="K20" i="3"/>
  <c r="K60" i="3"/>
  <c r="K70" i="3"/>
  <c r="K60" i="5"/>
  <c r="O60" i="5"/>
  <c r="O63" i="5"/>
  <c r="O58" i="5"/>
  <c r="K21" i="5"/>
  <c r="O69" i="3"/>
  <c r="O49" i="3"/>
  <c r="O64" i="3"/>
  <c r="O33" i="3"/>
  <c r="O67" i="3"/>
  <c r="K69" i="3"/>
  <c r="K34" i="3"/>
  <c r="O45" i="3"/>
  <c r="K33" i="3"/>
  <c r="O75" i="5"/>
  <c r="G38" i="3"/>
  <c r="O65" i="5"/>
  <c r="O71" i="5"/>
  <c r="O41" i="5"/>
  <c r="K61" i="5"/>
  <c r="O44" i="3"/>
  <c r="G58" i="3"/>
  <c r="K7" i="3"/>
  <c r="O37" i="3"/>
  <c r="K31" i="3"/>
  <c r="G74" i="3"/>
  <c r="O46" i="3"/>
  <c r="O72" i="5"/>
  <c r="G67" i="3"/>
  <c r="K64" i="5"/>
  <c r="O64" i="5"/>
  <c r="K19" i="5"/>
  <c r="K16" i="5"/>
  <c r="G57" i="3"/>
  <c r="K63" i="5"/>
  <c r="O73" i="3"/>
  <c r="O31" i="3"/>
  <c r="O44" i="5"/>
  <c r="O50" i="5"/>
  <c r="K12" i="5"/>
  <c r="K44" i="3"/>
  <c r="K39" i="3"/>
  <c r="K72" i="3"/>
  <c r="O34" i="3"/>
  <c r="O65" i="3"/>
  <c r="G37" i="3"/>
  <c r="G66" i="3"/>
  <c r="K59" i="5"/>
  <c r="O37" i="5"/>
  <c r="O74" i="3"/>
  <c r="O70" i="3"/>
  <c r="O66" i="3"/>
  <c r="K36" i="3"/>
  <c r="G33" i="3"/>
  <c r="G43" i="3"/>
  <c r="K73" i="3"/>
  <c r="O47" i="5"/>
  <c r="G65" i="3"/>
  <c r="K9" i="3"/>
  <c r="O56" i="5"/>
  <c r="K18" i="5"/>
  <c r="K8" i="3"/>
  <c r="K17" i="3"/>
  <c r="O31" i="5"/>
  <c r="O39" i="3"/>
  <c r="O69" i="5"/>
  <c r="F37" i="6" l="1"/>
  <c r="N37" i="6"/>
  <c r="K37" i="6"/>
  <c r="O37" i="6"/>
  <c r="Q20" i="3"/>
  <c r="Q16" i="3"/>
  <c r="P8" i="3"/>
  <c r="Q24" i="3"/>
  <c r="Q17" i="3"/>
  <c r="H37" i="6"/>
  <c r="L37" i="6"/>
  <c r="E37" i="6"/>
  <c r="I37" i="6"/>
  <c r="G5" i="6"/>
  <c r="G3" i="6"/>
  <c r="G7" i="6"/>
  <c r="G9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L7" i="5"/>
  <c r="M7" i="5"/>
  <c r="M9" i="5"/>
  <c r="L9" i="5"/>
  <c r="M10" i="5"/>
  <c r="L10" i="5"/>
  <c r="L12" i="5"/>
  <c r="M12" i="5"/>
  <c r="M14" i="5"/>
  <c r="L14" i="5"/>
  <c r="M16" i="5"/>
  <c r="L16" i="5"/>
  <c r="M17" i="5"/>
  <c r="L17" i="5"/>
  <c r="M21" i="5"/>
  <c r="L21" i="5"/>
  <c r="M24" i="5"/>
  <c r="L24" i="5"/>
  <c r="I35" i="5"/>
  <c r="H35" i="5"/>
  <c r="M40" i="5"/>
  <c r="L40" i="5"/>
  <c r="Q45" i="5"/>
  <c r="P45" i="5"/>
  <c r="I56" i="5"/>
  <c r="H56" i="5"/>
  <c r="M61" i="5"/>
  <c r="L61" i="5"/>
  <c r="M69" i="5"/>
  <c r="L69" i="5"/>
  <c r="M23" i="5"/>
  <c r="L23" i="5"/>
  <c r="Q33" i="5"/>
  <c r="P33" i="5"/>
  <c r="I39" i="5"/>
  <c r="H39" i="5"/>
  <c r="M44" i="5"/>
  <c r="L44" i="5"/>
  <c r="Q49" i="5"/>
  <c r="P49" i="5"/>
  <c r="I60" i="5"/>
  <c r="H60" i="5"/>
  <c r="M65" i="5"/>
  <c r="L65" i="5"/>
  <c r="L6" i="5"/>
  <c r="M6" i="5"/>
  <c r="L8" i="5"/>
  <c r="M8" i="5"/>
  <c r="L11" i="5"/>
  <c r="M11" i="5"/>
  <c r="L13" i="5"/>
  <c r="M13" i="5"/>
  <c r="L15" i="5"/>
  <c r="M15" i="5"/>
  <c r="L18" i="5"/>
  <c r="M18" i="5"/>
  <c r="M32" i="5"/>
  <c r="L32" i="5"/>
  <c r="Q37" i="5"/>
  <c r="P37" i="5"/>
  <c r="I43" i="5"/>
  <c r="H43" i="5"/>
  <c r="M48" i="5"/>
  <c r="L48" i="5"/>
  <c r="Q58" i="5"/>
  <c r="P58" i="5"/>
  <c r="I64" i="5"/>
  <c r="H64" i="5"/>
  <c r="Q72" i="5"/>
  <c r="P72" i="5"/>
  <c r="M19" i="5"/>
  <c r="L19" i="5"/>
  <c r="I31" i="5"/>
  <c r="H31" i="5"/>
  <c r="M36" i="5"/>
  <c r="L36" i="5"/>
  <c r="Q41" i="5"/>
  <c r="P41" i="5"/>
  <c r="I47" i="5"/>
  <c r="H47" i="5"/>
  <c r="M57" i="5"/>
  <c r="L57" i="5"/>
  <c r="Q62" i="5"/>
  <c r="P62" i="5"/>
  <c r="Q68" i="5"/>
  <c r="P68" i="5"/>
  <c r="M73" i="5"/>
  <c r="L73" i="5"/>
  <c r="I32" i="5"/>
  <c r="H32" i="5"/>
  <c r="M33" i="5"/>
  <c r="L33" i="5"/>
  <c r="Q34" i="5"/>
  <c r="P34" i="5"/>
  <c r="I36" i="5"/>
  <c r="H36" i="5"/>
  <c r="M37" i="5"/>
  <c r="L37" i="5"/>
  <c r="Q38" i="5"/>
  <c r="P38" i="5"/>
  <c r="I40" i="5"/>
  <c r="H40" i="5"/>
  <c r="M41" i="5"/>
  <c r="L41" i="5"/>
  <c r="Q42" i="5"/>
  <c r="P42" i="5"/>
  <c r="I44" i="5"/>
  <c r="H44" i="5"/>
  <c r="M45" i="5"/>
  <c r="L45" i="5"/>
  <c r="Q46" i="5"/>
  <c r="P46" i="5"/>
  <c r="I48" i="5"/>
  <c r="H48" i="5"/>
  <c r="M49" i="5"/>
  <c r="L49" i="5"/>
  <c r="Q50" i="5"/>
  <c r="P50" i="5"/>
  <c r="I57" i="5"/>
  <c r="H57" i="5"/>
  <c r="M58" i="5"/>
  <c r="L58" i="5"/>
  <c r="Q59" i="5"/>
  <c r="P59" i="5"/>
  <c r="I61" i="5"/>
  <c r="H61" i="5"/>
  <c r="M62" i="5"/>
  <c r="L62" i="5"/>
  <c r="Q63" i="5"/>
  <c r="P63" i="5"/>
  <c r="I65" i="5"/>
  <c r="H65" i="5"/>
  <c r="Q67" i="5"/>
  <c r="P67" i="5"/>
  <c r="M68" i="5"/>
  <c r="L68" i="5"/>
  <c r="Q71" i="5"/>
  <c r="P71" i="5"/>
  <c r="M72" i="5"/>
  <c r="L72" i="5"/>
  <c r="Q75" i="5"/>
  <c r="P75" i="5"/>
  <c r="M20" i="5"/>
  <c r="L20" i="5"/>
  <c r="M22" i="5"/>
  <c r="L22" i="5"/>
  <c r="L25" i="5"/>
  <c r="M25" i="5"/>
  <c r="P31" i="5"/>
  <c r="Q31" i="5"/>
  <c r="H33" i="5"/>
  <c r="I33" i="5"/>
  <c r="L34" i="5"/>
  <c r="M34" i="5"/>
  <c r="P35" i="5"/>
  <c r="Q35" i="5"/>
  <c r="H37" i="5"/>
  <c r="I37" i="5"/>
  <c r="L38" i="5"/>
  <c r="M38" i="5"/>
  <c r="P39" i="5"/>
  <c r="Q39" i="5"/>
  <c r="H41" i="5"/>
  <c r="I41" i="5"/>
  <c r="L42" i="5"/>
  <c r="M42" i="5"/>
  <c r="P43" i="5"/>
  <c r="Q43" i="5"/>
  <c r="H45" i="5"/>
  <c r="I45" i="5"/>
  <c r="L46" i="5"/>
  <c r="M46" i="5"/>
  <c r="P47" i="5"/>
  <c r="Q47" i="5"/>
  <c r="H49" i="5"/>
  <c r="I49" i="5"/>
  <c r="L50" i="5"/>
  <c r="M50" i="5"/>
  <c r="P56" i="5"/>
  <c r="Q56" i="5"/>
  <c r="H58" i="5"/>
  <c r="I58" i="5"/>
  <c r="L59" i="5"/>
  <c r="M59" i="5"/>
  <c r="P60" i="5"/>
  <c r="Q60" i="5"/>
  <c r="H62" i="5"/>
  <c r="I62" i="5"/>
  <c r="L63" i="5"/>
  <c r="M63" i="5"/>
  <c r="P64" i="5"/>
  <c r="Q64" i="5"/>
  <c r="P66" i="5"/>
  <c r="Q66" i="5"/>
  <c r="L67" i="5"/>
  <c r="M67" i="5"/>
  <c r="P70" i="5"/>
  <c r="Q70" i="5"/>
  <c r="L71" i="5"/>
  <c r="M71" i="5"/>
  <c r="P74" i="5"/>
  <c r="Q74" i="5"/>
  <c r="L75" i="5"/>
  <c r="M75" i="5"/>
  <c r="M31" i="5"/>
  <c r="L31" i="5"/>
  <c r="Q32" i="5"/>
  <c r="P32" i="5"/>
  <c r="I34" i="5"/>
  <c r="H34" i="5"/>
  <c r="M35" i="5"/>
  <c r="L35" i="5"/>
  <c r="Q36" i="5"/>
  <c r="P36" i="5"/>
  <c r="I38" i="5"/>
  <c r="H38" i="5"/>
  <c r="M39" i="5"/>
  <c r="L39" i="5"/>
  <c r="Q40" i="5"/>
  <c r="P40" i="5"/>
  <c r="I42" i="5"/>
  <c r="H42" i="5"/>
  <c r="M43" i="5"/>
  <c r="L43" i="5"/>
  <c r="Q44" i="5"/>
  <c r="P44" i="5"/>
  <c r="I46" i="5"/>
  <c r="H46" i="5"/>
  <c r="M47" i="5"/>
  <c r="L47" i="5"/>
  <c r="Q48" i="5"/>
  <c r="P48" i="5"/>
  <c r="I50" i="5"/>
  <c r="H50" i="5"/>
  <c r="M56" i="5"/>
  <c r="L56" i="5"/>
  <c r="Q57" i="5"/>
  <c r="P57" i="5"/>
  <c r="I59" i="5"/>
  <c r="H59" i="5"/>
  <c r="M60" i="5"/>
  <c r="L60" i="5"/>
  <c r="Q61" i="5"/>
  <c r="P61" i="5"/>
  <c r="I63" i="5"/>
  <c r="H63" i="5"/>
  <c r="M64" i="5"/>
  <c r="L64" i="5"/>
  <c r="Q65" i="5"/>
  <c r="P65" i="5"/>
  <c r="M66" i="5"/>
  <c r="L66" i="5"/>
  <c r="Q69" i="5"/>
  <c r="P69" i="5"/>
  <c r="M70" i="5"/>
  <c r="L70" i="5"/>
  <c r="Q73" i="5"/>
  <c r="P73" i="5"/>
  <c r="M74" i="5"/>
  <c r="L74" i="5"/>
  <c r="P6" i="5"/>
  <c r="P8" i="5"/>
  <c r="P11" i="5"/>
  <c r="P13" i="5"/>
  <c r="P15" i="5"/>
  <c r="Q18" i="5"/>
  <c r="P19" i="5"/>
  <c r="Q20" i="5"/>
  <c r="P25" i="5"/>
  <c r="P47" i="3"/>
  <c r="Q47" i="3"/>
  <c r="M40" i="3"/>
  <c r="L40" i="3"/>
  <c r="P45" i="3"/>
  <c r="Q45" i="3"/>
  <c r="Q31" i="3"/>
  <c r="P31" i="3"/>
  <c r="M31" i="3"/>
  <c r="L31" i="3"/>
  <c r="M42" i="3"/>
  <c r="L42" i="3"/>
  <c r="Q36" i="3"/>
  <c r="P36" i="3"/>
  <c r="I36" i="3"/>
  <c r="H36" i="3"/>
  <c r="L41" i="3"/>
  <c r="M41" i="3"/>
  <c r="L47" i="3"/>
  <c r="M47" i="3"/>
  <c r="Q34" i="3"/>
  <c r="P34" i="3"/>
  <c r="L70" i="3"/>
  <c r="M70" i="3"/>
  <c r="I46" i="3"/>
  <c r="H46" i="3"/>
  <c r="I33" i="3"/>
  <c r="H33" i="3"/>
  <c r="L67" i="3"/>
  <c r="M67" i="3"/>
  <c r="L57" i="3"/>
  <c r="M57" i="3"/>
  <c r="Q65" i="3"/>
  <c r="P65" i="3"/>
  <c r="Q72" i="3"/>
  <c r="P72" i="3"/>
  <c r="Q56" i="3"/>
  <c r="P56" i="3"/>
  <c r="I64" i="3"/>
  <c r="H64" i="3"/>
  <c r="M46" i="3"/>
  <c r="L46" i="3"/>
  <c r="M33" i="3"/>
  <c r="L33" i="3"/>
  <c r="M36" i="3"/>
  <c r="L36" i="3"/>
  <c r="M34" i="3"/>
  <c r="L34" i="3"/>
  <c r="L43" i="3"/>
  <c r="M43" i="3"/>
  <c r="Q46" i="3"/>
  <c r="P46" i="3"/>
  <c r="Q37" i="3"/>
  <c r="P37" i="3"/>
  <c r="Q32" i="3"/>
  <c r="P32" i="3"/>
  <c r="P41" i="3"/>
  <c r="Q41" i="3"/>
  <c r="P43" i="3"/>
  <c r="Q43" i="3"/>
  <c r="I48" i="3"/>
  <c r="H48" i="3"/>
  <c r="I32" i="3"/>
  <c r="H32" i="3"/>
  <c r="I35" i="3"/>
  <c r="H35" i="3"/>
  <c r="I42" i="3"/>
  <c r="H42" i="3"/>
  <c r="H45" i="3"/>
  <c r="I45" i="3"/>
  <c r="L72" i="3"/>
  <c r="M72" i="3"/>
  <c r="L56" i="3"/>
  <c r="M56" i="3"/>
  <c r="L63" i="3"/>
  <c r="M63" i="3"/>
  <c r="L66" i="3"/>
  <c r="M66" i="3"/>
  <c r="L69" i="3"/>
  <c r="M69" i="3"/>
  <c r="Q71" i="3"/>
  <c r="P71" i="3"/>
  <c r="Q58" i="3"/>
  <c r="P58" i="3"/>
  <c r="Q61" i="3"/>
  <c r="P61" i="3"/>
  <c r="Q59" i="3"/>
  <c r="P59" i="3"/>
  <c r="Q68" i="3"/>
  <c r="P68" i="3"/>
  <c r="I59" i="3"/>
  <c r="H59" i="3"/>
  <c r="I62" i="3"/>
  <c r="H62" i="3"/>
  <c r="I56" i="3"/>
  <c r="H56" i="3"/>
  <c r="I39" i="3"/>
  <c r="H39" i="3"/>
  <c r="H49" i="3"/>
  <c r="I49" i="3"/>
  <c r="L60" i="3"/>
  <c r="M60" i="3"/>
  <c r="L73" i="3"/>
  <c r="M73" i="3"/>
  <c r="Q66" i="3"/>
  <c r="P66" i="3"/>
  <c r="Q67" i="3"/>
  <c r="P67" i="3"/>
  <c r="I57" i="3"/>
  <c r="H57" i="3"/>
  <c r="M38" i="3"/>
  <c r="L38" i="3"/>
  <c r="M48" i="3"/>
  <c r="L48" i="3"/>
  <c r="M32" i="3"/>
  <c r="L32" i="3"/>
  <c r="L45" i="3"/>
  <c r="M45" i="3"/>
  <c r="M39" i="3"/>
  <c r="L39" i="3"/>
  <c r="Q38" i="3"/>
  <c r="P38" i="3"/>
  <c r="Q48" i="3"/>
  <c r="P48" i="3"/>
  <c r="Q50" i="3"/>
  <c r="P50" i="3"/>
  <c r="Q33" i="3"/>
  <c r="P33" i="3"/>
  <c r="Q39" i="3"/>
  <c r="P39" i="3"/>
  <c r="I44" i="3"/>
  <c r="H44" i="3"/>
  <c r="H47" i="3"/>
  <c r="I47" i="3"/>
  <c r="I31" i="3"/>
  <c r="H31" i="3"/>
  <c r="I38" i="3"/>
  <c r="H38" i="3"/>
  <c r="H41" i="3"/>
  <c r="I41" i="3"/>
  <c r="L68" i="3"/>
  <c r="M68" i="3"/>
  <c r="L75" i="3"/>
  <c r="M75" i="3"/>
  <c r="L59" i="3"/>
  <c r="M59" i="3"/>
  <c r="L62" i="3"/>
  <c r="M62" i="3"/>
  <c r="L65" i="3"/>
  <c r="M65" i="3"/>
  <c r="Q63" i="3"/>
  <c r="P63" i="3"/>
  <c r="Q73" i="3"/>
  <c r="P73" i="3"/>
  <c r="Q57" i="3"/>
  <c r="P57" i="3"/>
  <c r="Q70" i="3"/>
  <c r="P70" i="3"/>
  <c r="Q64" i="3"/>
  <c r="P64" i="3"/>
  <c r="I60" i="3"/>
  <c r="H60" i="3"/>
  <c r="I58" i="3"/>
  <c r="H58" i="3"/>
  <c r="I65" i="3"/>
  <c r="H65" i="3"/>
  <c r="L49" i="3"/>
  <c r="M49" i="3"/>
  <c r="M44" i="3"/>
  <c r="L44" i="3"/>
  <c r="M50" i="3"/>
  <c r="L50" i="3"/>
  <c r="M37" i="3"/>
  <c r="L37" i="3"/>
  <c r="M35" i="3"/>
  <c r="L35" i="3"/>
  <c r="P49" i="3"/>
  <c r="Q49" i="3"/>
  <c r="Q40" i="3"/>
  <c r="P40" i="3"/>
  <c r="Q42" i="3"/>
  <c r="P42" i="3"/>
  <c r="Q44" i="3"/>
  <c r="P44" i="3"/>
  <c r="Q35" i="3"/>
  <c r="P35" i="3"/>
  <c r="I40" i="3"/>
  <c r="H40" i="3"/>
  <c r="H43" i="3"/>
  <c r="I43" i="3"/>
  <c r="I50" i="3"/>
  <c r="H50" i="3"/>
  <c r="I34" i="3"/>
  <c r="H34" i="3"/>
  <c r="I37" i="3"/>
  <c r="H37" i="3"/>
  <c r="L64" i="3"/>
  <c r="M64" i="3"/>
  <c r="L71" i="3"/>
  <c r="M71" i="3"/>
  <c r="L74" i="3"/>
  <c r="M74" i="3"/>
  <c r="L58" i="3"/>
  <c r="M58" i="3"/>
  <c r="L61" i="3"/>
  <c r="M61" i="3"/>
  <c r="Q74" i="3"/>
  <c r="P74" i="3"/>
  <c r="Q69" i="3"/>
  <c r="P69" i="3"/>
  <c r="Q75" i="3"/>
  <c r="P75" i="3"/>
  <c r="Q62" i="3"/>
  <c r="P62" i="3"/>
  <c r="Q60" i="3"/>
  <c r="P60" i="3"/>
  <c r="I63" i="3"/>
  <c r="H63" i="3"/>
  <c r="I61" i="3"/>
  <c r="H61" i="3"/>
  <c r="K37" i="4"/>
  <c r="O37" i="4"/>
  <c r="H37" i="4"/>
  <c r="E37" i="4"/>
  <c r="I37" i="4"/>
  <c r="F37" i="4"/>
  <c r="N37" i="4"/>
  <c r="L37" i="4"/>
  <c r="G3" i="4"/>
  <c r="G5" i="4"/>
  <c r="G7" i="4"/>
  <c r="G9" i="4"/>
  <c r="L18" i="3"/>
  <c r="M18" i="3"/>
  <c r="M10" i="3"/>
  <c r="L10" i="3"/>
  <c r="L21" i="3"/>
  <c r="M21" i="3"/>
  <c r="M9" i="3"/>
  <c r="L9" i="3"/>
  <c r="L24" i="3"/>
  <c r="M24" i="3"/>
  <c r="L20" i="3"/>
  <c r="M20" i="3"/>
  <c r="L16" i="3"/>
  <c r="M16" i="3"/>
  <c r="M12" i="3"/>
  <c r="L12" i="3"/>
  <c r="L8" i="3"/>
  <c r="M8" i="3"/>
  <c r="L22" i="3"/>
  <c r="M22" i="3"/>
  <c r="M14" i="3"/>
  <c r="L14" i="3"/>
  <c r="L25" i="3"/>
  <c r="M25" i="3"/>
  <c r="L17" i="3"/>
  <c r="M17" i="3"/>
  <c r="M13" i="3"/>
  <c r="L13" i="3"/>
  <c r="L23" i="3"/>
  <c r="M23" i="3"/>
  <c r="L19" i="3"/>
  <c r="M19" i="3"/>
  <c r="M15" i="3"/>
  <c r="L15" i="3"/>
  <c r="M11" i="3"/>
  <c r="L11" i="3"/>
  <c r="Q19" i="3"/>
  <c r="Q18" i="3"/>
  <c r="Q22" i="3"/>
  <c r="P14" i="3"/>
  <c r="P15" i="3"/>
  <c r="M7" i="3"/>
  <c r="L7" i="3"/>
  <c r="L6" i="3"/>
  <c r="M6" i="3"/>
  <c r="P23" i="3"/>
  <c r="Q21" i="3"/>
  <c r="P13" i="3"/>
  <c r="Q12" i="3"/>
  <c r="P11" i="3"/>
  <c r="P10" i="3"/>
  <c r="P9" i="3"/>
  <c r="P7" i="3"/>
  <c r="Q6" i="3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F63" i="2"/>
  <c r="F62" i="2"/>
  <c r="F61" i="2"/>
  <c r="F60" i="2"/>
  <c r="F59" i="2"/>
  <c r="F58" i="2"/>
  <c r="F57" i="2"/>
  <c r="F56" i="2"/>
  <c r="F54" i="2"/>
  <c r="F55" i="2"/>
  <c r="F53" i="2"/>
  <c r="F52" i="2"/>
  <c r="F51" i="2"/>
  <c r="F50" i="2"/>
  <c r="F49" i="2"/>
  <c r="N63" i="2"/>
  <c r="K63" i="2"/>
  <c r="H63" i="2"/>
  <c r="E63" i="2"/>
  <c r="N62" i="2"/>
  <c r="K62" i="2"/>
  <c r="H62" i="2"/>
  <c r="E62" i="2"/>
  <c r="N61" i="2"/>
  <c r="K61" i="2"/>
  <c r="H61" i="2"/>
  <c r="E61" i="2"/>
  <c r="N60" i="2"/>
  <c r="K60" i="2"/>
  <c r="H60" i="2"/>
  <c r="E60" i="2"/>
  <c r="N59" i="2"/>
  <c r="K59" i="2"/>
  <c r="H59" i="2"/>
  <c r="E59" i="2"/>
  <c r="N58" i="2"/>
  <c r="K58" i="2"/>
  <c r="H58" i="2"/>
  <c r="E58" i="2"/>
  <c r="N57" i="2"/>
  <c r="K57" i="2"/>
  <c r="H57" i="2"/>
  <c r="E57" i="2"/>
  <c r="N56" i="2"/>
  <c r="K56" i="2"/>
  <c r="H56" i="2"/>
  <c r="E56" i="2"/>
  <c r="N55" i="2"/>
  <c r="K55" i="2"/>
  <c r="H55" i="2"/>
  <c r="E55" i="2"/>
  <c r="N54" i="2"/>
  <c r="K54" i="2"/>
  <c r="H54" i="2"/>
  <c r="E54" i="2"/>
  <c r="N53" i="2"/>
  <c r="K53" i="2"/>
  <c r="H53" i="2"/>
  <c r="E53" i="2"/>
  <c r="N52" i="2"/>
  <c r="K52" i="2"/>
  <c r="H52" i="2"/>
  <c r="E52" i="2"/>
  <c r="N51" i="2"/>
  <c r="K51" i="2"/>
  <c r="H51" i="2"/>
  <c r="E51" i="2"/>
  <c r="N50" i="2"/>
  <c r="K50" i="2"/>
  <c r="H50" i="2"/>
  <c r="E50" i="2"/>
  <c r="N49" i="2"/>
  <c r="K49" i="2"/>
  <c r="H49" i="2"/>
  <c r="E49" i="2"/>
  <c r="O48" i="2"/>
  <c r="N48" i="2"/>
  <c r="L48" i="2"/>
  <c r="K48" i="2"/>
  <c r="I48" i="2"/>
  <c r="H48" i="2"/>
  <c r="F48" i="2"/>
  <c r="E48" i="2"/>
  <c r="O47" i="2"/>
  <c r="N47" i="2"/>
  <c r="L47" i="2"/>
  <c r="K47" i="2"/>
  <c r="I47" i="2"/>
  <c r="H47" i="2"/>
  <c r="F47" i="2"/>
  <c r="E47" i="2"/>
  <c r="O46" i="2"/>
  <c r="N46" i="2"/>
  <c r="L46" i="2"/>
  <c r="K46" i="2"/>
  <c r="I46" i="2"/>
  <c r="H46" i="2"/>
  <c r="F46" i="2"/>
  <c r="E46" i="2"/>
  <c r="O45" i="2"/>
  <c r="N45" i="2"/>
  <c r="L45" i="2"/>
  <c r="K45" i="2"/>
  <c r="I45" i="2"/>
  <c r="H45" i="2"/>
  <c r="F45" i="2"/>
  <c r="E45" i="2"/>
  <c r="N44" i="2"/>
  <c r="L44" i="2"/>
  <c r="K44" i="2"/>
  <c r="I44" i="2"/>
  <c r="H44" i="2"/>
  <c r="F44" i="2"/>
  <c r="E44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11" i="6" l="1"/>
  <c r="G11" i="4"/>
  <c r="I64" i="2"/>
  <c r="O64" i="2"/>
  <c r="G5" i="2" s="1"/>
  <c r="H64" i="2"/>
  <c r="N64" i="2"/>
  <c r="F64" i="2"/>
  <c r="L64" i="2"/>
  <c r="E64" i="2"/>
  <c r="K64" i="2"/>
  <c r="K37" i="2"/>
  <c r="O37" i="2"/>
  <c r="E37" i="2"/>
  <c r="I37" i="2"/>
  <c r="F37" i="2"/>
  <c r="H37" i="2"/>
  <c r="L37" i="2"/>
  <c r="N37" i="2"/>
  <c r="G11" i="2" l="1"/>
</calcChain>
</file>

<file path=xl/sharedStrings.xml><?xml version="1.0" encoding="utf-8"?>
<sst xmlns="http://schemas.openxmlformats.org/spreadsheetml/2006/main" count="1398" uniqueCount="305">
  <si>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</si>
  <si>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</si>
  <si>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</si>
  <si>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</si>
  <si>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</si>
  <si>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</si>
  <si>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</si>
  <si>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</si>
  <si>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</si>
  <si>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</si>
  <si>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</si>
  <si>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</si>
  <si>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</si>
  <si>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</si>
  <si>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</si>
  <si>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</si>
  <si>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</si>
  <si>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</si>
  <si>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</si>
  <si>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</si>
  <si>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</si>
  <si>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</si>
  <si>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</si>
  <si>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</si>
  <si>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</si>
  <si>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</si>
  <si>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</si>
  <si>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</si>
  <si>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</si>
  <si>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</si>
  <si>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</si>
  <si>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</si>
  <si>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</si>
  <si>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</si>
  <si>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</si>
  <si>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</si>
  <si>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</si>
  <si>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</si>
  <si>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</si>
  <si>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</si>
  <si>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오전 00:00</t>
    <phoneticPr fontId="1" type="noConversion"/>
  </si>
  <si>
    <t>오후 14:00</t>
    <phoneticPr fontId="1" type="noConversion"/>
  </si>
  <si>
    <t>오후 19:00</t>
    <phoneticPr fontId="1" type="noConversion"/>
  </si>
  <si>
    <t>오후 21:00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</si>
  <si>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</si>
  <si>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</si>
  <si>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</si>
  <si>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</si>
  <si>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</si>
  <si>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</si>
  <si>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</si>
  <si>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</si>
  <si>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</si>
  <si>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</si>
  <si>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</si>
  <si>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</si>
  <si>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</si>
  <si>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</si>
  <si>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</si>
  <si>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</si>
  <si>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오전 00:01</t>
    <phoneticPr fontId="1" type="noConversion"/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</si>
  <si>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</si>
  <si>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</si>
  <si>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</si>
  <si>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</si>
  <si>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</si>
  <si>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</si>
  <si>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</si>
  <si>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</si>
  <si>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</si>
  <si>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</si>
  <si>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</si>
  <si>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</si>
  <si>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</si>
  <si>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</si>
  <si>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</si>
  <si>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</si>
  <si>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</si>
  <si>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</si>
  <si>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</si>
  <si>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</si>
  <si>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</si>
  <si>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</si>
  <si>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</si>
  <si>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</si>
  <si>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</si>
  <si>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</si>
  <si>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</si>
  <si>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</si>
  <si>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</si>
  <si>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</si>
  <si>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</si>
  <si>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</si>
  <si>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</si>
  <si>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</si>
  <si>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</si>
  <si>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</si>
  <si>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</si>
  <si>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</si>
  <si>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</si>
  <si>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</si>
  <si>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</si>
  <si>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</si>
  <si>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</si>
  <si>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</si>
  <si>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</si>
  <si>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</si>
  <si>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</si>
  <si>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</si>
  <si>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</si>
  <si>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</si>
  <si>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</si>
  <si>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</si>
  <si>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</si>
  <si>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</si>
  <si>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</si>
  <si>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</si>
  <si>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</si>
  <si>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</si>
  <si>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</si>
  <si>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</si>
  <si>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</si>
  <si>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</si>
  <si>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</si>
  <si>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</si>
  <si>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</si>
  <si>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</si>
  <si>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</si>
  <si>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</si>
  <si>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</si>
  <si>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</si>
  <si>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</si>
  <si>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</si>
  <si>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</si>
  <si>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</si>
  <si>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</si>
  <si>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</si>
  <si>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</si>
  <si>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</si>
  <si>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</si>
  <si>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</si>
  <si>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</si>
  <si>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</si>
  <si>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</si>
  <si>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</si>
  <si>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</si>
  <si>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</si>
  <si>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</si>
  <si>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</si>
  <si>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</si>
  <si>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</si>
  <si>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</si>
  <si>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</si>
  <si>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</si>
  <si>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</si>
  <si>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</si>
  <si>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</si>
  <si>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</si>
  <si>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</si>
  <si>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</si>
  <si>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</si>
  <si>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</si>
  <si>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</si>
  <si>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</si>
  <si>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</si>
  <si>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</si>
  <si>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</si>
  <si>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</si>
  <si>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</si>
  <si>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</si>
  <si>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</si>
  <si>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</si>
  <si>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</si>
  <si>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</si>
  <si>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</si>
  <si>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</si>
  <si>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</si>
  <si>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</si>
  <si>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</si>
  <si>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</si>
  <si>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</si>
  <si>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</si>
  <si>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</si>
  <si>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</si>
  <si>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</si>
  <si>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</si>
  <si>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</si>
  <si>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</si>
  <si>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</si>
  <si>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</si>
  <si>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</si>
  <si>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</si>
  <si>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</si>
  <si>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</si>
  <si>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</si>
  <si>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</si>
  <si>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</si>
  <si>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</si>
  <si>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</si>
  <si>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</si>
  <si>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</si>
  <si>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</si>
  <si>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</si>
  <si>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</si>
  <si>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</si>
  <si>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</si>
  <si>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</si>
  <si>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</si>
  <si>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</si>
  <si>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</si>
  <si>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</si>
  <si>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</si>
  <si>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</si>
  <si>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</si>
  <si>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</si>
  <si>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</si>
  <si>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</si>
  <si>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</si>
  <si>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</si>
  <si>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</si>
  <si>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</si>
  <si>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</si>
  <si>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</si>
  <si>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</si>
  <si>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</si>
  <si>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</si>
  <si>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</si>
  <si>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</si>
  <si>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</si>
  <si>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</si>
  <si>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</si>
  <si>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</si>
  <si>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</si>
  <si>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</si>
  <si>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</si>
  <si>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</si>
  <si>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</si>
  <si>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</si>
  <si>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</si>
  <si>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</si>
  <si>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</si>
  <si>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</si>
  <si>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</si>
  <si>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</si>
  <si>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</si>
  <si>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</si>
  <si>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</si>
  <si>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</si>
  <si>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</si>
  <si>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</si>
  <si>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</si>
  <si>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</si>
  <si>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</si>
  <si>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</si>
  <si>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</si>
  <si>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</si>
  <si>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</si>
  <si>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</si>
  <si>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</si>
  <si>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</si>
  <si>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</si>
  <si>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</si>
  <si>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</si>
  <si>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</si>
  <si>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</si>
  <si>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</si>
  <si>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</si>
  <si>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</si>
  <si>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</si>
  <si>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</si>
  <si>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</si>
  <si>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</si>
  <si>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</si>
  <si>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</si>
  <si>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</si>
  <si>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</si>
  <si>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</si>
  <si>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</si>
  <si>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</si>
  <si>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</si>
  <si>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</si>
  <si>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</si>
  <si>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</si>
  <si>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</si>
  <si>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</si>
  <si>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</si>
  <si>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</si>
  <si>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</si>
  <si>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</si>
  <si>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</si>
  <si>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</si>
  <si>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</si>
  <si>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</si>
  <si>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</si>
  <si>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</si>
  <si>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</si>
  <si>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</si>
  <si>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</si>
  <si>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</si>
  <si>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</si>
  <si>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2021.04.14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</si>
  <si>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</si>
  <si>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</si>
  <si>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KRW-DOGE</t>
  </si>
  <si>
    <t>도지코인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</si>
</sst>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7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right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0" fontId="3" fillId="0" borderId="19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right" vertical="center"/>
    </xf>
    <xf numFmtId="10" fontId="3" fillId="0" borderId="1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0" fontId="3" fillId="0" borderId="29" xfId="0" applyNumberFormat="1" applyFont="1" applyBorder="1" applyAlignment="1">
      <alignment horizontal="center" vertical="center"/>
    </xf>
    <xf numFmtId="179" fontId="3" fillId="0" borderId="33" xfId="0" applyNumberFormat="1" applyFont="1" applyBorder="1" applyAlignment="1">
      <alignment horizontal="right" vertical="center"/>
    </xf>
    <xf numFmtId="10" fontId="3" fillId="0" borderId="32" xfId="0" applyNumberFormat="1" applyFont="1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32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0" fontId="0" fillId="0" borderId="12" xfId="0" applyNumberFormat="1" applyBorder="1">
      <alignment vertical="center"/>
    </xf>
    <xf numFmtId="10" fontId="0" fillId="0" borderId="19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182" fontId="0" fillId="0" borderId="0" xfId="0" applyNumberFormat="1" applyAlignment="1"/>
  </cellXfs>
  <cellStyles count="2">
    <cellStyle name="표준" xfId="0" builtinId="0"/>
    <cellStyle name="하이퍼링크" xfId="1" builtinId="8"/>
  </cellStyles>
  <dxfs count="3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1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1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1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1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1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1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1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1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1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1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1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1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1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1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DAF76EC-D306-4EB3-9B44-C1E0472B1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9D20961-63AC-4F30-8E90-BC222CF59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43E41FDD-45AE-4295-B3D4-700EA1D22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2BC83FB1-00AD-4689-8487-B01483B10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7415440D-6E0A-403D-B086-9D9829258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9B18B6D1-DE0C-4415-B815-42865CBBA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53382FB8-4EF5-45EE-B782-326B96E15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15AEEE67-683E-474B-A2C9-E429138AC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95FEF383-C852-469E-8BFD-1AADC4B5F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EB32C723-8604-42FD-BDA5-5DC4090A8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B937FF40-8F9C-4F2F-A81A-D48A082C3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46F5EDF5-CA04-4FB8-ACC8-20FE99E4A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A5976101-7EE5-433B-9049-CCE3F5E77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8CE9DC84-1A6E-4AA1-A609-5461535BF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867ACA6B-CBB0-47D0-809E-653307C91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3DAE8124-E365-476C-B5FF-4846FA2B8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59CB3F42-F032-4554-9AF6-67CE29C2D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601247D0-A387-4E44-AA28-7D3F1C71F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B54A95AB-B000-42F8-A07A-ACAC3FEDA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9CD90F44-D476-4E3A-AB6D-E3734287D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BE1B105C-CCAD-4D85-B4D9-1E49FCC20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831F9781-BC88-4A80-AA25-6BAFAD507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60C2BF19-31E9-4063-AFD4-BDFC47251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34E3298B-4C85-4479-96C0-27CB4C286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F96868E2-A836-4347-9C07-4287A71D2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2CE09BCA-6C07-4752-A0FF-DFC981CFE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A5820BDF-0DB4-4225-93CA-71A46184E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382D9774-055E-4D96-B05B-2667061BB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1BED0A0D-F72F-44ED-B578-F6E9DF944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1C000B76-1D41-441B-A31E-7B8A3F158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33F0266D-8DFD-41B1-9B3B-0F2D85840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E20A8702-DB06-4BB1-B2E6-DCD13937B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CCC5CA9E-7397-4D26-93D5-5C40A3DC4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DD1D04CA-714E-4DD5-A4F0-06BE6B8EC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4BEC2ED8-5BCF-409D-8F45-B6F6FA693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D38D32B9-C4B2-432F-932E-5F0808AD5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1A80905B-B382-4CF8-A363-38DD69909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FC2EE4A5-5EA9-478A-88CF-070CA60A4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D8C4299B-2826-49CF-9C36-37F80E719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4A19FD70-0A4E-45AA-AD30-39EACAFE4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357D5CB2-AF9A-4885-ACBE-E7E81F5B1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CC2248B-BAB4-4D6B-A8AE-99C3E79A4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F6689CA8-FDA2-4C7A-8CDB-7B30FF676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86E8373A-EBA0-4118-B30E-41DD6CA22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F41E0EA2-1E3F-4CE8-8D5C-C21D83C98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1662E999-8604-46D5-A140-489BE7CBD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75F17DBF-CB6D-4FA2-B77C-CB435A0E3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9A470F60-9A26-4A42-937C-0490F01F6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23643955-BD4E-4CEC-8836-4ED5A0DEB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7C68AFBF-F625-4DB6-A898-9CA299E1F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606988C-A6FD-4CB5-AD6E-9CE2969C5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6E7A793F-D272-423C-BC61-5850A8FD1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3DE5B932-7CB2-4147-A3EB-639D7FFBD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A5C64945-7FF8-4A8A-8AC1-48BDCEC81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5479DE0D-9331-433B-B8DC-333685AB4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EEAE470F-69A2-4690-A264-E0EAB53FF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9.xml"/><Relationship Id="rId29" Type="http://schemas.openxmlformats.org/officeDocument/2006/relationships/ctrlProp" Target="../ctrlProps/ctrlProp82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5" Type="http://schemas.openxmlformats.org/officeDocument/2006/relationships/ctrlProp" Target="../ctrlProps/ctrlProp58.xml"/><Relationship Id="rId19" Type="http://schemas.openxmlformats.org/officeDocument/2006/relationships/ctrlProp" Target="../ctrlProps/ctrlProp7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9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2.xml"/><Relationship Id="rId18" Type="http://schemas.openxmlformats.org/officeDocument/2006/relationships/ctrlProp" Target="../ctrlProps/ctrlProp127.xml"/><Relationship Id="rId26" Type="http://schemas.openxmlformats.org/officeDocument/2006/relationships/ctrlProp" Target="../ctrlProps/ctrlProp135.xml"/><Relationship Id="rId39" Type="http://schemas.openxmlformats.org/officeDocument/2006/relationships/ctrlProp" Target="../ctrlProps/ctrlProp148.xml"/><Relationship Id="rId21" Type="http://schemas.openxmlformats.org/officeDocument/2006/relationships/ctrlProp" Target="../ctrlProps/ctrlProp130.xml"/><Relationship Id="rId34" Type="http://schemas.openxmlformats.org/officeDocument/2006/relationships/ctrlProp" Target="../ctrlProps/ctrlProp143.xml"/><Relationship Id="rId42" Type="http://schemas.openxmlformats.org/officeDocument/2006/relationships/ctrlProp" Target="../ctrlProps/ctrlProp151.xml"/><Relationship Id="rId47" Type="http://schemas.openxmlformats.org/officeDocument/2006/relationships/ctrlProp" Target="../ctrlProps/ctrlProp156.xml"/><Relationship Id="rId50" Type="http://schemas.openxmlformats.org/officeDocument/2006/relationships/ctrlProp" Target="../ctrlProps/ctrlProp159.xml"/><Relationship Id="rId55" Type="http://schemas.openxmlformats.org/officeDocument/2006/relationships/ctrlProp" Target="../ctrlProps/ctrlProp164.xml"/><Relationship Id="rId7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5.xml"/><Relationship Id="rId29" Type="http://schemas.openxmlformats.org/officeDocument/2006/relationships/ctrlProp" Target="../ctrlProps/ctrlProp138.xml"/><Relationship Id="rId11" Type="http://schemas.openxmlformats.org/officeDocument/2006/relationships/ctrlProp" Target="../ctrlProps/ctrlProp120.xml"/><Relationship Id="rId24" Type="http://schemas.openxmlformats.org/officeDocument/2006/relationships/ctrlProp" Target="../ctrlProps/ctrlProp133.xml"/><Relationship Id="rId32" Type="http://schemas.openxmlformats.org/officeDocument/2006/relationships/ctrlProp" Target="../ctrlProps/ctrlProp141.xml"/><Relationship Id="rId37" Type="http://schemas.openxmlformats.org/officeDocument/2006/relationships/ctrlProp" Target="../ctrlProps/ctrlProp146.xml"/><Relationship Id="rId40" Type="http://schemas.openxmlformats.org/officeDocument/2006/relationships/ctrlProp" Target="../ctrlProps/ctrlProp149.xml"/><Relationship Id="rId45" Type="http://schemas.openxmlformats.org/officeDocument/2006/relationships/ctrlProp" Target="../ctrlProps/ctrlProp154.xml"/><Relationship Id="rId53" Type="http://schemas.openxmlformats.org/officeDocument/2006/relationships/ctrlProp" Target="../ctrlProps/ctrlProp162.xml"/><Relationship Id="rId58" Type="http://schemas.openxmlformats.org/officeDocument/2006/relationships/ctrlProp" Target="../ctrlProps/ctrlProp167.xml"/><Relationship Id="rId5" Type="http://schemas.openxmlformats.org/officeDocument/2006/relationships/ctrlProp" Target="../ctrlProps/ctrlProp114.xml"/><Relationship Id="rId19" Type="http://schemas.openxmlformats.org/officeDocument/2006/relationships/ctrlProp" Target="../ctrlProps/ctrlProp128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Relationship Id="rId22" Type="http://schemas.openxmlformats.org/officeDocument/2006/relationships/ctrlProp" Target="../ctrlProps/ctrlProp131.xml"/><Relationship Id="rId27" Type="http://schemas.openxmlformats.org/officeDocument/2006/relationships/ctrlProp" Target="../ctrlProps/ctrlProp136.xml"/><Relationship Id="rId30" Type="http://schemas.openxmlformats.org/officeDocument/2006/relationships/ctrlProp" Target="../ctrlProps/ctrlProp139.xml"/><Relationship Id="rId35" Type="http://schemas.openxmlformats.org/officeDocument/2006/relationships/ctrlProp" Target="../ctrlProps/ctrlProp144.xml"/><Relationship Id="rId43" Type="http://schemas.openxmlformats.org/officeDocument/2006/relationships/ctrlProp" Target="../ctrlProps/ctrlProp152.xml"/><Relationship Id="rId48" Type="http://schemas.openxmlformats.org/officeDocument/2006/relationships/ctrlProp" Target="../ctrlProps/ctrlProp157.xml"/><Relationship Id="rId56" Type="http://schemas.openxmlformats.org/officeDocument/2006/relationships/ctrlProp" Target="../ctrlProps/ctrlProp165.xml"/><Relationship Id="rId8" Type="http://schemas.openxmlformats.org/officeDocument/2006/relationships/ctrlProp" Target="../ctrlProps/ctrlProp117.xml"/><Relationship Id="rId51" Type="http://schemas.openxmlformats.org/officeDocument/2006/relationships/ctrlProp" Target="../ctrlProps/ctrlProp16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5" Type="http://schemas.openxmlformats.org/officeDocument/2006/relationships/ctrlProp" Target="../ctrlProps/ctrlProp134.xml"/><Relationship Id="rId33" Type="http://schemas.openxmlformats.org/officeDocument/2006/relationships/ctrlProp" Target="../ctrlProps/ctrlProp142.xml"/><Relationship Id="rId38" Type="http://schemas.openxmlformats.org/officeDocument/2006/relationships/ctrlProp" Target="../ctrlProps/ctrlProp147.xml"/><Relationship Id="rId46" Type="http://schemas.openxmlformats.org/officeDocument/2006/relationships/ctrlProp" Target="../ctrlProps/ctrlProp155.xml"/><Relationship Id="rId59" Type="http://schemas.openxmlformats.org/officeDocument/2006/relationships/ctrlProp" Target="../ctrlProps/ctrlProp168.xml"/><Relationship Id="rId20" Type="http://schemas.openxmlformats.org/officeDocument/2006/relationships/ctrlProp" Target="../ctrlProps/ctrlProp129.xml"/><Relationship Id="rId41" Type="http://schemas.openxmlformats.org/officeDocument/2006/relationships/ctrlProp" Target="../ctrlProps/ctrlProp150.xml"/><Relationship Id="rId54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5.xml"/><Relationship Id="rId15" Type="http://schemas.openxmlformats.org/officeDocument/2006/relationships/ctrlProp" Target="../ctrlProps/ctrlProp124.xml"/><Relationship Id="rId23" Type="http://schemas.openxmlformats.org/officeDocument/2006/relationships/ctrlProp" Target="../ctrlProps/ctrlProp132.xml"/><Relationship Id="rId28" Type="http://schemas.openxmlformats.org/officeDocument/2006/relationships/ctrlProp" Target="../ctrlProps/ctrlProp137.xml"/><Relationship Id="rId36" Type="http://schemas.openxmlformats.org/officeDocument/2006/relationships/ctrlProp" Target="../ctrlProps/ctrlProp145.xml"/><Relationship Id="rId49" Type="http://schemas.openxmlformats.org/officeDocument/2006/relationships/ctrlProp" Target="../ctrlProps/ctrlProp158.xml"/><Relationship Id="rId57" Type="http://schemas.openxmlformats.org/officeDocument/2006/relationships/ctrlProp" Target="../ctrlProps/ctrlProp166.xml"/><Relationship Id="rId10" Type="http://schemas.openxmlformats.org/officeDocument/2006/relationships/ctrlProp" Target="../ctrlProps/ctrlProp119.xml"/><Relationship Id="rId31" Type="http://schemas.openxmlformats.org/officeDocument/2006/relationships/ctrlProp" Target="../ctrlProps/ctrlProp140.xml"/><Relationship Id="rId44" Type="http://schemas.openxmlformats.org/officeDocument/2006/relationships/ctrlProp" Target="../ctrlProps/ctrlProp153.xml"/><Relationship Id="rId52" Type="http://schemas.openxmlformats.org/officeDocument/2006/relationships/ctrlProp" Target="../ctrlProps/ctrlProp1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59A6-BC2F-425E-9A58-CCB761931783}">
  <sheetPr codeName="Sheet3"/>
  <dimension ref="A1:S199"/>
  <sheetViews>
    <sheetView zoomScaleNormal="100" workbookViewId="0">
      <selection sqref="A1:O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9" t="s">
        <v>0</v>
      </c>
      <c r="B1" s="130"/>
      <c r="C1" s="130"/>
      <c r="D1" s="130"/>
      <c r="E1" s="130"/>
      <c r="F1" s="131"/>
      <c r="G1" s="145">
        <v>44287</v>
      </c>
      <c r="H1" s="146"/>
      <c r="I1" s="147"/>
      <c r="J1" s="129" t="s">
        <v>1</v>
      </c>
      <c r="K1" s="130"/>
      <c r="L1" s="130"/>
      <c r="M1" s="130"/>
      <c r="N1" s="130"/>
      <c r="O1" s="131"/>
      <c r="Q1" s="129" t="s">
        <v>2</v>
      </c>
      <c r="R1" s="131"/>
    </row>
    <row r="2" spans="1:19" ht="17.25" customHeight="1">
      <c r="A2" s="1" t="s">
        <v>3</v>
      </c>
      <c r="B2" s="148" t="s">
        <v>4</v>
      </c>
      <c r="C2" s="149"/>
      <c r="D2" s="149"/>
      <c r="E2" s="149"/>
      <c r="F2" s="150"/>
      <c r="G2" s="151" t="s">
        <v>50</v>
      </c>
      <c r="H2" s="152"/>
      <c r="I2" s="153"/>
      <c r="J2" s="1" t="s">
        <v>3</v>
      </c>
      <c r="K2" s="148" t="s">
        <v>5</v>
      </c>
      <c r="L2" s="149"/>
      <c r="M2" s="149"/>
      <c r="N2" s="149"/>
      <c r="O2" s="150"/>
      <c r="Q2" s="2" t="s">
        <v>6</v>
      </c>
      <c r="R2" s="3">
        <v>0.375</v>
      </c>
    </row>
    <row r="3" spans="1:19" ht="17.25" customHeight="1" thickBot="1">
      <c r="A3" s="4" t="s">
        <v>7</v>
      </c>
      <c r="B3" s="154" t="s">
        <v>8</v>
      </c>
      <c r="C3" s="155"/>
      <c r="D3" s="155"/>
      <c r="E3" s="155"/>
      <c r="F3" s="156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54" t="s">
        <v>9</v>
      </c>
      <c r="L3" s="155"/>
      <c r="M3" s="155"/>
      <c r="N3" s="155"/>
      <c r="O3" s="1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4" t="s">
        <v>12</v>
      </c>
      <c r="C4" s="155"/>
      <c r="D4" s="155"/>
      <c r="E4" s="155"/>
      <c r="F4" s="156"/>
      <c r="G4" s="151" t="s">
        <v>48</v>
      </c>
      <c r="H4" s="152"/>
      <c r="I4" s="153"/>
      <c r="J4" s="4" t="s">
        <v>11</v>
      </c>
      <c r="K4" s="154" t="s">
        <v>13</v>
      </c>
      <c r="L4" s="155"/>
      <c r="M4" s="155"/>
      <c r="N4" s="155"/>
      <c r="O4" s="156"/>
      <c r="Q4" s="5" t="s">
        <v>14</v>
      </c>
      <c r="R4" s="6">
        <v>0.95833333333333337</v>
      </c>
    </row>
    <row r="5" spans="1:19" ht="17.25" customHeight="1" thickBot="1">
      <c r="A5" s="4" t="s">
        <v>15</v>
      </c>
      <c r="B5" s="154" t="s">
        <v>16</v>
      </c>
      <c r="C5" s="155"/>
      <c r="D5" s="155"/>
      <c r="E5" s="155"/>
      <c r="F5" s="156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54" t="s">
        <v>17</v>
      </c>
      <c r="L5" s="155"/>
      <c r="M5" s="155"/>
      <c r="N5" s="155"/>
      <c r="O5" s="156"/>
    </row>
    <row r="6" spans="1:19">
      <c r="A6" s="4" t="s">
        <v>18</v>
      </c>
      <c r="B6" s="154" t="s">
        <v>19</v>
      </c>
      <c r="C6" s="155"/>
      <c r="D6" s="155"/>
      <c r="E6" s="155"/>
      <c r="F6" s="156"/>
      <c r="G6" s="151" t="s">
        <v>49</v>
      </c>
      <c r="H6" s="152"/>
      <c r="I6" s="153"/>
      <c r="J6" s="4" t="s">
        <v>18</v>
      </c>
      <c r="K6" s="154" t="s">
        <v>20</v>
      </c>
      <c r="L6" s="155"/>
      <c r="M6" s="155"/>
      <c r="N6" s="155"/>
      <c r="O6" s="156"/>
    </row>
    <row r="7" spans="1:19" ht="17.25" thickBot="1">
      <c r="A7" s="4" t="s">
        <v>21</v>
      </c>
      <c r="B7" s="154" t="s">
        <v>22</v>
      </c>
      <c r="C7" s="155"/>
      <c r="D7" s="155"/>
      <c r="E7" s="155"/>
      <c r="F7" s="156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54" t="s">
        <v>23</v>
      </c>
      <c r="L7" s="155"/>
      <c r="M7" s="155"/>
      <c r="N7" s="155"/>
      <c r="O7" s="156"/>
    </row>
    <row r="8" spans="1:19" ht="17.25" thickBot="1">
      <c r="A8" s="4" t="s">
        <v>24</v>
      </c>
      <c r="B8" s="154" t="s">
        <v>25</v>
      </c>
      <c r="C8" s="155"/>
      <c r="D8" s="155"/>
      <c r="E8" s="155"/>
      <c r="F8" s="156"/>
      <c r="G8" s="151" t="s">
        <v>290</v>
      </c>
      <c r="H8" s="152"/>
      <c r="I8" s="153"/>
      <c r="J8" s="4" t="s">
        <v>24</v>
      </c>
      <c r="K8" s="154" t="s">
        <v>26</v>
      </c>
      <c r="L8" s="155"/>
      <c r="M8" s="155"/>
      <c r="N8" s="155"/>
      <c r="O8" s="156"/>
      <c r="Q8" s="129" t="s">
        <v>27</v>
      </c>
      <c r="R8" s="131"/>
    </row>
    <row r="9" spans="1:19" ht="17.25" thickBot="1">
      <c r="A9" s="4" t="s">
        <v>28</v>
      </c>
      <c r="B9" s="154"/>
      <c r="C9" s="155"/>
      <c r="D9" s="155"/>
      <c r="E9" s="155"/>
      <c r="F9" s="156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54"/>
      <c r="L9" s="155"/>
      <c r="M9" s="155"/>
      <c r="N9" s="155"/>
      <c r="O9" s="156"/>
      <c r="Q9" s="2" t="s">
        <v>29</v>
      </c>
      <c r="R9" s="7">
        <v>10</v>
      </c>
    </row>
    <row r="10" spans="1:19">
      <c r="A10" s="4" t="s">
        <v>30</v>
      </c>
      <c r="B10" s="154"/>
      <c r="C10" s="155"/>
      <c r="D10" s="155"/>
      <c r="E10" s="155"/>
      <c r="F10" s="156"/>
      <c r="G10" s="151" t="s">
        <v>51</v>
      </c>
      <c r="H10" s="152"/>
      <c r="I10" s="153"/>
      <c r="J10" s="4" t="s">
        <v>30</v>
      </c>
      <c r="K10" s="154"/>
      <c r="L10" s="155"/>
      <c r="M10" s="155"/>
      <c r="N10" s="155"/>
      <c r="O10" s="156"/>
      <c r="Q10" s="2" t="s">
        <v>31</v>
      </c>
      <c r="R10" s="7">
        <v>100</v>
      </c>
    </row>
    <row r="11" spans="1:19" ht="17.25" thickBot="1">
      <c r="A11" s="8" t="s">
        <v>32</v>
      </c>
      <c r="B11" s="160"/>
      <c r="C11" s="161"/>
      <c r="D11" s="161"/>
      <c r="E11" s="161"/>
      <c r="F11" s="162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8" t="s">
        <v>32</v>
      </c>
      <c r="K11" s="160"/>
      <c r="L11" s="161"/>
      <c r="M11" s="161"/>
      <c r="N11" s="161"/>
      <c r="O11" s="162"/>
      <c r="Q11" s="5" t="s">
        <v>33</v>
      </c>
      <c r="R11" s="9">
        <v>1000</v>
      </c>
    </row>
    <row r="12" spans="1:19" ht="17.25" thickBot="1"/>
    <row r="13" spans="1:19" ht="17.25" customHeight="1" thickBot="1">
      <c r="A13" s="129" t="s">
        <v>34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/>
      <c r="Q13" s="118"/>
      <c r="R13" s="119"/>
      <c r="S13" s="120"/>
    </row>
    <row r="14" spans="1:19" ht="17.25" customHeight="1" thickBot="1">
      <c r="A14" s="10" t="s">
        <v>35</v>
      </c>
      <c r="B14" s="129" t="s">
        <v>36</v>
      </c>
      <c r="C14" s="131"/>
      <c r="D14" s="129" t="s">
        <v>37</v>
      </c>
      <c r="E14" s="130"/>
      <c r="F14" s="131"/>
      <c r="G14" s="132">
        <f>_xlfn.IFNA(VLOOKUP(B14, 현재가테이블!$B$2:$D$200, 2, FALSE), "-")</f>
        <v>77697000</v>
      </c>
      <c r="H14" s="133"/>
      <c r="I14" s="134"/>
      <c r="J14" s="129" t="s">
        <v>38</v>
      </c>
      <c r="K14" s="130"/>
      <c r="L14" s="131"/>
      <c r="M14" s="135">
        <f>_xlfn.IFNA(VLOOKUP(B14, 현재가테이블!$B$2:$D$200, 3, FALSE), "-")</f>
        <v>-2.0844097700000001E-2</v>
      </c>
      <c r="N14" s="136"/>
      <c r="O14" s="137"/>
      <c r="Q14" s="121"/>
      <c r="R14" s="122"/>
      <c r="S14" s="123"/>
    </row>
    <row r="15" spans="1:19" ht="17.25" customHeight="1" thickBot="1">
      <c r="A15" s="138" t="s">
        <v>39</v>
      </c>
      <c r="B15" s="139" t="s">
        <v>40</v>
      </c>
      <c r="C15" s="140"/>
      <c r="D15" s="163" t="s">
        <v>41</v>
      </c>
      <c r="E15" s="144"/>
      <c r="F15" s="164"/>
      <c r="G15" s="163" t="s">
        <v>42</v>
      </c>
      <c r="H15" s="144"/>
      <c r="I15" s="164"/>
      <c r="J15" s="144" t="s">
        <v>43</v>
      </c>
      <c r="K15" s="144"/>
      <c r="L15" s="144"/>
      <c r="M15" s="163" t="s">
        <v>40</v>
      </c>
      <c r="N15" s="144"/>
      <c r="O15" s="164"/>
      <c r="Q15" s="124"/>
      <c r="R15" s="125"/>
      <c r="S15" s="126"/>
    </row>
    <row r="16" spans="1:19" ht="17.25" customHeight="1" thickBot="1">
      <c r="A16" s="13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14" t="s">
        <v>37</v>
      </c>
      <c r="H16" s="15" t="s">
        <v>44</v>
      </c>
      <c r="I16" s="16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105"/>
      <c r="R16" s="105"/>
      <c r="S16" s="105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106"/>
      <c r="R17" s="106"/>
      <c r="S17" s="106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106"/>
      <c r="R18" s="106"/>
      <c r="S18" s="106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7"/>
      <c r="R19" s="107"/>
      <c r="S19" s="107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7"/>
      <c r="R20" s="107"/>
      <c r="S20" s="107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8"/>
      <c r="R21" s="108"/>
      <c r="S21" s="108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9"/>
      <c r="R22" s="110"/>
      <c r="S22" s="111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12"/>
      <c r="R23" s="113"/>
      <c r="S23" s="114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15"/>
      <c r="R24" s="116"/>
      <c r="S24" s="117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8"/>
      <c r="R26" s="119"/>
      <c r="S26" s="120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21"/>
      <c r="R27" s="122"/>
      <c r="S27" s="123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24"/>
      <c r="R28" s="125"/>
      <c r="S28" s="126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05"/>
      <c r="R29" s="105"/>
      <c r="S29" s="105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106"/>
      <c r="R30" s="106"/>
      <c r="S30" s="106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106"/>
      <c r="R31" s="106"/>
      <c r="S31" s="106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7"/>
      <c r="R32" s="107"/>
      <c r="S32" s="107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7"/>
      <c r="R33" s="107"/>
      <c r="S33" s="107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8"/>
      <c r="R34" s="108"/>
      <c r="S34" s="108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9"/>
      <c r="R35" s="110"/>
      <c r="S35" s="111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12"/>
      <c r="R36" s="113"/>
      <c r="S36" s="114"/>
    </row>
    <row r="37" spans="1:19" ht="17.25" customHeight="1" thickBot="1">
      <c r="A37" s="39" t="s">
        <v>46</v>
      </c>
      <c r="B37" s="127">
        <v>100000</v>
      </c>
      <c r="C37" s="128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15"/>
      <c r="R37" s="116"/>
      <c r="S37" s="117"/>
    </row>
    <row r="38" spans="1:19" ht="17.25" customHeight="1"/>
    <row r="39" spans="1:19" ht="17.25" customHeight="1" thickBot="1"/>
    <row r="40" spans="1:19" ht="17.25" customHeight="1" thickBot="1">
      <c r="A40" s="129" t="s">
        <v>48</v>
      </c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1"/>
      <c r="Q40" s="118"/>
      <c r="R40" s="119"/>
      <c r="S40" s="120"/>
    </row>
    <row r="41" spans="1:19" ht="17.25" customHeight="1" thickBot="1">
      <c r="A41" s="10" t="s">
        <v>35</v>
      </c>
      <c r="B41" s="129" t="s">
        <v>36</v>
      </c>
      <c r="C41" s="131"/>
      <c r="D41" s="129" t="s">
        <v>37</v>
      </c>
      <c r="E41" s="130"/>
      <c r="F41" s="131"/>
      <c r="G41" s="132">
        <f>_xlfn.IFNA(VLOOKUP(B41, 현재가테이블!$B$2:$D$200, 2, FALSE), "-")</f>
        <v>77697000</v>
      </c>
      <c r="H41" s="133"/>
      <c r="I41" s="134"/>
      <c r="J41" s="129" t="s">
        <v>38</v>
      </c>
      <c r="K41" s="130"/>
      <c r="L41" s="131"/>
      <c r="M41" s="135">
        <f>_xlfn.IFNA(VLOOKUP(B41, 현재가테이블!$B$2:$D$200, 3, FALSE), "-")</f>
        <v>-2.0844097700000001E-2</v>
      </c>
      <c r="N41" s="136"/>
      <c r="O41" s="137"/>
      <c r="Q41" s="121"/>
      <c r="R41" s="122"/>
      <c r="S41" s="123"/>
    </row>
    <row r="42" spans="1:19" ht="17.25" customHeight="1" thickBot="1">
      <c r="A42" s="138" t="s">
        <v>39</v>
      </c>
      <c r="B42" s="139" t="s">
        <v>40</v>
      </c>
      <c r="C42" s="140"/>
      <c r="D42" s="141" t="s">
        <v>41</v>
      </c>
      <c r="E42" s="142"/>
      <c r="F42" s="143"/>
      <c r="G42" s="141" t="s">
        <v>42</v>
      </c>
      <c r="H42" s="142"/>
      <c r="I42" s="143"/>
      <c r="J42" s="144" t="s">
        <v>43</v>
      </c>
      <c r="K42" s="144"/>
      <c r="L42" s="144"/>
      <c r="M42" s="141" t="s">
        <v>40</v>
      </c>
      <c r="N42" s="142"/>
      <c r="O42" s="143"/>
      <c r="Q42" s="124"/>
      <c r="R42" s="125"/>
      <c r="S42" s="126"/>
    </row>
    <row r="43" spans="1:19" ht="17.25" customHeight="1" thickBot="1">
      <c r="A43" s="13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105"/>
      <c r="R43" s="105"/>
      <c r="S43" s="105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106"/>
      <c r="R44" s="106"/>
      <c r="S44" s="106"/>
    </row>
    <row r="45" spans="1:19" ht="17.25" customHeight="1" thickBot="1">
      <c r="A45" s="47"/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106"/>
      <c r="R45" s="106"/>
      <c r="S45" s="106"/>
    </row>
    <row r="46" spans="1:19" ht="17.25" customHeight="1" thickBot="1">
      <c r="A46" s="47"/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7"/>
      <c r="R46" s="107"/>
      <c r="S46" s="107"/>
    </row>
    <row r="47" spans="1:19" ht="17.25" customHeight="1" thickBot="1">
      <c r="A47" s="47"/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7"/>
      <c r="R47" s="107"/>
      <c r="S47" s="107"/>
    </row>
    <row r="48" spans="1:19" ht="17.25" customHeight="1" thickBot="1">
      <c r="A48" s="49"/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8"/>
      <c r="R48" s="108"/>
      <c r="S48" s="108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9"/>
      <c r="R49" s="110"/>
      <c r="S49" s="111"/>
    </row>
    <row r="50" spans="1:19" ht="17.25" customHeight="1">
      <c r="A50" s="47"/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12"/>
      <c r="R50" s="113"/>
      <c r="S50" s="114"/>
    </row>
    <row r="51" spans="1:19" ht="17.25" customHeight="1" thickBot="1">
      <c r="A51" s="47"/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15"/>
      <c r="R51" s="116"/>
      <c r="S51" s="117"/>
    </row>
    <row r="52" spans="1:19" ht="17.25" customHeight="1" thickBot="1">
      <c r="A52" s="47"/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106" t="s">
        <v>291</v>
      </c>
      <c r="R53" s="106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106"/>
      <c r="R54" s="106"/>
    </row>
    <row r="55" spans="1:19" ht="17.25" customHeight="1" thickBot="1">
      <c r="A55" s="47"/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106"/>
      <c r="R55" s="106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7" t="s">
        <v>292</v>
      </c>
      <c r="R56" s="107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106"/>
      <c r="R57" s="106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106"/>
      <c r="R58" s="106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7" t="s">
        <v>294</v>
      </c>
      <c r="R59" s="107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7"/>
      <c r="R60" s="107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7"/>
      <c r="R61" s="107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7"/>
      <c r="R62" s="107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7"/>
      <c r="R63" s="107"/>
    </row>
    <row r="64" spans="1:19" ht="17.25" customHeight="1" thickBot="1">
      <c r="A64" s="39" t="s">
        <v>46</v>
      </c>
      <c r="B64" s="127">
        <v>100000</v>
      </c>
      <c r="C64" s="128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7"/>
      <c r="R64" s="107"/>
    </row>
    <row r="65" spans="1:19" ht="17.25" customHeight="1"/>
    <row r="66" spans="1:19" ht="17.25" customHeight="1" thickBot="1"/>
    <row r="67" spans="1:19" ht="17.25" thickBot="1">
      <c r="A67" s="129" t="s">
        <v>49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1"/>
      <c r="Q67" s="118"/>
      <c r="R67" s="119"/>
      <c r="S67" s="120"/>
    </row>
    <row r="68" spans="1:19" ht="17.25" thickBot="1">
      <c r="A68" s="10" t="s">
        <v>35</v>
      </c>
      <c r="B68" s="129" t="s">
        <v>36</v>
      </c>
      <c r="C68" s="131"/>
      <c r="D68" s="129" t="s">
        <v>37</v>
      </c>
      <c r="E68" s="130"/>
      <c r="F68" s="131"/>
      <c r="G68" s="132">
        <f>_xlfn.IFNA(VLOOKUP(B68, 현재가테이블!$B$2:$D$200, 2, FALSE), "-")</f>
        <v>77697000</v>
      </c>
      <c r="H68" s="133"/>
      <c r="I68" s="134"/>
      <c r="J68" s="129" t="s">
        <v>38</v>
      </c>
      <c r="K68" s="130"/>
      <c r="L68" s="131"/>
      <c r="M68" s="135">
        <f>_xlfn.IFNA(VLOOKUP(B68, 현재가테이블!$B$2:$D$200, 3, FALSE), "-")</f>
        <v>-2.0844097700000001E-2</v>
      </c>
      <c r="N68" s="136"/>
      <c r="O68" s="137"/>
      <c r="Q68" s="121"/>
      <c r="R68" s="122"/>
      <c r="S68" s="123"/>
    </row>
    <row r="69" spans="1:19" ht="17.25" thickBot="1">
      <c r="A69" s="138" t="s">
        <v>39</v>
      </c>
      <c r="B69" s="139" t="s">
        <v>40</v>
      </c>
      <c r="C69" s="140"/>
      <c r="D69" s="141" t="s">
        <v>41</v>
      </c>
      <c r="E69" s="142"/>
      <c r="F69" s="143"/>
      <c r="G69" s="141" t="s">
        <v>42</v>
      </c>
      <c r="H69" s="142"/>
      <c r="I69" s="143"/>
      <c r="J69" s="144" t="s">
        <v>43</v>
      </c>
      <c r="K69" s="144"/>
      <c r="L69" s="144"/>
      <c r="M69" s="141" t="s">
        <v>40</v>
      </c>
      <c r="N69" s="142"/>
      <c r="O69" s="143"/>
      <c r="Q69" s="124"/>
      <c r="R69" s="125"/>
      <c r="S69" s="126"/>
    </row>
    <row r="70" spans="1:19" ht="17.25" thickBot="1">
      <c r="A70" s="13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105"/>
      <c r="R70" s="105"/>
      <c r="S70" s="105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106"/>
      <c r="R71" s="106"/>
      <c r="S71" s="106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106"/>
      <c r="R72" s="106"/>
      <c r="S72" s="106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7"/>
      <c r="R73" s="107"/>
      <c r="S73" s="107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7"/>
      <c r="R74" s="107"/>
      <c r="S74" s="107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8"/>
      <c r="R75" s="108"/>
      <c r="S75" s="108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9"/>
      <c r="R76" s="110"/>
      <c r="S76" s="111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12"/>
      <c r="R77" s="113"/>
      <c r="S77" s="114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15"/>
      <c r="R78" s="116"/>
      <c r="S78" s="117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8"/>
      <c r="R80" s="119"/>
      <c r="S80" s="120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21"/>
      <c r="R81" s="122"/>
      <c r="S81" s="123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24"/>
      <c r="R82" s="125"/>
      <c r="S82" s="126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05"/>
      <c r="R83" s="105"/>
      <c r="S83" s="105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106"/>
      <c r="R84" s="106"/>
      <c r="S84" s="106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106"/>
      <c r="R85" s="106"/>
      <c r="S85" s="106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7"/>
      <c r="R86" s="107"/>
      <c r="S86" s="107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7"/>
      <c r="R87" s="107"/>
      <c r="S87" s="107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8"/>
      <c r="R88" s="108"/>
      <c r="S88" s="108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9"/>
      <c r="R89" s="110"/>
      <c r="S89" s="111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12"/>
      <c r="R90" s="113"/>
      <c r="S90" s="114"/>
    </row>
    <row r="91" spans="1:19" ht="17.25" thickBot="1">
      <c r="A91" s="39" t="s">
        <v>46</v>
      </c>
      <c r="B91" s="127">
        <v>100000</v>
      </c>
      <c r="C91" s="128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15"/>
      <c r="R91" s="116"/>
      <c r="S91" s="117"/>
    </row>
    <row r="93" spans="1:19" ht="17.25" thickBot="1"/>
    <row r="94" spans="1:19" ht="17.25" thickBot="1">
      <c r="A94" s="129" t="s">
        <v>50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1"/>
      <c r="Q94" s="118"/>
      <c r="R94" s="119"/>
      <c r="S94" s="120"/>
    </row>
    <row r="95" spans="1:19" ht="17.25" thickBot="1">
      <c r="A95" s="10" t="s">
        <v>35</v>
      </c>
      <c r="B95" s="129" t="s">
        <v>36</v>
      </c>
      <c r="C95" s="131"/>
      <c r="D95" s="129" t="s">
        <v>37</v>
      </c>
      <c r="E95" s="130"/>
      <c r="F95" s="131"/>
      <c r="G95" s="132">
        <f>_xlfn.IFNA(VLOOKUP(B95, 현재가테이블!$B$2:$D$200, 2, FALSE), "-")</f>
        <v>77697000</v>
      </c>
      <c r="H95" s="133"/>
      <c r="I95" s="134"/>
      <c r="J95" s="129" t="s">
        <v>38</v>
      </c>
      <c r="K95" s="130"/>
      <c r="L95" s="131"/>
      <c r="M95" s="135">
        <f>_xlfn.IFNA(VLOOKUP(B95, 현재가테이블!$B$2:$D$200, 3, FALSE), "-")</f>
        <v>-2.0844097700000001E-2</v>
      </c>
      <c r="N95" s="136"/>
      <c r="O95" s="137"/>
      <c r="Q95" s="121"/>
      <c r="R95" s="122"/>
      <c r="S95" s="123"/>
    </row>
    <row r="96" spans="1:19" ht="17.25" thickBot="1">
      <c r="A96" s="138" t="s">
        <v>39</v>
      </c>
      <c r="B96" s="139" t="s">
        <v>40</v>
      </c>
      <c r="C96" s="140"/>
      <c r="D96" s="141" t="s">
        <v>41</v>
      </c>
      <c r="E96" s="142"/>
      <c r="F96" s="143"/>
      <c r="G96" s="141" t="s">
        <v>42</v>
      </c>
      <c r="H96" s="142"/>
      <c r="I96" s="143"/>
      <c r="J96" s="144" t="s">
        <v>43</v>
      </c>
      <c r="K96" s="144"/>
      <c r="L96" s="144"/>
      <c r="M96" s="141" t="s">
        <v>40</v>
      </c>
      <c r="N96" s="142"/>
      <c r="O96" s="143"/>
      <c r="Q96" s="124"/>
      <c r="R96" s="125"/>
      <c r="S96" s="126"/>
    </row>
    <row r="97" spans="1:19" ht="17.25" thickBot="1">
      <c r="A97" s="13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105"/>
      <c r="R97" s="105"/>
      <c r="S97" s="105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106"/>
      <c r="R98" s="106"/>
      <c r="S98" s="106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106"/>
      <c r="R99" s="106"/>
      <c r="S99" s="106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7"/>
      <c r="R100" s="107"/>
      <c r="S100" s="107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7"/>
      <c r="R101" s="107"/>
      <c r="S101" s="107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8"/>
      <c r="R102" s="108"/>
      <c r="S102" s="108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9"/>
      <c r="R103" s="110"/>
      <c r="S103" s="111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12"/>
      <c r="R104" s="113"/>
      <c r="S104" s="114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15"/>
      <c r="R105" s="116"/>
      <c r="S105" s="117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8"/>
      <c r="R107" s="119"/>
      <c r="S107" s="120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21"/>
      <c r="R108" s="122"/>
      <c r="S108" s="123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24"/>
      <c r="R109" s="125"/>
      <c r="S109" s="126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05"/>
      <c r="R110" s="105"/>
      <c r="S110" s="105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106"/>
      <c r="R111" s="106"/>
      <c r="S111" s="106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106"/>
      <c r="R112" s="106"/>
      <c r="S112" s="106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7"/>
      <c r="R113" s="107"/>
      <c r="S113" s="107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7"/>
      <c r="R114" s="107"/>
      <c r="S114" s="107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8"/>
      <c r="R115" s="108"/>
      <c r="S115" s="108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9"/>
      <c r="R116" s="110"/>
      <c r="S116" s="111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12"/>
      <c r="R117" s="113"/>
      <c r="S117" s="114"/>
    </row>
    <row r="118" spans="1:19" ht="17.25" thickBot="1">
      <c r="A118" s="39" t="s">
        <v>46</v>
      </c>
      <c r="B118" s="127">
        <v>100000</v>
      </c>
      <c r="C118" s="128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15"/>
      <c r="R118" s="116"/>
      <c r="S118" s="117"/>
    </row>
    <row r="120" spans="1:19" ht="17.25" thickBot="1"/>
    <row r="121" spans="1:19" ht="17.25" thickBot="1">
      <c r="A121" s="129" t="s">
        <v>298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1"/>
      <c r="Q121" s="118"/>
      <c r="R121" s="119"/>
      <c r="S121" s="120"/>
    </row>
    <row r="122" spans="1:19" ht="17.25" thickBot="1">
      <c r="A122" s="10" t="s">
        <v>35</v>
      </c>
      <c r="B122" s="129" t="s">
        <v>36</v>
      </c>
      <c r="C122" s="131"/>
      <c r="D122" s="129" t="s">
        <v>37</v>
      </c>
      <c r="E122" s="130"/>
      <c r="F122" s="131"/>
      <c r="G122" s="132">
        <f>_xlfn.IFNA(VLOOKUP(B122, 현재가테이블!$B$2:$D$200, 2, FALSE), "-")</f>
        <v>77697000</v>
      </c>
      <c r="H122" s="133"/>
      <c r="I122" s="134"/>
      <c r="J122" s="129" t="s">
        <v>38</v>
      </c>
      <c r="K122" s="130"/>
      <c r="L122" s="131"/>
      <c r="M122" s="135">
        <f>_xlfn.IFNA(VLOOKUP(B122, 현재가테이블!$B$2:$D$200, 3, FALSE), "-")</f>
        <v>-2.0844097700000001E-2</v>
      </c>
      <c r="N122" s="136"/>
      <c r="O122" s="137"/>
      <c r="Q122" s="121"/>
      <c r="R122" s="122"/>
      <c r="S122" s="123"/>
    </row>
    <row r="123" spans="1:19" ht="17.25" thickBot="1">
      <c r="A123" s="138" t="s">
        <v>39</v>
      </c>
      <c r="B123" s="139" t="s">
        <v>40</v>
      </c>
      <c r="C123" s="140"/>
      <c r="D123" s="141" t="s">
        <v>41</v>
      </c>
      <c r="E123" s="142"/>
      <c r="F123" s="143"/>
      <c r="G123" s="141" t="s">
        <v>42</v>
      </c>
      <c r="H123" s="142"/>
      <c r="I123" s="143"/>
      <c r="J123" s="144" t="s">
        <v>43</v>
      </c>
      <c r="K123" s="144"/>
      <c r="L123" s="144"/>
      <c r="M123" s="141" t="s">
        <v>40</v>
      </c>
      <c r="N123" s="142"/>
      <c r="O123" s="143"/>
      <c r="Q123" s="124"/>
      <c r="R123" s="125"/>
      <c r="S123" s="126"/>
    </row>
    <row r="124" spans="1:19" ht="17.25" thickBot="1">
      <c r="A124" s="13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105"/>
      <c r="R124" s="105"/>
      <c r="S124" s="105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106"/>
      <c r="R125" s="106"/>
      <c r="S125" s="106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106"/>
      <c r="R126" s="106"/>
      <c r="S126" s="106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7"/>
      <c r="R127" s="107"/>
      <c r="S127" s="107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7"/>
      <c r="R128" s="107"/>
      <c r="S128" s="107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8"/>
      <c r="R129" s="108"/>
      <c r="S129" s="108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9"/>
      <c r="R130" s="110"/>
      <c r="S130" s="111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12"/>
      <c r="R131" s="113"/>
      <c r="S131" s="114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15"/>
      <c r="R132" s="116"/>
      <c r="S132" s="117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8"/>
      <c r="R134" s="119"/>
      <c r="S134" s="120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21"/>
      <c r="R135" s="122"/>
      <c r="S135" s="123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24"/>
      <c r="R136" s="125"/>
      <c r="S136" s="126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05"/>
      <c r="R137" s="105"/>
      <c r="S137" s="105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106"/>
      <c r="R138" s="106"/>
      <c r="S138" s="106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106"/>
      <c r="R139" s="106"/>
      <c r="S139" s="106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7"/>
      <c r="R140" s="107"/>
      <c r="S140" s="107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7"/>
      <c r="R141" s="107"/>
      <c r="S141" s="107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8"/>
      <c r="R142" s="108"/>
      <c r="S142" s="108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9"/>
      <c r="R143" s="110"/>
      <c r="S143" s="111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12"/>
      <c r="R144" s="113"/>
      <c r="S144" s="114"/>
    </row>
    <row r="145" spans="1:19" ht="17.25" thickBot="1">
      <c r="A145" s="39" t="s">
        <v>46</v>
      </c>
      <c r="B145" s="127">
        <v>100000</v>
      </c>
      <c r="C145" s="128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15"/>
      <c r="R145" s="116"/>
      <c r="S145" s="117"/>
    </row>
    <row r="147" spans="1:19" ht="17.25" thickBot="1"/>
    <row r="148" spans="1:19" ht="17.25" thickBot="1">
      <c r="A148" s="129" t="s">
        <v>299</v>
      </c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1"/>
      <c r="Q148" s="118"/>
      <c r="R148" s="119"/>
      <c r="S148" s="120"/>
    </row>
    <row r="149" spans="1:19" ht="17.25" thickBot="1">
      <c r="A149" s="10" t="s">
        <v>35</v>
      </c>
      <c r="B149" s="129" t="s">
        <v>36</v>
      </c>
      <c r="C149" s="131"/>
      <c r="D149" s="129" t="s">
        <v>37</v>
      </c>
      <c r="E149" s="130"/>
      <c r="F149" s="131"/>
      <c r="G149" s="132">
        <f>_xlfn.IFNA(VLOOKUP(B149, 현재가테이블!$B$2:$D$200, 2, FALSE), "-")</f>
        <v>77697000</v>
      </c>
      <c r="H149" s="133"/>
      <c r="I149" s="134"/>
      <c r="J149" s="129" t="s">
        <v>38</v>
      </c>
      <c r="K149" s="130"/>
      <c r="L149" s="131"/>
      <c r="M149" s="135">
        <f>_xlfn.IFNA(VLOOKUP(B149, 현재가테이블!$B$2:$D$200, 3, FALSE), "-")</f>
        <v>-2.0844097700000001E-2</v>
      </c>
      <c r="N149" s="136"/>
      <c r="O149" s="137"/>
      <c r="Q149" s="121"/>
      <c r="R149" s="122"/>
      <c r="S149" s="123"/>
    </row>
    <row r="150" spans="1:19" ht="17.25" thickBot="1">
      <c r="A150" s="138" t="s">
        <v>39</v>
      </c>
      <c r="B150" s="139" t="s">
        <v>40</v>
      </c>
      <c r="C150" s="140"/>
      <c r="D150" s="141" t="s">
        <v>41</v>
      </c>
      <c r="E150" s="142"/>
      <c r="F150" s="143"/>
      <c r="G150" s="141" t="s">
        <v>42</v>
      </c>
      <c r="H150" s="142"/>
      <c r="I150" s="143"/>
      <c r="J150" s="144" t="s">
        <v>43</v>
      </c>
      <c r="K150" s="144"/>
      <c r="L150" s="144"/>
      <c r="M150" s="141" t="s">
        <v>40</v>
      </c>
      <c r="N150" s="142"/>
      <c r="O150" s="143"/>
      <c r="Q150" s="124"/>
      <c r="R150" s="125"/>
      <c r="S150" s="126"/>
    </row>
    <row r="151" spans="1:19" ht="17.25" thickBot="1">
      <c r="A151" s="13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105"/>
      <c r="R151" s="105"/>
      <c r="S151" s="105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106"/>
      <c r="R152" s="106"/>
      <c r="S152" s="106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106"/>
      <c r="R153" s="106"/>
      <c r="S153" s="106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7"/>
      <c r="R154" s="107"/>
      <c r="S154" s="107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7"/>
      <c r="R155" s="107"/>
      <c r="S155" s="107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8"/>
      <c r="R156" s="108"/>
      <c r="S156" s="108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9"/>
      <c r="R157" s="110"/>
      <c r="S157" s="111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12"/>
      <c r="R158" s="113"/>
      <c r="S158" s="114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15"/>
      <c r="R159" s="116"/>
      <c r="S159" s="117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8"/>
      <c r="R161" s="119"/>
      <c r="S161" s="120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21"/>
      <c r="R162" s="122"/>
      <c r="S162" s="123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24"/>
      <c r="R163" s="125"/>
      <c r="S163" s="126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05"/>
      <c r="R164" s="105"/>
      <c r="S164" s="105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106"/>
      <c r="R165" s="106"/>
      <c r="S165" s="106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106"/>
      <c r="R166" s="106"/>
      <c r="S166" s="106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7"/>
      <c r="R167" s="107"/>
      <c r="S167" s="107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7"/>
      <c r="R168" s="107"/>
      <c r="S168" s="107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8"/>
      <c r="R169" s="108"/>
      <c r="S169" s="108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9"/>
      <c r="R170" s="110"/>
      <c r="S170" s="111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12"/>
      <c r="R171" s="113"/>
      <c r="S171" s="114"/>
    </row>
    <row r="172" spans="1:19" ht="17.25" thickBot="1">
      <c r="A172" s="39" t="s">
        <v>46</v>
      </c>
      <c r="B172" s="127">
        <v>100000</v>
      </c>
      <c r="C172" s="128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15"/>
      <c r="R172" s="116"/>
      <c r="S172" s="117"/>
    </row>
    <row r="174" spans="1:19" ht="17.25" thickBot="1"/>
    <row r="175" spans="1:19" ht="17.25" thickBot="1">
      <c r="A175" s="129" t="s">
        <v>290</v>
      </c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1"/>
      <c r="Q175" s="118"/>
      <c r="R175" s="119"/>
      <c r="S175" s="120"/>
    </row>
    <row r="176" spans="1:19" ht="17.25" thickBot="1">
      <c r="A176" s="10" t="s">
        <v>35</v>
      </c>
      <c r="B176" s="129" t="s">
        <v>36</v>
      </c>
      <c r="C176" s="131"/>
      <c r="D176" s="129" t="s">
        <v>37</v>
      </c>
      <c r="E176" s="130"/>
      <c r="F176" s="131"/>
      <c r="G176" s="132">
        <f>_xlfn.IFNA(VLOOKUP(B176, 현재가테이블!$B$2:$D$200, 2, FALSE), "-")</f>
        <v>77697000</v>
      </c>
      <c r="H176" s="133"/>
      <c r="I176" s="134"/>
      <c r="J176" s="129" t="s">
        <v>38</v>
      </c>
      <c r="K176" s="130"/>
      <c r="L176" s="131"/>
      <c r="M176" s="135">
        <f>_xlfn.IFNA(VLOOKUP(B176, 현재가테이블!$B$2:$D$200, 3, FALSE), "-")</f>
        <v>-2.0844097700000001E-2</v>
      </c>
      <c r="N176" s="136"/>
      <c r="O176" s="137"/>
      <c r="Q176" s="121"/>
      <c r="R176" s="122"/>
      <c r="S176" s="123"/>
    </row>
    <row r="177" spans="1:19" ht="17.25" thickBot="1">
      <c r="A177" s="138" t="s">
        <v>39</v>
      </c>
      <c r="B177" s="139" t="s">
        <v>40</v>
      </c>
      <c r="C177" s="140"/>
      <c r="D177" s="141" t="s">
        <v>41</v>
      </c>
      <c r="E177" s="142"/>
      <c r="F177" s="143"/>
      <c r="G177" s="141" t="s">
        <v>42</v>
      </c>
      <c r="H177" s="142"/>
      <c r="I177" s="143"/>
      <c r="J177" s="144" t="s">
        <v>43</v>
      </c>
      <c r="K177" s="144"/>
      <c r="L177" s="144"/>
      <c r="M177" s="141" t="s">
        <v>40</v>
      </c>
      <c r="N177" s="142"/>
      <c r="O177" s="143"/>
      <c r="Q177" s="124"/>
      <c r="R177" s="125"/>
      <c r="S177" s="126"/>
    </row>
    <row r="178" spans="1:19" ht="17.25" thickBot="1">
      <c r="A178" s="13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105"/>
      <c r="R178" s="105"/>
      <c r="S178" s="105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106"/>
      <c r="R179" s="106"/>
      <c r="S179" s="106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106"/>
      <c r="R180" s="106"/>
      <c r="S180" s="106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7"/>
      <c r="R181" s="107"/>
      <c r="S181" s="107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7"/>
      <c r="R182" s="107"/>
      <c r="S182" s="107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8"/>
      <c r="R183" s="108"/>
      <c r="S183" s="108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9"/>
      <c r="R184" s="110"/>
      <c r="S184" s="111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12"/>
      <c r="R185" s="113"/>
      <c r="S185" s="114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15"/>
      <c r="R186" s="116"/>
      <c r="S186" s="117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8"/>
      <c r="R188" s="119"/>
      <c r="S188" s="120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21"/>
      <c r="R189" s="122"/>
      <c r="S189" s="123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24"/>
      <c r="R190" s="125"/>
      <c r="S190" s="126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05"/>
      <c r="R191" s="105"/>
      <c r="S191" s="105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106"/>
      <c r="R192" s="106"/>
      <c r="S192" s="106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106"/>
      <c r="R193" s="106"/>
      <c r="S193" s="106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7"/>
      <c r="R194" s="107"/>
      <c r="S194" s="107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7"/>
      <c r="R195" s="107"/>
      <c r="S195" s="107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8"/>
      <c r="R196" s="108"/>
      <c r="S196" s="108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9"/>
      <c r="R197" s="110"/>
      <c r="S197" s="111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12"/>
      <c r="R198" s="113"/>
      <c r="S198" s="114"/>
    </row>
    <row r="199" spans="1:19" ht="17.25" thickBot="1">
      <c r="A199" s="39" t="s">
        <v>46</v>
      </c>
      <c r="B199" s="127">
        <v>100000</v>
      </c>
      <c r="C199" s="128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15"/>
      <c r="R199" s="116"/>
      <c r="S199" s="117"/>
    </row>
  </sheetData>
  <mergeCells count="236">
    <mergeCell ref="Q97:Q99"/>
    <mergeCell ref="R97:R99"/>
    <mergeCell ref="Q100:Q102"/>
    <mergeCell ref="R100:R102"/>
    <mergeCell ref="Q113:Q115"/>
    <mergeCell ref="R113:R115"/>
    <mergeCell ref="B118:C118"/>
    <mergeCell ref="A121:O121"/>
    <mergeCell ref="B122:C122"/>
    <mergeCell ref="D122:F122"/>
    <mergeCell ref="G122:I122"/>
    <mergeCell ref="J122:L122"/>
    <mergeCell ref="M122:O122"/>
    <mergeCell ref="J95:L95"/>
    <mergeCell ref="M95:O95"/>
    <mergeCell ref="A96:A97"/>
    <mergeCell ref="B96:C96"/>
    <mergeCell ref="D96:F96"/>
    <mergeCell ref="G96:I96"/>
    <mergeCell ref="J96:L96"/>
    <mergeCell ref="M96:O96"/>
    <mergeCell ref="A123:A124"/>
    <mergeCell ref="B123:C123"/>
    <mergeCell ref="D123:F123"/>
    <mergeCell ref="G123:I123"/>
    <mergeCell ref="J123:L123"/>
    <mergeCell ref="M123:O123"/>
    <mergeCell ref="A40:O40"/>
    <mergeCell ref="B41:C41"/>
    <mergeCell ref="D41:F41"/>
    <mergeCell ref="G41:I41"/>
    <mergeCell ref="J41:L41"/>
    <mergeCell ref="M41:O41"/>
    <mergeCell ref="A42:A43"/>
    <mergeCell ref="B42:C42"/>
    <mergeCell ref="D42:F42"/>
    <mergeCell ref="R46:R48"/>
    <mergeCell ref="Q46:Q48"/>
    <mergeCell ref="R43:R45"/>
    <mergeCell ref="Q43:Q45"/>
    <mergeCell ref="J68:L68"/>
    <mergeCell ref="M68:O68"/>
    <mergeCell ref="A69:A70"/>
    <mergeCell ref="B64:C64"/>
    <mergeCell ref="G42:I42"/>
    <mergeCell ref="J42:L42"/>
    <mergeCell ref="M42:O42"/>
    <mergeCell ref="Q53:R55"/>
    <mergeCell ref="Q56:Q58"/>
    <mergeCell ref="R56:R58"/>
    <mergeCell ref="Q59:Q61"/>
    <mergeCell ref="R59:R61"/>
    <mergeCell ref="Q62:R64"/>
    <mergeCell ref="B91:C91"/>
    <mergeCell ref="A67:O67"/>
    <mergeCell ref="B68:C68"/>
    <mergeCell ref="D68:F68"/>
    <mergeCell ref="G68:I68"/>
    <mergeCell ref="Q110:Q112"/>
    <mergeCell ref="R110:R112"/>
    <mergeCell ref="A94:O94"/>
    <mergeCell ref="B95:C95"/>
    <mergeCell ref="B69:C69"/>
    <mergeCell ref="D69:F69"/>
    <mergeCell ref="G69:I69"/>
    <mergeCell ref="J69:L69"/>
    <mergeCell ref="M69:O69"/>
    <mergeCell ref="Q70:Q72"/>
    <mergeCell ref="R70:R72"/>
    <mergeCell ref="Q73:Q75"/>
    <mergeCell ref="R73:R75"/>
    <mergeCell ref="Q83:Q85"/>
    <mergeCell ref="R83:R85"/>
    <mergeCell ref="Q86:Q88"/>
    <mergeCell ref="R86:R88"/>
    <mergeCell ref="D95:F95"/>
    <mergeCell ref="G95:I95"/>
    <mergeCell ref="B37:C37"/>
    <mergeCell ref="Q29:Q31"/>
    <mergeCell ref="R29:R31"/>
    <mergeCell ref="A15:A16"/>
    <mergeCell ref="B15:C15"/>
    <mergeCell ref="D15:F15"/>
    <mergeCell ref="G15:I15"/>
    <mergeCell ref="J15:L15"/>
    <mergeCell ref="M15:O15"/>
    <mergeCell ref="Q35:S37"/>
    <mergeCell ref="Q32:Q34"/>
    <mergeCell ref="R32:R34"/>
    <mergeCell ref="Q16:Q18"/>
    <mergeCell ref="R16:R18"/>
    <mergeCell ref="Q19:Q21"/>
    <mergeCell ref="R19:R21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A1:F1"/>
    <mergeCell ref="G1:I1"/>
    <mergeCell ref="J1:O1"/>
    <mergeCell ref="Q1:R1"/>
    <mergeCell ref="B2:F2"/>
    <mergeCell ref="G2:I2"/>
    <mergeCell ref="K2:O2"/>
    <mergeCell ref="S29:S31"/>
    <mergeCell ref="S32:S34"/>
    <mergeCell ref="Q26:S2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B199:C199"/>
    <mergeCell ref="Q40:S42"/>
    <mergeCell ref="S43:S45"/>
    <mergeCell ref="S46:S48"/>
    <mergeCell ref="Q49:S51"/>
    <mergeCell ref="Q67:S69"/>
    <mergeCell ref="S70:S72"/>
    <mergeCell ref="S73:S75"/>
    <mergeCell ref="Q76:S78"/>
    <mergeCell ref="Q80:S82"/>
    <mergeCell ref="S83:S85"/>
    <mergeCell ref="S86:S88"/>
    <mergeCell ref="Q89:S91"/>
    <mergeCell ref="Q94:S96"/>
    <mergeCell ref="S97:S99"/>
    <mergeCell ref="S100:S102"/>
    <mergeCell ref="Q103:S105"/>
    <mergeCell ref="Q107:S109"/>
    <mergeCell ref="S110:S112"/>
    <mergeCell ref="S113:S115"/>
    <mergeCell ref="Q116:S118"/>
    <mergeCell ref="Q121:S123"/>
    <mergeCell ref="Q124:Q126"/>
    <mergeCell ref="R124:R126"/>
    <mergeCell ref="S124:S126"/>
    <mergeCell ref="Q127:Q129"/>
    <mergeCell ref="R127:R129"/>
    <mergeCell ref="S127:S129"/>
    <mergeCell ref="Q130:S132"/>
    <mergeCell ref="Q134:S136"/>
    <mergeCell ref="Q137:Q139"/>
    <mergeCell ref="R137:R139"/>
    <mergeCell ref="S137:S139"/>
    <mergeCell ref="S164:S166"/>
    <mergeCell ref="Q167:Q169"/>
    <mergeCell ref="R167:R169"/>
    <mergeCell ref="S167:S169"/>
    <mergeCell ref="Q170:S172"/>
    <mergeCell ref="Q140:Q142"/>
    <mergeCell ref="R140:R142"/>
    <mergeCell ref="S140:S142"/>
    <mergeCell ref="Q143:S145"/>
    <mergeCell ref="Q148:S150"/>
    <mergeCell ref="Q151:Q153"/>
    <mergeCell ref="R151:R153"/>
    <mergeCell ref="S151:S153"/>
    <mergeCell ref="Q154:Q156"/>
    <mergeCell ref="R154:R156"/>
    <mergeCell ref="S154:S156"/>
    <mergeCell ref="Q191:Q193"/>
    <mergeCell ref="R191:R193"/>
    <mergeCell ref="S191:S193"/>
    <mergeCell ref="Q194:Q196"/>
    <mergeCell ref="R194:R196"/>
    <mergeCell ref="S194:S196"/>
    <mergeCell ref="Q197:S199"/>
    <mergeCell ref="Q13:S15"/>
    <mergeCell ref="S16:S18"/>
    <mergeCell ref="S19:S21"/>
    <mergeCell ref="Q22:S24"/>
    <mergeCell ref="Q175:S177"/>
    <mergeCell ref="Q178:Q180"/>
    <mergeCell ref="R178:R180"/>
    <mergeCell ref="S178:S180"/>
    <mergeCell ref="Q181:Q183"/>
    <mergeCell ref="R181:R183"/>
    <mergeCell ref="S181:S183"/>
    <mergeCell ref="Q184:S186"/>
    <mergeCell ref="Q188:S190"/>
    <mergeCell ref="Q157:S159"/>
    <mergeCell ref="Q161:S163"/>
    <mergeCell ref="Q164:Q166"/>
    <mergeCell ref="R164:R166"/>
  </mergeCells>
  <phoneticPr fontId="1" type="noConversion"/>
  <conditionalFormatting sqref="D15:F16 E37:F37">
    <cfRule type="expression" dxfId="341" priority="185">
      <formula>$E$37&gt;0</formula>
    </cfRule>
    <cfRule type="expression" dxfId="340" priority="186">
      <formula>$E$37&lt;0</formula>
    </cfRule>
  </conditionalFormatting>
  <conditionalFormatting sqref="G15:I16 H37:I37">
    <cfRule type="expression" dxfId="339" priority="183">
      <formula>$H$37&gt;0</formula>
    </cfRule>
    <cfRule type="expression" dxfId="338" priority="184">
      <formula>$H$37&lt;0</formula>
    </cfRule>
  </conditionalFormatting>
  <conditionalFormatting sqref="J15:L16 K37:L37">
    <cfRule type="expression" dxfId="337" priority="181">
      <formula>$K$37&gt;0</formula>
    </cfRule>
    <cfRule type="expression" dxfId="336" priority="182">
      <formula>$K$37&lt;0</formula>
    </cfRule>
  </conditionalFormatting>
  <conditionalFormatting sqref="M15:O16 N37:O37">
    <cfRule type="expression" dxfId="335" priority="179">
      <formula>$N$37&gt;0</formula>
    </cfRule>
    <cfRule type="expression" dxfId="334" priority="180">
      <formula>$N$37&lt;0</formula>
    </cfRule>
  </conditionalFormatting>
  <conditionalFormatting sqref="A44:O63 A17:O36">
    <cfRule type="expression" dxfId="333" priority="187">
      <formula>AND($N17 &gt; 0, ISNUMBER($N17))</formula>
    </cfRule>
    <cfRule type="expression" dxfId="332" priority="188">
      <formula>AND($N17 &lt; 0, ISNUMBER($N17))</formula>
    </cfRule>
    <cfRule type="expression" dxfId="331" priority="189">
      <formula>AND($K17 &gt; 0, ISNUMBER($K17))</formula>
    </cfRule>
    <cfRule type="expression" dxfId="330" priority="190">
      <formula>AND($K17 &lt; 0, ISNUMBER($K17))</formula>
    </cfRule>
    <cfRule type="expression" dxfId="329" priority="191">
      <formula>AND($H17 &gt; 0, ISNUMBER($H17))</formula>
    </cfRule>
    <cfRule type="expression" dxfId="328" priority="192">
      <formula>AND($H17 &lt; 0, ISNUMBER($H17))</formula>
    </cfRule>
    <cfRule type="expression" dxfId="327" priority="193">
      <formula>AND($E17 &gt; 0, ISNUMBER($E17))</formula>
    </cfRule>
    <cfRule type="expression" dxfId="326" priority="194">
      <formula>AND($E17 &lt; 0, ISNUMBER($E17))</formula>
    </cfRule>
  </conditionalFormatting>
  <conditionalFormatting sqref="D42:F43 E64:F64">
    <cfRule type="expression" dxfId="325" priority="177">
      <formula>$E$64&gt;0</formula>
    </cfRule>
    <cfRule type="expression" dxfId="324" priority="178">
      <formula>$E$64&lt;0</formula>
    </cfRule>
  </conditionalFormatting>
  <conditionalFormatting sqref="G42:I43 H64:I64">
    <cfRule type="expression" dxfId="323" priority="175">
      <formula>$H$64&gt;0</formula>
    </cfRule>
    <cfRule type="expression" dxfId="322" priority="176">
      <formula>$H$64&lt;0</formula>
    </cfRule>
  </conditionalFormatting>
  <conditionalFormatting sqref="J42:L43 K64:L64">
    <cfRule type="expression" dxfId="321" priority="173">
      <formula>$K$64&gt;0</formula>
    </cfRule>
    <cfRule type="expression" dxfId="320" priority="174">
      <formula>$K$64&lt;0</formula>
    </cfRule>
  </conditionalFormatting>
  <conditionalFormatting sqref="M42:O43 N64:O64">
    <cfRule type="expression" dxfId="319" priority="171">
      <formula>$N$64&gt;0</formula>
    </cfRule>
    <cfRule type="expression" dxfId="318" priority="172">
      <formula>$N$64&lt;0</formula>
    </cfRule>
  </conditionalFormatting>
  <conditionalFormatting sqref="G2:I3">
    <cfRule type="expression" dxfId="317" priority="10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6" priority="10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315" priority="19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4" priority="19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313" priority="19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2" priority="19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311" priority="19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0" priority="20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309" priority="20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08" priority="20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307" priority="89">
      <formula>AND($N71 &gt; 0, ISNUMBER($N71))</formula>
    </cfRule>
    <cfRule type="expression" dxfId="306" priority="90">
      <formula>AND($N71 &lt; 0, ISNUMBER($N71))</formula>
    </cfRule>
    <cfRule type="expression" dxfId="305" priority="91">
      <formula>AND($K71 &gt; 0, ISNUMBER($K71))</formula>
    </cfRule>
    <cfRule type="expression" dxfId="304" priority="92">
      <formula>AND($K71 &lt; 0, ISNUMBER($K71))</formula>
    </cfRule>
    <cfRule type="expression" dxfId="303" priority="93">
      <formula>AND($H71 &gt; 0, ISNUMBER($H71))</formula>
    </cfRule>
    <cfRule type="expression" dxfId="302" priority="94">
      <formula>AND($H71 &lt; 0, ISNUMBER($H71))</formula>
    </cfRule>
    <cfRule type="expression" dxfId="301" priority="95">
      <formula>AND($E71 &gt; 0, ISNUMBER($E71))</formula>
    </cfRule>
    <cfRule type="expression" dxfId="300" priority="96">
      <formula>AND($E71 &lt; 0, ISNUMBER($E71))</formula>
    </cfRule>
  </conditionalFormatting>
  <conditionalFormatting sqref="D69:F70 E91:F91">
    <cfRule type="expression" dxfId="299" priority="87">
      <formula>$E$64&gt;0</formula>
    </cfRule>
    <cfRule type="expression" dxfId="298" priority="88">
      <formula>$E$64&lt;0</formula>
    </cfRule>
  </conditionalFormatting>
  <conditionalFormatting sqref="G69:I70 H91:I91">
    <cfRule type="expression" dxfId="297" priority="85">
      <formula>$H$64&gt;0</formula>
    </cfRule>
    <cfRule type="expression" dxfId="296" priority="86">
      <formula>$H$64&lt;0</formula>
    </cfRule>
  </conditionalFormatting>
  <conditionalFormatting sqref="J69:L70 K91:L91">
    <cfRule type="expression" dxfId="295" priority="83">
      <formula>$K$64&gt;0</formula>
    </cfRule>
    <cfRule type="expression" dxfId="294" priority="84">
      <formula>$K$64&lt;0</formula>
    </cfRule>
  </conditionalFormatting>
  <conditionalFormatting sqref="M69:O70 N91:O91">
    <cfRule type="expression" dxfId="293" priority="81">
      <formula>$N$64&gt;0</formula>
    </cfRule>
    <cfRule type="expression" dxfId="292" priority="82">
      <formula>$N$64&lt;0</formula>
    </cfRule>
  </conditionalFormatting>
  <conditionalFormatting sqref="A98:O117">
    <cfRule type="expression" dxfId="291" priority="73">
      <formula>AND($N98 &gt; 0, ISNUMBER($N98))</formula>
    </cfRule>
    <cfRule type="expression" dxfId="290" priority="74">
      <formula>AND($N98 &lt; 0, ISNUMBER($N98))</formula>
    </cfRule>
    <cfRule type="expression" dxfId="289" priority="75">
      <formula>AND($K98 &gt; 0, ISNUMBER($K98))</formula>
    </cfRule>
    <cfRule type="expression" dxfId="288" priority="76">
      <formula>AND($K98 &lt; 0, ISNUMBER($K98))</formula>
    </cfRule>
    <cfRule type="expression" dxfId="287" priority="77">
      <formula>AND($H98 &gt; 0, ISNUMBER($H98))</formula>
    </cfRule>
    <cfRule type="expression" dxfId="286" priority="78">
      <formula>AND($H98 &lt; 0, ISNUMBER($H98))</formula>
    </cfRule>
    <cfRule type="expression" dxfId="285" priority="79">
      <formula>AND($E98 &gt; 0, ISNUMBER($E98))</formula>
    </cfRule>
    <cfRule type="expression" dxfId="284" priority="80">
      <formula>AND($E98 &lt; 0, ISNUMBER($E98))</formula>
    </cfRule>
  </conditionalFormatting>
  <conditionalFormatting sqref="D96:F97 E118:F118">
    <cfRule type="expression" dxfId="283" priority="71">
      <formula>$E$64&gt;0</formula>
    </cfRule>
    <cfRule type="expression" dxfId="282" priority="72">
      <formula>$E$64&lt;0</formula>
    </cfRule>
  </conditionalFormatting>
  <conditionalFormatting sqref="G96:I97 H118:I118">
    <cfRule type="expression" dxfId="281" priority="69">
      <formula>$H$64&gt;0</formula>
    </cfRule>
    <cfRule type="expression" dxfId="280" priority="70">
      <formula>$H$64&lt;0</formula>
    </cfRule>
  </conditionalFormatting>
  <conditionalFormatting sqref="J96:L97 K118:L118">
    <cfRule type="expression" dxfId="279" priority="67">
      <formula>$K$64&gt;0</formula>
    </cfRule>
    <cfRule type="expression" dxfId="278" priority="68">
      <formula>$K$64&lt;0</formula>
    </cfRule>
  </conditionalFormatting>
  <conditionalFormatting sqref="M96:O97 N118:O118">
    <cfRule type="expression" dxfId="277" priority="65">
      <formula>$N$64&gt;0</formula>
    </cfRule>
    <cfRule type="expression" dxfId="276" priority="66">
      <formula>$N$64&lt;0</formula>
    </cfRule>
  </conditionalFormatting>
  <conditionalFormatting sqref="A125:O144">
    <cfRule type="expression" dxfId="275" priority="41">
      <formula>AND($N125 &gt; 0, ISNUMBER($N125))</formula>
    </cfRule>
    <cfRule type="expression" dxfId="274" priority="42">
      <formula>AND($N125 &lt; 0, ISNUMBER($N125))</formula>
    </cfRule>
    <cfRule type="expression" dxfId="273" priority="43">
      <formula>AND($K125 &gt; 0, ISNUMBER($K125))</formula>
    </cfRule>
    <cfRule type="expression" dxfId="272" priority="44">
      <formula>AND($K125 &lt; 0, ISNUMBER($K125))</formula>
    </cfRule>
    <cfRule type="expression" dxfId="271" priority="45">
      <formula>AND($H125 &gt; 0, ISNUMBER($H125))</formula>
    </cfRule>
    <cfRule type="expression" dxfId="270" priority="46">
      <formula>AND($H125 &lt; 0, ISNUMBER($H125))</formula>
    </cfRule>
    <cfRule type="expression" dxfId="269" priority="47">
      <formula>AND($E125 &gt; 0, ISNUMBER($E125))</formula>
    </cfRule>
    <cfRule type="expression" dxfId="268" priority="48">
      <formula>AND($E125 &lt; 0, ISNUMBER($E125))</formula>
    </cfRule>
  </conditionalFormatting>
  <conditionalFormatting sqref="D123:F124 E145:F145">
    <cfRule type="expression" dxfId="267" priority="39">
      <formula>$E$64&gt;0</formula>
    </cfRule>
    <cfRule type="expression" dxfId="266" priority="40">
      <formula>$E$64&lt;0</formula>
    </cfRule>
  </conditionalFormatting>
  <conditionalFormatting sqref="G123:I124 H145:I145">
    <cfRule type="expression" dxfId="265" priority="37">
      <formula>$H$64&gt;0</formula>
    </cfRule>
    <cfRule type="expression" dxfId="264" priority="38">
      <formula>$H$64&lt;0</formula>
    </cfRule>
  </conditionalFormatting>
  <conditionalFormatting sqref="J123:L124 K145:L145">
    <cfRule type="expression" dxfId="263" priority="35">
      <formula>$K$64&gt;0</formula>
    </cfRule>
    <cfRule type="expression" dxfId="262" priority="36">
      <formula>$K$64&lt;0</formula>
    </cfRule>
  </conditionalFormatting>
  <conditionalFormatting sqref="M123:O124 N145:O145">
    <cfRule type="expression" dxfId="261" priority="33">
      <formula>$N$64&gt;0</formula>
    </cfRule>
    <cfRule type="expression" dxfId="260" priority="34">
      <formula>$N$64&lt;0</formula>
    </cfRule>
  </conditionalFormatting>
  <conditionalFormatting sqref="A152:O171">
    <cfRule type="expression" dxfId="259" priority="25">
      <formula>AND($N152 &gt; 0, ISNUMBER($N152))</formula>
    </cfRule>
    <cfRule type="expression" dxfId="258" priority="26">
      <formula>AND($N152 &lt; 0, ISNUMBER($N152))</formula>
    </cfRule>
    <cfRule type="expression" dxfId="257" priority="27">
      <formula>AND($K152 &gt; 0, ISNUMBER($K152))</formula>
    </cfRule>
    <cfRule type="expression" dxfId="256" priority="28">
      <formula>AND($K152 &lt; 0, ISNUMBER($K152))</formula>
    </cfRule>
    <cfRule type="expression" dxfId="255" priority="29">
      <formula>AND($H152 &gt; 0, ISNUMBER($H152))</formula>
    </cfRule>
    <cfRule type="expression" dxfId="254" priority="30">
      <formula>AND($H152 &lt; 0, ISNUMBER($H152))</formula>
    </cfRule>
    <cfRule type="expression" dxfId="253" priority="31">
      <formula>AND($E152 &gt; 0, ISNUMBER($E152))</formula>
    </cfRule>
    <cfRule type="expression" dxfId="252" priority="32">
      <formula>AND($E152 &lt; 0, ISNUMBER($E152))</formula>
    </cfRule>
  </conditionalFormatting>
  <conditionalFormatting sqref="D150:F151 E172:F172">
    <cfRule type="expression" dxfId="251" priority="23">
      <formula>$E$64&gt;0</formula>
    </cfRule>
    <cfRule type="expression" dxfId="250" priority="24">
      <formula>$E$64&lt;0</formula>
    </cfRule>
  </conditionalFormatting>
  <conditionalFormatting sqref="G150:I151 H172:I172">
    <cfRule type="expression" dxfId="249" priority="21">
      <formula>$H$64&gt;0</formula>
    </cfRule>
    <cfRule type="expression" dxfId="248" priority="22">
      <formula>$H$64&lt;0</formula>
    </cfRule>
  </conditionalFormatting>
  <conditionalFormatting sqref="J150:L151 K172:L172">
    <cfRule type="expression" dxfId="247" priority="19">
      <formula>$K$64&gt;0</formula>
    </cfRule>
    <cfRule type="expression" dxfId="246" priority="20">
      <formula>$K$64&lt;0</formula>
    </cfRule>
  </conditionalFormatting>
  <conditionalFormatting sqref="M150:O151 N172:O172">
    <cfRule type="expression" dxfId="245" priority="17">
      <formula>$N$64&gt;0</formula>
    </cfRule>
    <cfRule type="expression" dxfId="244" priority="18">
      <formula>$N$64&lt;0</formula>
    </cfRule>
  </conditionalFormatting>
  <conditionalFormatting sqref="A179:O198">
    <cfRule type="expression" dxfId="243" priority="9">
      <formula>AND($N179 &gt; 0, ISNUMBER($N179))</formula>
    </cfRule>
    <cfRule type="expression" dxfId="242" priority="10">
      <formula>AND($N179 &lt; 0, ISNUMBER($N179))</formula>
    </cfRule>
    <cfRule type="expression" dxfId="241" priority="11">
      <formula>AND($K179 &gt; 0, ISNUMBER($K179))</formula>
    </cfRule>
    <cfRule type="expression" dxfId="240" priority="12">
      <formula>AND($K179 &lt; 0, ISNUMBER($K179))</formula>
    </cfRule>
    <cfRule type="expression" dxfId="239" priority="13">
      <formula>AND($H179 &gt; 0, ISNUMBER($H179))</formula>
    </cfRule>
    <cfRule type="expression" dxfId="238" priority="14">
      <formula>AND($H179 &lt; 0, ISNUMBER($H179))</formula>
    </cfRule>
    <cfRule type="expression" dxfId="237" priority="15">
      <formula>AND($E179 &gt; 0, ISNUMBER($E179))</formula>
    </cfRule>
    <cfRule type="expression" dxfId="236" priority="16">
      <formula>AND($E179 &lt; 0, ISNUMBER($E179))</formula>
    </cfRule>
  </conditionalFormatting>
  <conditionalFormatting sqref="D177:F178 E199:F199">
    <cfRule type="expression" dxfId="235" priority="7">
      <formula>$E$64&gt;0</formula>
    </cfRule>
    <cfRule type="expression" dxfId="234" priority="8">
      <formula>$E$64&lt;0</formula>
    </cfRule>
  </conditionalFormatting>
  <conditionalFormatting sqref="G177:I178 H199:I199">
    <cfRule type="expression" dxfId="233" priority="5">
      <formula>$H$64&gt;0</formula>
    </cfRule>
    <cfRule type="expression" dxfId="232" priority="6">
      <formula>$H$64&lt;0</formula>
    </cfRule>
  </conditionalFormatting>
  <conditionalFormatting sqref="J177:L178 K199:L199">
    <cfRule type="expression" dxfId="231" priority="3">
      <formula>$K$64&gt;0</formula>
    </cfRule>
    <cfRule type="expression" dxfId="230" priority="4">
      <formula>$K$64&lt;0</formula>
    </cfRule>
  </conditionalFormatting>
  <conditionalFormatting sqref="M177:O178 N199:O199">
    <cfRule type="expression" dxfId="229" priority="1">
      <formula>$N$64&gt;0</formula>
    </cfRule>
    <cfRule type="expression" dxfId="228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9" name="Button 8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10" name="Button 8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12" name="Button 8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13" name="Button 8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4" name="Button 8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15" name="Button 8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16" name="Button 9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17" name="Button 9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8" name="Button 9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9" name="Button 9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0" name="Button 9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21" name="Button 9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22" name="Button 9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23" name="Button 98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24" name="Button 99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25" name="Button 10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6" name="Button 10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7" name="Button 104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8" name="Button 10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29" name="Button 10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30" name="Button 10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31" name="Button 1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32" name="Button 1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33" name="Button 12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4" name="Button 8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5" name="Button 9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36" name="Button 10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37" name="Button 10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38" name="Button 10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39" name="Button 12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40" name="Button 12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41" name="Button 12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42" name="Button 12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43" name="Button 13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44" name="Button 13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45" name="Button 13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46" name="Button 11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47" name="Button 109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48" name="Button 1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Button 11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50" name="Button 11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51" name="Button 11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52" name="Button 11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3" name="Button 11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4" name="Button 11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5" name="Button 11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Button 120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Button 122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58" name="Button 123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59" name="Button 124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4CCB-634D-47FF-9D29-F7EC3045A0B2}">
  <sheetPr codeName="Sheet4"/>
  <dimension ref="A1:S199"/>
  <sheetViews>
    <sheetView topLeftCell="A10" zoomScaleNormal="100" workbookViewId="0">
      <selection activeCell="A17" sqref="A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9" t="s">
        <v>0</v>
      </c>
      <c r="B1" s="130"/>
      <c r="C1" s="130"/>
      <c r="D1" s="130"/>
      <c r="E1" s="130"/>
      <c r="F1" s="131"/>
      <c r="G1" s="145">
        <v>44287</v>
      </c>
      <c r="H1" s="146"/>
      <c r="I1" s="147"/>
      <c r="J1" s="129" t="s">
        <v>1</v>
      </c>
      <c r="K1" s="130"/>
      <c r="L1" s="130"/>
      <c r="M1" s="130"/>
      <c r="N1" s="130"/>
      <c r="O1" s="131"/>
      <c r="Q1" s="129" t="s">
        <v>2</v>
      </c>
      <c r="R1" s="131"/>
    </row>
    <row r="2" spans="1:19" ht="17.25" customHeight="1">
      <c r="A2" s="1" t="s">
        <v>3</v>
      </c>
      <c r="B2" s="148" t="s">
        <v>4</v>
      </c>
      <c r="C2" s="149"/>
      <c r="D2" s="149"/>
      <c r="E2" s="149"/>
      <c r="F2" s="150"/>
      <c r="G2" s="151" t="s">
        <v>50</v>
      </c>
      <c r="H2" s="152"/>
      <c r="I2" s="153"/>
      <c r="J2" s="1" t="s">
        <v>3</v>
      </c>
      <c r="K2" s="148" t="s">
        <v>5</v>
      </c>
      <c r="L2" s="149"/>
      <c r="M2" s="149"/>
      <c r="N2" s="149"/>
      <c r="O2" s="150"/>
      <c r="Q2" s="2" t="s">
        <v>6</v>
      </c>
      <c r="R2" s="3">
        <v>0.375</v>
      </c>
    </row>
    <row r="3" spans="1:19" ht="17.25" customHeight="1" thickBot="1">
      <c r="A3" s="4" t="s">
        <v>7</v>
      </c>
      <c r="B3" s="154" t="s">
        <v>8</v>
      </c>
      <c r="C3" s="155"/>
      <c r="D3" s="155"/>
      <c r="E3" s="155"/>
      <c r="F3" s="156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54" t="s">
        <v>9</v>
      </c>
      <c r="L3" s="155"/>
      <c r="M3" s="155"/>
      <c r="N3" s="155"/>
      <c r="O3" s="1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4" t="s">
        <v>12</v>
      </c>
      <c r="C4" s="155"/>
      <c r="D4" s="155"/>
      <c r="E4" s="155"/>
      <c r="F4" s="156"/>
      <c r="G4" s="151" t="s">
        <v>48</v>
      </c>
      <c r="H4" s="152"/>
      <c r="I4" s="153"/>
      <c r="J4" s="4" t="s">
        <v>11</v>
      </c>
      <c r="K4" s="154" t="s">
        <v>13</v>
      </c>
      <c r="L4" s="155"/>
      <c r="M4" s="155"/>
      <c r="N4" s="155"/>
      <c r="O4" s="156"/>
      <c r="Q4" s="11" t="s">
        <v>14</v>
      </c>
      <c r="R4" s="6">
        <v>0.95833333333333337</v>
      </c>
    </row>
    <row r="5" spans="1:19" ht="17.25" customHeight="1" thickBot="1">
      <c r="A5" s="4" t="s">
        <v>15</v>
      </c>
      <c r="B5" s="154" t="s">
        <v>16</v>
      </c>
      <c r="C5" s="155"/>
      <c r="D5" s="155"/>
      <c r="E5" s="155"/>
      <c r="F5" s="156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54" t="s">
        <v>17</v>
      </c>
      <c r="L5" s="155"/>
      <c r="M5" s="155"/>
      <c r="N5" s="155"/>
      <c r="O5" s="156"/>
    </row>
    <row r="6" spans="1:19">
      <c r="A6" s="4" t="s">
        <v>18</v>
      </c>
      <c r="B6" s="154" t="s">
        <v>19</v>
      </c>
      <c r="C6" s="155"/>
      <c r="D6" s="155"/>
      <c r="E6" s="155"/>
      <c r="F6" s="156"/>
      <c r="G6" s="151" t="s">
        <v>49</v>
      </c>
      <c r="H6" s="152"/>
      <c r="I6" s="153"/>
      <c r="J6" s="4" t="s">
        <v>18</v>
      </c>
      <c r="K6" s="154" t="s">
        <v>20</v>
      </c>
      <c r="L6" s="155"/>
      <c r="M6" s="155"/>
      <c r="N6" s="155"/>
      <c r="O6" s="156"/>
    </row>
    <row r="7" spans="1:19" ht="17.25" thickBot="1">
      <c r="A7" s="4" t="s">
        <v>21</v>
      </c>
      <c r="B7" s="154" t="s">
        <v>22</v>
      </c>
      <c r="C7" s="155"/>
      <c r="D7" s="155"/>
      <c r="E7" s="155"/>
      <c r="F7" s="156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54" t="s">
        <v>23</v>
      </c>
      <c r="L7" s="155"/>
      <c r="M7" s="155"/>
      <c r="N7" s="155"/>
      <c r="O7" s="156"/>
    </row>
    <row r="8" spans="1:19" ht="17.25" thickBot="1">
      <c r="A8" s="4" t="s">
        <v>24</v>
      </c>
      <c r="B8" s="154" t="s">
        <v>25</v>
      </c>
      <c r="C8" s="155"/>
      <c r="D8" s="155"/>
      <c r="E8" s="155"/>
      <c r="F8" s="156"/>
      <c r="G8" s="151" t="s">
        <v>290</v>
      </c>
      <c r="H8" s="152"/>
      <c r="I8" s="153"/>
      <c r="J8" s="4" t="s">
        <v>24</v>
      </c>
      <c r="K8" s="154" t="s">
        <v>26</v>
      </c>
      <c r="L8" s="155"/>
      <c r="M8" s="155"/>
      <c r="N8" s="155"/>
      <c r="O8" s="156"/>
      <c r="Q8" s="129" t="s">
        <v>27</v>
      </c>
      <c r="R8" s="131"/>
    </row>
    <row r="9" spans="1:19" ht="17.25" thickBot="1">
      <c r="A9" s="4" t="s">
        <v>28</v>
      </c>
      <c r="B9" s="154"/>
      <c r="C9" s="155"/>
      <c r="D9" s="155"/>
      <c r="E9" s="155"/>
      <c r="F9" s="156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54"/>
      <c r="L9" s="155"/>
      <c r="M9" s="155"/>
      <c r="N9" s="155"/>
      <c r="O9" s="156"/>
      <c r="Q9" s="2" t="s">
        <v>29</v>
      </c>
      <c r="R9" s="7">
        <v>10</v>
      </c>
    </row>
    <row r="10" spans="1:19">
      <c r="A10" s="4" t="s">
        <v>30</v>
      </c>
      <c r="B10" s="154"/>
      <c r="C10" s="155"/>
      <c r="D10" s="155"/>
      <c r="E10" s="155"/>
      <c r="F10" s="156"/>
      <c r="G10" s="151" t="s">
        <v>51</v>
      </c>
      <c r="H10" s="152"/>
      <c r="I10" s="153"/>
      <c r="J10" s="4" t="s">
        <v>30</v>
      </c>
      <c r="K10" s="154"/>
      <c r="L10" s="155"/>
      <c r="M10" s="155"/>
      <c r="N10" s="155"/>
      <c r="O10" s="156"/>
      <c r="Q10" s="2" t="s">
        <v>31</v>
      </c>
      <c r="R10" s="7">
        <v>100</v>
      </c>
    </row>
    <row r="11" spans="1:19" ht="17.25" thickBot="1">
      <c r="A11" s="8" t="s">
        <v>32</v>
      </c>
      <c r="B11" s="160"/>
      <c r="C11" s="161"/>
      <c r="D11" s="161"/>
      <c r="E11" s="161"/>
      <c r="F11" s="162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8" t="s">
        <v>32</v>
      </c>
      <c r="K11" s="160"/>
      <c r="L11" s="161"/>
      <c r="M11" s="161"/>
      <c r="N11" s="161"/>
      <c r="O11" s="162"/>
      <c r="Q11" s="11" t="s">
        <v>33</v>
      </c>
      <c r="R11" s="9">
        <v>1000</v>
      </c>
    </row>
    <row r="12" spans="1:19" ht="17.25" thickBot="1"/>
    <row r="13" spans="1:19" ht="17.25" customHeight="1" thickBot="1">
      <c r="A13" s="129" t="s">
        <v>34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/>
      <c r="Q13" s="118"/>
      <c r="R13" s="119"/>
      <c r="S13" s="120"/>
    </row>
    <row r="14" spans="1:19" ht="17.25" customHeight="1" thickBot="1">
      <c r="A14" s="10" t="s">
        <v>35</v>
      </c>
      <c r="B14" s="129" t="s">
        <v>36</v>
      </c>
      <c r="C14" s="131"/>
      <c r="D14" s="129" t="s">
        <v>37</v>
      </c>
      <c r="E14" s="130"/>
      <c r="F14" s="131"/>
      <c r="G14" s="132">
        <f>_xlfn.IFNA(VLOOKUP(B14, 현재가테이블!$B$2:$D$200, 2, FALSE), "-")</f>
        <v>77697000</v>
      </c>
      <c r="H14" s="133"/>
      <c r="I14" s="134"/>
      <c r="J14" s="129" t="s">
        <v>38</v>
      </c>
      <c r="K14" s="130"/>
      <c r="L14" s="131"/>
      <c r="M14" s="135">
        <f>_xlfn.IFNA(VLOOKUP(B14, 현재가테이블!$B$2:$D$200, 3, FALSE), "-")</f>
        <v>-2.0844097700000001E-2</v>
      </c>
      <c r="N14" s="136"/>
      <c r="O14" s="137"/>
      <c r="Q14" s="121"/>
      <c r="R14" s="122"/>
      <c r="S14" s="123"/>
    </row>
    <row r="15" spans="1:19" ht="17.25" customHeight="1" thickBot="1">
      <c r="A15" s="138" t="s">
        <v>39</v>
      </c>
      <c r="B15" s="139" t="s">
        <v>40</v>
      </c>
      <c r="C15" s="140"/>
      <c r="D15" s="163" t="s">
        <v>41</v>
      </c>
      <c r="E15" s="144"/>
      <c r="F15" s="164"/>
      <c r="G15" s="163" t="s">
        <v>42</v>
      </c>
      <c r="H15" s="144"/>
      <c r="I15" s="164"/>
      <c r="J15" s="144" t="s">
        <v>43</v>
      </c>
      <c r="K15" s="144"/>
      <c r="L15" s="144"/>
      <c r="M15" s="163" t="s">
        <v>40</v>
      </c>
      <c r="N15" s="144"/>
      <c r="O15" s="164"/>
      <c r="Q15" s="124"/>
      <c r="R15" s="125"/>
      <c r="S15" s="126"/>
    </row>
    <row r="16" spans="1:19" ht="17.25" customHeight="1" thickBot="1">
      <c r="A16" s="13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42" t="s">
        <v>37</v>
      </c>
      <c r="H16" s="43" t="s">
        <v>44</v>
      </c>
      <c r="I16" s="44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105"/>
      <c r="R16" s="105"/>
      <c r="S16" s="105"/>
    </row>
    <row r="17" spans="1:19" ht="17.25" customHeight="1" thickBot="1">
      <c r="A17" s="19" t="s">
        <v>55</v>
      </c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106"/>
      <c r="R17" s="106"/>
      <c r="S17" s="106"/>
    </row>
    <row r="18" spans="1:19" ht="17.25" customHeight="1" thickBot="1">
      <c r="A18" s="27" t="s">
        <v>58</v>
      </c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106"/>
      <c r="R18" s="106"/>
      <c r="S18" s="106"/>
    </row>
    <row r="19" spans="1:19" ht="17.25" customHeight="1" thickBot="1">
      <c r="A19" s="27" t="s">
        <v>62</v>
      </c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7"/>
      <c r="R19" s="107"/>
      <c r="S19" s="107"/>
    </row>
    <row r="20" spans="1:19" ht="17.25" customHeight="1" thickBot="1">
      <c r="A20" s="27" t="s">
        <v>66</v>
      </c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7"/>
      <c r="R20" s="107"/>
      <c r="S20" s="107"/>
    </row>
    <row r="21" spans="1:19" ht="17.25" customHeight="1" thickBot="1">
      <c r="A21" s="29" t="s">
        <v>68</v>
      </c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8"/>
      <c r="R21" s="108"/>
      <c r="S21" s="108"/>
    </row>
    <row r="22" spans="1:19" ht="17.25" customHeight="1">
      <c r="A22" s="27" t="s">
        <v>70</v>
      </c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9"/>
      <c r="R22" s="110"/>
      <c r="S22" s="111"/>
    </row>
    <row r="23" spans="1:19" ht="17.25" customHeight="1">
      <c r="A23" s="27" t="s">
        <v>72</v>
      </c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12"/>
      <c r="R23" s="113"/>
      <c r="S23" s="114"/>
    </row>
    <row r="24" spans="1:19" ht="17.25" customHeight="1" thickBot="1">
      <c r="A24" s="27" t="s">
        <v>74</v>
      </c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15"/>
      <c r="R24" s="116"/>
      <c r="S24" s="117"/>
    </row>
    <row r="25" spans="1:19" ht="17.25" customHeight="1" thickBot="1">
      <c r="A25" s="27" t="s">
        <v>77</v>
      </c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 t="s">
        <v>79</v>
      </c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8"/>
      <c r="R26" s="119"/>
      <c r="S26" s="120"/>
    </row>
    <row r="27" spans="1:19" ht="17.25" customHeight="1">
      <c r="A27" s="19" t="s">
        <v>81</v>
      </c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21"/>
      <c r="R27" s="122"/>
      <c r="S27" s="123"/>
    </row>
    <row r="28" spans="1:19" ht="17.25" customHeight="1" thickBot="1">
      <c r="A28" s="27" t="s">
        <v>83</v>
      </c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24"/>
      <c r="R28" s="125"/>
      <c r="S28" s="126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05"/>
      <c r="R29" s="105"/>
      <c r="S29" s="105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106"/>
      <c r="R30" s="106"/>
      <c r="S30" s="106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106"/>
      <c r="R31" s="106"/>
      <c r="S31" s="106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7"/>
      <c r="R32" s="107"/>
      <c r="S32" s="107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7"/>
      <c r="R33" s="107"/>
      <c r="S33" s="107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8"/>
      <c r="R34" s="108"/>
      <c r="S34" s="108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9"/>
      <c r="R35" s="110"/>
      <c r="S35" s="111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12"/>
      <c r="R36" s="113"/>
      <c r="S36" s="114"/>
    </row>
    <row r="37" spans="1:19" ht="17.25" customHeight="1" thickBot="1">
      <c r="A37" s="39" t="s">
        <v>46</v>
      </c>
      <c r="B37" s="127">
        <v>100000</v>
      </c>
      <c r="C37" s="128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15"/>
      <c r="R37" s="116"/>
      <c r="S37" s="117"/>
    </row>
    <row r="38" spans="1:19" ht="17.25" customHeight="1"/>
    <row r="39" spans="1:19" ht="17.25" customHeight="1" thickBot="1"/>
    <row r="40" spans="1:19" ht="17.25" customHeight="1" thickBot="1">
      <c r="A40" s="129" t="s">
        <v>48</v>
      </c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1"/>
      <c r="Q40" s="118"/>
      <c r="R40" s="119"/>
      <c r="S40" s="120"/>
    </row>
    <row r="41" spans="1:19" ht="17.25" customHeight="1" thickBot="1">
      <c r="A41" s="10" t="s">
        <v>35</v>
      </c>
      <c r="B41" s="129" t="s">
        <v>36</v>
      </c>
      <c r="C41" s="131"/>
      <c r="D41" s="129" t="s">
        <v>37</v>
      </c>
      <c r="E41" s="130"/>
      <c r="F41" s="131"/>
      <c r="G41" s="132">
        <f>_xlfn.IFNA(VLOOKUP(B41, 현재가테이블!$B$2:$D$200, 2, FALSE), "-")</f>
        <v>77697000</v>
      </c>
      <c r="H41" s="133"/>
      <c r="I41" s="134"/>
      <c r="J41" s="129" t="s">
        <v>38</v>
      </c>
      <c r="K41" s="130"/>
      <c r="L41" s="131"/>
      <c r="M41" s="135">
        <f>_xlfn.IFNA(VLOOKUP(B41, 현재가테이블!$B$2:$D$200, 3, FALSE), "-")</f>
        <v>-2.0844097700000001E-2</v>
      </c>
      <c r="N41" s="136"/>
      <c r="O41" s="137"/>
      <c r="Q41" s="121"/>
      <c r="R41" s="122"/>
      <c r="S41" s="123"/>
    </row>
    <row r="42" spans="1:19" ht="17.25" customHeight="1" thickBot="1">
      <c r="A42" s="138" t="s">
        <v>39</v>
      </c>
      <c r="B42" s="139" t="s">
        <v>40</v>
      </c>
      <c r="C42" s="140"/>
      <c r="D42" s="141" t="s">
        <v>41</v>
      </c>
      <c r="E42" s="142"/>
      <c r="F42" s="143"/>
      <c r="G42" s="141" t="s">
        <v>42</v>
      </c>
      <c r="H42" s="142"/>
      <c r="I42" s="143"/>
      <c r="J42" s="144" t="s">
        <v>43</v>
      </c>
      <c r="K42" s="144"/>
      <c r="L42" s="144"/>
      <c r="M42" s="141" t="s">
        <v>40</v>
      </c>
      <c r="N42" s="142"/>
      <c r="O42" s="143"/>
      <c r="Q42" s="124"/>
      <c r="R42" s="125"/>
      <c r="S42" s="126"/>
    </row>
    <row r="43" spans="1:19" ht="17.25" customHeight="1" thickBot="1">
      <c r="A43" s="13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105"/>
      <c r="R43" s="105"/>
      <c r="S43" s="105"/>
    </row>
    <row r="44" spans="1:19" ht="17.25" customHeight="1" thickBot="1">
      <c r="A44" s="45" t="s">
        <v>55</v>
      </c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106"/>
      <c r="R44" s="106"/>
      <c r="S44" s="106"/>
    </row>
    <row r="45" spans="1:19" ht="17.25" customHeight="1" thickBot="1">
      <c r="A45" s="47" t="s">
        <v>58</v>
      </c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106"/>
      <c r="R45" s="106"/>
      <c r="S45" s="106"/>
    </row>
    <row r="46" spans="1:19" ht="17.25" customHeight="1" thickBot="1">
      <c r="A46" s="47" t="s">
        <v>62</v>
      </c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7"/>
      <c r="R46" s="107"/>
      <c r="S46" s="107"/>
    </row>
    <row r="47" spans="1:19" ht="17.25" customHeight="1" thickBot="1">
      <c r="A47" s="47" t="s">
        <v>66</v>
      </c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7"/>
      <c r="R47" s="107"/>
      <c r="S47" s="107"/>
    </row>
    <row r="48" spans="1:19" ht="17.25" customHeight="1" thickBot="1">
      <c r="A48" s="49" t="s">
        <v>68</v>
      </c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8"/>
      <c r="R48" s="108"/>
      <c r="S48" s="108"/>
    </row>
    <row r="49" spans="1:19" ht="17.25" customHeight="1">
      <c r="A49" s="47" t="s">
        <v>70</v>
      </c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9"/>
      <c r="R49" s="110"/>
      <c r="S49" s="111"/>
    </row>
    <row r="50" spans="1:19" ht="17.25" customHeight="1">
      <c r="A50" s="47" t="s">
        <v>72</v>
      </c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12"/>
      <c r="R50" s="113"/>
      <c r="S50" s="114"/>
    </row>
    <row r="51" spans="1:19" ht="17.25" customHeight="1" thickBot="1">
      <c r="A51" s="47" t="s">
        <v>74</v>
      </c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15"/>
      <c r="R51" s="116"/>
      <c r="S51" s="117"/>
    </row>
    <row r="52" spans="1:19" ht="17.25" customHeight="1" thickBot="1">
      <c r="A52" s="47" t="s">
        <v>77</v>
      </c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 t="s">
        <v>79</v>
      </c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106" t="s">
        <v>291</v>
      </c>
      <c r="R53" s="106"/>
    </row>
    <row r="54" spans="1:19" ht="17.25" customHeight="1" thickBot="1">
      <c r="A54" s="45" t="s">
        <v>81</v>
      </c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106"/>
      <c r="R54" s="106"/>
    </row>
    <row r="55" spans="1:19" ht="17.25" customHeight="1" thickBot="1">
      <c r="A55" s="47" t="s">
        <v>83</v>
      </c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106"/>
      <c r="R55" s="106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7" t="s">
        <v>292</v>
      </c>
      <c r="R56" s="107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106"/>
      <c r="R57" s="106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106"/>
      <c r="R58" s="106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7" t="s">
        <v>294</v>
      </c>
      <c r="R59" s="107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7"/>
      <c r="R60" s="107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7"/>
      <c r="R61" s="107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7"/>
      <c r="R62" s="107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7"/>
      <c r="R63" s="107"/>
    </row>
    <row r="64" spans="1:19" ht="17.25" customHeight="1" thickBot="1">
      <c r="A64" s="39" t="s">
        <v>46</v>
      </c>
      <c r="B64" s="127">
        <v>100000</v>
      </c>
      <c r="C64" s="128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7"/>
      <c r="R64" s="107"/>
    </row>
    <row r="65" spans="1:19" ht="17.25" customHeight="1"/>
    <row r="66" spans="1:19" ht="17.25" customHeight="1" thickBot="1"/>
    <row r="67" spans="1:19" ht="17.25" thickBot="1">
      <c r="A67" s="129" t="s">
        <v>49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1"/>
      <c r="Q67" s="118"/>
      <c r="R67" s="119"/>
      <c r="S67" s="120"/>
    </row>
    <row r="68" spans="1:19" ht="17.25" thickBot="1">
      <c r="A68" s="10" t="s">
        <v>35</v>
      </c>
      <c r="B68" s="129" t="s">
        <v>36</v>
      </c>
      <c r="C68" s="131"/>
      <c r="D68" s="129" t="s">
        <v>37</v>
      </c>
      <c r="E68" s="130"/>
      <c r="F68" s="131"/>
      <c r="G68" s="132">
        <f>_xlfn.IFNA(VLOOKUP(B68, 현재가테이블!$B$2:$D$200, 2, FALSE), "-")</f>
        <v>77697000</v>
      </c>
      <c r="H68" s="133"/>
      <c r="I68" s="134"/>
      <c r="J68" s="129" t="s">
        <v>38</v>
      </c>
      <c r="K68" s="130"/>
      <c r="L68" s="131"/>
      <c r="M68" s="135">
        <f>_xlfn.IFNA(VLOOKUP(B68, 현재가테이블!$B$2:$D$200, 3, FALSE), "-")</f>
        <v>-2.0844097700000001E-2</v>
      </c>
      <c r="N68" s="136"/>
      <c r="O68" s="137"/>
      <c r="Q68" s="121"/>
      <c r="R68" s="122"/>
      <c r="S68" s="123"/>
    </row>
    <row r="69" spans="1:19" ht="17.25" thickBot="1">
      <c r="A69" s="138" t="s">
        <v>39</v>
      </c>
      <c r="B69" s="139" t="s">
        <v>40</v>
      </c>
      <c r="C69" s="140"/>
      <c r="D69" s="141" t="s">
        <v>41</v>
      </c>
      <c r="E69" s="142"/>
      <c r="F69" s="143"/>
      <c r="G69" s="141" t="s">
        <v>42</v>
      </c>
      <c r="H69" s="142"/>
      <c r="I69" s="143"/>
      <c r="J69" s="144" t="s">
        <v>43</v>
      </c>
      <c r="K69" s="144"/>
      <c r="L69" s="144"/>
      <c r="M69" s="141" t="s">
        <v>40</v>
      </c>
      <c r="N69" s="142"/>
      <c r="O69" s="143"/>
      <c r="Q69" s="124"/>
      <c r="R69" s="125"/>
      <c r="S69" s="126"/>
    </row>
    <row r="70" spans="1:19" ht="17.25" thickBot="1">
      <c r="A70" s="13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105"/>
      <c r="R70" s="105"/>
      <c r="S70" s="105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106"/>
      <c r="R71" s="106"/>
      <c r="S71" s="106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106"/>
      <c r="R72" s="106"/>
      <c r="S72" s="106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7"/>
      <c r="R73" s="107"/>
      <c r="S73" s="107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7"/>
      <c r="R74" s="107"/>
      <c r="S74" s="107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8"/>
      <c r="R75" s="108"/>
      <c r="S75" s="108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9"/>
      <c r="R76" s="110"/>
      <c r="S76" s="111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12"/>
      <c r="R77" s="113"/>
      <c r="S77" s="114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15"/>
      <c r="R78" s="116"/>
      <c r="S78" s="117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8"/>
      <c r="R80" s="119"/>
      <c r="S80" s="120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21"/>
      <c r="R81" s="122"/>
      <c r="S81" s="123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24"/>
      <c r="R82" s="125"/>
      <c r="S82" s="126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05"/>
      <c r="R83" s="105"/>
      <c r="S83" s="105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106"/>
      <c r="R84" s="106"/>
      <c r="S84" s="106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106"/>
      <c r="R85" s="106"/>
      <c r="S85" s="106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7"/>
      <c r="R86" s="107"/>
      <c r="S86" s="107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7"/>
      <c r="R87" s="107"/>
      <c r="S87" s="107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8"/>
      <c r="R88" s="108"/>
      <c r="S88" s="108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9"/>
      <c r="R89" s="110"/>
      <c r="S89" s="111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12"/>
      <c r="R90" s="113"/>
      <c r="S90" s="114"/>
    </row>
    <row r="91" spans="1:19" ht="17.25" thickBot="1">
      <c r="A91" s="39" t="s">
        <v>46</v>
      </c>
      <c r="B91" s="127">
        <v>100000</v>
      </c>
      <c r="C91" s="128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15"/>
      <c r="R91" s="116"/>
      <c r="S91" s="117"/>
    </row>
    <row r="93" spans="1:19" ht="17.25" thickBot="1"/>
    <row r="94" spans="1:19" ht="17.25" thickBot="1">
      <c r="A94" s="129" t="s">
        <v>50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1"/>
      <c r="Q94" s="118"/>
      <c r="R94" s="119"/>
      <c r="S94" s="120"/>
    </row>
    <row r="95" spans="1:19" ht="17.25" thickBot="1">
      <c r="A95" s="10" t="s">
        <v>35</v>
      </c>
      <c r="B95" s="129" t="s">
        <v>36</v>
      </c>
      <c r="C95" s="131"/>
      <c r="D95" s="129" t="s">
        <v>37</v>
      </c>
      <c r="E95" s="130"/>
      <c r="F95" s="131"/>
      <c r="G95" s="132">
        <f>_xlfn.IFNA(VLOOKUP(B95, 현재가테이블!$B$2:$D$200, 2, FALSE), "-")</f>
        <v>77697000</v>
      </c>
      <c r="H95" s="133"/>
      <c r="I95" s="134"/>
      <c r="J95" s="129" t="s">
        <v>38</v>
      </c>
      <c r="K95" s="130"/>
      <c r="L95" s="131"/>
      <c r="M95" s="135">
        <f>_xlfn.IFNA(VLOOKUP(B95, 현재가테이블!$B$2:$D$200, 3, FALSE), "-")</f>
        <v>-2.0844097700000001E-2</v>
      </c>
      <c r="N95" s="136"/>
      <c r="O95" s="137"/>
      <c r="Q95" s="121"/>
      <c r="R95" s="122"/>
      <c r="S95" s="123"/>
    </row>
    <row r="96" spans="1:19" ht="17.25" thickBot="1">
      <c r="A96" s="138" t="s">
        <v>39</v>
      </c>
      <c r="B96" s="139" t="s">
        <v>40</v>
      </c>
      <c r="C96" s="140"/>
      <c r="D96" s="141" t="s">
        <v>41</v>
      </c>
      <c r="E96" s="142"/>
      <c r="F96" s="143"/>
      <c r="G96" s="141" t="s">
        <v>42</v>
      </c>
      <c r="H96" s="142"/>
      <c r="I96" s="143"/>
      <c r="J96" s="144" t="s">
        <v>43</v>
      </c>
      <c r="K96" s="144"/>
      <c r="L96" s="144"/>
      <c r="M96" s="141" t="s">
        <v>40</v>
      </c>
      <c r="N96" s="142"/>
      <c r="O96" s="143"/>
      <c r="Q96" s="124"/>
      <c r="R96" s="125"/>
      <c r="S96" s="126"/>
    </row>
    <row r="97" spans="1:19" ht="17.25" thickBot="1">
      <c r="A97" s="13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105"/>
      <c r="R97" s="105"/>
      <c r="S97" s="105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106"/>
      <c r="R98" s="106"/>
      <c r="S98" s="106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106"/>
      <c r="R99" s="106"/>
      <c r="S99" s="106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7"/>
      <c r="R100" s="107"/>
      <c r="S100" s="107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7"/>
      <c r="R101" s="107"/>
      <c r="S101" s="107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8"/>
      <c r="R102" s="108"/>
      <c r="S102" s="108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9"/>
      <c r="R103" s="110"/>
      <c r="S103" s="111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12"/>
      <c r="R104" s="113"/>
      <c r="S104" s="114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15"/>
      <c r="R105" s="116"/>
      <c r="S105" s="117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8"/>
      <c r="R107" s="119"/>
      <c r="S107" s="120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21"/>
      <c r="R108" s="122"/>
      <c r="S108" s="123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24"/>
      <c r="R109" s="125"/>
      <c r="S109" s="126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05"/>
      <c r="R110" s="105"/>
      <c r="S110" s="105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106"/>
      <c r="R111" s="106"/>
      <c r="S111" s="106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106"/>
      <c r="R112" s="106"/>
      <c r="S112" s="106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7"/>
      <c r="R113" s="107"/>
      <c r="S113" s="107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7"/>
      <c r="R114" s="107"/>
      <c r="S114" s="107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8"/>
      <c r="R115" s="108"/>
      <c r="S115" s="108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9"/>
      <c r="R116" s="110"/>
      <c r="S116" s="111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12"/>
      <c r="R117" s="113"/>
      <c r="S117" s="114"/>
    </row>
    <row r="118" spans="1:19" ht="17.25" thickBot="1">
      <c r="A118" s="39" t="s">
        <v>46</v>
      </c>
      <c r="B118" s="127">
        <v>100000</v>
      </c>
      <c r="C118" s="128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15"/>
      <c r="R118" s="116"/>
      <c r="S118" s="117"/>
    </row>
    <row r="120" spans="1:19" ht="17.25" thickBot="1"/>
    <row r="121" spans="1:19" ht="17.25" thickBot="1">
      <c r="A121" s="129" t="s">
        <v>298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1"/>
      <c r="Q121" s="118"/>
      <c r="R121" s="119"/>
      <c r="S121" s="120"/>
    </row>
    <row r="122" spans="1:19" ht="17.25" thickBot="1">
      <c r="A122" s="10" t="s">
        <v>35</v>
      </c>
      <c r="B122" s="129" t="s">
        <v>36</v>
      </c>
      <c r="C122" s="131"/>
      <c r="D122" s="129" t="s">
        <v>37</v>
      </c>
      <c r="E122" s="130"/>
      <c r="F122" s="131"/>
      <c r="G122" s="132">
        <f>_xlfn.IFNA(VLOOKUP(B122, 현재가테이블!$B$2:$D$200, 2, FALSE), "-")</f>
        <v>77697000</v>
      </c>
      <c r="H122" s="133"/>
      <c r="I122" s="134"/>
      <c r="J122" s="129" t="s">
        <v>38</v>
      </c>
      <c r="K122" s="130"/>
      <c r="L122" s="131"/>
      <c r="M122" s="135">
        <f>_xlfn.IFNA(VLOOKUP(B122, 현재가테이블!$B$2:$D$200, 3, FALSE), "-")</f>
        <v>-2.0844097700000001E-2</v>
      </c>
      <c r="N122" s="136"/>
      <c r="O122" s="137"/>
      <c r="Q122" s="121"/>
      <c r="R122" s="122"/>
      <c r="S122" s="123"/>
    </row>
    <row r="123" spans="1:19" ht="17.25" thickBot="1">
      <c r="A123" s="138" t="s">
        <v>39</v>
      </c>
      <c r="B123" s="139" t="s">
        <v>40</v>
      </c>
      <c r="C123" s="140"/>
      <c r="D123" s="141" t="s">
        <v>41</v>
      </c>
      <c r="E123" s="142"/>
      <c r="F123" s="143"/>
      <c r="G123" s="141" t="s">
        <v>42</v>
      </c>
      <c r="H123" s="142"/>
      <c r="I123" s="143"/>
      <c r="J123" s="144" t="s">
        <v>43</v>
      </c>
      <c r="K123" s="144"/>
      <c r="L123" s="144"/>
      <c r="M123" s="141" t="s">
        <v>40</v>
      </c>
      <c r="N123" s="142"/>
      <c r="O123" s="143"/>
      <c r="Q123" s="124"/>
      <c r="R123" s="125"/>
      <c r="S123" s="126"/>
    </row>
    <row r="124" spans="1:19" ht="17.25" thickBot="1">
      <c r="A124" s="13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105"/>
      <c r="R124" s="105"/>
      <c r="S124" s="105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106"/>
      <c r="R125" s="106"/>
      <c r="S125" s="106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106"/>
      <c r="R126" s="106"/>
      <c r="S126" s="106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7"/>
      <c r="R127" s="107"/>
      <c r="S127" s="107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7"/>
      <c r="R128" s="107"/>
      <c r="S128" s="107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8"/>
      <c r="R129" s="108"/>
      <c r="S129" s="108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9"/>
      <c r="R130" s="110"/>
      <c r="S130" s="111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12"/>
      <c r="R131" s="113"/>
      <c r="S131" s="114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15"/>
      <c r="R132" s="116"/>
      <c r="S132" s="117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8"/>
      <c r="R134" s="119"/>
      <c r="S134" s="120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21"/>
      <c r="R135" s="122"/>
      <c r="S135" s="123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24"/>
      <c r="R136" s="125"/>
      <c r="S136" s="126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05"/>
      <c r="R137" s="105"/>
      <c r="S137" s="105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106"/>
      <c r="R138" s="106"/>
      <c r="S138" s="106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106"/>
      <c r="R139" s="106"/>
      <c r="S139" s="106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7"/>
      <c r="R140" s="107"/>
      <c r="S140" s="107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7"/>
      <c r="R141" s="107"/>
      <c r="S141" s="107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8"/>
      <c r="R142" s="108"/>
      <c r="S142" s="108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9"/>
      <c r="R143" s="110"/>
      <c r="S143" s="111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12"/>
      <c r="R144" s="113"/>
      <c r="S144" s="114"/>
    </row>
    <row r="145" spans="1:19" ht="17.25" thickBot="1">
      <c r="A145" s="39" t="s">
        <v>46</v>
      </c>
      <c r="B145" s="127">
        <v>100000</v>
      </c>
      <c r="C145" s="128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15"/>
      <c r="R145" s="116"/>
      <c r="S145" s="117"/>
    </row>
    <row r="147" spans="1:19" ht="17.25" thickBot="1"/>
    <row r="148" spans="1:19" ht="17.25" thickBot="1">
      <c r="A148" s="129" t="s">
        <v>299</v>
      </c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1"/>
      <c r="Q148" s="118"/>
      <c r="R148" s="119"/>
      <c r="S148" s="120"/>
    </row>
    <row r="149" spans="1:19" ht="17.25" thickBot="1">
      <c r="A149" s="10" t="s">
        <v>35</v>
      </c>
      <c r="B149" s="129" t="s">
        <v>36</v>
      </c>
      <c r="C149" s="131"/>
      <c r="D149" s="129" t="s">
        <v>37</v>
      </c>
      <c r="E149" s="130"/>
      <c r="F149" s="131"/>
      <c r="G149" s="132">
        <f>_xlfn.IFNA(VLOOKUP(B149, 현재가테이블!$B$2:$D$200, 2, FALSE), "-")</f>
        <v>77697000</v>
      </c>
      <c r="H149" s="133"/>
      <c r="I149" s="134"/>
      <c r="J149" s="129" t="s">
        <v>38</v>
      </c>
      <c r="K149" s="130"/>
      <c r="L149" s="131"/>
      <c r="M149" s="135">
        <f>_xlfn.IFNA(VLOOKUP(B149, 현재가테이블!$B$2:$D$200, 3, FALSE), "-")</f>
        <v>-2.0844097700000001E-2</v>
      </c>
      <c r="N149" s="136"/>
      <c r="O149" s="137"/>
      <c r="Q149" s="121"/>
      <c r="R149" s="122"/>
      <c r="S149" s="123"/>
    </row>
    <row r="150" spans="1:19" ht="17.25" thickBot="1">
      <c r="A150" s="138" t="s">
        <v>39</v>
      </c>
      <c r="B150" s="139" t="s">
        <v>40</v>
      </c>
      <c r="C150" s="140"/>
      <c r="D150" s="141" t="s">
        <v>41</v>
      </c>
      <c r="E150" s="142"/>
      <c r="F150" s="143"/>
      <c r="G150" s="141" t="s">
        <v>42</v>
      </c>
      <c r="H150" s="142"/>
      <c r="I150" s="143"/>
      <c r="J150" s="144" t="s">
        <v>43</v>
      </c>
      <c r="K150" s="144"/>
      <c r="L150" s="144"/>
      <c r="M150" s="141" t="s">
        <v>40</v>
      </c>
      <c r="N150" s="142"/>
      <c r="O150" s="143"/>
      <c r="Q150" s="124"/>
      <c r="R150" s="125"/>
      <c r="S150" s="126"/>
    </row>
    <row r="151" spans="1:19" ht="17.25" thickBot="1">
      <c r="A151" s="13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105"/>
      <c r="R151" s="105"/>
      <c r="S151" s="105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106"/>
      <c r="R152" s="106"/>
      <c r="S152" s="106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106"/>
      <c r="R153" s="106"/>
      <c r="S153" s="106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7"/>
      <c r="R154" s="107"/>
      <c r="S154" s="107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7"/>
      <c r="R155" s="107"/>
      <c r="S155" s="107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8"/>
      <c r="R156" s="108"/>
      <c r="S156" s="108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9"/>
      <c r="R157" s="110"/>
      <c r="S157" s="111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12"/>
      <c r="R158" s="113"/>
      <c r="S158" s="114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15"/>
      <c r="R159" s="116"/>
      <c r="S159" s="117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8"/>
      <c r="R161" s="119"/>
      <c r="S161" s="120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21"/>
      <c r="R162" s="122"/>
      <c r="S162" s="123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24"/>
      <c r="R163" s="125"/>
      <c r="S163" s="126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05"/>
      <c r="R164" s="105"/>
      <c r="S164" s="105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106"/>
      <c r="R165" s="106"/>
      <c r="S165" s="106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106"/>
      <c r="R166" s="106"/>
      <c r="S166" s="106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7"/>
      <c r="R167" s="107"/>
      <c r="S167" s="107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7"/>
      <c r="R168" s="107"/>
      <c r="S168" s="107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8"/>
      <c r="R169" s="108"/>
      <c r="S169" s="108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9"/>
      <c r="R170" s="110"/>
      <c r="S170" s="111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12"/>
      <c r="R171" s="113"/>
      <c r="S171" s="114"/>
    </row>
    <row r="172" spans="1:19" ht="17.25" thickBot="1">
      <c r="A172" s="39" t="s">
        <v>46</v>
      </c>
      <c r="B172" s="127">
        <v>100000</v>
      </c>
      <c r="C172" s="128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15"/>
      <c r="R172" s="116"/>
      <c r="S172" s="117"/>
    </row>
    <row r="174" spans="1:19" ht="17.25" thickBot="1"/>
    <row r="175" spans="1:19" ht="17.25" thickBot="1">
      <c r="A175" s="129" t="s">
        <v>290</v>
      </c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1"/>
      <c r="Q175" s="118"/>
      <c r="R175" s="119"/>
      <c r="S175" s="120"/>
    </row>
    <row r="176" spans="1:19" ht="17.25" thickBot="1">
      <c r="A176" s="10" t="s">
        <v>35</v>
      </c>
      <c r="B176" s="129" t="s">
        <v>36</v>
      </c>
      <c r="C176" s="131"/>
      <c r="D176" s="129" t="s">
        <v>37</v>
      </c>
      <c r="E176" s="130"/>
      <c r="F176" s="131"/>
      <c r="G176" s="132">
        <f>_xlfn.IFNA(VLOOKUP(B176, 현재가테이블!$B$2:$D$200, 2, FALSE), "-")</f>
        <v>77697000</v>
      </c>
      <c r="H176" s="133"/>
      <c r="I176" s="134"/>
      <c r="J176" s="129" t="s">
        <v>38</v>
      </c>
      <c r="K176" s="130"/>
      <c r="L176" s="131"/>
      <c r="M176" s="135">
        <f>_xlfn.IFNA(VLOOKUP(B176, 현재가테이블!$B$2:$D$200, 3, FALSE), "-")</f>
        <v>-2.0844097700000001E-2</v>
      </c>
      <c r="N176" s="136"/>
      <c r="O176" s="137"/>
      <c r="Q176" s="121"/>
      <c r="R176" s="122"/>
      <c r="S176" s="123"/>
    </row>
    <row r="177" spans="1:19" ht="17.25" thickBot="1">
      <c r="A177" s="138" t="s">
        <v>39</v>
      </c>
      <c r="B177" s="139" t="s">
        <v>40</v>
      </c>
      <c r="C177" s="140"/>
      <c r="D177" s="141" t="s">
        <v>41</v>
      </c>
      <c r="E177" s="142"/>
      <c r="F177" s="143"/>
      <c r="G177" s="141" t="s">
        <v>42</v>
      </c>
      <c r="H177" s="142"/>
      <c r="I177" s="143"/>
      <c r="J177" s="144" t="s">
        <v>43</v>
      </c>
      <c r="K177" s="144"/>
      <c r="L177" s="144"/>
      <c r="M177" s="141" t="s">
        <v>40</v>
      </c>
      <c r="N177" s="142"/>
      <c r="O177" s="143"/>
      <c r="Q177" s="124"/>
      <c r="R177" s="125"/>
      <c r="S177" s="126"/>
    </row>
    <row r="178" spans="1:19" ht="17.25" thickBot="1">
      <c r="A178" s="13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105"/>
      <c r="R178" s="105"/>
      <c r="S178" s="105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106"/>
      <c r="R179" s="106"/>
      <c r="S179" s="106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106"/>
      <c r="R180" s="106"/>
      <c r="S180" s="106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7"/>
      <c r="R181" s="107"/>
      <c r="S181" s="107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7"/>
      <c r="R182" s="107"/>
      <c r="S182" s="107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8"/>
      <c r="R183" s="108"/>
      <c r="S183" s="108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9"/>
      <c r="R184" s="110"/>
      <c r="S184" s="111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12"/>
      <c r="R185" s="113"/>
      <c r="S185" s="114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15"/>
      <c r="R186" s="116"/>
      <c r="S186" s="117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8"/>
      <c r="R188" s="119"/>
      <c r="S188" s="120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21"/>
      <c r="R189" s="122"/>
      <c r="S189" s="123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24"/>
      <c r="R190" s="125"/>
      <c r="S190" s="126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05"/>
      <c r="R191" s="105"/>
      <c r="S191" s="105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106"/>
      <c r="R192" s="106"/>
      <c r="S192" s="106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106"/>
      <c r="R193" s="106"/>
      <c r="S193" s="106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7"/>
      <c r="R194" s="107"/>
      <c r="S194" s="107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7"/>
      <c r="R195" s="107"/>
      <c r="S195" s="107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8"/>
      <c r="R196" s="108"/>
      <c r="S196" s="108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9"/>
      <c r="R197" s="110"/>
      <c r="S197" s="111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12"/>
      <c r="R198" s="113"/>
      <c r="S198" s="114"/>
    </row>
    <row r="199" spans="1:19" ht="17.25" thickBot="1">
      <c r="A199" s="39" t="s">
        <v>46</v>
      </c>
      <c r="B199" s="127">
        <v>100000</v>
      </c>
      <c r="C199" s="128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15"/>
      <c r="R199" s="116"/>
      <c r="S199" s="117"/>
    </row>
  </sheetData>
  <mergeCells count="23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D15:F16 E37:F37">
    <cfRule type="expression" dxfId="227" priority="97">
      <formula>$E$37&gt;0</formula>
    </cfRule>
    <cfRule type="expression" dxfId="226" priority="98">
      <formula>$E$37&lt;0</formula>
    </cfRule>
  </conditionalFormatting>
  <conditionalFormatting sqref="G15:I16 H37:I37">
    <cfRule type="expression" dxfId="225" priority="95">
      <formula>$H$37&gt;0</formula>
    </cfRule>
    <cfRule type="expression" dxfId="224" priority="96">
      <formula>$H$37&lt;0</formula>
    </cfRule>
  </conditionalFormatting>
  <conditionalFormatting sqref="J15:L16 K37:L37">
    <cfRule type="expression" dxfId="223" priority="93">
      <formula>$K$37&gt;0</formula>
    </cfRule>
    <cfRule type="expression" dxfId="222" priority="94">
      <formula>$K$37&lt;0</formula>
    </cfRule>
  </conditionalFormatting>
  <conditionalFormatting sqref="M15:O16 N37:O37">
    <cfRule type="expression" dxfId="221" priority="91">
      <formula>$N$37&gt;0</formula>
    </cfRule>
    <cfRule type="expression" dxfId="220" priority="92">
      <formula>$N$37&lt;0</formula>
    </cfRule>
  </conditionalFormatting>
  <conditionalFormatting sqref="A44:O63 A17:O36">
    <cfRule type="expression" dxfId="219" priority="99">
      <formula>AND($N17 &gt; 0, ISNUMBER($N17))</formula>
    </cfRule>
    <cfRule type="expression" dxfId="218" priority="100">
      <formula>AND($N17 &lt; 0, ISNUMBER($N17))</formula>
    </cfRule>
    <cfRule type="expression" dxfId="217" priority="101">
      <formula>AND($K17 &gt; 0, ISNUMBER($K17))</formula>
    </cfRule>
    <cfRule type="expression" dxfId="216" priority="102">
      <formula>AND($K17 &lt; 0, ISNUMBER($K17))</formula>
    </cfRule>
    <cfRule type="expression" dxfId="215" priority="103">
      <formula>AND($H17 &gt; 0, ISNUMBER($H17))</formula>
    </cfRule>
    <cfRule type="expression" dxfId="214" priority="104">
      <formula>AND($H17 &lt; 0, ISNUMBER($H17))</formula>
    </cfRule>
    <cfRule type="expression" dxfId="213" priority="105">
      <formula>AND($E17 &gt; 0, ISNUMBER($E17))</formula>
    </cfRule>
    <cfRule type="expression" dxfId="212" priority="106">
      <formula>AND($E17 &lt; 0, ISNUMBER($E17))</formula>
    </cfRule>
  </conditionalFormatting>
  <conditionalFormatting sqref="D42:F43 E64:F64">
    <cfRule type="expression" dxfId="211" priority="89">
      <formula>$E$64&gt;0</formula>
    </cfRule>
    <cfRule type="expression" dxfId="210" priority="90">
      <formula>$E$64&lt;0</formula>
    </cfRule>
  </conditionalFormatting>
  <conditionalFormatting sqref="G42:I43 H64:I64">
    <cfRule type="expression" dxfId="209" priority="87">
      <formula>$H$64&gt;0</formula>
    </cfRule>
    <cfRule type="expression" dxfId="208" priority="88">
      <formula>$H$64&lt;0</formula>
    </cfRule>
  </conditionalFormatting>
  <conditionalFormatting sqref="J42:L43 K64:L64">
    <cfRule type="expression" dxfId="207" priority="85">
      <formula>$K$64&gt;0</formula>
    </cfRule>
    <cfRule type="expression" dxfId="206" priority="86">
      <formula>$K$64&lt;0</formula>
    </cfRule>
  </conditionalFormatting>
  <conditionalFormatting sqref="M42:O43 N64:O64">
    <cfRule type="expression" dxfId="205" priority="83">
      <formula>$N$64&gt;0</formula>
    </cfRule>
    <cfRule type="expression" dxfId="204" priority="84">
      <formula>$N$64&lt;0</formula>
    </cfRule>
  </conditionalFormatting>
  <conditionalFormatting sqref="G2:I3">
    <cfRule type="expression" dxfId="203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73">
      <formula>AND($N71 &gt; 0, ISNUMBER($N71))</formula>
    </cfRule>
    <cfRule type="expression" dxfId="192" priority="74">
      <formula>AND($N71 &lt; 0, ISNUMBER($N71))</formula>
    </cfRule>
    <cfRule type="expression" dxfId="191" priority="75">
      <formula>AND($K71 &gt; 0, ISNUMBER($K71))</formula>
    </cfRule>
    <cfRule type="expression" dxfId="190" priority="76">
      <formula>AND($K71 &lt; 0, ISNUMBER($K71))</formula>
    </cfRule>
    <cfRule type="expression" dxfId="189" priority="77">
      <formula>AND($H71 &gt; 0, ISNUMBER($H71))</formula>
    </cfRule>
    <cfRule type="expression" dxfId="188" priority="78">
      <formula>AND($H71 &lt; 0, ISNUMBER($H71))</formula>
    </cfRule>
    <cfRule type="expression" dxfId="187" priority="79">
      <formula>AND($E71 &gt; 0, ISNUMBER($E71))</formula>
    </cfRule>
    <cfRule type="expression" dxfId="186" priority="80">
      <formula>AND($E71 &lt; 0, ISNUMBER($E71))</formula>
    </cfRule>
  </conditionalFormatting>
  <conditionalFormatting sqref="D69:F70 E91:F91">
    <cfRule type="expression" dxfId="185" priority="71">
      <formula>$E$64&gt;0</formula>
    </cfRule>
    <cfRule type="expression" dxfId="184" priority="72">
      <formula>$E$64&lt;0</formula>
    </cfRule>
  </conditionalFormatting>
  <conditionalFormatting sqref="G69:I70 H91:I91">
    <cfRule type="expression" dxfId="183" priority="69">
      <formula>$H$64&gt;0</formula>
    </cfRule>
    <cfRule type="expression" dxfId="182" priority="70">
      <formula>$H$64&lt;0</formula>
    </cfRule>
  </conditionalFormatting>
  <conditionalFormatting sqref="J69:L70 K91:L91">
    <cfRule type="expression" dxfId="181" priority="67">
      <formula>$K$64&gt;0</formula>
    </cfRule>
    <cfRule type="expression" dxfId="180" priority="68">
      <formula>$K$64&lt;0</formula>
    </cfRule>
  </conditionalFormatting>
  <conditionalFormatting sqref="M69:O70 N91:O91">
    <cfRule type="expression" dxfId="179" priority="65">
      <formula>$N$64&gt;0</formula>
    </cfRule>
    <cfRule type="expression" dxfId="178" priority="66">
      <formula>$N$64&lt;0</formula>
    </cfRule>
  </conditionalFormatting>
  <conditionalFormatting sqref="A98:O117">
    <cfRule type="expression" dxfId="177" priority="57">
      <formula>AND($N98 &gt; 0, ISNUMBER($N98))</formula>
    </cfRule>
    <cfRule type="expression" dxfId="176" priority="58">
      <formula>AND($N98 &lt; 0, ISNUMBER($N98))</formula>
    </cfRule>
    <cfRule type="expression" dxfId="175" priority="59">
      <formula>AND($K98 &gt; 0, ISNUMBER($K98))</formula>
    </cfRule>
    <cfRule type="expression" dxfId="174" priority="60">
      <formula>AND($K98 &lt; 0, ISNUMBER($K98))</formula>
    </cfRule>
    <cfRule type="expression" dxfId="173" priority="61">
      <formula>AND($H98 &gt; 0, ISNUMBER($H98))</formula>
    </cfRule>
    <cfRule type="expression" dxfId="172" priority="62">
      <formula>AND($H98 &lt; 0, ISNUMBER($H98))</formula>
    </cfRule>
    <cfRule type="expression" dxfId="171" priority="63">
      <formula>AND($E98 &gt; 0, ISNUMBER($E98))</formula>
    </cfRule>
    <cfRule type="expression" dxfId="170" priority="64">
      <formula>AND($E98 &lt; 0, ISNUMBER($E98))</formula>
    </cfRule>
  </conditionalFormatting>
  <conditionalFormatting sqref="D96:F97 E118:F118">
    <cfRule type="expression" dxfId="169" priority="55">
      <formula>$E$64&gt;0</formula>
    </cfRule>
    <cfRule type="expression" dxfId="168" priority="56">
      <formula>$E$64&lt;0</formula>
    </cfRule>
  </conditionalFormatting>
  <conditionalFormatting sqref="G96:I97 H118:I118">
    <cfRule type="expression" dxfId="167" priority="53">
      <formula>$H$64&gt;0</formula>
    </cfRule>
    <cfRule type="expression" dxfId="166" priority="54">
      <formula>$H$64&lt;0</formula>
    </cfRule>
  </conditionalFormatting>
  <conditionalFormatting sqref="J96:L97 K118:L118">
    <cfRule type="expression" dxfId="165" priority="51">
      <formula>$K$64&gt;0</formula>
    </cfRule>
    <cfRule type="expression" dxfId="164" priority="52">
      <formula>$K$64&lt;0</formula>
    </cfRule>
  </conditionalFormatting>
  <conditionalFormatting sqref="M96:O97 N118:O118">
    <cfRule type="expression" dxfId="163" priority="49">
      <formula>$N$64&gt;0</formula>
    </cfRule>
    <cfRule type="expression" dxfId="162" priority="50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Q199"/>
  <sheetViews>
    <sheetView tabSelected="1" workbookViewId="0">
      <selection activeCell="L7" sqref="L7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9.25" style="56" bestFit="1" customWidth="1"/>
    <col min="5" max="5" width="10.625" style="175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10" t="s">
        <v>297</v>
      </c>
      <c r="B1" s="53" t="s">
        <v>39</v>
      </c>
      <c r="C1" s="53" t="s">
        <v>37</v>
      </c>
      <c r="D1" s="54" t="s">
        <v>38</v>
      </c>
    </row>
    <row r="2" spans="1:17" ht="17.25" thickBot="1">
      <c r="A2" s="66" t="s">
        <v>190</v>
      </c>
      <c r="B2" s="67" t="s">
        <v>191</v>
      </c>
      <c r="C2" s="67">
        <v>41.2</v>
      </c>
      <c r="D2" s="82">
        <v>0.42560553629999998</v>
      </c>
      <c r="E2" s="176">
        <v>17056570848.583523</v>
      </c>
      <c r="F2" s="57"/>
      <c r="G2" s="91"/>
      <c r="H2" s="57"/>
      <c r="I2" s="57"/>
    </row>
    <row r="3" spans="1:17" ht="17.25" thickBot="1">
      <c r="A3" s="66" t="s">
        <v>104</v>
      </c>
      <c r="B3" s="67" t="s">
        <v>105</v>
      </c>
      <c r="C3" s="67">
        <v>12</v>
      </c>
      <c r="D3" s="82">
        <v>0.20120120120000001</v>
      </c>
      <c r="E3" s="176">
        <v>216242736363.63669</v>
      </c>
      <c r="F3" s="57"/>
      <c r="G3" s="165" t="s">
        <v>301</v>
      </c>
      <c r="H3" s="173" t="s">
        <v>300</v>
      </c>
      <c r="I3" s="173"/>
      <c r="K3" s="129" t="s">
        <v>34</v>
      </c>
      <c r="L3" s="130"/>
      <c r="M3" s="131"/>
      <c r="O3" s="129" t="s">
        <v>302</v>
      </c>
      <c r="P3" s="130"/>
      <c r="Q3" s="131"/>
    </row>
    <row r="4" spans="1:17" ht="17.25" thickBot="1">
      <c r="A4" s="66" t="s">
        <v>158</v>
      </c>
      <c r="B4" s="67" t="s">
        <v>159</v>
      </c>
      <c r="C4" s="67">
        <v>33.299999999999997</v>
      </c>
      <c r="D4" s="82">
        <v>0.17253521129999999</v>
      </c>
      <c r="E4" s="176">
        <v>5272003470.9536619</v>
      </c>
      <c r="F4" s="57"/>
      <c r="G4" s="166"/>
      <c r="H4" s="174"/>
      <c r="I4" s="174"/>
      <c r="K4" s="165" t="s">
        <v>59</v>
      </c>
      <c r="L4" s="130" t="s">
        <v>60</v>
      </c>
      <c r="M4" s="131"/>
      <c r="O4" s="165" t="s">
        <v>59</v>
      </c>
      <c r="P4" s="130" t="s">
        <v>60</v>
      </c>
      <c r="Q4" s="131"/>
    </row>
    <row r="5" spans="1:17" ht="17.25" thickBot="1">
      <c r="A5" s="66" t="s">
        <v>156</v>
      </c>
      <c r="B5" s="67" t="s">
        <v>157</v>
      </c>
      <c r="C5" s="67">
        <v>64.599999999999994</v>
      </c>
      <c r="D5" s="82">
        <v>0.15770609320000001</v>
      </c>
      <c r="E5" s="176">
        <v>19818883183.459545</v>
      </c>
      <c r="F5" s="57"/>
      <c r="K5" s="166"/>
      <c r="L5" s="58" t="s">
        <v>63</v>
      </c>
      <c r="M5" s="59" t="s">
        <v>64</v>
      </c>
      <c r="O5" s="166"/>
      <c r="P5" s="58" t="s">
        <v>63</v>
      </c>
      <c r="Q5" s="59" t="s">
        <v>64</v>
      </c>
    </row>
    <row r="6" spans="1:17" ht="17.25" thickBot="1">
      <c r="A6" s="66" t="s">
        <v>226</v>
      </c>
      <c r="B6" s="67" t="s">
        <v>227</v>
      </c>
      <c r="C6" s="67">
        <v>26.8</v>
      </c>
      <c r="D6" s="82">
        <v>0.14529914529999999</v>
      </c>
      <c r="E6" s="176">
        <v>4062716212.191628</v>
      </c>
      <c r="F6" s="57"/>
      <c r="G6" s="129" t="s">
        <v>56</v>
      </c>
      <c r="H6" s="130"/>
      <c r="I6" s="131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778</v>
      </c>
      <c r="M6" s="64">
        <f t="shared" ref="M6:M25" ca="1" si="1">_xlfn.IFNA(VLOOKUP(K6, $B$2:$D$200, 3, FALSE), "")</f>
        <v>-3.8412291999999999E-3</v>
      </c>
      <c r="O6" s="78" t="str">
        <f>INDEX($A$2:$D$200, MATCH(LARGE($D$2:$D$200, 1), $D$2:$D$200, 0), 2)</f>
        <v>에브리피디아</v>
      </c>
      <c r="P6" s="63">
        <f t="shared" ref="P6:P25" si="2">_xlfn.IFNA(VLOOKUP(O6, $B$2:$D$200, 2, FALSE), "")</f>
        <v>41.2</v>
      </c>
      <c r="Q6" s="64">
        <f t="shared" ref="Q6:Q25" si="3">_xlfn.IFNA(VLOOKUP(O6, $B$2:$D$200, 3, FALSE), "")</f>
        <v>0.42560553629999998</v>
      </c>
    </row>
    <row r="7" spans="1:17">
      <c r="A7" s="66" t="s">
        <v>65</v>
      </c>
      <c r="B7" s="67" t="s">
        <v>66</v>
      </c>
      <c r="C7" s="67">
        <v>1875</v>
      </c>
      <c r="D7" s="82">
        <v>0.1094674556</v>
      </c>
      <c r="E7" s="176">
        <v>124970596.80147704</v>
      </c>
      <c r="F7" s="57"/>
      <c r="G7" s="151" t="s">
        <v>36</v>
      </c>
      <c r="H7" s="152"/>
      <c r="I7" s="153"/>
      <c r="K7" s="93" t="str">
        <f ca="1">IFERROR(OFFSET(INDIRECT($H$3 &amp; "!A17"), 1, 0), "")</f>
        <v>헤데라해시그래프</v>
      </c>
      <c r="L7" s="65">
        <f t="shared" ca="1" si="0"/>
        <v>447</v>
      </c>
      <c r="M7" s="60">
        <f t="shared" ca="1" si="1"/>
        <v>-1.3245033099999999E-2</v>
      </c>
      <c r="O7" s="79" t="str">
        <f>INDEX($A$2:$D$200, MATCH(LARGE($D$2:$D$200, 2), $D$2:$D$200, 0), 2)</f>
        <v>비트토렌트</v>
      </c>
      <c r="P7" s="65">
        <f t="shared" si="2"/>
        <v>12</v>
      </c>
      <c r="Q7" s="60">
        <f t="shared" si="3"/>
        <v>0.20120120120000001</v>
      </c>
    </row>
    <row r="8" spans="1:17" ht="17.25" thickBot="1">
      <c r="A8" s="66" t="s">
        <v>69</v>
      </c>
      <c r="B8" s="67" t="s">
        <v>70</v>
      </c>
      <c r="C8" s="67">
        <v>102</v>
      </c>
      <c r="D8" s="82">
        <v>9.5596133200000002E-2</v>
      </c>
      <c r="E8" s="176">
        <v>2254121964.5031352</v>
      </c>
      <c r="F8" s="57"/>
      <c r="G8" s="157"/>
      <c r="H8" s="158"/>
      <c r="I8" s="159"/>
      <c r="K8" s="93" t="str">
        <f ca="1">IFERROR(OFFSET(INDIRECT($H$3 &amp; "!A17"), 2, 0), "")</f>
        <v>넴</v>
      </c>
      <c r="L8" s="65">
        <f t="shared" ca="1" si="0"/>
        <v>596</v>
      </c>
      <c r="M8" s="60">
        <f t="shared" ca="1" si="1"/>
        <v>3.3670034000000001E-3</v>
      </c>
      <c r="O8" s="79" t="str">
        <f>INDEX($A$2:$D$200, MATCH(LARGE($D$2:$D$200, 3), $D$2:$D$200, 0), 2)</f>
        <v>캐리프로토콜</v>
      </c>
      <c r="P8" s="65">
        <f t="shared" si="2"/>
        <v>33.299999999999997</v>
      </c>
      <c r="Q8" s="60">
        <f t="shared" si="3"/>
        <v>0.17253521129999999</v>
      </c>
    </row>
    <row r="9" spans="1:17" ht="17.25" thickBot="1">
      <c r="A9" s="66" t="s">
        <v>176</v>
      </c>
      <c r="B9" s="67" t="s">
        <v>177</v>
      </c>
      <c r="C9" s="67">
        <v>36.4</v>
      </c>
      <c r="D9" s="82">
        <v>7.6923076899999998E-2</v>
      </c>
      <c r="E9" s="176">
        <v>1279079588.437037</v>
      </c>
      <c r="F9" s="57"/>
      <c r="G9" s="10" t="s">
        <v>38</v>
      </c>
      <c r="H9" s="130" t="s">
        <v>37</v>
      </c>
      <c r="I9" s="131"/>
      <c r="K9" s="93" t="str">
        <f ca="1">IFERROR(OFFSET(INDIRECT($H$3 &amp; "!A17"), 3, 0), "")</f>
        <v>디센트럴랜드</v>
      </c>
      <c r="L9" s="65">
        <f t="shared" ca="1" si="0"/>
        <v>1875</v>
      </c>
      <c r="M9" s="60">
        <f t="shared" ca="1" si="1"/>
        <v>0.1094674556</v>
      </c>
      <c r="O9" s="79" t="str">
        <f>INDEX($A$2:$D$200, MATCH(LARGE($D$2:$D$200, 4), $D$2:$D$200, 0), 2)</f>
        <v>시아코인</v>
      </c>
      <c r="P9" s="65">
        <f t="shared" si="2"/>
        <v>64.599999999999994</v>
      </c>
      <c r="Q9" s="60">
        <f t="shared" si="3"/>
        <v>0.15770609320000001</v>
      </c>
    </row>
    <row r="10" spans="1:17">
      <c r="A10" s="66" t="s">
        <v>76</v>
      </c>
      <c r="B10" s="67" t="s">
        <v>77</v>
      </c>
      <c r="C10" s="67">
        <v>51</v>
      </c>
      <c r="D10" s="82">
        <v>6.6945606699999993E-2</v>
      </c>
      <c r="E10" s="176">
        <v>2819776751.6111832</v>
      </c>
      <c r="F10" s="57"/>
      <c r="G10" s="167">
        <f>_xlfn.IFNA(VLOOKUP(G7, $B$2:$D$200, 3, FALSE), "-")</f>
        <v>-2.0844097700000001E-2</v>
      </c>
      <c r="H10" s="169">
        <f>_xlfn.IFNA(VLOOKUP(G7, $B$2:$D$200, 2, FALSE), "-")</f>
        <v>77697000</v>
      </c>
      <c r="I10" s="170"/>
      <c r="K10" s="95" t="str">
        <f ca="1">IFERROR(OFFSET(INDIRECT($H$3 &amp; "!A17"), 4, 0), "")</f>
        <v>네오</v>
      </c>
      <c r="L10" s="72">
        <f t="shared" ca="1" si="0"/>
        <v>120450</v>
      </c>
      <c r="M10" s="73">
        <f t="shared" ca="1" si="1"/>
        <v>6.1233480200000003E-2</v>
      </c>
      <c r="O10" s="79" t="str">
        <f>INDEX($A$2:$D$200, MATCH(LARGE($D$2:$D$200, 5), $D$2:$D$200, 0), 2)</f>
        <v>아하토큰</v>
      </c>
      <c r="P10" s="65">
        <f t="shared" si="2"/>
        <v>26.8</v>
      </c>
      <c r="Q10" s="60">
        <f t="shared" si="3"/>
        <v>0.14529914529999999</v>
      </c>
    </row>
    <row r="11" spans="1:17" ht="17.25" thickBot="1">
      <c r="A11" s="66" t="s">
        <v>218</v>
      </c>
      <c r="B11" s="67" t="s">
        <v>219</v>
      </c>
      <c r="C11" s="67">
        <v>32.200000000000003</v>
      </c>
      <c r="D11" s="82">
        <v>6.6225165599999997E-2</v>
      </c>
      <c r="E11" s="176">
        <v>1710850223.8569977</v>
      </c>
      <c r="F11" s="57"/>
      <c r="G11" s="168"/>
      <c r="H11" s="171"/>
      <c r="I11" s="172"/>
      <c r="K11" s="93" t="str">
        <f ca="1">IFERROR(OFFSET(INDIRECT($H$3 &amp; "!A17"), 5, 0), "")</f>
        <v>아이오에스티</v>
      </c>
      <c r="L11" s="65">
        <f t="shared" ca="1" si="0"/>
        <v>102</v>
      </c>
      <c r="M11" s="60">
        <f t="shared" ca="1" si="1"/>
        <v>9.5596133200000002E-2</v>
      </c>
      <c r="O11" s="81" t="str">
        <f>INDEX($A$2:$D$200, MATCH(LARGE($D$2:$D$200, 6), $D$2:$D$200, 0), 2)</f>
        <v>디센트럴랜드</v>
      </c>
      <c r="P11" s="74">
        <f t="shared" si="2"/>
        <v>1875</v>
      </c>
      <c r="Q11" s="75">
        <f t="shared" si="3"/>
        <v>0.1094674556</v>
      </c>
    </row>
    <row r="12" spans="1:17" ht="17.25" thickBot="1">
      <c r="A12" s="66" t="s">
        <v>67</v>
      </c>
      <c r="B12" s="67" t="s">
        <v>68</v>
      </c>
      <c r="C12" s="67">
        <v>120450</v>
      </c>
      <c r="D12" s="82">
        <v>6.1233480200000003E-2</v>
      </c>
      <c r="E12" s="176">
        <v>2897484.9263327299</v>
      </c>
      <c r="F12" s="57"/>
      <c r="K12" s="93" t="str">
        <f ca="1">IFERROR(OFFSET(INDIRECT($H$3 &amp; "!A17"), 6, 0), "")</f>
        <v>코박토큰</v>
      </c>
      <c r="L12" s="65">
        <f t="shared" ca="1" si="0"/>
        <v>8895</v>
      </c>
      <c r="M12" s="60">
        <f t="shared" ca="1" si="1"/>
        <v>-2.8930131000000001E-2</v>
      </c>
      <c r="O12" s="79" t="str">
        <f>INDEX($A$2:$D$200, MATCH(LARGE($D$2:$D$200, 7), $D$2:$D$200, 0), 2)</f>
        <v>아이오에스티</v>
      </c>
      <c r="P12" s="65">
        <f t="shared" si="2"/>
        <v>102</v>
      </c>
      <c r="Q12" s="60">
        <f t="shared" si="3"/>
        <v>9.5596133200000002E-2</v>
      </c>
    </row>
    <row r="13" spans="1:17" ht="17.25" thickBot="1">
      <c r="A13" s="66" t="s">
        <v>202</v>
      </c>
      <c r="B13" s="67" t="s">
        <v>203</v>
      </c>
      <c r="C13" s="67">
        <v>41.4</v>
      </c>
      <c r="D13" s="82">
        <v>5.8823529399999998E-2</v>
      </c>
      <c r="E13" s="176">
        <v>1869714250.0792112</v>
      </c>
      <c r="F13" s="57"/>
      <c r="G13" s="129" t="s">
        <v>75</v>
      </c>
      <c r="H13" s="130"/>
      <c r="I13" s="131"/>
      <c r="K13" s="93" t="str">
        <f ca="1">IFERROR(OFFSET(INDIRECT($H$3 &amp; "!A17"), 7, 0), "")</f>
        <v>세럼</v>
      </c>
      <c r="L13" s="65">
        <f t="shared" ca="1" si="0"/>
        <v>8620</v>
      </c>
      <c r="M13" s="60">
        <f t="shared" ca="1" si="1"/>
        <v>-1.1587486E-3</v>
      </c>
      <c r="O13" s="79" t="str">
        <f>INDEX($A$2:$D$200, MATCH(LARGE($D$2:$D$200, 8), $D$2:$D$200, 0), 2)</f>
        <v>트웰브쉽스</v>
      </c>
      <c r="P13" s="65">
        <f t="shared" si="2"/>
        <v>36.4</v>
      </c>
      <c r="Q13" s="60">
        <f t="shared" si="3"/>
        <v>7.6923076899999998E-2</v>
      </c>
    </row>
    <row r="14" spans="1:17">
      <c r="A14" s="66" t="s">
        <v>232</v>
      </c>
      <c r="B14" s="67" t="s">
        <v>233</v>
      </c>
      <c r="C14" s="67">
        <v>26</v>
      </c>
      <c r="D14" s="82">
        <v>5.2631578900000003E-2</v>
      </c>
      <c r="E14" s="176">
        <v>3276391102.4658298</v>
      </c>
      <c r="F14" s="57"/>
      <c r="G14" s="151" t="s">
        <v>36</v>
      </c>
      <c r="H14" s="152"/>
      <c r="I14" s="153"/>
      <c r="K14" s="93" t="str">
        <f ca="1">IFERROR(OFFSET(INDIRECT($H$3 &amp; "!A17"), 8, 0), "")</f>
        <v>쿼크체인</v>
      </c>
      <c r="L14" s="65">
        <f t="shared" ca="1" si="0"/>
        <v>51</v>
      </c>
      <c r="M14" s="60">
        <f t="shared" ca="1" si="1"/>
        <v>6.6945606699999993E-2</v>
      </c>
      <c r="O14" s="79" t="str">
        <f>INDEX($A$2:$D$200, MATCH(LARGE($D$2:$D$200, 9), $D$2:$D$200, 0), 2)</f>
        <v>쿼크체인</v>
      </c>
      <c r="P14" s="65">
        <f t="shared" si="2"/>
        <v>51</v>
      </c>
      <c r="Q14" s="60">
        <f t="shared" si="3"/>
        <v>6.6945606699999993E-2</v>
      </c>
    </row>
    <row r="15" spans="1:17" ht="17.25" thickBot="1">
      <c r="A15" s="66" t="s">
        <v>106</v>
      </c>
      <c r="B15" s="67" t="s">
        <v>107</v>
      </c>
      <c r="C15" s="67">
        <v>51590</v>
      </c>
      <c r="D15" s="82">
        <v>5.0498880099999997E-2</v>
      </c>
      <c r="E15" s="176">
        <v>29331484.396194939</v>
      </c>
      <c r="F15" s="57"/>
      <c r="G15" s="157"/>
      <c r="H15" s="158"/>
      <c r="I15" s="159"/>
      <c r="K15" s="94" t="str">
        <f ca="1">IFERROR(OFFSET(INDIRECT($H$3 &amp; "!A17"), 9, 0), "")</f>
        <v>코스모스</v>
      </c>
      <c r="L15" s="61">
        <f t="shared" ca="1" si="0"/>
        <v>31950</v>
      </c>
      <c r="M15" s="62">
        <f t="shared" ca="1" si="1"/>
        <v>-3.7650602399999997E-2</v>
      </c>
      <c r="O15" s="80" t="str">
        <f>INDEX($A$2:$D$200, MATCH(LARGE($D$2:$D$200, 10), $D$2:$D$200, 0), 2)</f>
        <v>리퍼리움</v>
      </c>
      <c r="P15" s="61">
        <f t="shared" si="2"/>
        <v>32.200000000000003</v>
      </c>
      <c r="Q15" s="62">
        <f t="shared" si="3"/>
        <v>6.6225165599999997E-2</v>
      </c>
    </row>
    <row r="16" spans="1:17" ht="17.25" thickBot="1">
      <c r="A16" s="66" t="s">
        <v>240</v>
      </c>
      <c r="B16" s="67" t="s">
        <v>241</v>
      </c>
      <c r="C16" s="67">
        <v>96.6</v>
      </c>
      <c r="D16" s="82">
        <v>4.7722342700000003E-2</v>
      </c>
      <c r="E16" s="176">
        <v>252639539.30515647</v>
      </c>
      <c r="F16" s="57"/>
      <c r="G16" s="10" t="s">
        <v>38</v>
      </c>
      <c r="H16" s="130" t="s">
        <v>37</v>
      </c>
      <c r="I16" s="131"/>
      <c r="K16" s="92" t="str">
        <f ca="1">IFERROR(OFFSET(INDIRECT($H$3 &amp; "!A17"), 10, 0), "")</f>
        <v>체인링크</v>
      </c>
      <c r="L16" s="63">
        <f t="shared" ca="1" si="0"/>
        <v>52710</v>
      </c>
      <c r="M16" s="64">
        <f t="shared" ca="1" si="1"/>
        <v>-3.4261634300000003E-2</v>
      </c>
      <c r="O16" s="78" t="str">
        <f>INDEX($A$2:$D$200, MATCH(LARGE($D$2:$D$200, 11), $D$2:$D$200, 0), 2)</f>
        <v>네오</v>
      </c>
      <c r="P16" s="63">
        <f t="shared" si="2"/>
        <v>120450</v>
      </c>
      <c r="Q16" s="64">
        <f t="shared" si="3"/>
        <v>6.1233480200000003E-2</v>
      </c>
    </row>
    <row r="17" spans="1:17">
      <c r="A17" s="66" t="s">
        <v>142</v>
      </c>
      <c r="B17" s="67" t="s">
        <v>143</v>
      </c>
      <c r="C17" s="67">
        <v>56200</v>
      </c>
      <c r="D17" s="82">
        <v>4.4803866900000003E-2</v>
      </c>
      <c r="E17" s="176">
        <v>3678544.5073066801</v>
      </c>
      <c r="F17" s="57"/>
      <c r="G17" s="167">
        <f>_xlfn.IFNA(VLOOKUP(G14, $B$2:$D$200, 3, FALSE), "-")</f>
        <v>-2.0844097700000001E-2</v>
      </c>
      <c r="H17" s="169">
        <f>_xlfn.IFNA(VLOOKUP(G14, $B$2:$D$200, 2, FALSE), "-")</f>
        <v>77697000</v>
      </c>
      <c r="I17" s="170"/>
      <c r="K17" s="93" t="str">
        <f ca="1">IFERROR(OFFSET(INDIRECT($H$3 &amp; "!A17"), 11, 0), "")</f>
        <v>비트코인캐시</v>
      </c>
      <c r="L17" s="65">
        <f t="shared" ca="1" si="0"/>
        <v>1325000</v>
      </c>
      <c r="M17" s="60">
        <f t="shared" ca="1" si="1"/>
        <v>-7.4074074099999998E-2</v>
      </c>
      <c r="O17" s="79" t="str">
        <f>INDEX($A$2:$D$200, MATCH(LARGE($D$2:$D$200, 12), $D$2:$D$200, 0), 2)</f>
        <v>엠블</v>
      </c>
      <c r="P17" s="65">
        <f t="shared" si="2"/>
        <v>41.4</v>
      </c>
      <c r="Q17" s="60">
        <f t="shared" si="3"/>
        <v>5.8823529399999998E-2</v>
      </c>
    </row>
    <row r="18" spans="1:17" ht="17.25" thickBot="1">
      <c r="A18" s="66" t="s">
        <v>238</v>
      </c>
      <c r="B18" s="67" t="s">
        <v>239</v>
      </c>
      <c r="C18" s="67">
        <v>1610</v>
      </c>
      <c r="D18" s="82">
        <v>4.2071197400000003E-2</v>
      </c>
      <c r="E18" s="176">
        <v>50127588.228703849</v>
      </c>
      <c r="F18" s="57"/>
      <c r="G18" s="168"/>
      <c r="H18" s="171"/>
      <c r="I18" s="172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무비블록</v>
      </c>
      <c r="P18" s="65">
        <f t="shared" si="2"/>
        <v>26</v>
      </c>
      <c r="Q18" s="60">
        <f t="shared" si="3"/>
        <v>5.2631578900000003E-2</v>
      </c>
    </row>
    <row r="19" spans="1:17" ht="17.25" thickBot="1">
      <c r="A19" s="66" t="s">
        <v>224</v>
      </c>
      <c r="B19" s="67" t="s">
        <v>225</v>
      </c>
      <c r="C19" s="67">
        <v>27.3</v>
      </c>
      <c r="D19" s="82">
        <v>3.8022813699999998E-2</v>
      </c>
      <c r="E19" s="176">
        <v>1257338863.4322395</v>
      </c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이더리움클래식</v>
      </c>
      <c r="P19" s="65">
        <f t="shared" si="2"/>
        <v>51590</v>
      </c>
      <c r="Q19" s="60">
        <f t="shared" si="3"/>
        <v>5.0498880099999997E-2</v>
      </c>
    </row>
    <row r="20" spans="1:17" ht="17.25" thickBot="1">
      <c r="A20" s="66" t="s">
        <v>214</v>
      </c>
      <c r="B20" s="67" t="s">
        <v>215</v>
      </c>
      <c r="C20" s="67">
        <v>258</v>
      </c>
      <c r="D20" s="82">
        <v>3.6144578300000001E-2</v>
      </c>
      <c r="E20" s="176">
        <v>69678296.629514918</v>
      </c>
      <c r="F20" s="57"/>
      <c r="G20" s="129" t="s">
        <v>296</v>
      </c>
      <c r="H20" s="130"/>
      <c r="I20" s="131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엔도르</v>
      </c>
      <c r="P20" s="65">
        <f t="shared" si="2"/>
        <v>96.6</v>
      </c>
      <c r="Q20" s="60">
        <f t="shared" si="3"/>
        <v>4.7722342700000003E-2</v>
      </c>
    </row>
    <row r="21" spans="1:17">
      <c r="A21" s="66" t="s">
        <v>268</v>
      </c>
      <c r="B21" s="67" t="s">
        <v>269</v>
      </c>
      <c r="C21" s="67">
        <v>236</v>
      </c>
      <c r="D21" s="82">
        <v>3.50877193E-2</v>
      </c>
      <c r="E21" s="176">
        <v>67780219.831597105</v>
      </c>
      <c r="F21" s="57"/>
      <c r="G21" s="151" t="s">
        <v>36</v>
      </c>
      <c r="H21" s="152"/>
      <c r="I21" s="153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폴카닷</v>
      </c>
      <c r="P21" s="74">
        <f t="shared" si="2"/>
        <v>56200</v>
      </c>
      <c r="Q21" s="75">
        <f t="shared" si="3"/>
        <v>4.4803866900000003E-2</v>
      </c>
    </row>
    <row r="22" spans="1:17" ht="17.25" thickBot="1">
      <c r="A22" s="66" t="s">
        <v>222</v>
      </c>
      <c r="B22" s="67" t="s">
        <v>223</v>
      </c>
      <c r="C22" s="67">
        <v>38.1</v>
      </c>
      <c r="D22" s="82">
        <v>3.2520325199999998E-2</v>
      </c>
      <c r="E22" s="176">
        <v>884672046.20735431</v>
      </c>
      <c r="F22" s="57"/>
      <c r="G22" s="157"/>
      <c r="H22" s="158"/>
      <c r="I22" s="159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디마켓</v>
      </c>
      <c r="P22" s="65">
        <f t="shared" si="2"/>
        <v>1610</v>
      </c>
      <c r="Q22" s="60">
        <f t="shared" si="3"/>
        <v>4.2071197400000003E-2</v>
      </c>
    </row>
    <row r="23" spans="1:17" ht="17.25" thickBot="1">
      <c r="A23" s="66" t="s">
        <v>130</v>
      </c>
      <c r="B23" s="67" t="s">
        <v>131</v>
      </c>
      <c r="C23" s="67">
        <v>83.4</v>
      </c>
      <c r="D23" s="82">
        <v>3.0902348600000001E-2</v>
      </c>
      <c r="E23" s="176">
        <v>1639006184.1270432</v>
      </c>
      <c r="F23" s="57"/>
      <c r="G23" s="10" t="s">
        <v>38</v>
      </c>
      <c r="H23" s="130" t="s">
        <v>37</v>
      </c>
      <c r="I23" s="131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메인프레임</v>
      </c>
      <c r="P23" s="65">
        <f t="shared" si="2"/>
        <v>27.3</v>
      </c>
      <c r="Q23" s="60">
        <f t="shared" si="3"/>
        <v>3.8022813699999998E-2</v>
      </c>
    </row>
    <row r="24" spans="1:17">
      <c r="A24" s="66" t="s">
        <v>114</v>
      </c>
      <c r="B24" s="67" t="s">
        <v>115</v>
      </c>
      <c r="C24" s="67">
        <v>3480</v>
      </c>
      <c r="D24" s="82">
        <v>2.95857988E-2</v>
      </c>
      <c r="E24" s="176">
        <v>13620593.367610879</v>
      </c>
      <c r="F24" s="57"/>
      <c r="G24" s="167">
        <f>_xlfn.IFNA(VLOOKUP(G21, $B$2:$D$200, 3, FALSE), "-")</f>
        <v>-2.0844097700000001E-2</v>
      </c>
      <c r="H24" s="169">
        <f>_xlfn.IFNA(VLOOKUP(G21, $B$2:$D$200, 2, FALSE), "-")</f>
        <v>77697000</v>
      </c>
      <c r="I24" s="170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피르마체인</v>
      </c>
      <c r="P24" s="65">
        <f t="shared" si="2"/>
        <v>258</v>
      </c>
      <c r="Q24" s="60">
        <f t="shared" si="3"/>
        <v>3.6144578300000001E-2</v>
      </c>
    </row>
    <row r="25" spans="1:17" ht="17.25" thickBot="1">
      <c r="A25" s="66" t="s">
        <v>178</v>
      </c>
      <c r="B25" s="67" t="s">
        <v>179</v>
      </c>
      <c r="C25" s="67">
        <v>333</v>
      </c>
      <c r="D25" s="82">
        <v>2.77777778E-2</v>
      </c>
      <c r="E25" s="176">
        <v>82364226.942121372</v>
      </c>
      <c r="F25" s="57"/>
      <c r="G25" s="168"/>
      <c r="H25" s="171"/>
      <c r="I25" s="172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80" t="str">
        <f>INDEX($A$2:$D$200, MATCH(LARGE($D$2:$D$200, 20), $D$2:$D$200, 0), 2)</f>
        <v>룸네트워크</v>
      </c>
      <c r="P25" s="61">
        <f t="shared" si="2"/>
        <v>236</v>
      </c>
      <c r="Q25" s="62">
        <f t="shared" si="3"/>
        <v>3.50877193E-2</v>
      </c>
    </row>
    <row r="26" spans="1:17">
      <c r="A26" s="66" t="s">
        <v>170</v>
      </c>
      <c r="B26" s="67" t="s">
        <v>171</v>
      </c>
      <c r="C26" s="67">
        <v>3130</v>
      </c>
      <c r="D26" s="82">
        <v>2.45499182E-2</v>
      </c>
      <c r="E26" s="176">
        <v>19178488.079587299</v>
      </c>
      <c r="F26" s="57"/>
    </row>
    <row r="27" spans="1:17" ht="17.25" thickBot="1">
      <c r="A27" s="66" t="s">
        <v>264</v>
      </c>
      <c r="B27" s="67" t="s">
        <v>265</v>
      </c>
      <c r="C27" s="67">
        <v>168</v>
      </c>
      <c r="D27" s="82">
        <v>2.4390243900000001E-2</v>
      </c>
      <c r="E27" s="176">
        <v>201330709.0341537</v>
      </c>
      <c r="F27" s="57"/>
    </row>
    <row r="28" spans="1:17" ht="17.25" thickBot="1">
      <c r="A28" s="66" t="s">
        <v>252</v>
      </c>
      <c r="B28" s="67" t="s">
        <v>253</v>
      </c>
      <c r="C28" s="67">
        <v>4500</v>
      </c>
      <c r="D28" s="82">
        <v>2.3890785000000001E-2</v>
      </c>
      <c r="E28" s="176">
        <v>6197203.9157266496</v>
      </c>
      <c r="F28" s="57"/>
      <c r="G28" s="129" t="s">
        <v>50</v>
      </c>
      <c r="H28" s="130"/>
      <c r="I28" s="131"/>
      <c r="K28" s="129" t="s">
        <v>48</v>
      </c>
      <c r="L28" s="130"/>
      <c r="M28" s="131"/>
      <c r="O28" s="129" t="s">
        <v>49</v>
      </c>
      <c r="P28" s="130"/>
      <c r="Q28" s="131"/>
    </row>
    <row r="29" spans="1:17" ht="17.25" thickBot="1">
      <c r="A29" s="66" t="s">
        <v>116</v>
      </c>
      <c r="B29" s="67" t="s">
        <v>117</v>
      </c>
      <c r="C29" s="67">
        <v>308</v>
      </c>
      <c r="D29" s="82">
        <v>2.3255814E-2</v>
      </c>
      <c r="E29" s="176">
        <v>159228788.17677081</v>
      </c>
      <c r="F29" s="57"/>
      <c r="G29" s="165" t="s">
        <v>59</v>
      </c>
      <c r="H29" s="130" t="s">
        <v>60</v>
      </c>
      <c r="I29" s="131"/>
      <c r="K29" s="165" t="s">
        <v>59</v>
      </c>
      <c r="L29" s="130" t="s">
        <v>60</v>
      </c>
      <c r="M29" s="131"/>
      <c r="O29" s="165" t="s">
        <v>59</v>
      </c>
      <c r="P29" s="130" t="s">
        <v>60</v>
      </c>
      <c r="Q29" s="131"/>
    </row>
    <row r="30" spans="1:17" ht="17.25" thickBot="1">
      <c r="A30" s="66" t="s">
        <v>284</v>
      </c>
      <c r="B30" s="67" t="s">
        <v>285</v>
      </c>
      <c r="C30" s="67">
        <v>1995</v>
      </c>
      <c r="D30" s="82">
        <v>2.3076923100000001E-2</v>
      </c>
      <c r="E30" s="176">
        <v>34391827.42775932</v>
      </c>
      <c r="F30" s="57"/>
      <c r="G30" s="166"/>
      <c r="H30" s="58" t="s">
        <v>63</v>
      </c>
      <c r="I30" s="59" t="s">
        <v>64</v>
      </c>
      <c r="K30" s="166"/>
      <c r="L30" s="58" t="s">
        <v>63</v>
      </c>
      <c r="M30" s="59" t="s">
        <v>64</v>
      </c>
      <c r="O30" s="166"/>
      <c r="P30" s="58" t="s">
        <v>63</v>
      </c>
      <c r="Q30" s="59" t="s">
        <v>64</v>
      </c>
    </row>
    <row r="31" spans="1:17">
      <c r="A31" s="66" t="s">
        <v>236</v>
      </c>
      <c r="B31" s="67" t="s">
        <v>237</v>
      </c>
      <c r="C31" s="67">
        <v>240</v>
      </c>
      <c r="D31" s="82">
        <v>2.1276595700000001E-2</v>
      </c>
      <c r="E31" s="176">
        <v>61637089.188559122</v>
      </c>
      <c r="F31" s="57"/>
      <c r="G31" s="92">
        <f ca="1">IFERROR(OFFSET(INDIRECT($H$3 &amp; "!A98"), 0, 0), "")</f>
        <v>0</v>
      </c>
      <c r="H31" s="63" t="str">
        <f t="shared" ref="H31:H50" ca="1" si="4">_xlfn.IFNA(VLOOKUP(G31, $B$2:$D$200, 2, FALSE), "")</f>
        <v/>
      </c>
      <c r="I31" s="64" t="str">
        <f t="shared" ref="I31:I50" ca="1" si="5">_xlfn.IFNA(VLOOKUP(G31, $B$2:$D$200, 3, FALSE), "")</f>
        <v/>
      </c>
      <c r="K31" s="92" t="str">
        <f ca="1">IFERROR(OFFSET(INDIRECT($H$3 &amp; "!A44"), 0, 0), "")</f>
        <v>스텔라루멘</v>
      </c>
      <c r="L31" s="63">
        <f t="shared" ref="L31:L50" ca="1" si="6">_xlfn.IFNA(VLOOKUP(K31, $B$2:$D$200, 2, FALSE), "")</f>
        <v>778</v>
      </c>
      <c r="M31" s="64">
        <f t="shared" ref="M31:M50" ca="1" si="7">_xlfn.IFNA(VLOOKUP(K31, $B$2:$D$200, 3, FALSE), "")</f>
        <v>-3.8412291999999999E-3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200</v>
      </c>
      <c r="B32" s="67" t="s">
        <v>201</v>
      </c>
      <c r="C32" s="67">
        <v>28.8</v>
      </c>
      <c r="D32" s="82">
        <v>2.1276595700000001E-2</v>
      </c>
      <c r="E32" s="176">
        <v>1524553668.2730055</v>
      </c>
      <c r="F32" s="57"/>
      <c r="G32" s="93">
        <f ca="1">IFERROR(OFFSET(INDIRECT($H$3 &amp; "!A98"), 1, 0), "")</f>
        <v>0</v>
      </c>
      <c r="H32" s="65" t="str">
        <f t="shared" ca="1" si="4"/>
        <v/>
      </c>
      <c r="I32" s="60" t="str">
        <f t="shared" ca="1" si="5"/>
        <v/>
      </c>
      <c r="K32" s="93" t="str">
        <f ca="1">IFERROR(OFFSET(INDIRECT($H$3 &amp; "!A44"), 1, 0), "")</f>
        <v>헤데라해시그래프</v>
      </c>
      <c r="L32" s="65">
        <f t="shared" ca="1" si="6"/>
        <v>447</v>
      </c>
      <c r="M32" s="60">
        <f t="shared" ca="1" si="7"/>
        <v>-1.3245033099999999E-2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254</v>
      </c>
      <c r="B33" s="67" t="s">
        <v>255</v>
      </c>
      <c r="C33" s="67">
        <v>288</v>
      </c>
      <c r="D33" s="82">
        <v>1.7667844500000002E-2</v>
      </c>
      <c r="E33" s="176">
        <v>25054128.500133079</v>
      </c>
      <c r="F33" s="57"/>
      <c r="G33" s="93">
        <f ca="1">IFERROR(OFFSET(INDIRECT($H$3 &amp; "!A98"), 2, 0), "")</f>
        <v>0</v>
      </c>
      <c r="H33" s="65" t="str">
        <f t="shared" ca="1" si="4"/>
        <v/>
      </c>
      <c r="I33" s="60" t="str">
        <f t="shared" ca="1" si="5"/>
        <v/>
      </c>
      <c r="K33" s="93" t="str">
        <f ca="1">IFERROR(OFFSET(INDIRECT($H$3 &amp; "!A44"), 2, 0), "")</f>
        <v>넴</v>
      </c>
      <c r="L33" s="65">
        <f t="shared" ca="1" si="6"/>
        <v>596</v>
      </c>
      <c r="M33" s="60">
        <f t="shared" ca="1" si="7"/>
        <v>3.3670034000000001E-3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272</v>
      </c>
      <c r="B34" s="67" t="s">
        <v>273</v>
      </c>
      <c r="C34" s="67">
        <v>125</v>
      </c>
      <c r="D34" s="82">
        <v>1.6260162599999999E-2</v>
      </c>
      <c r="E34" s="176">
        <v>190140935.5366739</v>
      </c>
      <c r="F34" s="57"/>
      <c r="G34" s="93">
        <f ca="1">IFERROR(OFFSET(INDIRECT($H$3 &amp; "!A98"), 3, 0), "")</f>
        <v>0</v>
      </c>
      <c r="H34" s="65" t="str">
        <f t="shared" ca="1" si="4"/>
        <v/>
      </c>
      <c r="I34" s="60" t="str">
        <f t="shared" ca="1" si="5"/>
        <v/>
      </c>
      <c r="K34" s="93" t="str">
        <f ca="1">IFERROR(OFFSET(INDIRECT($H$3 &amp; "!A44"), 3, 0), "")</f>
        <v>디센트럴랜드</v>
      </c>
      <c r="L34" s="65">
        <f t="shared" ca="1" si="6"/>
        <v>1875</v>
      </c>
      <c r="M34" s="60">
        <f t="shared" ca="1" si="7"/>
        <v>0.1094674556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244</v>
      </c>
      <c r="B35" s="67" t="s">
        <v>245</v>
      </c>
      <c r="C35" s="67">
        <v>224</v>
      </c>
      <c r="D35" s="82">
        <v>1.35746606E-2</v>
      </c>
      <c r="E35" s="176">
        <v>59212110.471253008</v>
      </c>
      <c r="F35" s="57"/>
      <c r="G35" s="95">
        <f ca="1">IFERROR(OFFSET(INDIRECT($H$3 &amp; "!A98"), 4, 0), "")</f>
        <v>0</v>
      </c>
      <c r="H35" s="72" t="str">
        <f t="shared" ca="1" si="4"/>
        <v/>
      </c>
      <c r="I35" s="73" t="str">
        <f t="shared" ca="1" si="5"/>
        <v/>
      </c>
      <c r="K35" s="95" t="str">
        <f ca="1">IFERROR(OFFSET(INDIRECT($H$3 &amp; "!A44"), 4, 0), "")</f>
        <v>네오</v>
      </c>
      <c r="L35" s="72">
        <f t="shared" ca="1" si="6"/>
        <v>120450</v>
      </c>
      <c r="M35" s="73">
        <f t="shared" ca="1" si="7"/>
        <v>6.1233480200000003E-2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212</v>
      </c>
      <c r="B36" s="67" t="s">
        <v>213</v>
      </c>
      <c r="C36" s="67">
        <v>604</v>
      </c>
      <c r="D36" s="82">
        <v>1.34228188E-2</v>
      </c>
      <c r="E36" s="176">
        <v>159280614.66633201</v>
      </c>
      <c r="F36" s="57"/>
      <c r="G36" s="93">
        <f ca="1">IFERROR(OFFSET(INDIRECT($H$3 &amp; "!A98"), 5, 0), "")</f>
        <v>0</v>
      </c>
      <c r="H36" s="65" t="str">
        <f t="shared" ca="1" si="4"/>
        <v/>
      </c>
      <c r="I36" s="60" t="str">
        <f t="shared" ca="1" si="5"/>
        <v/>
      </c>
      <c r="K36" s="93" t="str">
        <f ca="1">IFERROR(OFFSET(INDIRECT($H$3 &amp; "!A44"), 5, 0), "")</f>
        <v>아이오에스티</v>
      </c>
      <c r="L36" s="65">
        <f t="shared" ca="1" si="6"/>
        <v>102</v>
      </c>
      <c r="M36" s="60">
        <f t="shared" ca="1" si="7"/>
        <v>9.5596133200000002E-2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216</v>
      </c>
      <c r="B37" s="67" t="s">
        <v>217</v>
      </c>
      <c r="C37" s="67">
        <v>180</v>
      </c>
      <c r="D37" s="82">
        <v>1.12359551E-2</v>
      </c>
      <c r="E37" s="176">
        <v>1534678343.813391</v>
      </c>
      <c r="F37" s="57"/>
      <c r="G37" s="93">
        <f ca="1">IFERROR(OFFSET(INDIRECT($H$3 &amp; "!A98"), 6, 0), "")</f>
        <v>0</v>
      </c>
      <c r="H37" s="65" t="str">
        <f t="shared" ca="1" si="4"/>
        <v/>
      </c>
      <c r="I37" s="60" t="str">
        <f t="shared" ca="1" si="5"/>
        <v/>
      </c>
      <c r="K37" s="93" t="str">
        <f ca="1">IFERROR(OFFSET(INDIRECT($H$3 &amp; "!A44"), 6, 0), "")</f>
        <v>코박토큰</v>
      </c>
      <c r="L37" s="65">
        <f t="shared" ca="1" si="6"/>
        <v>8895</v>
      </c>
      <c r="M37" s="60">
        <f t="shared" ca="1" si="7"/>
        <v>-2.8930131000000001E-2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248</v>
      </c>
      <c r="B38" s="67" t="s">
        <v>249</v>
      </c>
      <c r="C38" s="67">
        <v>5040</v>
      </c>
      <c r="D38" s="82">
        <v>1.10330993E-2</v>
      </c>
      <c r="E38" s="176">
        <v>16095289.2658806</v>
      </c>
      <c r="F38" s="57"/>
      <c r="G38" s="93">
        <f ca="1">IFERROR(OFFSET(INDIRECT($H$3 &amp; "!A98"), 7, 0), "")</f>
        <v>0</v>
      </c>
      <c r="H38" s="65" t="str">
        <f t="shared" ca="1" si="4"/>
        <v/>
      </c>
      <c r="I38" s="60" t="str">
        <f t="shared" ca="1" si="5"/>
        <v/>
      </c>
      <c r="K38" s="93" t="str">
        <f ca="1">IFERROR(OFFSET(INDIRECT($H$3 &amp; "!A44"), 7, 0), "")</f>
        <v>세럼</v>
      </c>
      <c r="L38" s="65">
        <f t="shared" ca="1" si="6"/>
        <v>8620</v>
      </c>
      <c r="M38" s="60">
        <f t="shared" ca="1" si="7"/>
        <v>-1.1587486E-3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230</v>
      </c>
      <c r="B39" s="67" t="s">
        <v>231</v>
      </c>
      <c r="C39" s="67">
        <v>656</v>
      </c>
      <c r="D39" s="82">
        <v>9.2307692000000007E-3</v>
      </c>
      <c r="E39" s="176">
        <v>12946339.50634636</v>
      </c>
      <c r="F39" s="57"/>
      <c r="G39" s="93">
        <f ca="1">IFERROR(OFFSET(INDIRECT($H$3 &amp; "!A98"), 8, 0), "")</f>
        <v>0</v>
      </c>
      <c r="H39" s="65" t="str">
        <f t="shared" ca="1" si="4"/>
        <v/>
      </c>
      <c r="I39" s="60" t="str">
        <f t="shared" ca="1" si="5"/>
        <v/>
      </c>
      <c r="K39" s="93" t="str">
        <f ca="1">IFERROR(OFFSET(INDIRECT($H$3 &amp; "!A44"), 8, 0), "")</f>
        <v>쿼크체인</v>
      </c>
      <c r="L39" s="65">
        <f t="shared" ca="1" si="6"/>
        <v>51</v>
      </c>
      <c r="M39" s="60">
        <f t="shared" ca="1" si="7"/>
        <v>6.6945606699999993E-2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166</v>
      </c>
      <c r="B40" s="67" t="s">
        <v>167</v>
      </c>
      <c r="C40" s="67">
        <v>2445</v>
      </c>
      <c r="D40" s="82">
        <v>8.2474226999999997E-3</v>
      </c>
      <c r="E40" s="176">
        <v>10423845.91377596</v>
      </c>
      <c r="F40" s="57"/>
      <c r="G40" s="94">
        <f ca="1">IFERROR(OFFSET(INDIRECT($H$3 &amp; "!A98"), 9, 0), "")</f>
        <v>0</v>
      </c>
      <c r="H40" s="61" t="str">
        <f t="shared" ca="1" si="4"/>
        <v/>
      </c>
      <c r="I40" s="62" t="str">
        <f t="shared" ca="1" si="5"/>
        <v/>
      </c>
      <c r="K40" s="94" t="str">
        <f ca="1">IFERROR(OFFSET(INDIRECT($H$3 &amp; "!A44"), 9, 0), "")</f>
        <v>코스모스</v>
      </c>
      <c r="L40" s="61">
        <f t="shared" ca="1" si="6"/>
        <v>31950</v>
      </c>
      <c r="M40" s="62">
        <f t="shared" ca="1" si="7"/>
        <v>-3.7650602399999997E-2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206</v>
      </c>
      <c r="B41" s="67" t="s">
        <v>207</v>
      </c>
      <c r="C41" s="67">
        <v>253</v>
      </c>
      <c r="D41" s="82">
        <v>7.9681274999999999E-3</v>
      </c>
      <c r="E41" s="176">
        <v>298447827.04387957</v>
      </c>
      <c r="F41" s="57"/>
      <c r="G41" s="96">
        <f ca="1">IFERROR(OFFSET(INDIRECT($H$3 &amp; "!A98"), 10, 0), "")</f>
        <v>0</v>
      </c>
      <c r="H41" s="63" t="str">
        <f t="shared" ca="1" si="4"/>
        <v/>
      </c>
      <c r="I41" s="64" t="str">
        <f t="shared" ca="1" si="5"/>
        <v/>
      </c>
      <c r="K41" s="92" t="str">
        <f ca="1">IFERROR(OFFSET(INDIRECT($H$3 &amp; "!A44"), 10, 0), "")</f>
        <v>체인링크</v>
      </c>
      <c r="L41" s="63">
        <f t="shared" ca="1" si="6"/>
        <v>52710</v>
      </c>
      <c r="M41" s="64">
        <f t="shared" ca="1" si="7"/>
        <v>-3.4261634300000003E-2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162</v>
      </c>
      <c r="B42" s="67" t="s">
        <v>163</v>
      </c>
      <c r="C42" s="67">
        <v>9705</v>
      </c>
      <c r="D42" s="82">
        <v>4.1386445999999997E-3</v>
      </c>
      <c r="E42" s="176">
        <v>1466720.08887744</v>
      </c>
      <c r="F42" s="57"/>
      <c r="G42" s="93">
        <f ca="1">IFERROR(OFFSET(INDIRECT($H$3 &amp; "!A98"), 11, 0), "")</f>
        <v>0</v>
      </c>
      <c r="H42" s="65" t="str">
        <f t="shared" ca="1" si="4"/>
        <v/>
      </c>
      <c r="I42" s="60" t="str">
        <f t="shared" ca="1" si="5"/>
        <v/>
      </c>
      <c r="K42" s="93" t="str">
        <f ca="1">IFERROR(OFFSET(INDIRECT($H$3 &amp; "!A44"), 11, 0), "")</f>
        <v>비트코인캐시</v>
      </c>
      <c r="L42" s="65">
        <f t="shared" ca="1" si="6"/>
        <v>1325000</v>
      </c>
      <c r="M42" s="60">
        <f t="shared" ca="1" si="7"/>
        <v>-7.4074074099999998E-2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61</v>
      </c>
      <c r="B43" s="67" t="s">
        <v>62</v>
      </c>
      <c r="C43" s="67">
        <v>596</v>
      </c>
      <c r="D43" s="82">
        <v>3.3670034000000001E-3</v>
      </c>
      <c r="E43" s="176">
        <v>621118970.64371729</v>
      </c>
      <c r="F43" s="57"/>
      <c r="G43" s="93">
        <f ca="1">IFERROR(OFFSET(INDIRECT($H$3 &amp; "!A98"), 12, 0), "")</f>
        <v>0</v>
      </c>
      <c r="H43" s="65" t="str">
        <f t="shared" ca="1" si="4"/>
        <v/>
      </c>
      <c r="I43" s="60" t="str">
        <f t="shared" ca="1" si="5"/>
        <v/>
      </c>
      <c r="K43" s="93">
        <f ca="1">IFERROR(OFFSET(INDIRECT($H$3 &amp; "!A44"), 12, 0), "")</f>
        <v>0</v>
      </c>
      <c r="L43" s="65" t="str">
        <f t="shared" ca="1" si="6"/>
        <v/>
      </c>
      <c r="M43" s="60" t="str">
        <f t="shared" ca="1" si="7"/>
        <v/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96</v>
      </c>
      <c r="B44" s="67" t="s">
        <v>97</v>
      </c>
      <c r="C44" s="67">
        <v>2030</v>
      </c>
      <c r="D44" s="82">
        <v>2.4691358000000002E-3</v>
      </c>
      <c r="E44" s="176">
        <v>704300844.48369622</v>
      </c>
      <c r="F44" s="57"/>
      <c r="G44" s="93">
        <f ca="1">IFERROR(OFFSET(INDIRECT($H$3 &amp; "!A98"), 13, 0), "")</f>
        <v>0</v>
      </c>
      <c r="H44" s="65" t="str">
        <f t="shared" ca="1" si="4"/>
        <v/>
      </c>
      <c r="I44" s="60" t="str">
        <f t="shared" ca="1" si="5"/>
        <v/>
      </c>
      <c r="K44" s="93">
        <f ca="1">IFERROR(OFFSET(INDIRECT($H$3 &amp; "!A44"), 13, 0), "")</f>
        <v>0</v>
      </c>
      <c r="L44" s="65" t="str">
        <f t="shared" ca="1" si="6"/>
        <v/>
      </c>
      <c r="M44" s="60" t="str">
        <f t="shared" ca="1" si="7"/>
        <v/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134</v>
      </c>
      <c r="B45" s="67" t="s">
        <v>135</v>
      </c>
      <c r="C45" s="67">
        <v>399650</v>
      </c>
      <c r="D45" s="82">
        <v>1.503571E-3</v>
      </c>
      <c r="E45" s="176">
        <v>416945.29365418002</v>
      </c>
      <c r="F45" s="57"/>
      <c r="G45" s="95">
        <f ca="1">IFERROR(OFFSET(INDIRECT($H$3 &amp; "!A98"), 14, 0), "")</f>
        <v>0</v>
      </c>
      <c r="H45" s="72" t="str">
        <f t="shared" ca="1" si="4"/>
        <v/>
      </c>
      <c r="I45" s="73" t="str">
        <f t="shared" ca="1" si="5"/>
        <v/>
      </c>
      <c r="K45" s="95">
        <f ca="1">IFERROR(OFFSET(INDIRECT($H$3 &amp; "!A44"), 14, 0), "")</f>
        <v>0</v>
      </c>
      <c r="L45" s="72" t="str">
        <f t="shared" ca="1" si="6"/>
        <v/>
      </c>
      <c r="M45" s="73" t="str">
        <f t="shared" ca="1" si="7"/>
        <v/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122</v>
      </c>
      <c r="B46" s="67" t="s">
        <v>123</v>
      </c>
      <c r="C46" s="67">
        <v>8580</v>
      </c>
      <c r="D46" s="82">
        <v>5.830904E-4</v>
      </c>
      <c r="E46" s="176">
        <v>1382379.4088894001</v>
      </c>
      <c r="F46" s="57"/>
      <c r="G46" s="93">
        <f ca="1">IFERROR(OFFSET(INDIRECT($H$3 &amp; "!A98"), 15, 0), "")</f>
        <v>0</v>
      </c>
      <c r="H46" s="65" t="str">
        <f t="shared" ca="1" si="4"/>
        <v/>
      </c>
      <c r="I46" s="60" t="str">
        <f t="shared" ca="1" si="5"/>
        <v/>
      </c>
      <c r="K46" s="93">
        <f ca="1">IFERROR(OFFSET(INDIRECT($H$3 &amp; "!A44"), 15, 0), "")</f>
        <v>0</v>
      </c>
      <c r="L46" s="65" t="str">
        <f t="shared" ca="1" si="6"/>
        <v/>
      </c>
      <c r="M46" s="60" t="str">
        <f t="shared" ca="1" si="7"/>
        <v/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110</v>
      </c>
      <c r="B47" s="67" t="s">
        <v>111</v>
      </c>
      <c r="C47" s="67">
        <v>2685</v>
      </c>
      <c r="D47" s="82">
        <v>0</v>
      </c>
      <c r="E47" s="176">
        <v>9955514.6057982706</v>
      </c>
      <c r="F47" s="57"/>
      <c r="G47" s="93">
        <f ca="1">IFERROR(OFFSET(INDIRECT($H$3 &amp; "!A98"), 16, 0), "")</f>
        <v>0</v>
      </c>
      <c r="H47" s="65" t="str">
        <f t="shared" ca="1" si="4"/>
        <v/>
      </c>
      <c r="I47" s="60" t="str">
        <f t="shared" ca="1" si="5"/>
        <v/>
      </c>
      <c r="K47" s="93">
        <f ca="1">IFERROR(OFFSET(INDIRECT($H$3 &amp; "!A44"), 16, 0), "")</f>
        <v>0</v>
      </c>
      <c r="L47" s="65" t="str">
        <f t="shared" ca="1" si="6"/>
        <v/>
      </c>
      <c r="M47" s="60" t="str">
        <f t="shared" ca="1" si="7"/>
        <v/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270</v>
      </c>
      <c r="B48" s="67" t="s">
        <v>271</v>
      </c>
      <c r="C48" s="67">
        <v>102</v>
      </c>
      <c r="D48" s="82">
        <v>0</v>
      </c>
      <c r="E48" s="176">
        <v>91994105.741522089</v>
      </c>
      <c r="F48" s="57"/>
      <c r="G48" s="93">
        <f ca="1">IFERROR(OFFSET(INDIRECT($H$3 &amp; "!A98"), 17, 0), "")</f>
        <v>0</v>
      </c>
      <c r="H48" s="65" t="str">
        <f t="shared" ca="1" si="4"/>
        <v/>
      </c>
      <c r="I48" s="60" t="str">
        <f t="shared" ca="1" si="5"/>
        <v/>
      </c>
      <c r="K48" s="93">
        <f ca="1">IFERROR(OFFSET(INDIRECT($H$3 &amp; "!A44"), 17, 0), "")</f>
        <v>0</v>
      </c>
      <c r="L48" s="65" t="str">
        <f t="shared" ca="1" si="6"/>
        <v/>
      </c>
      <c r="M48" s="60" t="str">
        <f t="shared" ca="1" si="7"/>
        <v/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73</v>
      </c>
      <c r="B49" s="67" t="s">
        <v>74</v>
      </c>
      <c r="C49" s="67">
        <v>8620</v>
      </c>
      <c r="D49" s="82">
        <v>-1.1587486E-3</v>
      </c>
      <c r="E49" s="176">
        <v>1342176.9184121899</v>
      </c>
      <c r="F49" s="57"/>
      <c r="G49" s="93">
        <f ca="1">IFERROR(OFFSET(INDIRECT($H$3 &amp; "!A98"), 18, 0), "")</f>
        <v>0</v>
      </c>
      <c r="H49" s="65" t="str">
        <f t="shared" ca="1" si="4"/>
        <v/>
      </c>
      <c r="I49" s="60" t="str">
        <f t="shared" ca="1" si="5"/>
        <v/>
      </c>
      <c r="K49" s="93">
        <f ca="1">IFERROR(OFFSET(INDIRECT($H$3 &amp; "!A44"), 18, 0), "")</f>
        <v>0</v>
      </c>
      <c r="L49" s="65" t="str">
        <f t="shared" ca="1" si="6"/>
        <v/>
      </c>
      <c r="M49" s="60" t="str">
        <f t="shared" ca="1" si="7"/>
        <v/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132</v>
      </c>
      <c r="B50" s="67" t="s">
        <v>133</v>
      </c>
      <c r="C50" s="67">
        <v>857</v>
      </c>
      <c r="D50" s="82">
        <v>-1.1655012000000001E-3</v>
      </c>
      <c r="E50" s="176">
        <v>30955217.815117039</v>
      </c>
      <c r="F50" s="57"/>
      <c r="G50" s="94">
        <f ca="1">IFERROR(OFFSET(INDIRECT($H$3 &amp; "!A98"), 19, 0), "")</f>
        <v>0</v>
      </c>
      <c r="H50" s="61" t="str">
        <f t="shared" ca="1" si="4"/>
        <v/>
      </c>
      <c r="I50" s="62" t="str">
        <f t="shared" ca="1" si="5"/>
        <v/>
      </c>
      <c r="K50" s="94">
        <f ca="1">IFERROR(OFFSET(INDIRECT($H$3 &amp; "!A44"), 19, 0), "")</f>
        <v>0</v>
      </c>
      <c r="L50" s="61" t="str">
        <f t="shared" ca="1" si="6"/>
        <v/>
      </c>
      <c r="M50" s="62" t="str">
        <f t="shared" ca="1" si="7"/>
        <v/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108</v>
      </c>
      <c r="B51" s="67" t="s">
        <v>109</v>
      </c>
      <c r="C51" s="67">
        <v>3045</v>
      </c>
      <c r="D51" s="82">
        <v>-1.6393442999999999E-3</v>
      </c>
      <c r="E51" s="176">
        <v>19929529.557890519</v>
      </c>
      <c r="F51" s="57"/>
    </row>
    <row r="52" spans="1:17" ht="17.25" thickBot="1">
      <c r="A52" s="66" t="s">
        <v>208</v>
      </c>
      <c r="B52" s="67" t="s">
        <v>209</v>
      </c>
      <c r="C52" s="67">
        <v>4915</v>
      </c>
      <c r="D52" s="82">
        <v>-3.0425962999999999E-3</v>
      </c>
      <c r="E52" s="176">
        <v>6688339.7347864099</v>
      </c>
      <c r="F52" s="57"/>
    </row>
    <row r="53" spans="1:17" ht="17.25" thickBot="1">
      <c r="A53" s="66" t="s">
        <v>54</v>
      </c>
      <c r="B53" s="67" t="s">
        <v>55</v>
      </c>
      <c r="C53" s="67">
        <v>778</v>
      </c>
      <c r="D53" s="82">
        <v>-3.8412291999999999E-3</v>
      </c>
      <c r="E53" s="176">
        <v>137768175.52722594</v>
      </c>
      <c r="F53" s="57"/>
      <c r="G53" s="129" t="s">
        <v>290</v>
      </c>
      <c r="H53" s="130"/>
      <c r="I53" s="131"/>
      <c r="K53" s="129" t="s">
        <v>298</v>
      </c>
      <c r="L53" s="130"/>
      <c r="M53" s="131"/>
      <c r="O53" s="129" t="s">
        <v>299</v>
      </c>
      <c r="P53" s="130"/>
      <c r="Q53" s="131"/>
    </row>
    <row r="54" spans="1:17" ht="17.25" thickBot="1">
      <c r="A54" s="66" t="s">
        <v>234</v>
      </c>
      <c r="B54" s="67" t="s">
        <v>235</v>
      </c>
      <c r="C54" s="67">
        <v>233</v>
      </c>
      <c r="D54" s="82">
        <v>-4.2735042999999997E-3</v>
      </c>
      <c r="E54" s="176">
        <v>139304869.37946081</v>
      </c>
      <c r="F54" s="57"/>
      <c r="G54" s="165" t="s">
        <v>59</v>
      </c>
      <c r="H54" s="130" t="s">
        <v>60</v>
      </c>
      <c r="I54" s="131"/>
      <c r="K54" s="165" t="s">
        <v>59</v>
      </c>
      <c r="L54" s="130" t="s">
        <v>60</v>
      </c>
      <c r="M54" s="131"/>
      <c r="O54" s="165" t="s">
        <v>59</v>
      </c>
      <c r="P54" s="130" t="s">
        <v>60</v>
      </c>
      <c r="Q54" s="131"/>
    </row>
    <row r="55" spans="1:17" ht="17.25" thickBot="1">
      <c r="A55" s="66" t="s">
        <v>228</v>
      </c>
      <c r="B55" s="67" t="s">
        <v>229</v>
      </c>
      <c r="C55" s="67">
        <v>2645</v>
      </c>
      <c r="D55" s="82">
        <v>-5.6390976999999998E-3</v>
      </c>
      <c r="E55" s="176">
        <v>17722984.094347291</v>
      </c>
      <c r="F55" s="57"/>
      <c r="G55" s="166"/>
      <c r="H55" s="58" t="s">
        <v>63</v>
      </c>
      <c r="I55" s="59" t="s">
        <v>64</v>
      </c>
      <c r="K55" s="166"/>
      <c r="L55" s="58" t="s">
        <v>63</v>
      </c>
      <c r="M55" s="59" t="s">
        <v>64</v>
      </c>
      <c r="O55" s="166"/>
      <c r="P55" s="58" t="s">
        <v>63</v>
      </c>
      <c r="Q55" s="59" t="s">
        <v>64</v>
      </c>
    </row>
    <row r="56" spans="1:17">
      <c r="A56" s="66" t="s">
        <v>126</v>
      </c>
      <c r="B56" s="67" t="s">
        <v>127</v>
      </c>
      <c r="C56" s="67">
        <v>145</v>
      </c>
      <c r="D56" s="82">
        <v>-6.8493151000000004E-3</v>
      </c>
      <c r="E56" s="176">
        <v>123647480.63638686</v>
      </c>
      <c r="F56" s="57"/>
      <c r="G56" s="92">
        <f ca="1">IFERROR(OFFSET(INDIRECT($H$3 &amp; "!A179"), 0, 0), "")</f>
        <v>0</v>
      </c>
      <c r="H56" s="63" t="str">
        <f t="shared" ref="H56:H65" ca="1" si="10">_xlfn.IFNA(VLOOKUP(G56, $B$2:$D$200, 2, FALSE), "")</f>
        <v/>
      </c>
      <c r="I56" s="64" t="str">
        <f t="shared" ref="I56:I65" ca="1" si="11">_xlfn.IFNA(VLOOKUP(G56, $B$2:$D$200, 3, FALSE), "")</f>
        <v/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286</v>
      </c>
      <c r="B57" s="67" t="s">
        <v>287</v>
      </c>
      <c r="C57" s="67">
        <v>222</v>
      </c>
      <c r="D57" s="82">
        <v>-8.9285713999999999E-3</v>
      </c>
      <c r="E57" s="176">
        <v>30754366.098250281</v>
      </c>
      <c r="F57" s="57"/>
      <c r="G57" s="93">
        <f ca="1">IFERROR(OFFSET(INDIRECT($H$3 &amp; "!A179"), 1, 0), "")</f>
        <v>0</v>
      </c>
      <c r="H57" s="65" t="str">
        <f t="shared" ca="1" si="10"/>
        <v/>
      </c>
      <c r="I57" s="60" t="str">
        <f t="shared" ca="1" si="11"/>
        <v/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258</v>
      </c>
      <c r="B58" s="67" t="s">
        <v>259</v>
      </c>
      <c r="C58" s="67">
        <v>107</v>
      </c>
      <c r="D58" s="82">
        <v>-9.2592592999999994E-3</v>
      </c>
      <c r="E58" s="176">
        <v>151521405.81676477</v>
      </c>
      <c r="F58" s="57"/>
      <c r="G58" s="93">
        <f ca="1">IFERROR(OFFSET(INDIRECT($H$3 &amp; "!A179"), 2, 0), "")</f>
        <v>0</v>
      </c>
      <c r="H58" s="65" t="str">
        <f t="shared" ca="1" si="10"/>
        <v/>
      </c>
      <c r="I58" s="60" t="str">
        <f t="shared" ca="1" si="11"/>
        <v/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274</v>
      </c>
      <c r="B59" s="67" t="s">
        <v>275</v>
      </c>
      <c r="C59" s="67">
        <v>686</v>
      </c>
      <c r="D59" s="82">
        <v>-1.01010101E-2</v>
      </c>
      <c r="E59" s="176">
        <v>18098222.832463771</v>
      </c>
      <c r="F59" s="57"/>
      <c r="G59" s="93">
        <f ca="1">IFERROR(OFFSET(INDIRECT($H$3 &amp; "!A179"), 3, 0), "")</f>
        <v>0</v>
      </c>
      <c r="H59" s="65" t="str">
        <f t="shared" ca="1" si="10"/>
        <v/>
      </c>
      <c r="I59" s="60" t="str">
        <f t="shared" ca="1" si="11"/>
        <v/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204</v>
      </c>
      <c r="B60" s="67" t="s">
        <v>205</v>
      </c>
      <c r="C60" s="67">
        <v>457</v>
      </c>
      <c r="D60" s="82">
        <v>-1.0822510800000001E-2</v>
      </c>
      <c r="E60" s="176">
        <v>20632915.506482359</v>
      </c>
      <c r="F60" s="57"/>
      <c r="G60" s="93">
        <f ca="1">IFERROR(OFFSET(INDIRECT($H$3 &amp; "!A179"), 4, 0), "")</f>
        <v>0</v>
      </c>
      <c r="H60" s="65" t="str">
        <f t="shared" ca="1" si="10"/>
        <v/>
      </c>
      <c r="I60" s="60" t="str">
        <f t="shared" ca="1" si="11"/>
        <v/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124</v>
      </c>
      <c r="B61" s="67" t="s">
        <v>125</v>
      </c>
      <c r="C61" s="67">
        <v>303</v>
      </c>
      <c r="D61" s="82">
        <v>-1.3029316000000001E-2</v>
      </c>
      <c r="E61" s="176">
        <v>424891353.91234869</v>
      </c>
      <c r="F61" s="57"/>
      <c r="G61" s="97">
        <f ca="1">IFERROR(OFFSET(INDIRECT($H$3 &amp; "!A179"), 5, 0), "")</f>
        <v>0</v>
      </c>
      <c r="H61" s="74" t="str">
        <f t="shared" ca="1" si="10"/>
        <v/>
      </c>
      <c r="I61" s="75" t="str">
        <f t="shared" ca="1" si="11"/>
        <v/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57</v>
      </c>
      <c r="B62" s="67" t="s">
        <v>58</v>
      </c>
      <c r="C62" s="67">
        <v>447</v>
      </c>
      <c r="D62" s="82">
        <v>-1.3245033099999999E-2</v>
      </c>
      <c r="E62" s="176">
        <v>56200248.131169669</v>
      </c>
      <c r="F62" s="57"/>
      <c r="G62" s="93">
        <f ca="1">IFERROR(OFFSET(INDIRECT($H$3 &amp; "!A179"), 6, 0), "")</f>
        <v>0</v>
      </c>
      <c r="H62" s="65" t="str">
        <f t="shared" ca="1" si="10"/>
        <v/>
      </c>
      <c r="I62" s="60" t="str">
        <f t="shared" ca="1" si="11"/>
        <v/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282</v>
      </c>
      <c r="B63" s="67" t="s">
        <v>283</v>
      </c>
      <c r="C63" s="67">
        <v>216</v>
      </c>
      <c r="D63" s="82">
        <v>-1.3698630099999999E-2</v>
      </c>
      <c r="E63" s="176">
        <v>425715305.67746109</v>
      </c>
      <c r="F63" s="57"/>
      <c r="G63" s="93">
        <f ca="1">IFERROR(OFFSET(INDIRECT($H$3 &amp; "!A179"), 7, 0), "")</f>
        <v>0</v>
      </c>
      <c r="H63" s="65" t="str">
        <f t="shared" ca="1" si="10"/>
        <v/>
      </c>
      <c r="I63" s="60" t="str">
        <f t="shared" ca="1" si="11"/>
        <v/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220</v>
      </c>
      <c r="B64" s="67" t="s">
        <v>221</v>
      </c>
      <c r="C64" s="67">
        <v>563</v>
      </c>
      <c r="D64" s="82">
        <v>-1.57342657E-2</v>
      </c>
      <c r="E64" s="176">
        <v>20748157.889276288</v>
      </c>
      <c r="F64" s="57"/>
      <c r="G64" s="93">
        <f ca="1">IFERROR(OFFSET(INDIRECT($H$3 &amp; "!A179"), 8, 0), "")</f>
        <v>0</v>
      </c>
      <c r="H64" s="65" t="str">
        <f t="shared" ca="1" si="10"/>
        <v/>
      </c>
      <c r="I64" s="60" t="str">
        <f t="shared" ca="1" si="11"/>
        <v/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102</v>
      </c>
      <c r="B65" s="67" t="s">
        <v>103</v>
      </c>
      <c r="C65" s="67">
        <v>9225</v>
      </c>
      <c r="D65" s="82">
        <v>-1.6E-2</v>
      </c>
      <c r="E65" s="176">
        <v>7120882.9220060296</v>
      </c>
      <c r="F65" s="57"/>
      <c r="G65" s="94">
        <f ca="1">IFERROR(OFFSET(INDIRECT($H$3 &amp; "!A179"), 9, 0), "")</f>
        <v>0</v>
      </c>
      <c r="H65" s="61" t="str">
        <f t="shared" ca="1" si="10"/>
        <v/>
      </c>
      <c r="I65" s="62" t="str">
        <f t="shared" ca="1" si="11"/>
        <v/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152</v>
      </c>
      <c r="B66" s="67" t="s">
        <v>153</v>
      </c>
      <c r="C66" s="67">
        <v>236</v>
      </c>
      <c r="D66" s="82">
        <v>-1.6666666699999999E-2</v>
      </c>
      <c r="E66" s="176">
        <v>552096663.25328338</v>
      </c>
      <c r="F66" s="57"/>
      <c r="G66" s="93">
        <f ca="1">IFERROR(OFFSET(INDIRECT($H$3 &amp; "!A179"), 10, 0), "")</f>
        <v>0</v>
      </c>
      <c r="H66" s="67"/>
      <c r="I66" s="68"/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164</v>
      </c>
      <c r="B67" s="67" t="s">
        <v>165</v>
      </c>
      <c r="C67" s="67">
        <v>3845</v>
      </c>
      <c r="D67" s="82">
        <v>-1.7879948900000001E-2</v>
      </c>
      <c r="E67" s="176">
        <v>9212000.1080485098</v>
      </c>
      <c r="F67" s="57"/>
      <c r="G67" s="93">
        <f ca="1">IFERROR(OFFSET(INDIRECT($H$3 &amp; "!A179"), 11, 0), "")</f>
        <v>0</v>
      </c>
      <c r="H67" s="67"/>
      <c r="I67" s="68"/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186</v>
      </c>
      <c r="B68" s="67" t="s">
        <v>187</v>
      </c>
      <c r="C68" s="67">
        <v>654</v>
      </c>
      <c r="D68" s="82">
        <v>-1.8018018E-2</v>
      </c>
      <c r="E68" s="176">
        <v>14516314.723159511</v>
      </c>
      <c r="F68" s="57"/>
      <c r="G68" s="93">
        <f ca="1">IFERROR(OFFSET(INDIRECT($H$3 &amp; "!A179"), 12, 0), "")</f>
        <v>0</v>
      </c>
      <c r="H68" s="67"/>
      <c r="I68" s="68"/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52</v>
      </c>
      <c r="B69" s="67" t="s">
        <v>53</v>
      </c>
      <c r="C69" s="67">
        <v>77697000</v>
      </c>
      <c r="D69" s="82">
        <v>-2.0844097700000001E-2</v>
      </c>
      <c r="E69" s="176">
        <v>5741.7458207600002</v>
      </c>
      <c r="F69" s="57"/>
      <c r="G69" s="93">
        <f ca="1">IFERROR(OFFSET(INDIRECT($H$3 &amp; "!A179"), 13, 0), "")</f>
        <v>0</v>
      </c>
      <c r="H69" s="67"/>
      <c r="I69" s="68"/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138</v>
      </c>
      <c r="B70" s="67" t="s">
        <v>139</v>
      </c>
      <c r="C70" s="67">
        <v>219</v>
      </c>
      <c r="D70" s="82">
        <v>-2.2321428599999998E-2</v>
      </c>
      <c r="E70" s="176">
        <v>127994810.34689385</v>
      </c>
      <c r="F70" s="57"/>
      <c r="G70" s="93">
        <f ca="1">IFERROR(OFFSET(INDIRECT($H$3 &amp; "!A179"), 14, 0), "")</f>
        <v>0</v>
      </c>
      <c r="H70" s="67"/>
      <c r="I70" s="68"/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288</v>
      </c>
      <c r="B71" s="67" t="s">
        <v>289</v>
      </c>
      <c r="C71" s="67">
        <v>564</v>
      </c>
      <c r="D71" s="82">
        <v>-2.4221453300000001E-2</v>
      </c>
      <c r="E71" s="176">
        <v>20076643.429071039</v>
      </c>
      <c r="F71" s="57"/>
      <c r="G71" s="97">
        <f ca="1">IFERROR(OFFSET(INDIRECT($H$3 &amp; "!A179"), 15, 0), "")</f>
        <v>0</v>
      </c>
      <c r="H71" s="76"/>
      <c r="I71" s="77"/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260</v>
      </c>
      <c r="B72" s="67" t="s">
        <v>261</v>
      </c>
      <c r="C72" s="67">
        <v>302</v>
      </c>
      <c r="D72" s="82">
        <v>-2.5806451599999999E-2</v>
      </c>
      <c r="E72" s="176">
        <v>21812155.362380691</v>
      </c>
      <c r="F72" s="57"/>
      <c r="G72" s="93">
        <f ca="1">IFERROR(OFFSET(INDIRECT($H$3 &amp; "!A179"), 16, 0), "")</f>
        <v>0</v>
      </c>
      <c r="H72" s="67"/>
      <c r="I72" s="68"/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250</v>
      </c>
      <c r="B73" s="67" t="s">
        <v>251</v>
      </c>
      <c r="C73" s="67">
        <v>527</v>
      </c>
      <c r="D73" s="82">
        <v>-2.5878003699999999E-2</v>
      </c>
      <c r="E73" s="176">
        <v>14584295.073521189</v>
      </c>
      <c r="F73" s="57"/>
      <c r="G73" s="93">
        <f ca="1">IFERROR(OFFSET(INDIRECT($H$3 &amp; "!A179"), 17, 0), "")</f>
        <v>0</v>
      </c>
      <c r="H73" s="67"/>
      <c r="I73" s="68"/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184</v>
      </c>
      <c r="B74" s="67" t="s">
        <v>185</v>
      </c>
      <c r="C74" s="67">
        <v>5425</v>
      </c>
      <c r="D74" s="82">
        <v>-2.69058296E-2</v>
      </c>
      <c r="E74" s="176">
        <v>3806188.3109602099</v>
      </c>
      <c r="F74" s="57"/>
      <c r="G74" s="93">
        <f ca="1">IFERROR(OFFSET(INDIRECT($H$3 &amp; "!A179"), 18, 0), "")</f>
        <v>0</v>
      </c>
      <c r="H74" s="67"/>
      <c r="I74" s="68"/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160</v>
      </c>
      <c r="B75" s="67" t="s">
        <v>161</v>
      </c>
      <c r="C75" s="67">
        <v>205</v>
      </c>
      <c r="D75" s="82">
        <v>-2.8436019E-2</v>
      </c>
      <c r="E75" s="176">
        <v>1632696058.4663918</v>
      </c>
      <c r="F75" s="57"/>
      <c r="G75" s="94">
        <f ca="1">IFERROR(OFFSET(INDIRECT($H$3 &amp; "!A179"), 19, 0), "")</f>
        <v>0</v>
      </c>
      <c r="H75" s="70"/>
      <c r="I75" s="71"/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71</v>
      </c>
      <c r="B76" s="67" t="s">
        <v>72</v>
      </c>
      <c r="C76" s="67">
        <v>8895</v>
      </c>
      <c r="D76" s="82">
        <v>-2.8930131000000001E-2</v>
      </c>
      <c r="E76" s="176">
        <v>1052336.49838301</v>
      </c>
      <c r="F76" s="57"/>
      <c r="G76" s="57"/>
      <c r="H76" s="57"/>
      <c r="I76" s="57"/>
    </row>
    <row r="77" spans="1:17">
      <c r="A77" s="66" t="s">
        <v>100</v>
      </c>
      <c r="B77" s="67" t="s">
        <v>101</v>
      </c>
      <c r="C77" s="67">
        <v>3045000</v>
      </c>
      <c r="D77" s="82">
        <v>-3.05635148E-2</v>
      </c>
      <c r="E77" s="176">
        <v>66089.596890369998</v>
      </c>
      <c r="F77" s="57"/>
      <c r="G77" s="57"/>
      <c r="H77" s="57"/>
      <c r="I77" s="57"/>
    </row>
    <row r="78" spans="1:17">
      <c r="A78" s="66" t="s">
        <v>88</v>
      </c>
      <c r="B78" s="67" t="s">
        <v>89</v>
      </c>
      <c r="C78" s="67">
        <v>1780</v>
      </c>
      <c r="D78" s="82">
        <v>-3.2608695700000002E-2</v>
      </c>
      <c r="E78" s="176">
        <v>62579368.601487242</v>
      </c>
      <c r="F78" s="57"/>
      <c r="G78" s="57"/>
      <c r="H78" s="57"/>
      <c r="I78" s="57"/>
    </row>
    <row r="79" spans="1:17">
      <c r="A79" s="66" t="s">
        <v>84</v>
      </c>
      <c r="B79" s="67" t="s">
        <v>85</v>
      </c>
      <c r="C79" s="67">
        <v>1920</v>
      </c>
      <c r="D79" s="82">
        <v>-3.2745591900000003E-2</v>
      </c>
      <c r="E79" s="176">
        <v>9762278.7811890505</v>
      </c>
      <c r="F79" s="57"/>
      <c r="G79" s="57"/>
      <c r="H79" s="57"/>
      <c r="I79" s="57"/>
    </row>
    <row r="80" spans="1:17">
      <c r="A80" s="66" t="s">
        <v>276</v>
      </c>
      <c r="B80" s="67" t="s">
        <v>277</v>
      </c>
      <c r="C80" s="67">
        <v>3050</v>
      </c>
      <c r="D80" s="82">
        <v>-3.3280507100000002E-2</v>
      </c>
      <c r="E80" s="176">
        <v>2901664.4770597899</v>
      </c>
      <c r="F80" s="57"/>
      <c r="G80" s="57"/>
      <c r="H80" s="57"/>
      <c r="I80" s="57"/>
    </row>
    <row r="81" spans="1:9">
      <c r="A81" s="66" t="s">
        <v>80</v>
      </c>
      <c r="B81" s="67" t="s">
        <v>81</v>
      </c>
      <c r="C81" s="67">
        <v>52710</v>
      </c>
      <c r="D81" s="82">
        <v>-3.4261634300000003E-2</v>
      </c>
      <c r="E81" s="176">
        <v>1576459.14225593</v>
      </c>
      <c r="F81" s="57"/>
      <c r="G81" s="57"/>
      <c r="H81" s="57"/>
      <c r="I81" s="57"/>
    </row>
    <row r="82" spans="1:9">
      <c r="A82" s="66" t="s">
        <v>262</v>
      </c>
      <c r="B82" s="67" t="s">
        <v>263</v>
      </c>
      <c r="C82" s="67">
        <v>748</v>
      </c>
      <c r="D82" s="82">
        <v>-3.4838709699999998E-2</v>
      </c>
      <c r="E82" s="176">
        <v>10143315.22447033</v>
      </c>
      <c r="F82" s="57"/>
      <c r="G82" s="57"/>
      <c r="H82" s="57"/>
      <c r="I82" s="57"/>
    </row>
    <row r="83" spans="1:9">
      <c r="A83" s="66" t="s">
        <v>86</v>
      </c>
      <c r="B83" s="67" t="s">
        <v>87</v>
      </c>
      <c r="C83" s="67">
        <v>1750</v>
      </c>
      <c r="D83" s="82">
        <v>-3.5812672199999999E-2</v>
      </c>
      <c r="E83" s="176">
        <v>2935661.9892686801</v>
      </c>
      <c r="F83" s="57"/>
      <c r="G83" s="57"/>
      <c r="H83" s="57"/>
      <c r="I83" s="57"/>
    </row>
    <row r="84" spans="1:9">
      <c r="A84" s="66" t="s">
        <v>210</v>
      </c>
      <c r="B84" s="67" t="s">
        <v>211</v>
      </c>
      <c r="C84" s="67">
        <v>45560</v>
      </c>
      <c r="D84" s="82">
        <v>-3.6175164000000003E-2</v>
      </c>
      <c r="E84" s="176">
        <v>400049.96418385999</v>
      </c>
      <c r="F84" s="57"/>
      <c r="G84" s="57"/>
      <c r="H84" s="57"/>
      <c r="I84" s="57"/>
    </row>
    <row r="85" spans="1:9">
      <c r="A85" s="66" t="s">
        <v>128</v>
      </c>
      <c r="B85" s="67" t="s">
        <v>129</v>
      </c>
      <c r="C85" s="67">
        <v>9145</v>
      </c>
      <c r="D85" s="82">
        <v>-3.73684211E-2</v>
      </c>
      <c r="E85" s="176">
        <v>914656.37028372998</v>
      </c>
      <c r="F85" s="57"/>
      <c r="G85" s="57"/>
      <c r="H85" s="57"/>
      <c r="I85" s="57"/>
    </row>
    <row r="86" spans="1:9">
      <c r="A86" s="66" t="s">
        <v>78</v>
      </c>
      <c r="B86" s="67" t="s">
        <v>79</v>
      </c>
      <c r="C86" s="67">
        <v>31950</v>
      </c>
      <c r="D86" s="82">
        <v>-3.7650602399999997E-2</v>
      </c>
      <c r="E86" s="176">
        <v>1029489.73906285</v>
      </c>
      <c r="F86" s="57"/>
      <c r="G86" s="57"/>
      <c r="H86" s="57"/>
      <c r="I86" s="57"/>
    </row>
    <row r="87" spans="1:9">
      <c r="A87" s="66" t="s">
        <v>180</v>
      </c>
      <c r="B87" s="67" t="s">
        <v>181</v>
      </c>
      <c r="C87" s="67">
        <v>2915</v>
      </c>
      <c r="D87" s="82">
        <v>-3.7953795399999997E-2</v>
      </c>
      <c r="E87" s="176">
        <v>18549274.603984389</v>
      </c>
      <c r="F87" s="57"/>
      <c r="G87" s="57"/>
      <c r="H87" s="57"/>
      <c r="I87" s="57"/>
    </row>
    <row r="88" spans="1:9">
      <c r="A88" s="66" t="s">
        <v>256</v>
      </c>
      <c r="B88" s="67" t="s">
        <v>257</v>
      </c>
      <c r="C88" s="67">
        <v>664</v>
      </c>
      <c r="D88" s="82">
        <v>-3.9073806099999997E-2</v>
      </c>
      <c r="E88" s="176">
        <v>20033160.37932485</v>
      </c>
      <c r="F88" s="57"/>
      <c r="G88" s="57"/>
      <c r="H88" s="57"/>
      <c r="I88" s="57"/>
    </row>
    <row r="89" spans="1:9">
      <c r="A89" s="66" t="s">
        <v>198</v>
      </c>
      <c r="B89" s="67" t="s">
        <v>199</v>
      </c>
      <c r="C89" s="67">
        <v>17510</v>
      </c>
      <c r="D89" s="82">
        <v>-4.0021929800000001E-2</v>
      </c>
      <c r="E89" s="176">
        <v>2211269.3241674602</v>
      </c>
      <c r="F89" s="57"/>
      <c r="G89" s="57"/>
      <c r="H89" s="57"/>
      <c r="I89" s="57"/>
    </row>
    <row r="90" spans="1:9">
      <c r="A90" s="66" t="s">
        <v>150</v>
      </c>
      <c r="B90" s="67" t="s">
        <v>151</v>
      </c>
      <c r="C90" s="67">
        <v>22450</v>
      </c>
      <c r="D90" s="82">
        <v>-4.14175918E-2</v>
      </c>
      <c r="E90" s="176">
        <v>11839058.016967939</v>
      </c>
      <c r="F90" s="57"/>
      <c r="G90" s="57"/>
      <c r="H90" s="57"/>
      <c r="I90" s="57"/>
    </row>
    <row r="91" spans="1:9">
      <c r="A91" s="66" t="s">
        <v>242</v>
      </c>
      <c r="B91" s="67" t="s">
        <v>243</v>
      </c>
      <c r="C91" s="67">
        <v>389</v>
      </c>
      <c r="D91" s="82">
        <v>-4.1871921200000002E-2</v>
      </c>
      <c r="E91" s="176">
        <v>40526144.142464802</v>
      </c>
      <c r="F91" s="57"/>
      <c r="G91" s="57"/>
      <c r="H91" s="57"/>
      <c r="I91" s="57"/>
    </row>
    <row r="92" spans="1:9">
      <c r="A92" s="66" t="s">
        <v>192</v>
      </c>
      <c r="B92" s="67" t="s">
        <v>193</v>
      </c>
      <c r="C92" s="67">
        <v>22710</v>
      </c>
      <c r="D92" s="82">
        <v>-4.4594026100000003E-2</v>
      </c>
      <c r="E92" s="176">
        <v>8498292.8799528405</v>
      </c>
      <c r="F92" s="57"/>
      <c r="G92" s="57"/>
      <c r="H92" s="57"/>
      <c r="I92" s="57"/>
    </row>
    <row r="93" spans="1:9">
      <c r="A93" s="66" t="s">
        <v>154</v>
      </c>
      <c r="B93" s="67" t="s">
        <v>155</v>
      </c>
      <c r="C93" s="67">
        <v>6045</v>
      </c>
      <c r="D93" s="82">
        <v>-4.6529968499999998E-2</v>
      </c>
      <c r="E93" s="176">
        <v>12079118.527475519</v>
      </c>
      <c r="F93" s="57"/>
      <c r="G93" s="57"/>
      <c r="H93" s="57"/>
      <c r="I93" s="57"/>
    </row>
    <row r="94" spans="1:9">
      <c r="A94" s="66" t="s">
        <v>280</v>
      </c>
      <c r="B94" s="67" t="s">
        <v>281</v>
      </c>
      <c r="C94" s="67">
        <v>5090</v>
      </c>
      <c r="D94" s="82">
        <v>-4.68164794E-2</v>
      </c>
      <c r="E94" s="176">
        <v>2024904.63634759</v>
      </c>
      <c r="F94" s="57"/>
      <c r="G94" s="57"/>
      <c r="H94" s="57"/>
      <c r="I94" s="57"/>
    </row>
    <row r="95" spans="1:9">
      <c r="A95" s="66" t="s">
        <v>182</v>
      </c>
      <c r="B95" s="67" t="s">
        <v>183</v>
      </c>
      <c r="C95" s="67">
        <v>65930</v>
      </c>
      <c r="D95" s="82">
        <v>-4.9589159600000002E-2</v>
      </c>
      <c r="E95" s="176">
        <v>220728.30308966001</v>
      </c>
      <c r="F95" s="57"/>
      <c r="G95" s="57"/>
      <c r="H95" s="57"/>
      <c r="I95" s="57"/>
    </row>
    <row r="96" spans="1:9">
      <c r="A96" s="66" t="s">
        <v>168</v>
      </c>
      <c r="B96" s="67" t="s">
        <v>169</v>
      </c>
      <c r="C96" s="67">
        <v>20300</v>
      </c>
      <c r="D96" s="82">
        <v>-5.2287581700000002E-2</v>
      </c>
      <c r="E96" s="176">
        <v>798060.84764806996</v>
      </c>
      <c r="F96" s="57"/>
      <c r="G96" s="57"/>
      <c r="H96" s="57"/>
      <c r="I96" s="57"/>
    </row>
    <row r="97" spans="1:9">
      <c r="A97" s="66" t="s">
        <v>172</v>
      </c>
      <c r="B97" s="67" t="s">
        <v>173</v>
      </c>
      <c r="C97" s="67">
        <v>304</v>
      </c>
      <c r="D97" s="82">
        <v>-5.29595016E-2</v>
      </c>
      <c r="E97" s="176">
        <v>337435601.05006427</v>
      </c>
      <c r="F97" s="57"/>
      <c r="G97" s="57"/>
      <c r="H97" s="57"/>
      <c r="I97" s="57"/>
    </row>
    <row r="98" spans="1:9">
      <c r="A98" s="66" t="s">
        <v>174</v>
      </c>
      <c r="B98" s="67" t="s">
        <v>175</v>
      </c>
      <c r="C98" s="67">
        <v>647</v>
      </c>
      <c r="D98" s="82">
        <v>-5.5474452600000002E-2</v>
      </c>
      <c r="E98" s="176">
        <v>16527924.420694791</v>
      </c>
      <c r="F98" s="57"/>
      <c r="G98" s="57"/>
      <c r="H98" s="57"/>
      <c r="I98" s="57"/>
    </row>
    <row r="99" spans="1:9">
      <c r="A99" s="66" t="s">
        <v>98</v>
      </c>
      <c r="B99" s="67" t="s">
        <v>99</v>
      </c>
      <c r="C99" s="67">
        <v>140200</v>
      </c>
      <c r="D99" s="82">
        <v>-5.6527590799999999E-2</v>
      </c>
      <c r="E99" s="176">
        <v>1000651.5372893</v>
      </c>
      <c r="F99" s="57"/>
      <c r="G99" s="57"/>
      <c r="H99" s="57"/>
      <c r="I99" s="57"/>
    </row>
    <row r="100" spans="1:9">
      <c r="A100" s="66" t="s">
        <v>112</v>
      </c>
      <c r="B100" s="67" t="s">
        <v>113</v>
      </c>
      <c r="C100" s="67">
        <v>65090</v>
      </c>
      <c r="D100" s="82">
        <v>-5.7213209700000003E-2</v>
      </c>
      <c r="E100" s="176">
        <v>1414918.4291944101</v>
      </c>
      <c r="F100" s="57"/>
      <c r="G100" s="57"/>
      <c r="H100" s="57"/>
      <c r="I100" s="57"/>
    </row>
    <row r="101" spans="1:9">
      <c r="A101" s="66" t="s">
        <v>118</v>
      </c>
      <c r="B101" s="67" t="s">
        <v>119</v>
      </c>
      <c r="C101" s="67">
        <v>17400</v>
      </c>
      <c r="D101" s="82">
        <v>-5.8950784200000002E-2</v>
      </c>
      <c r="E101" s="176">
        <v>2354318.4401145801</v>
      </c>
      <c r="F101" s="57"/>
      <c r="G101" s="57"/>
      <c r="H101" s="57"/>
      <c r="I101" s="57"/>
    </row>
    <row r="102" spans="1:9">
      <c r="A102" s="66" t="s">
        <v>188</v>
      </c>
      <c r="B102" s="67" t="s">
        <v>189</v>
      </c>
      <c r="C102" s="67">
        <v>3380</v>
      </c>
      <c r="D102" s="82">
        <v>-5.9805285100000001E-2</v>
      </c>
      <c r="E102" s="176">
        <v>3573533.5658872202</v>
      </c>
      <c r="F102" s="57"/>
      <c r="G102" s="57"/>
      <c r="H102" s="57"/>
      <c r="I102" s="57"/>
    </row>
    <row r="103" spans="1:9">
      <c r="A103" s="66" t="s">
        <v>196</v>
      </c>
      <c r="B103" s="67" t="s">
        <v>197</v>
      </c>
      <c r="C103" s="67">
        <v>1650</v>
      </c>
      <c r="D103" s="82">
        <v>-6.5155807400000001E-2</v>
      </c>
      <c r="E103" s="176">
        <v>20555494.817229241</v>
      </c>
      <c r="F103" s="57"/>
      <c r="G103" s="57"/>
      <c r="H103" s="57"/>
      <c r="I103" s="57"/>
    </row>
    <row r="104" spans="1:9">
      <c r="A104" s="66" t="s">
        <v>120</v>
      </c>
      <c r="B104" s="67" t="s">
        <v>121</v>
      </c>
      <c r="C104" s="67">
        <v>857</v>
      </c>
      <c r="D104" s="82">
        <v>-6.5430752499999995E-2</v>
      </c>
      <c r="E104" s="176">
        <v>54803038.138171501</v>
      </c>
      <c r="F104" s="57"/>
      <c r="G104" s="57"/>
      <c r="H104" s="57"/>
      <c r="I104" s="57"/>
    </row>
    <row r="105" spans="1:9">
      <c r="A105" s="66" t="s">
        <v>278</v>
      </c>
      <c r="B105" s="67" t="s">
        <v>279</v>
      </c>
      <c r="C105" s="67">
        <v>12190</v>
      </c>
      <c r="D105" s="82">
        <v>-6.5900383100000001E-2</v>
      </c>
      <c r="E105" s="176">
        <v>1153205.85282481</v>
      </c>
      <c r="F105" s="57"/>
      <c r="G105" s="57"/>
      <c r="H105" s="57"/>
      <c r="I105" s="57"/>
    </row>
    <row r="106" spans="1:9">
      <c r="A106" s="66" t="s">
        <v>246</v>
      </c>
      <c r="B106" s="67" t="s">
        <v>247</v>
      </c>
      <c r="C106" s="67">
        <v>8425</v>
      </c>
      <c r="D106" s="82">
        <v>-6.6481994500000002E-2</v>
      </c>
      <c r="E106" s="176">
        <v>2477274.4201132101</v>
      </c>
      <c r="F106" s="57"/>
      <c r="G106" s="57"/>
      <c r="H106" s="57"/>
      <c r="I106" s="57"/>
    </row>
    <row r="107" spans="1:9">
      <c r="A107" s="66" t="s">
        <v>194</v>
      </c>
      <c r="B107" s="67" t="s">
        <v>195</v>
      </c>
      <c r="C107" s="67">
        <v>72630</v>
      </c>
      <c r="D107" s="82">
        <v>-6.8248877499999999E-2</v>
      </c>
      <c r="E107" s="176">
        <v>544546.42998321995</v>
      </c>
      <c r="F107" s="57"/>
      <c r="G107" s="57"/>
      <c r="H107" s="57"/>
      <c r="I107" s="57"/>
    </row>
    <row r="108" spans="1:9">
      <c r="A108" s="66" t="s">
        <v>136</v>
      </c>
      <c r="B108" s="67" t="s">
        <v>137</v>
      </c>
      <c r="C108" s="67">
        <v>285</v>
      </c>
      <c r="D108" s="82">
        <v>-6.8627451000000006E-2</v>
      </c>
      <c r="E108" s="176">
        <v>3305531875.3491797</v>
      </c>
      <c r="F108" s="57"/>
      <c r="G108" s="57"/>
      <c r="H108" s="57"/>
      <c r="I108" s="57"/>
    </row>
    <row r="109" spans="1:9">
      <c r="A109" s="66" t="s">
        <v>144</v>
      </c>
      <c r="B109" s="67" t="s">
        <v>145</v>
      </c>
      <c r="C109" s="67">
        <v>4375</v>
      </c>
      <c r="D109" s="82">
        <v>-7.0138150900000001E-2</v>
      </c>
      <c r="E109" s="175">
        <v>2415203.0855687698</v>
      </c>
    </row>
    <row r="110" spans="1:9">
      <c r="A110" s="66" t="s">
        <v>148</v>
      </c>
      <c r="B110" s="67" t="s">
        <v>149</v>
      </c>
      <c r="C110" s="67">
        <v>12270</v>
      </c>
      <c r="D110" s="82">
        <v>-7.1158213499999998E-2</v>
      </c>
      <c r="E110" s="175">
        <v>2837518.8802450001</v>
      </c>
    </row>
    <row r="111" spans="1:9">
      <c r="A111" s="66" t="s">
        <v>266</v>
      </c>
      <c r="B111" s="67" t="s">
        <v>267</v>
      </c>
      <c r="C111" s="67">
        <v>1545</v>
      </c>
      <c r="D111" s="82">
        <v>-7.2072072099999995E-2</v>
      </c>
      <c r="E111" s="175">
        <v>20397247.377179209</v>
      </c>
    </row>
    <row r="112" spans="1:9">
      <c r="A112" s="66" t="s">
        <v>90</v>
      </c>
      <c r="B112" s="67" t="s">
        <v>91</v>
      </c>
      <c r="C112" s="67">
        <v>10210</v>
      </c>
      <c r="D112" s="82">
        <v>-7.3502722300000004E-2</v>
      </c>
      <c r="E112" s="175">
        <v>27918412.4250459</v>
      </c>
    </row>
    <row r="113" spans="1:5">
      <c r="A113" s="66" t="s">
        <v>146</v>
      </c>
      <c r="B113" s="67" t="s">
        <v>147</v>
      </c>
      <c r="C113" s="67">
        <v>466</v>
      </c>
      <c r="D113" s="82">
        <v>-7.3558648099999999E-2</v>
      </c>
      <c r="E113" s="175">
        <v>86566522.090231657</v>
      </c>
    </row>
    <row r="114" spans="1:5">
      <c r="A114" s="66" t="s">
        <v>82</v>
      </c>
      <c r="B114" s="67" t="s">
        <v>83</v>
      </c>
      <c r="C114" s="67">
        <v>1325000</v>
      </c>
      <c r="D114" s="82">
        <v>-7.4074074099999998E-2</v>
      </c>
      <c r="E114" s="175">
        <v>352016.13450390002</v>
      </c>
    </row>
    <row r="115" spans="1:5">
      <c r="A115" s="66" t="s">
        <v>140</v>
      </c>
      <c r="B115" s="67" t="s">
        <v>141</v>
      </c>
      <c r="C115" s="67">
        <v>284</v>
      </c>
      <c r="D115" s="82">
        <v>-8.9743589700000001E-2</v>
      </c>
      <c r="E115" s="175">
        <v>104460798.20018575</v>
      </c>
    </row>
    <row r="116" spans="1:5">
      <c r="A116" s="66" t="s">
        <v>94</v>
      </c>
      <c r="B116" s="67" t="s">
        <v>95</v>
      </c>
      <c r="C116" s="67">
        <v>497050</v>
      </c>
      <c r="D116" s="82">
        <v>-0.1172971053</v>
      </c>
      <c r="E116" s="175">
        <v>140879.67580443001</v>
      </c>
    </row>
    <row r="117" spans="1:5">
      <c r="A117" s="66" t="s">
        <v>92</v>
      </c>
      <c r="B117" s="67" t="s">
        <v>93</v>
      </c>
      <c r="C117" s="67">
        <v>799</v>
      </c>
      <c r="D117" s="82">
        <v>-0.2089108911</v>
      </c>
      <c r="E117" s="175">
        <v>820795264.19961905</v>
      </c>
    </row>
    <row r="118" spans="1:5">
      <c r="A118" s="66" t="s">
        <v>303</v>
      </c>
      <c r="B118" s="67" t="s">
        <v>304</v>
      </c>
      <c r="C118" s="67">
        <v>350</v>
      </c>
      <c r="D118" s="82">
        <v>-0.25053533189999999</v>
      </c>
      <c r="E118" s="175">
        <v>14689399960.275417</v>
      </c>
    </row>
    <row r="119" spans="1:5">
      <c r="A119" s="66"/>
      <c r="B119" s="67"/>
      <c r="C119" s="67"/>
      <c r="D119" s="82"/>
    </row>
    <row r="120" spans="1:5">
      <c r="A120" s="66"/>
      <c r="B120" s="67"/>
      <c r="C120" s="67"/>
      <c r="D120" s="82"/>
    </row>
    <row r="121" spans="1:5">
      <c r="A121" s="66"/>
      <c r="B121" s="67"/>
      <c r="C121" s="67"/>
      <c r="D121" s="82"/>
    </row>
    <row r="122" spans="1:5">
      <c r="A122" s="66"/>
      <c r="B122" s="67"/>
      <c r="C122" s="67"/>
      <c r="D122" s="82"/>
    </row>
    <row r="123" spans="1:5">
      <c r="A123" s="66"/>
      <c r="B123" s="67"/>
      <c r="C123" s="67"/>
      <c r="D123" s="82"/>
    </row>
    <row r="124" spans="1:5">
      <c r="A124" s="66"/>
      <c r="B124" s="67"/>
      <c r="C124" s="67"/>
      <c r="D124" s="82"/>
    </row>
    <row r="125" spans="1:5">
      <c r="A125" s="66"/>
      <c r="B125" s="67"/>
      <c r="C125" s="67"/>
      <c r="D125" s="82"/>
    </row>
    <row r="126" spans="1:5">
      <c r="A126" s="66"/>
      <c r="B126" s="67"/>
      <c r="C126" s="67"/>
      <c r="D126" s="82"/>
    </row>
    <row r="127" spans="1:5">
      <c r="A127" s="66"/>
      <c r="B127" s="67"/>
      <c r="C127" s="67"/>
      <c r="D127" s="82"/>
    </row>
    <row r="128" spans="1:5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mergeCells count="41">
    <mergeCell ref="K28:M28"/>
    <mergeCell ref="O28:Q28"/>
    <mergeCell ref="G20:I20"/>
    <mergeCell ref="G21:I22"/>
    <mergeCell ref="P29:Q29"/>
    <mergeCell ref="H23:I23"/>
    <mergeCell ref="G24:G25"/>
    <mergeCell ref="H24:I25"/>
    <mergeCell ref="G29:G30"/>
    <mergeCell ref="H29:I29"/>
    <mergeCell ref="K29:K30"/>
    <mergeCell ref="L29:M29"/>
    <mergeCell ref="O29:O30"/>
    <mergeCell ref="K3:M3"/>
    <mergeCell ref="O3:Q3"/>
    <mergeCell ref="G7:I8"/>
    <mergeCell ref="K4:K5"/>
    <mergeCell ref="L4:M4"/>
    <mergeCell ref="O4:O5"/>
    <mergeCell ref="P4:Q4"/>
    <mergeCell ref="G3:G4"/>
    <mergeCell ref="H3:I4"/>
    <mergeCell ref="K53:M53"/>
    <mergeCell ref="O53:Q53"/>
    <mergeCell ref="K54:K55"/>
    <mergeCell ref="L54:M54"/>
    <mergeCell ref="O54:O55"/>
    <mergeCell ref="P54:Q54"/>
    <mergeCell ref="G53:I53"/>
    <mergeCell ref="G54:G55"/>
    <mergeCell ref="H54:I54"/>
    <mergeCell ref="H16:I16"/>
    <mergeCell ref="G6:I6"/>
    <mergeCell ref="H9:I9"/>
    <mergeCell ref="G10:G11"/>
    <mergeCell ref="H10:I11"/>
    <mergeCell ref="G13:I13"/>
    <mergeCell ref="G14:I15"/>
    <mergeCell ref="G17:G18"/>
    <mergeCell ref="H17:I18"/>
    <mergeCell ref="G28:I28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Q199"/>
  <sheetViews>
    <sheetView topLeftCell="B1" workbookViewId="0">
      <selection activeCell="G45" sqref="G45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84" t="s">
        <v>297</v>
      </c>
      <c r="B1" s="85" t="s">
        <v>39</v>
      </c>
      <c r="C1" s="85" t="s">
        <v>37</v>
      </c>
      <c r="D1" s="86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65" t="s">
        <v>301</v>
      </c>
      <c r="H3" s="173" t="s">
        <v>300</v>
      </c>
      <c r="I3" s="173"/>
      <c r="K3" s="129" t="s">
        <v>34</v>
      </c>
      <c r="L3" s="130"/>
      <c r="M3" s="131"/>
      <c r="O3" s="129" t="s">
        <v>302</v>
      </c>
      <c r="P3" s="130"/>
      <c r="Q3" s="131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66"/>
      <c r="H4" s="174"/>
      <c r="I4" s="174"/>
      <c r="K4" s="165" t="s">
        <v>59</v>
      </c>
      <c r="L4" s="130" t="s">
        <v>60</v>
      </c>
      <c r="M4" s="131"/>
      <c r="O4" s="165" t="s">
        <v>59</v>
      </c>
      <c r="P4" s="130" t="s">
        <v>60</v>
      </c>
      <c r="Q4" s="131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66"/>
      <c r="L5" s="87" t="s">
        <v>63</v>
      </c>
      <c r="M5" s="88" t="s">
        <v>64</v>
      </c>
      <c r="O5" s="166"/>
      <c r="P5" s="87" t="s">
        <v>63</v>
      </c>
      <c r="Q5" s="88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29" t="s">
        <v>56</v>
      </c>
      <c r="H6" s="130"/>
      <c r="I6" s="131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89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51" t="s">
        <v>36</v>
      </c>
      <c r="H7" s="152"/>
      <c r="I7" s="153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57"/>
      <c r="H8" s="158"/>
      <c r="I8" s="159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84" t="s">
        <v>38</v>
      </c>
      <c r="H9" s="130" t="s">
        <v>37</v>
      </c>
      <c r="I9" s="131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67">
        <f>_xlfn.IFNA(VLOOKUP(G7, $B$2:$D$200, 3, FALSE), "-")</f>
        <v>-6.7108111999999998E-3</v>
      </c>
      <c r="H10" s="169">
        <f>_xlfn.IFNA(VLOOKUP(G7, $B$2:$D$200, 2, FALSE), "-")</f>
        <v>78003000</v>
      </c>
      <c r="I10" s="170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68"/>
      <c r="H11" s="171"/>
      <c r="I11" s="172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29" t="s">
        <v>75</v>
      </c>
      <c r="H13" s="130"/>
      <c r="I13" s="131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51" t="s">
        <v>36</v>
      </c>
      <c r="H14" s="152"/>
      <c r="I14" s="153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57"/>
      <c r="H15" s="158"/>
      <c r="I15" s="159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9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84" t="s">
        <v>38</v>
      </c>
      <c r="H16" s="130" t="s">
        <v>37</v>
      </c>
      <c r="I16" s="131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89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67">
        <f>_xlfn.IFNA(VLOOKUP(G14, $B$2:$D$200, 3, FALSE), "-")</f>
        <v>-6.7108111999999998E-3</v>
      </c>
      <c r="H17" s="169">
        <f>_xlfn.IFNA(VLOOKUP(G14, $B$2:$D$200, 2, FALSE), "-")</f>
        <v>78003000</v>
      </c>
      <c r="I17" s="170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68"/>
      <c r="H18" s="171"/>
      <c r="I18" s="172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29" t="s">
        <v>296</v>
      </c>
      <c r="H20" s="130"/>
      <c r="I20" s="131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51" t="s">
        <v>36</v>
      </c>
      <c r="H21" s="152"/>
      <c r="I21" s="153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57"/>
      <c r="H22" s="158"/>
      <c r="I22" s="159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84" t="s">
        <v>38</v>
      </c>
      <c r="H23" s="130" t="s">
        <v>37</v>
      </c>
      <c r="I23" s="131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67">
        <f>_xlfn.IFNA(VLOOKUP(G21, $B$2:$D$200, 3, FALSE), "-")</f>
        <v>-6.7108111999999998E-3</v>
      </c>
      <c r="H24" s="169">
        <f>_xlfn.IFNA(VLOOKUP(G21, $B$2:$D$200, 2, FALSE), "-")</f>
        <v>78003000</v>
      </c>
      <c r="I24" s="170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68"/>
      <c r="H25" s="171"/>
      <c r="I25" s="172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9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29" t="s">
        <v>50</v>
      </c>
      <c r="H28" s="130"/>
      <c r="I28" s="131"/>
      <c r="K28" s="129" t="s">
        <v>48</v>
      </c>
      <c r="L28" s="130"/>
      <c r="M28" s="131"/>
      <c r="O28" s="129" t="s">
        <v>49</v>
      </c>
      <c r="P28" s="130"/>
      <c r="Q28" s="131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65" t="s">
        <v>59</v>
      </c>
      <c r="H29" s="130" t="s">
        <v>60</v>
      </c>
      <c r="I29" s="131"/>
      <c r="K29" s="165" t="s">
        <v>59</v>
      </c>
      <c r="L29" s="130" t="s">
        <v>60</v>
      </c>
      <c r="M29" s="131"/>
      <c r="O29" s="165" t="s">
        <v>59</v>
      </c>
      <c r="P29" s="130" t="s">
        <v>60</v>
      </c>
      <c r="Q29" s="131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66"/>
      <c r="H30" s="87" t="s">
        <v>63</v>
      </c>
      <c r="I30" s="88" t="s">
        <v>64</v>
      </c>
      <c r="K30" s="166"/>
      <c r="L30" s="87" t="s">
        <v>63</v>
      </c>
      <c r="M30" s="88" t="s">
        <v>64</v>
      </c>
      <c r="O30" s="166"/>
      <c r="P30" s="87" t="s">
        <v>63</v>
      </c>
      <c r="Q30" s="88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89" t="str">
        <f>INDEX($A$2:$D$200, MATCH(LARGE($D$2:$D$200, 1), $D$2:$D$200, 0), 2)</f>
        <v>스텔라루멘</v>
      </c>
      <c r="H31" s="63">
        <f t="shared" ref="H31:H50" si="4">_xlfn.IFNA(VLOOKUP(G31, $B$2:$D$200, 2, FALSE), "")</f>
        <v>798</v>
      </c>
      <c r="I31" s="64">
        <f t="shared" ref="I31:I50" si="5">_xlfn.IFNA(VLOOKUP(G31, $B$2:$D$200, 3, FALSE), "")</f>
        <v>8.1300813E-2</v>
      </c>
      <c r="K31" s="92" t="str">
        <f t="array" ref="K31">INDEX($A$2:$D$200, MATCH(LARGE(IF($C$2:$C$200&lt;100, $D$2:$D$200, -100), 1), $D$2:$D$200, 0), 2)</f>
        <v>아이오에스티</v>
      </c>
      <c r="L31" s="63">
        <f t="shared" ref="L31:L50" si="6">_xlfn.IFNA(VLOOKUP(K31, $B$2:$D$200, 2, FALSE), "")</f>
        <v>72.099999999999994</v>
      </c>
      <c r="M31" s="64">
        <f t="shared" ref="M31:M50" si="7">_xlfn.IFNA(VLOOKUP(K31, $B$2:$D$200, 3, FALSE), "")</f>
        <v>4.19075145E-2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79" t="str">
        <f>INDEX($A$2:$D$200, MATCH(LARGE($D$2:$D$200, 2), $D$2:$D$200, 0), 2)</f>
        <v>헤데라해시그래프</v>
      </c>
      <c r="H32" s="65">
        <f t="shared" si="4"/>
        <v>468</v>
      </c>
      <c r="I32" s="60">
        <f t="shared" si="5"/>
        <v>8.0831408800000004E-2</v>
      </c>
      <c r="K32" s="93" t="str">
        <f t="array" ref="K32">INDEX($A$2:$D$200, MATCH(LARGE(IF($C$2:$C$200&lt;100, $D$2:$D$200, -100), 2), $D$2:$D$200, 0), 2)</f>
        <v>쿼크체인</v>
      </c>
      <c r="L32" s="65">
        <f t="shared" si="6"/>
        <v>53.6</v>
      </c>
      <c r="M32" s="60">
        <f t="shared" si="7"/>
        <v>2.2900763399999999E-2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79" t="str">
        <f>INDEX($A$2:$D$200, MATCH(LARGE($D$2:$D$200, 3), $D$2:$D$200, 0), 2)</f>
        <v>넴</v>
      </c>
      <c r="H33" s="65">
        <f t="shared" si="4"/>
        <v>580</v>
      </c>
      <c r="I33" s="60">
        <f t="shared" si="5"/>
        <v>6.2271062299999999E-2</v>
      </c>
      <c r="K33" s="93" t="str">
        <f t="array" ref="K33">INDEX($A$2:$D$200, MATCH(LARGE(IF($C$2:$C$200&lt;100, $D$2:$D$200, -100), 3), $D$2:$D$200, 0), 2)</f>
        <v>테조스</v>
      </c>
      <c r="L33" s="65">
        <f t="shared" si="6"/>
        <v>8635</v>
      </c>
      <c r="M33" s="60">
        <f t="shared" si="7"/>
        <v>0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79" t="str">
        <f>INDEX($A$2:$D$200, MATCH(LARGE($D$2:$D$200, 4), $D$2:$D$200, 0), 2)</f>
        <v>디센트럴랜드</v>
      </c>
      <c r="H34" s="65">
        <f t="shared" si="4"/>
        <v>1415</v>
      </c>
      <c r="I34" s="60">
        <f t="shared" si="5"/>
        <v>5.99250936E-2</v>
      </c>
      <c r="K34" s="93" t="str">
        <f t="array" ref="K34">INDEX($A$2:$D$200, MATCH(LARGE(IF($C$2:$C$200&lt;100, $D$2:$D$200, -100), 4), $D$2:$D$200, 0), 2)</f>
        <v>테조스</v>
      </c>
      <c r="L34" s="65">
        <f t="shared" si="6"/>
        <v>8635</v>
      </c>
      <c r="M34" s="60">
        <f t="shared" si="7"/>
        <v>0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79" t="str">
        <f>INDEX($A$2:$D$200, MATCH(LARGE($D$2:$D$200, 5), $D$2:$D$200, 0), 2)</f>
        <v>네오</v>
      </c>
      <c r="H35" s="72">
        <f t="shared" si="4"/>
        <v>85700</v>
      </c>
      <c r="I35" s="73">
        <f t="shared" si="5"/>
        <v>5.5028930199999999E-2</v>
      </c>
      <c r="K35" s="95" t="str">
        <f t="array" ref="K35">INDEX($A$2:$D$200, MATCH(LARGE(IF($C$2:$C$200&lt;100, $D$2:$D$200, -100), 5), $D$2:$D$200, 0), 2)</f>
        <v>테조스</v>
      </c>
      <c r="L35" s="72">
        <f t="shared" si="6"/>
        <v>8635</v>
      </c>
      <c r="M35" s="73">
        <f t="shared" si="7"/>
        <v>0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81" t="str">
        <f>INDEX($A$2:$D$200, MATCH(LARGE($D$2:$D$200, 6), $D$2:$D$200, 0), 2)</f>
        <v>아이오에스티</v>
      </c>
      <c r="H36" s="65">
        <f t="shared" si="4"/>
        <v>72.099999999999994</v>
      </c>
      <c r="I36" s="60">
        <f t="shared" si="5"/>
        <v>4.19075145E-2</v>
      </c>
      <c r="K36" s="93" t="str">
        <f t="array" ref="K36">INDEX($A$2:$D$200, MATCH(LARGE(IF($C$2:$C$200&lt;100, $D$2:$D$200, -100), 6), $D$2:$D$200, 0), 2)</f>
        <v>테조스</v>
      </c>
      <c r="L36" s="65">
        <f t="shared" si="6"/>
        <v>8635</v>
      </c>
      <c r="M36" s="60">
        <f t="shared" si="7"/>
        <v>0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79" t="str">
        <f>INDEX($A$2:$D$200, MATCH(LARGE($D$2:$D$200, 7), $D$2:$D$200, 0), 2)</f>
        <v>코박토큰</v>
      </c>
      <c r="H37" s="65">
        <f t="shared" si="4"/>
        <v>11880</v>
      </c>
      <c r="I37" s="60">
        <f t="shared" si="5"/>
        <v>3.8461538500000003E-2</v>
      </c>
      <c r="K37" s="93" t="str">
        <f t="array" ref="K37">INDEX($A$2:$D$200, MATCH(LARGE(IF($C$2:$C$200&lt;100, $D$2:$D$200, -100), 7), $D$2:$D$200, 0), 2)</f>
        <v>테조스</v>
      </c>
      <c r="L37" s="65">
        <f t="shared" si="6"/>
        <v>8635</v>
      </c>
      <c r="M37" s="60">
        <f t="shared" si="7"/>
        <v>0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79" t="str">
        <f>INDEX($A$2:$D$200, MATCH(LARGE($D$2:$D$200, 8), $D$2:$D$200, 0), 2)</f>
        <v>세럼</v>
      </c>
      <c r="H38" s="65">
        <f t="shared" si="4"/>
        <v>9550</v>
      </c>
      <c r="I38" s="60">
        <f t="shared" si="5"/>
        <v>3.2432432400000002E-2</v>
      </c>
      <c r="K38" s="93" t="str">
        <f t="array" ref="K38">INDEX($A$2:$D$200, MATCH(LARGE(IF($C$2:$C$200&lt;100, $D$2:$D$200, -100), 8), $D$2:$D$200, 0), 2)</f>
        <v>테조스</v>
      </c>
      <c r="L38" s="65">
        <f t="shared" si="6"/>
        <v>8635</v>
      </c>
      <c r="M38" s="60">
        <f t="shared" si="7"/>
        <v>0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79" t="str">
        <f>INDEX($A$2:$D$200, MATCH(LARGE($D$2:$D$200, 9), $D$2:$D$200, 0), 2)</f>
        <v>쿼크체인</v>
      </c>
      <c r="H39" s="65">
        <f t="shared" si="4"/>
        <v>53.6</v>
      </c>
      <c r="I39" s="60">
        <f t="shared" si="5"/>
        <v>2.2900763399999999E-2</v>
      </c>
      <c r="K39" s="93" t="str">
        <f t="array" ref="K39">INDEX($A$2:$D$200, MATCH(LARGE(IF($C$2:$C$200&lt;100, $D$2:$D$200, -100), 9), $D$2:$D$200, 0), 2)</f>
        <v>테조스</v>
      </c>
      <c r="L39" s="65">
        <f t="shared" si="6"/>
        <v>8635</v>
      </c>
      <c r="M39" s="60">
        <f t="shared" si="7"/>
        <v>0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0" t="str">
        <f>INDEX($A$2:$D$200, MATCH(LARGE($D$2:$D$200, 10), $D$2:$D$200, 0), 2)</f>
        <v>코스모스</v>
      </c>
      <c r="H40" s="61">
        <f t="shared" si="4"/>
        <v>28100</v>
      </c>
      <c r="I40" s="62">
        <f t="shared" si="5"/>
        <v>1.8115941999999999E-2</v>
      </c>
      <c r="K40" s="94" t="str">
        <f t="array" ref="K40">INDEX($A$2:$D$200, MATCH(LARGE(IF($C$2:$C$200&lt;100, $D$2:$D$200, -100), 10), $D$2:$D$200, 0), 2)</f>
        <v>테조스</v>
      </c>
      <c r="L40" s="61">
        <f t="shared" si="6"/>
        <v>8635</v>
      </c>
      <c r="M40" s="62">
        <f t="shared" si="7"/>
        <v>0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89" t="str">
        <f>INDEX($A$2:$D$200, MATCH(LARGE($D$2:$D$200, 11), $D$2:$D$200, 0), 2)</f>
        <v>체인링크</v>
      </c>
      <c r="H41" s="63">
        <f t="shared" si="4"/>
        <v>42740</v>
      </c>
      <c r="I41" s="64">
        <f t="shared" si="5"/>
        <v>1.6892695700000002E-2</v>
      </c>
      <c r="K41" s="92" t="str">
        <f t="array" ref="K41">INDEX($A$2:$D$200, MATCH(LARGE(IF($C$2:$C$200&lt;100, $D$2:$D$200, -100), 11), $D$2:$D$200, 0), 2)</f>
        <v>테조스</v>
      </c>
      <c r="L41" s="63">
        <f t="shared" si="6"/>
        <v>8635</v>
      </c>
      <c r="M41" s="64">
        <f t="shared" si="7"/>
        <v>0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79" t="str">
        <f>INDEX($A$2:$D$200, MATCH(LARGE($D$2:$D$200, 12), $D$2:$D$200, 0), 2)</f>
        <v>비트코인캐시</v>
      </c>
      <c r="H42" s="65">
        <f t="shared" si="4"/>
        <v>899600</v>
      </c>
      <c r="I42" s="60">
        <f t="shared" si="5"/>
        <v>1.6726943899999999E-2</v>
      </c>
      <c r="K42" s="93" t="str">
        <f t="array" ref="K42">INDEX($A$2:$D$200, MATCH(LARGE(IF($C$2:$C$200&lt;100, $D$2:$D$200, -100), 12), $D$2:$D$200, 0), 2)</f>
        <v>테조스</v>
      </c>
      <c r="L42" s="65">
        <f t="shared" si="6"/>
        <v>8635</v>
      </c>
      <c r="M42" s="60">
        <f t="shared" si="7"/>
        <v>0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79" t="str">
        <f>INDEX($A$2:$D$200, MATCH(LARGE($D$2:$D$200, 13), $D$2:$D$200, 0), 2)</f>
        <v>베이직어텐션토큰</v>
      </c>
      <c r="H43" s="65">
        <f t="shared" si="4"/>
        <v>1955</v>
      </c>
      <c r="I43" s="60">
        <f t="shared" si="5"/>
        <v>1.29533679E-2</v>
      </c>
      <c r="K43" s="93" t="str">
        <f t="array" ref="K43">INDEX($A$2:$D$200, MATCH(LARGE(IF($C$2:$C$200&lt;100, $D$2:$D$200, -100), 13), $D$2:$D$200, 0), 2)</f>
        <v>테조스</v>
      </c>
      <c r="L43" s="65">
        <f t="shared" si="6"/>
        <v>8635</v>
      </c>
      <c r="M43" s="60">
        <f t="shared" si="7"/>
        <v>0</v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79" t="str">
        <f>INDEX($A$2:$D$200, MATCH(LARGE($D$2:$D$200, 14), $D$2:$D$200, 0), 2)</f>
        <v>애드엑스</v>
      </c>
      <c r="H44" s="65">
        <f t="shared" si="4"/>
        <v>2020</v>
      </c>
      <c r="I44" s="60">
        <f t="shared" si="5"/>
        <v>1.25313283E-2</v>
      </c>
      <c r="K44" s="93" t="str">
        <f t="array" ref="K44">INDEX($A$2:$D$200, MATCH(LARGE(IF($C$2:$C$200&lt;100, $D$2:$D$200, -100), 14), $D$2:$D$200, 0), 2)</f>
        <v>테조스</v>
      </c>
      <c r="L44" s="65">
        <f t="shared" si="6"/>
        <v>8635</v>
      </c>
      <c r="M44" s="60">
        <f t="shared" si="7"/>
        <v>0</v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79" t="str">
        <f>INDEX($A$2:$D$200, MATCH(LARGE($D$2:$D$200, 15), $D$2:$D$200, 0), 2)</f>
        <v>에이다</v>
      </c>
      <c r="H45" s="72">
        <f t="shared" si="4"/>
        <v>1625</v>
      </c>
      <c r="I45" s="73">
        <f t="shared" si="5"/>
        <v>1.2461059199999999E-2</v>
      </c>
      <c r="K45" s="95" t="str">
        <f t="array" ref="K45">INDEX($A$2:$D$200, MATCH(LARGE(IF($C$2:$C$200&lt;100, $D$2:$D$200, -100), 15), $D$2:$D$200, 0), 2)</f>
        <v>테조스</v>
      </c>
      <c r="L45" s="72">
        <f t="shared" si="6"/>
        <v>8635</v>
      </c>
      <c r="M45" s="73">
        <f t="shared" si="7"/>
        <v>0</v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81" t="str">
        <f>INDEX($A$2:$D$200, MATCH(LARGE($D$2:$D$200, 16), $D$2:$D$200, 0), 2)</f>
        <v>이오스</v>
      </c>
      <c r="H46" s="65">
        <f t="shared" si="4"/>
        <v>8800</v>
      </c>
      <c r="I46" s="60">
        <f t="shared" si="5"/>
        <v>1.20759057E-2</v>
      </c>
      <c r="K46" s="93" t="str">
        <f t="array" ref="K46">INDEX($A$2:$D$200, MATCH(LARGE(IF($C$2:$C$200&lt;100, $D$2:$D$200, -100), 16), $D$2:$D$200, 0), 2)</f>
        <v>테조스</v>
      </c>
      <c r="L46" s="65">
        <f t="shared" si="6"/>
        <v>8635</v>
      </c>
      <c r="M46" s="60">
        <f t="shared" si="7"/>
        <v>0</v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79" t="str">
        <f>INDEX($A$2:$D$200, MATCH(LARGE($D$2:$D$200, 17), $D$2:$D$200, 0), 2)</f>
        <v>칠리즈</v>
      </c>
      <c r="H47" s="65">
        <f t="shared" si="4"/>
        <v>614</v>
      </c>
      <c r="I47" s="60">
        <f t="shared" si="5"/>
        <v>9.8684211000000001E-3</v>
      </c>
      <c r="K47" s="93" t="str">
        <f t="array" ref="K47">INDEX($A$2:$D$200, MATCH(LARGE(IF($C$2:$C$200&lt;100, $D$2:$D$200, -100), 17), $D$2:$D$200, 0), 2)</f>
        <v>테조스</v>
      </c>
      <c r="L47" s="65">
        <f t="shared" si="6"/>
        <v>8635</v>
      </c>
      <c r="M47" s="60">
        <f t="shared" si="7"/>
        <v>0</v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79" t="str">
        <f>INDEX($A$2:$D$200, MATCH(LARGE($D$2:$D$200, 18), $D$2:$D$200, 0), 2)</f>
        <v>비트코인에스브이</v>
      </c>
      <c r="H48" s="65">
        <f t="shared" si="4"/>
        <v>359000</v>
      </c>
      <c r="I48" s="60">
        <f t="shared" si="5"/>
        <v>3.4940600999999998E-3</v>
      </c>
      <c r="K48" s="93" t="str">
        <f t="array" ref="K48">INDEX($A$2:$D$200, MATCH(LARGE(IF($C$2:$C$200&lt;100, $D$2:$D$200, -100), 18), $D$2:$D$200, 0), 2)</f>
        <v>테조스</v>
      </c>
      <c r="L48" s="65">
        <f t="shared" si="6"/>
        <v>8635</v>
      </c>
      <c r="M48" s="60">
        <f t="shared" si="7"/>
        <v>0</v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79" t="str">
        <f>INDEX($A$2:$D$200, MATCH(LARGE($D$2:$D$200, 19), $D$2:$D$200, 0), 2)</f>
        <v>리플</v>
      </c>
      <c r="H49" s="65">
        <f t="shared" si="4"/>
        <v>1810</v>
      </c>
      <c r="I49" s="60">
        <f t="shared" si="5"/>
        <v>2.7700831E-3</v>
      </c>
      <c r="K49" s="93" t="str">
        <f t="array" ref="K49">INDEX($A$2:$D$200, MATCH(LARGE(IF($C$2:$C$200&lt;100, $D$2:$D$200, -100), 19), $D$2:$D$200, 0), 2)</f>
        <v>테조스</v>
      </c>
      <c r="L49" s="65">
        <f t="shared" si="6"/>
        <v>8635</v>
      </c>
      <c r="M49" s="60">
        <f t="shared" si="7"/>
        <v>0</v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0" t="str">
        <f>INDEX($A$2:$D$200, MATCH(LARGE($D$2:$D$200, 20), $D$2:$D$200, 0), 2)</f>
        <v>비트코인골드</v>
      </c>
      <c r="H50" s="61">
        <f t="shared" si="4"/>
        <v>153200</v>
      </c>
      <c r="I50" s="62">
        <f t="shared" si="5"/>
        <v>1.9620667E-3</v>
      </c>
      <c r="K50" s="94" t="str">
        <f t="array" ref="K50">INDEX($A$2:$D$200, MATCH(LARGE(IF($C$2:$C$200&lt;100, $D$2:$D$200, -100), 20), $D$2:$D$200, 0), 2)</f>
        <v>테조스</v>
      </c>
      <c r="L50" s="61">
        <f t="shared" si="6"/>
        <v>8635</v>
      </c>
      <c r="M50" s="62">
        <f t="shared" si="7"/>
        <v>0</v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29" t="s">
        <v>290</v>
      </c>
      <c r="H53" s="130"/>
      <c r="I53" s="131"/>
      <c r="K53" s="129" t="s">
        <v>298</v>
      </c>
      <c r="L53" s="130"/>
      <c r="M53" s="131"/>
      <c r="O53" s="129" t="s">
        <v>299</v>
      </c>
      <c r="P53" s="130"/>
      <c r="Q53" s="131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65" t="s">
        <v>59</v>
      </c>
      <c r="H54" s="130" t="s">
        <v>60</v>
      </c>
      <c r="I54" s="131"/>
      <c r="K54" s="165" t="s">
        <v>59</v>
      </c>
      <c r="L54" s="130" t="s">
        <v>60</v>
      </c>
      <c r="M54" s="131"/>
      <c r="O54" s="165" t="s">
        <v>59</v>
      </c>
      <c r="P54" s="130" t="s">
        <v>60</v>
      </c>
      <c r="Q54" s="131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66"/>
      <c r="H55" s="87" t="s">
        <v>63</v>
      </c>
      <c r="I55" s="88" t="s">
        <v>64</v>
      </c>
      <c r="K55" s="166"/>
      <c r="L55" s="87" t="s">
        <v>63</v>
      </c>
      <c r="M55" s="88" t="s">
        <v>64</v>
      </c>
      <c r="O55" s="166"/>
      <c r="P55" s="87" t="s">
        <v>63</v>
      </c>
      <c r="Q55" s="88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 t="str">
        <f>INDEX($A$2:$D$200, MATCH(SMALL($D$2:$D$200, 20), $D$2:$D$200, 0), 2)</f>
        <v>헌트</v>
      </c>
      <c r="H56" s="63">
        <f t="shared" ref="H56:H75" si="10">_xlfn.IFNA(VLOOKUP(G56, $B$2:$D$200, 2, FALSE), "")</f>
        <v>575</v>
      </c>
      <c r="I56" s="64">
        <f t="shared" ref="I56:I65" si="11">_xlfn.IFNA(VLOOKUP(G56, $B$2:$D$200, 3, FALSE), "")</f>
        <v>-0.08</v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 t="str">
        <f>INDEX($A$2:$D$200, MATCH(SMALL($D$2:$D$200, 19), $D$2:$D$200, 0), 2)</f>
        <v>코모도</v>
      </c>
      <c r="H57" s="65">
        <f t="shared" si="10"/>
        <v>4730</v>
      </c>
      <c r="I57" s="60">
        <f t="shared" si="11"/>
        <v>-8.0660835799999997E-2</v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 t="str">
        <f>INDEX($A$2:$D$200, MATCH(SMALL($D$2:$D$200, 18), $D$2:$D$200, 0), 2)</f>
        <v>엘비알와이크레딧</v>
      </c>
      <c r="H58" s="65">
        <f t="shared" si="10"/>
        <v>327</v>
      </c>
      <c r="I58" s="60">
        <f t="shared" si="11"/>
        <v>-8.1460674199999999E-2</v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 t="str">
        <f>INDEX($A$2:$D$200, MATCH(SMALL($D$2:$D$200, 17), $D$2:$D$200, 0), 2)</f>
        <v>아인스타이늄</v>
      </c>
      <c r="H59" s="65">
        <f t="shared" si="10"/>
        <v>652</v>
      </c>
      <c r="I59" s="60">
        <f t="shared" si="11"/>
        <v>-8.2981715900000003E-2</v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 t="str">
        <f>INDEX($A$2:$D$200, MATCH(SMALL($D$2:$D$200, 16), $D$2:$D$200, 0), 2)</f>
        <v>퀴즈톡</v>
      </c>
      <c r="H60" s="65">
        <f t="shared" si="10"/>
        <v>120</v>
      </c>
      <c r="I60" s="60">
        <f t="shared" si="11"/>
        <v>-8.3969465600000001E-2</v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 t="str">
        <f>INDEX($A$2:$D$200, MATCH(SMALL($D$2:$D$200, 15), $D$2:$D$200, 0), 2)</f>
        <v>왁스</v>
      </c>
      <c r="H61" s="74">
        <f t="shared" si="10"/>
        <v>303</v>
      </c>
      <c r="I61" s="75">
        <f t="shared" si="11"/>
        <v>-8.4592144999999994E-2</v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 t="str">
        <f>INDEX($A$2:$D$200, MATCH(SMALL($D$2:$D$200, 14), $D$2:$D$200, 0), 2)</f>
        <v>하이브</v>
      </c>
      <c r="H62" s="65">
        <f t="shared" si="10"/>
        <v>845</v>
      </c>
      <c r="I62" s="60">
        <f t="shared" si="11"/>
        <v>-8.6486486500000001E-2</v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 t="str">
        <f>INDEX($A$2:$D$200, MATCH(SMALL($D$2:$D$200, 13), $D$2:$D$200, 0), 2)</f>
        <v>썸씽</v>
      </c>
      <c r="H63" s="65">
        <f t="shared" si="10"/>
        <v>200</v>
      </c>
      <c r="I63" s="60">
        <f t="shared" si="11"/>
        <v>-8.6757990899999998E-2</v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 t="str">
        <f>INDEX($A$2:$D$200, MATCH(SMALL($D$2:$D$200, 12), $D$2:$D$200, 0), 2)</f>
        <v>스팀</v>
      </c>
      <c r="H64" s="65">
        <f t="shared" si="10"/>
        <v>1705</v>
      </c>
      <c r="I64" s="60">
        <f t="shared" si="11"/>
        <v>-8.82352941E-2</v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 t="str">
        <f>INDEX($A$2:$D$200, MATCH(SMALL($D$2:$D$200, 11), $D$2:$D$200, 0), 2)</f>
        <v>룸네트워크</v>
      </c>
      <c r="H65" s="61">
        <f t="shared" si="10"/>
        <v>255</v>
      </c>
      <c r="I65" s="62">
        <f t="shared" si="11"/>
        <v>-8.9285714299999999E-2</v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 t="str">
        <f>INDEX($A$2:$D$200, MATCH(SMALL($D$2:$D$200, 10), $D$2:$D$200, 0), 2)</f>
        <v>에스티피</v>
      </c>
      <c r="H66" s="63">
        <f t="shared" si="10"/>
        <v>111</v>
      </c>
      <c r="I66" s="64">
        <f t="shared" ref="I66:I75" si="16">_xlfn.IFNA(VLOOKUP(G66, $B$2:$D$200, 3, FALSE), "")</f>
        <v>-9.0163934400000006E-2</v>
      </c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 t="str">
        <f>INDEX($A$2:$D$200, MATCH(SMALL($D$2:$D$200, 9), $D$2:$D$200, 0), 2)</f>
        <v>람다</v>
      </c>
      <c r="H67" s="65">
        <f t="shared" si="10"/>
        <v>135</v>
      </c>
      <c r="I67" s="60">
        <f t="shared" si="16"/>
        <v>-9.3959731500000004E-2</v>
      </c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 t="str">
        <f>INDEX($A$2:$D$200, MATCH(SMALL($D$2:$D$200, 8), $D$2:$D$200, 0), 2)</f>
        <v>골렘</v>
      </c>
      <c r="H68" s="65">
        <f t="shared" si="10"/>
        <v>728</v>
      </c>
      <c r="I68" s="60">
        <f t="shared" si="16"/>
        <v>-0.1012345679</v>
      </c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 t="str">
        <f>INDEX($A$2:$D$200, MATCH(SMALL($D$2:$D$200, 7), $D$2:$D$200, 0), 2)</f>
        <v>아크</v>
      </c>
      <c r="H69" s="65">
        <f t="shared" si="10"/>
        <v>3455</v>
      </c>
      <c r="I69" s="60">
        <f t="shared" si="16"/>
        <v>-0.1025974026</v>
      </c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 t="str">
        <f>INDEX($A$2:$D$200, MATCH(SMALL($D$2:$D$200, 6), $D$2:$D$200, 0), 2)</f>
        <v>스팀달러</v>
      </c>
      <c r="H70" s="65">
        <f t="shared" si="10"/>
        <v>11540</v>
      </c>
      <c r="I70" s="60">
        <f t="shared" si="16"/>
        <v>-0.1033411033</v>
      </c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 t="str">
        <f>INDEX($A$2:$D$200, MATCH(SMALL($D$2:$D$200, 5), $D$2:$D$200, 0), 2)</f>
        <v>스트라티스</v>
      </c>
      <c r="H71" s="74">
        <f t="shared" si="10"/>
        <v>5430</v>
      </c>
      <c r="I71" s="75">
        <f t="shared" si="16"/>
        <v>-0.1098360656</v>
      </c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 t="str">
        <f>INDEX($A$2:$D$200, MATCH(SMALL($D$2:$D$200, 4), $D$2:$D$200, 0), 2)</f>
        <v>저스트</v>
      </c>
      <c r="H72" s="65">
        <f t="shared" si="10"/>
        <v>181</v>
      </c>
      <c r="I72" s="60">
        <f t="shared" si="16"/>
        <v>-0.112745098</v>
      </c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 t="str">
        <f>INDEX($A$2:$D$200, MATCH(SMALL($D$2:$D$200, 3), $D$2:$D$200, 0), 2)</f>
        <v>그로스톨코인</v>
      </c>
      <c r="H73" s="65">
        <f t="shared" si="10"/>
        <v>2220</v>
      </c>
      <c r="I73" s="60">
        <f t="shared" si="16"/>
        <v>-0.1137724551</v>
      </c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 t="str">
        <f>INDEX($A$2:$D$200, MATCH(SMALL($D$2:$D$200, 2), $D$2:$D$200, 0), 2)</f>
        <v>이그니스</v>
      </c>
      <c r="H74" s="65">
        <f t="shared" si="10"/>
        <v>260</v>
      </c>
      <c r="I74" s="60">
        <f t="shared" si="16"/>
        <v>-0.1156462585</v>
      </c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 t="str">
        <f>INDEX($A$2:$D$200, MATCH(SMALL($D$2:$D$200, 1), $D$2:$D$200, 0), 2)</f>
        <v>아더</v>
      </c>
      <c r="H75" s="61">
        <f t="shared" si="10"/>
        <v>656</v>
      </c>
      <c r="I75" s="62">
        <f t="shared" si="16"/>
        <v>-0.1206434316</v>
      </c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G53:I53"/>
    <mergeCell ref="K53:M53"/>
    <mergeCell ref="O53:Q53"/>
    <mergeCell ref="G54:G55"/>
    <mergeCell ref="H54:I54"/>
    <mergeCell ref="K54:K55"/>
    <mergeCell ref="L54:M54"/>
    <mergeCell ref="O54:O55"/>
    <mergeCell ref="P54:Q54"/>
    <mergeCell ref="P29:Q29"/>
    <mergeCell ref="H23:I23"/>
    <mergeCell ref="G24:G25"/>
    <mergeCell ref="H24:I25"/>
    <mergeCell ref="G28:I28"/>
    <mergeCell ref="K28:M28"/>
    <mergeCell ref="O28:Q28"/>
    <mergeCell ref="G29:G30"/>
    <mergeCell ref="H29:I29"/>
    <mergeCell ref="K29:K30"/>
    <mergeCell ref="L29:M29"/>
    <mergeCell ref="O29:O30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3:M3"/>
    <mergeCell ref="O3:Q3"/>
    <mergeCell ref="K4:K5"/>
    <mergeCell ref="L4:M4"/>
    <mergeCell ref="O4:O5"/>
    <mergeCell ref="P4:Q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939-6875-4860-BD45-8C4FBCC887B3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9" t="s">
        <v>0</v>
      </c>
      <c r="B1" s="130"/>
      <c r="C1" s="130"/>
      <c r="D1" s="130"/>
      <c r="E1" s="130"/>
      <c r="F1" s="131"/>
      <c r="G1" s="145">
        <v>44287</v>
      </c>
      <c r="H1" s="146"/>
      <c r="I1" s="147"/>
      <c r="J1" s="129" t="s">
        <v>1</v>
      </c>
      <c r="K1" s="130"/>
      <c r="L1" s="130"/>
      <c r="M1" s="130"/>
      <c r="N1" s="130"/>
      <c r="O1" s="131"/>
      <c r="Q1" s="129" t="s">
        <v>2</v>
      </c>
      <c r="R1" s="131"/>
    </row>
    <row r="2" spans="1:19" ht="17.25" customHeight="1">
      <c r="A2" s="1" t="s">
        <v>3</v>
      </c>
      <c r="B2" s="148" t="s">
        <v>4</v>
      </c>
      <c r="C2" s="149"/>
      <c r="D2" s="149"/>
      <c r="E2" s="149"/>
      <c r="F2" s="150"/>
      <c r="G2" s="151" t="s">
        <v>50</v>
      </c>
      <c r="H2" s="152"/>
      <c r="I2" s="153"/>
      <c r="J2" s="1" t="s">
        <v>3</v>
      </c>
      <c r="K2" s="148" t="s">
        <v>5</v>
      </c>
      <c r="L2" s="149"/>
      <c r="M2" s="149"/>
      <c r="N2" s="149"/>
      <c r="O2" s="150"/>
      <c r="Q2" s="2" t="s">
        <v>6</v>
      </c>
      <c r="R2" s="3">
        <v>0.375</v>
      </c>
    </row>
    <row r="3" spans="1:19" ht="17.25" customHeight="1" thickBot="1">
      <c r="A3" s="4" t="s">
        <v>7</v>
      </c>
      <c r="B3" s="154" t="s">
        <v>8</v>
      </c>
      <c r="C3" s="155"/>
      <c r="D3" s="155"/>
      <c r="E3" s="155"/>
      <c r="F3" s="156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54" t="s">
        <v>9</v>
      </c>
      <c r="L3" s="155"/>
      <c r="M3" s="155"/>
      <c r="N3" s="155"/>
      <c r="O3" s="1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4" t="s">
        <v>12</v>
      </c>
      <c r="C4" s="155"/>
      <c r="D4" s="155"/>
      <c r="E4" s="155"/>
      <c r="F4" s="156"/>
      <c r="G4" s="151" t="s">
        <v>48</v>
      </c>
      <c r="H4" s="152"/>
      <c r="I4" s="153"/>
      <c r="J4" s="4" t="s">
        <v>11</v>
      </c>
      <c r="K4" s="154" t="s">
        <v>13</v>
      </c>
      <c r="L4" s="155"/>
      <c r="M4" s="155"/>
      <c r="N4" s="155"/>
      <c r="O4" s="156"/>
      <c r="Q4" s="103" t="s">
        <v>14</v>
      </c>
      <c r="R4" s="6">
        <v>0.95833333333333337</v>
      </c>
    </row>
    <row r="5" spans="1:19" ht="17.25" customHeight="1" thickBot="1">
      <c r="A5" s="4" t="s">
        <v>15</v>
      </c>
      <c r="B5" s="154" t="s">
        <v>16</v>
      </c>
      <c r="C5" s="155"/>
      <c r="D5" s="155"/>
      <c r="E5" s="155"/>
      <c r="F5" s="156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54" t="s">
        <v>17</v>
      </c>
      <c r="L5" s="155"/>
      <c r="M5" s="155"/>
      <c r="N5" s="155"/>
      <c r="O5" s="156"/>
    </row>
    <row r="6" spans="1:19">
      <c r="A6" s="4" t="s">
        <v>18</v>
      </c>
      <c r="B6" s="154" t="s">
        <v>19</v>
      </c>
      <c r="C6" s="155"/>
      <c r="D6" s="155"/>
      <c r="E6" s="155"/>
      <c r="F6" s="156"/>
      <c r="G6" s="151" t="s">
        <v>49</v>
      </c>
      <c r="H6" s="152"/>
      <c r="I6" s="153"/>
      <c r="J6" s="4" t="s">
        <v>18</v>
      </c>
      <c r="K6" s="154" t="s">
        <v>20</v>
      </c>
      <c r="L6" s="155"/>
      <c r="M6" s="155"/>
      <c r="N6" s="155"/>
      <c r="O6" s="156"/>
    </row>
    <row r="7" spans="1:19" ht="17.25" thickBot="1">
      <c r="A7" s="4" t="s">
        <v>21</v>
      </c>
      <c r="B7" s="154" t="s">
        <v>22</v>
      </c>
      <c r="C7" s="155"/>
      <c r="D7" s="155"/>
      <c r="E7" s="155"/>
      <c r="F7" s="156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54" t="s">
        <v>23</v>
      </c>
      <c r="L7" s="155"/>
      <c r="M7" s="155"/>
      <c r="N7" s="155"/>
      <c r="O7" s="156"/>
    </row>
    <row r="8" spans="1:19" ht="17.25" thickBot="1">
      <c r="A8" s="4" t="s">
        <v>24</v>
      </c>
      <c r="B8" s="154" t="s">
        <v>25</v>
      </c>
      <c r="C8" s="155"/>
      <c r="D8" s="155"/>
      <c r="E8" s="155"/>
      <c r="F8" s="156"/>
      <c r="G8" s="151" t="s">
        <v>290</v>
      </c>
      <c r="H8" s="152"/>
      <c r="I8" s="153"/>
      <c r="J8" s="4" t="s">
        <v>24</v>
      </c>
      <c r="K8" s="154" t="s">
        <v>26</v>
      </c>
      <c r="L8" s="155"/>
      <c r="M8" s="155"/>
      <c r="N8" s="155"/>
      <c r="O8" s="156"/>
      <c r="Q8" s="129" t="s">
        <v>27</v>
      </c>
      <c r="R8" s="131"/>
    </row>
    <row r="9" spans="1:19" ht="17.25" thickBot="1">
      <c r="A9" s="4" t="s">
        <v>28</v>
      </c>
      <c r="B9" s="154"/>
      <c r="C9" s="155"/>
      <c r="D9" s="155"/>
      <c r="E9" s="155"/>
      <c r="F9" s="156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54"/>
      <c r="L9" s="155"/>
      <c r="M9" s="155"/>
      <c r="N9" s="155"/>
      <c r="O9" s="156"/>
      <c r="Q9" s="2" t="s">
        <v>29</v>
      </c>
      <c r="R9" s="7">
        <v>10</v>
      </c>
    </row>
    <row r="10" spans="1:19">
      <c r="A10" s="4" t="s">
        <v>30</v>
      </c>
      <c r="B10" s="154"/>
      <c r="C10" s="155"/>
      <c r="D10" s="155"/>
      <c r="E10" s="155"/>
      <c r="F10" s="156"/>
      <c r="G10" s="151" t="s">
        <v>51</v>
      </c>
      <c r="H10" s="152"/>
      <c r="I10" s="153"/>
      <c r="J10" s="4" t="s">
        <v>30</v>
      </c>
      <c r="K10" s="154"/>
      <c r="L10" s="155"/>
      <c r="M10" s="155"/>
      <c r="N10" s="155"/>
      <c r="O10" s="156"/>
      <c r="Q10" s="2" t="s">
        <v>31</v>
      </c>
      <c r="R10" s="7">
        <v>100</v>
      </c>
    </row>
    <row r="11" spans="1:19" ht="17.25" thickBot="1">
      <c r="A11" s="8" t="s">
        <v>32</v>
      </c>
      <c r="B11" s="160"/>
      <c r="C11" s="161"/>
      <c r="D11" s="161"/>
      <c r="E11" s="161"/>
      <c r="F11" s="162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8" t="s">
        <v>32</v>
      </c>
      <c r="K11" s="160"/>
      <c r="L11" s="161"/>
      <c r="M11" s="161"/>
      <c r="N11" s="161"/>
      <c r="O11" s="162"/>
      <c r="Q11" s="103" t="s">
        <v>33</v>
      </c>
      <c r="R11" s="9">
        <v>1000</v>
      </c>
    </row>
    <row r="12" spans="1:19" ht="17.25" thickBot="1"/>
    <row r="13" spans="1:19" ht="17.25" customHeight="1" thickBot="1">
      <c r="A13" s="129" t="s">
        <v>34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/>
      <c r="Q13" s="118"/>
      <c r="R13" s="119"/>
      <c r="S13" s="120"/>
    </row>
    <row r="14" spans="1:19" ht="17.25" customHeight="1" thickBot="1">
      <c r="A14" s="98" t="s">
        <v>35</v>
      </c>
      <c r="B14" s="129" t="s">
        <v>36</v>
      </c>
      <c r="C14" s="131"/>
      <c r="D14" s="129" t="s">
        <v>37</v>
      </c>
      <c r="E14" s="130"/>
      <c r="F14" s="131"/>
      <c r="G14" s="132">
        <f>_xlfn.IFNA(VLOOKUP(B14, 현재가테이블!$B$2:$D$200, 2, FALSE), "-")</f>
        <v>77697000</v>
      </c>
      <c r="H14" s="133"/>
      <c r="I14" s="134"/>
      <c r="J14" s="129" t="s">
        <v>38</v>
      </c>
      <c r="K14" s="130"/>
      <c r="L14" s="131"/>
      <c r="M14" s="135">
        <f>_xlfn.IFNA(VLOOKUP(B14, 현재가테이블!$B$2:$D$200, 3, FALSE), "-")</f>
        <v>-2.0844097700000001E-2</v>
      </c>
      <c r="N14" s="136"/>
      <c r="O14" s="137"/>
      <c r="Q14" s="121"/>
      <c r="R14" s="122"/>
      <c r="S14" s="123"/>
    </row>
    <row r="15" spans="1:19" ht="17.25" customHeight="1" thickBot="1">
      <c r="A15" s="138" t="s">
        <v>39</v>
      </c>
      <c r="B15" s="139" t="s">
        <v>40</v>
      </c>
      <c r="C15" s="140"/>
      <c r="D15" s="163" t="s">
        <v>41</v>
      </c>
      <c r="E15" s="144"/>
      <c r="F15" s="164"/>
      <c r="G15" s="163" t="s">
        <v>42</v>
      </c>
      <c r="H15" s="144"/>
      <c r="I15" s="164"/>
      <c r="J15" s="144" t="s">
        <v>43</v>
      </c>
      <c r="K15" s="144"/>
      <c r="L15" s="144"/>
      <c r="M15" s="163" t="s">
        <v>40</v>
      </c>
      <c r="N15" s="144"/>
      <c r="O15" s="164"/>
      <c r="Q15" s="124"/>
      <c r="R15" s="125"/>
      <c r="S15" s="126"/>
    </row>
    <row r="16" spans="1:19" ht="17.25" customHeight="1" thickBot="1">
      <c r="A16" s="13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99" t="s">
        <v>37</v>
      </c>
      <c r="H16" s="100" t="s">
        <v>44</v>
      </c>
      <c r="I16" s="101" t="s">
        <v>45</v>
      </c>
      <c r="J16" s="12" t="s">
        <v>37</v>
      </c>
      <c r="K16" s="12" t="s">
        <v>44</v>
      </c>
      <c r="L16" s="102" t="s">
        <v>45</v>
      </c>
      <c r="M16" s="2" t="s">
        <v>37</v>
      </c>
      <c r="N16" s="12" t="s">
        <v>44</v>
      </c>
      <c r="O16" s="104" t="s">
        <v>45</v>
      </c>
      <c r="Q16" s="105"/>
      <c r="R16" s="105"/>
      <c r="S16" s="105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106"/>
      <c r="R17" s="106"/>
      <c r="S17" s="106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106"/>
      <c r="R18" s="106"/>
      <c r="S18" s="106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7"/>
      <c r="R19" s="107"/>
      <c r="S19" s="107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7"/>
      <c r="R20" s="107"/>
      <c r="S20" s="107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8"/>
      <c r="R21" s="108"/>
      <c r="S21" s="108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9"/>
      <c r="R22" s="110"/>
      <c r="S22" s="111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12"/>
      <c r="R23" s="113"/>
      <c r="S23" s="114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15"/>
      <c r="R24" s="116"/>
      <c r="S24" s="117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8"/>
      <c r="R26" s="119"/>
      <c r="S26" s="120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21"/>
      <c r="R27" s="122"/>
      <c r="S27" s="123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24"/>
      <c r="R28" s="125"/>
      <c r="S28" s="126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05"/>
      <c r="R29" s="105"/>
      <c r="S29" s="105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106"/>
      <c r="R30" s="106"/>
      <c r="S30" s="106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106"/>
      <c r="R31" s="106"/>
      <c r="S31" s="106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7"/>
      <c r="R32" s="107"/>
      <c r="S32" s="107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7"/>
      <c r="R33" s="107"/>
      <c r="S33" s="107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8"/>
      <c r="R34" s="108"/>
      <c r="S34" s="108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9"/>
      <c r="R35" s="110"/>
      <c r="S35" s="111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12"/>
      <c r="R36" s="113"/>
      <c r="S36" s="114"/>
    </row>
    <row r="37" spans="1:19" ht="17.25" customHeight="1" thickBot="1">
      <c r="A37" s="39" t="s">
        <v>46</v>
      </c>
      <c r="B37" s="127">
        <v>100000</v>
      </c>
      <c r="C37" s="128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15"/>
      <c r="R37" s="116"/>
      <c r="S37" s="117"/>
    </row>
    <row r="38" spans="1:19" ht="17.25" customHeight="1"/>
    <row r="39" spans="1:19" ht="17.25" customHeight="1" thickBot="1"/>
    <row r="40" spans="1:19" ht="17.25" customHeight="1" thickBot="1">
      <c r="A40" s="129" t="s">
        <v>48</v>
      </c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1"/>
      <c r="Q40" s="118"/>
      <c r="R40" s="119"/>
      <c r="S40" s="120"/>
    </row>
    <row r="41" spans="1:19" ht="17.25" customHeight="1" thickBot="1">
      <c r="A41" s="98" t="s">
        <v>35</v>
      </c>
      <c r="B41" s="129" t="s">
        <v>36</v>
      </c>
      <c r="C41" s="131"/>
      <c r="D41" s="129" t="s">
        <v>37</v>
      </c>
      <c r="E41" s="130"/>
      <c r="F41" s="131"/>
      <c r="G41" s="132">
        <f>_xlfn.IFNA(VLOOKUP(B41, 현재가테이블!$B$2:$D$200, 2, FALSE), "-")</f>
        <v>77697000</v>
      </c>
      <c r="H41" s="133"/>
      <c r="I41" s="134"/>
      <c r="J41" s="129" t="s">
        <v>38</v>
      </c>
      <c r="K41" s="130"/>
      <c r="L41" s="131"/>
      <c r="M41" s="135">
        <f>_xlfn.IFNA(VLOOKUP(B41, 현재가테이블!$B$2:$D$200, 3, FALSE), "-")</f>
        <v>-2.0844097700000001E-2</v>
      </c>
      <c r="N41" s="136"/>
      <c r="O41" s="137"/>
      <c r="Q41" s="121"/>
      <c r="R41" s="122"/>
      <c r="S41" s="123"/>
    </row>
    <row r="42" spans="1:19" ht="17.25" customHeight="1" thickBot="1">
      <c r="A42" s="138" t="s">
        <v>39</v>
      </c>
      <c r="B42" s="139" t="s">
        <v>40</v>
      </c>
      <c r="C42" s="140"/>
      <c r="D42" s="141" t="s">
        <v>41</v>
      </c>
      <c r="E42" s="142"/>
      <c r="F42" s="143"/>
      <c r="G42" s="141" t="s">
        <v>42</v>
      </c>
      <c r="H42" s="142"/>
      <c r="I42" s="143"/>
      <c r="J42" s="144" t="s">
        <v>43</v>
      </c>
      <c r="K42" s="144"/>
      <c r="L42" s="144"/>
      <c r="M42" s="141" t="s">
        <v>40</v>
      </c>
      <c r="N42" s="142"/>
      <c r="O42" s="143"/>
      <c r="Q42" s="124"/>
      <c r="R42" s="125"/>
      <c r="S42" s="126"/>
    </row>
    <row r="43" spans="1:19" ht="17.25" customHeight="1" thickBot="1">
      <c r="A43" s="13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02" t="s">
        <v>45</v>
      </c>
      <c r="M43" s="2" t="s">
        <v>37</v>
      </c>
      <c r="N43" s="12" t="s">
        <v>44</v>
      </c>
      <c r="O43" s="104" t="s">
        <v>45</v>
      </c>
      <c r="Q43" s="105"/>
      <c r="R43" s="105"/>
      <c r="S43" s="105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106"/>
      <c r="R44" s="106"/>
      <c r="S44" s="106"/>
    </row>
    <row r="45" spans="1:19" ht="17.25" customHeight="1" thickBot="1">
      <c r="A45" s="47"/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106"/>
      <c r="R45" s="106"/>
      <c r="S45" s="106"/>
    </row>
    <row r="46" spans="1:19" ht="17.25" customHeight="1" thickBot="1">
      <c r="A46" s="47"/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7"/>
      <c r="R46" s="107"/>
      <c r="S46" s="107"/>
    </row>
    <row r="47" spans="1:19" ht="17.25" customHeight="1" thickBot="1">
      <c r="A47" s="47"/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7"/>
      <c r="R47" s="107"/>
      <c r="S47" s="107"/>
    </row>
    <row r="48" spans="1:19" ht="17.25" customHeight="1" thickBot="1">
      <c r="A48" s="49"/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8"/>
      <c r="R48" s="108"/>
      <c r="S48" s="108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9"/>
      <c r="R49" s="110"/>
      <c r="S49" s="111"/>
    </row>
    <row r="50" spans="1:19" ht="17.25" customHeight="1">
      <c r="A50" s="47"/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12"/>
      <c r="R50" s="113"/>
      <c r="S50" s="114"/>
    </row>
    <row r="51" spans="1:19" ht="17.25" customHeight="1" thickBot="1">
      <c r="A51" s="47"/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15"/>
      <c r="R51" s="116"/>
      <c r="S51" s="117"/>
    </row>
    <row r="52" spans="1:19" ht="17.25" customHeight="1" thickBot="1">
      <c r="A52" s="47"/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106" t="s">
        <v>291</v>
      </c>
      <c r="R53" s="106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106"/>
      <c r="R54" s="106"/>
    </row>
    <row r="55" spans="1:19" ht="17.25" customHeight="1" thickBot="1">
      <c r="A55" s="47"/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106"/>
      <c r="R55" s="106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7" t="s">
        <v>292</v>
      </c>
      <c r="R56" s="107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106"/>
      <c r="R57" s="106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106"/>
      <c r="R58" s="106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7" t="s">
        <v>294</v>
      </c>
      <c r="R59" s="107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7"/>
      <c r="R60" s="107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7"/>
      <c r="R61" s="107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7"/>
      <c r="R62" s="107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7"/>
      <c r="R63" s="107"/>
    </row>
    <row r="64" spans="1:19" ht="17.25" customHeight="1" thickBot="1">
      <c r="A64" s="39" t="s">
        <v>46</v>
      </c>
      <c r="B64" s="127">
        <v>100000</v>
      </c>
      <c r="C64" s="128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7"/>
      <c r="R64" s="107"/>
    </row>
    <row r="65" spans="1:19" ht="17.25" customHeight="1"/>
    <row r="66" spans="1:19" ht="17.25" customHeight="1" thickBot="1"/>
    <row r="67" spans="1:19" ht="17.25" thickBot="1">
      <c r="A67" s="129" t="s">
        <v>49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1"/>
      <c r="Q67" s="118"/>
      <c r="R67" s="119"/>
      <c r="S67" s="120"/>
    </row>
    <row r="68" spans="1:19" ht="17.25" thickBot="1">
      <c r="A68" s="98" t="s">
        <v>35</v>
      </c>
      <c r="B68" s="129" t="s">
        <v>36</v>
      </c>
      <c r="C68" s="131"/>
      <c r="D68" s="129" t="s">
        <v>37</v>
      </c>
      <c r="E68" s="130"/>
      <c r="F68" s="131"/>
      <c r="G68" s="132">
        <f>_xlfn.IFNA(VLOOKUP(B68, 현재가테이블!$B$2:$D$200, 2, FALSE), "-")</f>
        <v>77697000</v>
      </c>
      <c r="H68" s="133"/>
      <c r="I68" s="134"/>
      <c r="J68" s="129" t="s">
        <v>38</v>
      </c>
      <c r="K68" s="130"/>
      <c r="L68" s="131"/>
      <c r="M68" s="135">
        <f>_xlfn.IFNA(VLOOKUP(B68, 현재가테이블!$B$2:$D$200, 3, FALSE), "-")</f>
        <v>-2.0844097700000001E-2</v>
      </c>
      <c r="N68" s="136"/>
      <c r="O68" s="137"/>
      <c r="Q68" s="121"/>
      <c r="R68" s="122"/>
      <c r="S68" s="123"/>
    </row>
    <row r="69" spans="1:19" ht="17.25" thickBot="1">
      <c r="A69" s="138" t="s">
        <v>39</v>
      </c>
      <c r="B69" s="139" t="s">
        <v>40</v>
      </c>
      <c r="C69" s="140"/>
      <c r="D69" s="141" t="s">
        <v>41</v>
      </c>
      <c r="E69" s="142"/>
      <c r="F69" s="143"/>
      <c r="G69" s="141" t="s">
        <v>42</v>
      </c>
      <c r="H69" s="142"/>
      <c r="I69" s="143"/>
      <c r="J69" s="144" t="s">
        <v>43</v>
      </c>
      <c r="K69" s="144"/>
      <c r="L69" s="144"/>
      <c r="M69" s="141" t="s">
        <v>40</v>
      </c>
      <c r="N69" s="142"/>
      <c r="O69" s="143"/>
      <c r="Q69" s="124"/>
      <c r="R69" s="125"/>
      <c r="S69" s="126"/>
    </row>
    <row r="70" spans="1:19" ht="17.25" thickBot="1">
      <c r="A70" s="13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02" t="s">
        <v>45</v>
      </c>
      <c r="M70" s="2" t="s">
        <v>37</v>
      </c>
      <c r="N70" s="12" t="s">
        <v>44</v>
      </c>
      <c r="O70" s="104" t="s">
        <v>45</v>
      </c>
      <c r="Q70" s="105"/>
      <c r="R70" s="105"/>
      <c r="S70" s="105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106"/>
      <c r="R71" s="106"/>
      <c r="S71" s="106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106"/>
      <c r="R72" s="106"/>
      <c r="S72" s="106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7"/>
      <c r="R73" s="107"/>
      <c r="S73" s="107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7"/>
      <c r="R74" s="107"/>
      <c r="S74" s="107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8"/>
      <c r="R75" s="108"/>
      <c r="S75" s="108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9"/>
      <c r="R76" s="110"/>
      <c r="S76" s="111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12"/>
      <c r="R77" s="113"/>
      <c r="S77" s="114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15"/>
      <c r="R78" s="116"/>
      <c r="S78" s="117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8"/>
      <c r="R80" s="119"/>
      <c r="S80" s="120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21"/>
      <c r="R81" s="122"/>
      <c r="S81" s="123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24"/>
      <c r="R82" s="125"/>
      <c r="S82" s="126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05"/>
      <c r="R83" s="105"/>
      <c r="S83" s="105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106"/>
      <c r="R84" s="106"/>
      <c r="S84" s="106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106"/>
      <c r="R85" s="106"/>
      <c r="S85" s="106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7"/>
      <c r="R86" s="107"/>
      <c r="S86" s="107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7"/>
      <c r="R87" s="107"/>
      <c r="S87" s="107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8"/>
      <c r="R88" s="108"/>
      <c r="S88" s="108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9"/>
      <c r="R89" s="110"/>
      <c r="S89" s="111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12"/>
      <c r="R90" s="113"/>
      <c r="S90" s="114"/>
    </row>
    <row r="91" spans="1:19" ht="17.25" thickBot="1">
      <c r="A91" s="39" t="s">
        <v>46</v>
      </c>
      <c r="B91" s="127">
        <v>100000</v>
      </c>
      <c r="C91" s="128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15"/>
      <c r="R91" s="116"/>
      <c r="S91" s="117"/>
    </row>
    <row r="93" spans="1:19" ht="17.25" thickBot="1"/>
    <row r="94" spans="1:19" ht="17.25" thickBot="1">
      <c r="A94" s="129" t="s">
        <v>50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1"/>
      <c r="Q94" s="118"/>
      <c r="R94" s="119"/>
      <c r="S94" s="120"/>
    </row>
    <row r="95" spans="1:19" ht="17.25" thickBot="1">
      <c r="A95" s="98" t="s">
        <v>35</v>
      </c>
      <c r="B95" s="129" t="s">
        <v>36</v>
      </c>
      <c r="C95" s="131"/>
      <c r="D95" s="129" t="s">
        <v>37</v>
      </c>
      <c r="E95" s="130"/>
      <c r="F95" s="131"/>
      <c r="G95" s="132">
        <f>_xlfn.IFNA(VLOOKUP(B95, 현재가테이블!$B$2:$D$200, 2, FALSE), "-")</f>
        <v>77697000</v>
      </c>
      <c r="H95" s="133"/>
      <c r="I95" s="134"/>
      <c r="J95" s="129" t="s">
        <v>38</v>
      </c>
      <c r="K95" s="130"/>
      <c r="L95" s="131"/>
      <c r="M95" s="135">
        <f>_xlfn.IFNA(VLOOKUP(B95, 현재가테이블!$B$2:$D$200, 3, FALSE), "-")</f>
        <v>-2.0844097700000001E-2</v>
      </c>
      <c r="N95" s="136"/>
      <c r="O95" s="137"/>
      <c r="Q95" s="121"/>
      <c r="R95" s="122"/>
      <c r="S95" s="123"/>
    </row>
    <row r="96" spans="1:19" ht="17.25" thickBot="1">
      <c r="A96" s="138" t="s">
        <v>39</v>
      </c>
      <c r="B96" s="139" t="s">
        <v>40</v>
      </c>
      <c r="C96" s="140"/>
      <c r="D96" s="141" t="s">
        <v>41</v>
      </c>
      <c r="E96" s="142"/>
      <c r="F96" s="143"/>
      <c r="G96" s="141" t="s">
        <v>42</v>
      </c>
      <c r="H96" s="142"/>
      <c r="I96" s="143"/>
      <c r="J96" s="144" t="s">
        <v>43</v>
      </c>
      <c r="K96" s="144"/>
      <c r="L96" s="144"/>
      <c r="M96" s="141" t="s">
        <v>40</v>
      </c>
      <c r="N96" s="142"/>
      <c r="O96" s="143"/>
      <c r="Q96" s="124"/>
      <c r="R96" s="125"/>
      <c r="S96" s="126"/>
    </row>
    <row r="97" spans="1:19" ht="17.25" thickBot="1">
      <c r="A97" s="13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02" t="s">
        <v>45</v>
      </c>
      <c r="M97" s="2" t="s">
        <v>37</v>
      </c>
      <c r="N97" s="12" t="s">
        <v>44</v>
      </c>
      <c r="O97" s="104" t="s">
        <v>45</v>
      </c>
      <c r="Q97" s="105"/>
      <c r="R97" s="105"/>
      <c r="S97" s="105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106"/>
      <c r="R98" s="106"/>
      <c r="S98" s="106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106"/>
      <c r="R99" s="106"/>
      <c r="S99" s="106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7"/>
      <c r="R100" s="107"/>
      <c r="S100" s="107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7"/>
      <c r="R101" s="107"/>
      <c r="S101" s="107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8"/>
      <c r="R102" s="108"/>
      <c r="S102" s="108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9"/>
      <c r="R103" s="110"/>
      <c r="S103" s="111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12"/>
      <c r="R104" s="113"/>
      <c r="S104" s="114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15"/>
      <c r="R105" s="116"/>
      <c r="S105" s="117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8"/>
      <c r="R107" s="119"/>
      <c r="S107" s="120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21"/>
      <c r="R108" s="122"/>
      <c r="S108" s="123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24"/>
      <c r="R109" s="125"/>
      <c r="S109" s="126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05"/>
      <c r="R110" s="105"/>
      <c r="S110" s="105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106"/>
      <c r="R111" s="106"/>
      <c r="S111" s="106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106"/>
      <c r="R112" s="106"/>
      <c r="S112" s="106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7"/>
      <c r="R113" s="107"/>
      <c r="S113" s="107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7"/>
      <c r="R114" s="107"/>
      <c r="S114" s="107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8"/>
      <c r="R115" s="108"/>
      <c r="S115" s="108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9"/>
      <c r="R116" s="110"/>
      <c r="S116" s="111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12"/>
      <c r="R117" s="113"/>
      <c r="S117" s="114"/>
    </row>
    <row r="118" spans="1:19" ht="17.25" thickBot="1">
      <c r="A118" s="39" t="s">
        <v>46</v>
      </c>
      <c r="B118" s="127">
        <v>100000</v>
      </c>
      <c r="C118" s="128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15"/>
      <c r="R118" s="116"/>
      <c r="S118" s="117"/>
    </row>
    <row r="120" spans="1:19" ht="17.25" thickBot="1"/>
    <row r="121" spans="1:19" ht="17.25" thickBot="1">
      <c r="A121" s="129" t="s">
        <v>298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1"/>
      <c r="Q121" s="118"/>
      <c r="R121" s="119"/>
      <c r="S121" s="120"/>
    </row>
    <row r="122" spans="1:19" ht="17.25" thickBot="1">
      <c r="A122" s="98" t="s">
        <v>35</v>
      </c>
      <c r="B122" s="129" t="s">
        <v>36</v>
      </c>
      <c r="C122" s="131"/>
      <c r="D122" s="129" t="s">
        <v>37</v>
      </c>
      <c r="E122" s="130"/>
      <c r="F122" s="131"/>
      <c r="G122" s="132">
        <f>_xlfn.IFNA(VLOOKUP(B122, 현재가테이블!$B$2:$D$200, 2, FALSE), "-")</f>
        <v>77697000</v>
      </c>
      <c r="H122" s="133"/>
      <c r="I122" s="134"/>
      <c r="J122" s="129" t="s">
        <v>38</v>
      </c>
      <c r="K122" s="130"/>
      <c r="L122" s="131"/>
      <c r="M122" s="135">
        <f>_xlfn.IFNA(VLOOKUP(B122, 현재가테이블!$B$2:$D$200, 3, FALSE), "-")</f>
        <v>-2.0844097700000001E-2</v>
      </c>
      <c r="N122" s="136"/>
      <c r="O122" s="137"/>
      <c r="Q122" s="121"/>
      <c r="R122" s="122"/>
      <c r="S122" s="123"/>
    </row>
    <row r="123" spans="1:19" ht="17.25" thickBot="1">
      <c r="A123" s="138" t="s">
        <v>39</v>
      </c>
      <c r="B123" s="139" t="s">
        <v>40</v>
      </c>
      <c r="C123" s="140"/>
      <c r="D123" s="141" t="s">
        <v>41</v>
      </c>
      <c r="E123" s="142"/>
      <c r="F123" s="143"/>
      <c r="G123" s="141" t="s">
        <v>42</v>
      </c>
      <c r="H123" s="142"/>
      <c r="I123" s="143"/>
      <c r="J123" s="144" t="s">
        <v>43</v>
      </c>
      <c r="K123" s="144"/>
      <c r="L123" s="144"/>
      <c r="M123" s="141" t="s">
        <v>40</v>
      </c>
      <c r="N123" s="142"/>
      <c r="O123" s="143"/>
      <c r="Q123" s="124"/>
      <c r="R123" s="125"/>
      <c r="S123" s="126"/>
    </row>
    <row r="124" spans="1:19" ht="17.25" thickBot="1">
      <c r="A124" s="13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02" t="s">
        <v>45</v>
      </c>
      <c r="M124" s="2" t="s">
        <v>37</v>
      </c>
      <c r="N124" s="12" t="s">
        <v>44</v>
      </c>
      <c r="O124" s="104" t="s">
        <v>45</v>
      </c>
      <c r="Q124" s="105"/>
      <c r="R124" s="105"/>
      <c r="S124" s="105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106"/>
      <c r="R125" s="106"/>
      <c r="S125" s="106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106"/>
      <c r="R126" s="106"/>
      <c r="S126" s="106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7"/>
      <c r="R127" s="107"/>
      <c r="S127" s="107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7"/>
      <c r="R128" s="107"/>
      <c r="S128" s="107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8"/>
      <c r="R129" s="108"/>
      <c r="S129" s="108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9"/>
      <c r="R130" s="110"/>
      <c r="S130" s="111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12"/>
      <c r="R131" s="113"/>
      <c r="S131" s="114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15"/>
      <c r="R132" s="116"/>
      <c r="S132" s="117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8"/>
      <c r="R134" s="119"/>
      <c r="S134" s="120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21"/>
      <c r="R135" s="122"/>
      <c r="S135" s="123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24"/>
      <c r="R136" s="125"/>
      <c r="S136" s="126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05"/>
      <c r="R137" s="105"/>
      <c r="S137" s="105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106"/>
      <c r="R138" s="106"/>
      <c r="S138" s="106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106"/>
      <c r="R139" s="106"/>
      <c r="S139" s="106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7"/>
      <c r="R140" s="107"/>
      <c r="S140" s="107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7"/>
      <c r="R141" s="107"/>
      <c r="S141" s="107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8"/>
      <c r="R142" s="108"/>
      <c r="S142" s="108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9"/>
      <c r="R143" s="110"/>
      <c r="S143" s="111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12"/>
      <c r="R144" s="113"/>
      <c r="S144" s="114"/>
    </row>
    <row r="145" spans="1:19" ht="17.25" thickBot="1">
      <c r="A145" s="39" t="s">
        <v>46</v>
      </c>
      <c r="B145" s="127">
        <v>100000</v>
      </c>
      <c r="C145" s="128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15"/>
      <c r="R145" s="116"/>
      <c r="S145" s="117"/>
    </row>
    <row r="147" spans="1:19" ht="17.25" thickBot="1"/>
    <row r="148" spans="1:19" ht="17.25" thickBot="1">
      <c r="A148" s="129" t="s">
        <v>299</v>
      </c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1"/>
      <c r="Q148" s="118"/>
      <c r="R148" s="119"/>
      <c r="S148" s="120"/>
    </row>
    <row r="149" spans="1:19" ht="17.25" thickBot="1">
      <c r="A149" s="98" t="s">
        <v>35</v>
      </c>
      <c r="B149" s="129" t="s">
        <v>36</v>
      </c>
      <c r="C149" s="131"/>
      <c r="D149" s="129" t="s">
        <v>37</v>
      </c>
      <c r="E149" s="130"/>
      <c r="F149" s="131"/>
      <c r="G149" s="132">
        <f>_xlfn.IFNA(VLOOKUP(B149, 현재가테이블!$B$2:$D$200, 2, FALSE), "-")</f>
        <v>77697000</v>
      </c>
      <c r="H149" s="133"/>
      <c r="I149" s="134"/>
      <c r="J149" s="129" t="s">
        <v>38</v>
      </c>
      <c r="K149" s="130"/>
      <c r="L149" s="131"/>
      <c r="M149" s="135">
        <f>_xlfn.IFNA(VLOOKUP(B149, 현재가테이블!$B$2:$D$200, 3, FALSE), "-")</f>
        <v>-2.0844097700000001E-2</v>
      </c>
      <c r="N149" s="136"/>
      <c r="O149" s="137"/>
      <c r="Q149" s="121"/>
      <c r="R149" s="122"/>
      <c r="S149" s="123"/>
    </row>
    <row r="150" spans="1:19" ht="17.25" thickBot="1">
      <c r="A150" s="138" t="s">
        <v>39</v>
      </c>
      <c r="B150" s="139" t="s">
        <v>40</v>
      </c>
      <c r="C150" s="140"/>
      <c r="D150" s="141" t="s">
        <v>41</v>
      </c>
      <c r="E150" s="142"/>
      <c r="F150" s="143"/>
      <c r="G150" s="141" t="s">
        <v>42</v>
      </c>
      <c r="H150" s="142"/>
      <c r="I150" s="143"/>
      <c r="J150" s="144" t="s">
        <v>43</v>
      </c>
      <c r="K150" s="144"/>
      <c r="L150" s="144"/>
      <c r="M150" s="141" t="s">
        <v>40</v>
      </c>
      <c r="N150" s="142"/>
      <c r="O150" s="143"/>
      <c r="Q150" s="124"/>
      <c r="R150" s="125"/>
      <c r="S150" s="126"/>
    </row>
    <row r="151" spans="1:19" ht="17.25" thickBot="1">
      <c r="A151" s="13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02" t="s">
        <v>45</v>
      </c>
      <c r="M151" s="2" t="s">
        <v>37</v>
      </c>
      <c r="N151" s="12" t="s">
        <v>44</v>
      </c>
      <c r="O151" s="104" t="s">
        <v>45</v>
      </c>
      <c r="Q151" s="105"/>
      <c r="R151" s="105"/>
      <c r="S151" s="105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106"/>
      <c r="R152" s="106"/>
      <c r="S152" s="106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106"/>
      <c r="R153" s="106"/>
      <c r="S153" s="106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7"/>
      <c r="R154" s="107"/>
      <c r="S154" s="107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7"/>
      <c r="R155" s="107"/>
      <c r="S155" s="107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8"/>
      <c r="R156" s="108"/>
      <c r="S156" s="108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9"/>
      <c r="R157" s="110"/>
      <c r="S157" s="111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12"/>
      <c r="R158" s="113"/>
      <c r="S158" s="114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15"/>
      <c r="R159" s="116"/>
      <c r="S159" s="117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8"/>
      <c r="R161" s="119"/>
      <c r="S161" s="120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21"/>
      <c r="R162" s="122"/>
      <c r="S162" s="123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24"/>
      <c r="R163" s="125"/>
      <c r="S163" s="126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05"/>
      <c r="R164" s="105"/>
      <c r="S164" s="105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106"/>
      <c r="R165" s="106"/>
      <c r="S165" s="106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106"/>
      <c r="R166" s="106"/>
      <c r="S166" s="106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7"/>
      <c r="R167" s="107"/>
      <c r="S167" s="107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7"/>
      <c r="R168" s="107"/>
      <c r="S168" s="107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8"/>
      <c r="R169" s="108"/>
      <c r="S169" s="108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9"/>
      <c r="R170" s="110"/>
      <c r="S170" s="111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12"/>
      <c r="R171" s="113"/>
      <c r="S171" s="114"/>
    </row>
    <row r="172" spans="1:19" ht="17.25" thickBot="1">
      <c r="A172" s="39" t="s">
        <v>46</v>
      </c>
      <c r="B172" s="127">
        <v>100000</v>
      </c>
      <c r="C172" s="128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15"/>
      <c r="R172" s="116"/>
      <c r="S172" s="117"/>
    </row>
    <row r="174" spans="1:19" ht="17.25" thickBot="1"/>
    <row r="175" spans="1:19" ht="17.25" thickBot="1">
      <c r="A175" s="129" t="s">
        <v>290</v>
      </c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1"/>
      <c r="Q175" s="118"/>
      <c r="R175" s="119"/>
      <c r="S175" s="120"/>
    </row>
    <row r="176" spans="1:19" ht="17.25" thickBot="1">
      <c r="A176" s="98" t="s">
        <v>35</v>
      </c>
      <c r="B176" s="129" t="s">
        <v>36</v>
      </c>
      <c r="C176" s="131"/>
      <c r="D176" s="129" t="s">
        <v>37</v>
      </c>
      <c r="E176" s="130"/>
      <c r="F176" s="131"/>
      <c r="G176" s="132">
        <f>_xlfn.IFNA(VLOOKUP(B176, 현재가테이블!$B$2:$D$200, 2, FALSE), "-")</f>
        <v>77697000</v>
      </c>
      <c r="H176" s="133"/>
      <c r="I176" s="134"/>
      <c r="J176" s="129" t="s">
        <v>38</v>
      </c>
      <c r="K176" s="130"/>
      <c r="L176" s="131"/>
      <c r="M176" s="135">
        <f>_xlfn.IFNA(VLOOKUP(B176, 현재가테이블!$B$2:$D$200, 3, FALSE), "-")</f>
        <v>-2.0844097700000001E-2</v>
      </c>
      <c r="N176" s="136"/>
      <c r="O176" s="137"/>
      <c r="Q176" s="121"/>
      <c r="R176" s="122"/>
      <c r="S176" s="123"/>
    </row>
    <row r="177" spans="1:19" ht="17.25" thickBot="1">
      <c r="A177" s="138" t="s">
        <v>39</v>
      </c>
      <c r="B177" s="139" t="s">
        <v>40</v>
      </c>
      <c r="C177" s="140"/>
      <c r="D177" s="141" t="s">
        <v>41</v>
      </c>
      <c r="E177" s="142"/>
      <c r="F177" s="143"/>
      <c r="G177" s="141" t="s">
        <v>42</v>
      </c>
      <c r="H177" s="142"/>
      <c r="I177" s="143"/>
      <c r="J177" s="144" t="s">
        <v>43</v>
      </c>
      <c r="K177" s="144"/>
      <c r="L177" s="144"/>
      <c r="M177" s="141" t="s">
        <v>40</v>
      </c>
      <c r="N177" s="142"/>
      <c r="O177" s="143"/>
      <c r="Q177" s="124"/>
      <c r="R177" s="125"/>
      <c r="S177" s="126"/>
    </row>
    <row r="178" spans="1:19" ht="17.25" thickBot="1">
      <c r="A178" s="13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02" t="s">
        <v>45</v>
      </c>
      <c r="M178" s="2" t="s">
        <v>37</v>
      </c>
      <c r="N178" s="12" t="s">
        <v>44</v>
      </c>
      <c r="O178" s="104" t="s">
        <v>45</v>
      </c>
      <c r="Q178" s="105"/>
      <c r="R178" s="105"/>
      <c r="S178" s="105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106"/>
      <c r="R179" s="106"/>
      <c r="S179" s="106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106"/>
      <c r="R180" s="106"/>
      <c r="S180" s="106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7"/>
      <c r="R181" s="107"/>
      <c r="S181" s="107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7"/>
      <c r="R182" s="107"/>
      <c r="S182" s="107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8"/>
      <c r="R183" s="108"/>
      <c r="S183" s="108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9"/>
      <c r="R184" s="110"/>
      <c r="S184" s="111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12"/>
      <c r="R185" s="113"/>
      <c r="S185" s="114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15"/>
      <c r="R186" s="116"/>
      <c r="S186" s="117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8"/>
      <c r="R188" s="119"/>
      <c r="S188" s="120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21"/>
      <c r="R189" s="122"/>
      <c r="S189" s="123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24"/>
      <c r="R190" s="125"/>
      <c r="S190" s="126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05"/>
      <c r="R191" s="105"/>
      <c r="S191" s="105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106"/>
      <c r="R192" s="106"/>
      <c r="S192" s="106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106"/>
      <c r="R193" s="106"/>
      <c r="S193" s="106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7"/>
      <c r="R194" s="107"/>
      <c r="S194" s="107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7"/>
      <c r="R195" s="107"/>
      <c r="S195" s="107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8"/>
      <c r="R196" s="108"/>
      <c r="S196" s="108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9"/>
      <c r="R197" s="110"/>
      <c r="S197" s="111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12"/>
      <c r="R198" s="113"/>
      <c r="S198" s="114"/>
    </row>
    <row r="199" spans="1:19" ht="17.25" thickBot="1">
      <c r="A199" s="39" t="s">
        <v>46</v>
      </c>
      <c r="B199" s="127">
        <v>100000</v>
      </c>
      <c r="C199" s="128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15"/>
      <c r="R199" s="116"/>
      <c r="S199" s="117"/>
    </row>
  </sheetData>
  <mergeCells count="23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</vt:lpstr>
      <vt:lpstr>2021.04.14</vt:lpstr>
      <vt:lpstr>현재가테이블</vt:lpstr>
      <vt:lpstr>종목선정</vt:lpstr>
      <vt:lpstr>2021.04.18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2021-04-17T18:32:57Z</dcterms:modified>
</cp:coreProperties>
</file>