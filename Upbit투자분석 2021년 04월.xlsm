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2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4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AB36927-544E-47AA-B6D2-515CD54875DD}" xr6:coauthVersionLast="46" xr6:coauthVersionMax="46" xr10:uidLastSave="{00000000-0000-0000-0000-000000000000}"/>
  <bookViews>
    <workbookView xWindow="28680" yWindow="-120" windowWidth="29040" windowHeight="15840" activeTab="2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4.29" sheetId="10" r:id="rId5"/>
  </sheets>
  <definedNames>
    <definedName name="_xlnm._FilterDatabase" localSheetId="4" hidden="1">'2021.04.29'!#REF!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9" i="6" l="1"/>
  <c r="F189" i="6"/>
  <c r="H189" i="6"/>
  <c r="I189" i="6"/>
  <c r="K189" i="6"/>
  <c r="L189" i="6"/>
  <c r="N189" i="6"/>
  <c r="O189" i="6"/>
  <c r="E190" i="6"/>
  <c r="F190" i="6"/>
  <c r="H190" i="6"/>
  <c r="I190" i="6"/>
  <c r="K190" i="6"/>
  <c r="L190" i="6"/>
  <c r="N190" i="6"/>
  <c r="O190" i="6"/>
  <c r="E191" i="6"/>
  <c r="F191" i="6"/>
  <c r="H191" i="6"/>
  <c r="I191" i="6"/>
  <c r="K191" i="6"/>
  <c r="L191" i="6"/>
  <c r="N191" i="6"/>
  <c r="O191" i="6"/>
  <c r="E192" i="6"/>
  <c r="F192" i="6"/>
  <c r="H192" i="6"/>
  <c r="I192" i="6"/>
  <c r="K192" i="6"/>
  <c r="L192" i="6"/>
  <c r="N192" i="6"/>
  <c r="O192" i="6"/>
  <c r="E193" i="6"/>
  <c r="F193" i="6"/>
  <c r="H193" i="6"/>
  <c r="I193" i="6"/>
  <c r="K193" i="6"/>
  <c r="L193" i="6"/>
  <c r="N193" i="6"/>
  <c r="O193" i="6"/>
  <c r="E194" i="6"/>
  <c r="F194" i="6"/>
  <c r="H194" i="6"/>
  <c r="I194" i="6"/>
  <c r="K194" i="6"/>
  <c r="L194" i="6"/>
  <c r="N194" i="6"/>
  <c r="O194" i="6"/>
  <c r="E195" i="6"/>
  <c r="F195" i="6"/>
  <c r="H195" i="6"/>
  <c r="I195" i="6"/>
  <c r="K195" i="6"/>
  <c r="L195" i="6"/>
  <c r="N195" i="6"/>
  <c r="O195" i="6"/>
  <c r="E196" i="6"/>
  <c r="F196" i="6"/>
  <c r="H196" i="6"/>
  <c r="I196" i="6"/>
  <c r="K196" i="6"/>
  <c r="L196" i="6"/>
  <c r="N196" i="6"/>
  <c r="O196" i="6"/>
  <c r="E197" i="6"/>
  <c r="F197" i="6"/>
  <c r="H197" i="6"/>
  <c r="I197" i="6"/>
  <c r="K197" i="6"/>
  <c r="L197" i="6"/>
  <c r="N197" i="6"/>
  <c r="O197" i="6"/>
  <c r="E198" i="6"/>
  <c r="F198" i="6"/>
  <c r="H198" i="6"/>
  <c r="I198" i="6"/>
  <c r="K198" i="6"/>
  <c r="L198" i="6"/>
  <c r="N198" i="6"/>
  <c r="O198" i="6"/>
  <c r="O198" i="10"/>
  <c r="N198" i="10"/>
  <c r="L198" i="10"/>
  <c r="K198" i="10"/>
  <c r="I198" i="10"/>
  <c r="H198" i="10"/>
  <c r="F198" i="10"/>
  <c r="E198" i="10"/>
  <c r="O197" i="10"/>
  <c r="N197" i="10"/>
  <c r="L197" i="10"/>
  <c r="K197" i="10"/>
  <c r="I197" i="10"/>
  <c r="H197" i="10"/>
  <c r="F197" i="10"/>
  <c r="E197" i="10"/>
  <c r="O196" i="10"/>
  <c r="N196" i="10"/>
  <c r="L196" i="10"/>
  <c r="K196" i="10"/>
  <c r="I196" i="10"/>
  <c r="H196" i="10"/>
  <c r="F196" i="10"/>
  <c r="E196" i="10"/>
  <c r="O195" i="10"/>
  <c r="N195" i="10"/>
  <c r="L195" i="10"/>
  <c r="K195" i="10"/>
  <c r="I195" i="10"/>
  <c r="H195" i="10"/>
  <c r="F195" i="10"/>
  <c r="E195" i="10"/>
  <c r="O194" i="10"/>
  <c r="N194" i="10"/>
  <c r="L194" i="10"/>
  <c r="K194" i="10"/>
  <c r="I194" i="10"/>
  <c r="H194" i="10"/>
  <c r="F194" i="10"/>
  <c r="E194" i="10"/>
  <c r="O193" i="10"/>
  <c r="N193" i="10"/>
  <c r="L193" i="10"/>
  <c r="K193" i="10"/>
  <c r="I193" i="10"/>
  <c r="H193" i="10"/>
  <c r="F193" i="10"/>
  <c r="E193" i="10"/>
  <c r="O192" i="10"/>
  <c r="N192" i="10"/>
  <c r="L192" i="10"/>
  <c r="K192" i="10"/>
  <c r="I192" i="10"/>
  <c r="H192" i="10"/>
  <c r="F192" i="10"/>
  <c r="E192" i="10"/>
  <c r="O191" i="10"/>
  <c r="N191" i="10"/>
  <c r="L191" i="10"/>
  <c r="K191" i="10"/>
  <c r="I191" i="10"/>
  <c r="H191" i="10"/>
  <c r="F191" i="10"/>
  <c r="E191" i="10"/>
  <c r="O190" i="10"/>
  <c r="N190" i="10"/>
  <c r="L190" i="10"/>
  <c r="K190" i="10"/>
  <c r="I190" i="10"/>
  <c r="H190" i="10"/>
  <c r="F190" i="10"/>
  <c r="E190" i="10"/>
  <c r="O189" i="10"/>
  <c r="N189" i="10"/>
  <c r="L189" i="10"/>
  <c r="K189" i="10"/>
  <c r="I189" i="10"/>
  <c r="H189" i="10"/>
  <c r="F189" i="10"/>
  <c r="E189" i="10"/>
  <c r="N188" i="10"/>
  <c r="O188" i="10" s="1"/>
  <c r="K188" i="10"/>
  <c r="L188" i="10" s="1"/>
  <c r="H188" i="10"/>
  <c r="I188" i="10" s="1"/>
  <c r="E188" i="10"/>
  <c r="F188" i="10" s="1"/>
  <c r="N187" i="10"/>
  <c r="O187" i="10" s="1"/>
  <c r="K187" i="10"/>
  <c r="L187" i="10" s="1"/>
  <c r="H187" i="10"/>
  <c r="I187" i="10" s="1"/>
  <c r="E187" i="10"/>
  <c r="F187" i="10" s="1"/>
  <c r="O186" i="10"/>
  <c r="N186" i="10"/>
  <c r="L186" i="10"/>
  <c r="K186" i="10"/>
  <c r="H186" i="10"/>
  <c r="I186" i="10" s="1"/>
  <c r="E186" i="10"/>
  <c r="F186" i="10" s="1"/>
  <c r="N185" i="10"/>
  <c r="O185" i="10" s="1"/>
  <c r="K185" i="10"/>
  <c r="L185" i="10" s="1"/>
  <c r="H185" i="10"/>
  <c r="I185" i="10" s="1"/>
  <c r="E185" i="10"/>
  <c r="F185" i="10" s="1"/>
  <c r="N184" i="10"/>
  <c r="O184" i="10" s="1"/>
  <c r="L184" i="10"/>
  <c r="K184" i="10"/>
  <c r="H184" i="10"/>
  <c r="I184" i="10" s="1"/>
  <c r="E184" i="10"/>
  <c r="F184" i="10" s="1"/>
  <c r="N183" i="10"/>
  <c r="O183" i="10" s="1"/>
  <c r="K183" i="10"/>
  <c r="L183" i="10" s="1"/>
  <c r="H183" i="10"/>
  <c r="I183" i="10" s="1"/>
  <c r="E183" i="10"/>
  <c r="F183" i="10" s="1"/>
  <c r="N182" i="10"/>
  <c r="O182" i="10" s="1"/>
  <c r="K182" i="10"/>
  <c r="L182" i="10" s="1"/>
  <c r="H182" i="10"/>
  <c r="I182" i="10" s="1"/>
  <c r="E182" i="10"/>
  <c r="F182" i="10" s="1"/>
  <c r="O181" i="10"/>
  <c r="N181" i="10"/>
  <c r="K181" i="10"/>
  <c r="L181" i="10" s="1"/>
  <c r="H181" i="10"/>
  <c r="I181" i="10" s="1"/>
  <c r="E181" i="10"/>
  <c r="F181" i="10" s="1"/>
  <c r="N180" i="10"/>
  <c r="O180" i="10" s="1"/>
  <c r="K180" i="10"/>
  <c r="L180" i="10" s="1"/>
  <c r="H180" i="10"/>
  <c r="I180" i="10" s="1"/>
  <c r="E180" i="10"/>
  <c r="F180" i="10" s="1"/>
  <c r="N179" i="10"/>
  <c r="O179" i="10" s="1"/>
  <c r="K179" i="10"/>
  <c r="L179" i="10" s="1"/>
  <c r="L199" i="10" s="1"/>
  <c r="H179" i="10"/>
  <c r="I179" i="10" s="1"/>
  <c r="E179" i="10"/>
  <c r="F179" i="10" s="1"/>
  <c r="M177" i="10"/>
  <c r="J177" i="10"/>
  <c r="G177" i="10"/>
  <c r="D177" i="10"/>
  <c r="B177" i="10"/>
  <c r="M176" i="10"/>
  <c r="G176" i="10"/>
  <c r="N171" i="10"/>
  <c r="O171" i="10" s="1"/>
  <c r="K171" i="10"/>
  <c r="L171" i="10" s="1"/>
  <c r="H171" i="10"/>
  <c r="I171" i="10" s="1"/>
  <c r="E171" i="10"/>
  <c r="F171" i="10" s="1"/>
  <c r="O170" i="10"/>
  <c r="N170" i="10"/>
  <c r="K170" i="10"/>
  <c r="L170" i="10" s="1"/>
  <c r="H170" i="10"/>
  <c r="I170" i="10" s="1"/>
  <c r="E170" i="10"/>
  <c r="F170" i="10" s="1"/>
  <c r="N169" i="10"/>
  <c r="O169" i="10" s="1"/>
  <c r="K169" i="10"/>
  <c r="L169" i="10" s="1"/>
  <c r="H169" i="10"/>
  <c r="I169" i="10" s="1"/>
  <c r="E169" i="10"/>
  <c r="F169" i="10" s="1"/>
  <c r="O168" i="10"/>
  <c r="N168" i="10"/>
  <c r="K168" i="10"/>
  <c r="L168" i="10" s="1"/>
  <c r="H168" i="10"/>
  <c r="I168" i="10" s="1"/>
  <c r="E168" i="10"/>
  <c r="F168" i="10" s="1"/>
  <c r="N167" i="10"/>
  <c r="O167" i="10" s="1"/>
  <c r="K167" i="10"/>
  <c r="L167" i="10" s="1"/>
  <c r="H167" i="10"/>
  <c r="I167" i="10" s="1"/>
  <c r="E167" i="10"/>
  <c r="F167" i="10" s="1"/>
  <c r="N166" i="10"/>
  <c r="O166" i="10" s="1"/>
  <c r="K166" i="10"/>
  <c r="L166" i="10" s="1"/>
  <c r="H166" i="10"/>
  <c r="I166" i="10" s="1"/>
  <c r="E166" i="10"/>
  <c r="F166" i="10" s="1"/>
  <c r="O165" i="10"/>
  <c r="N165" i="10"/>
  <c r="L165" i="10"/>
  <c r="K165" i="10"/>
  <c r="H165" i="10"/>
  <c r="I165" i="10" s="1"/>
  <c r="E165" i="10"/>
  <c r="F165" i="10" s="1"/>
  <c r="N164" i="10"/>
  <c r="O164" i="10" s="1"/>
  <c r="K164" i="10"/>
  <c r="L164" i="10" s="1"/>
  <c r="H164" i="10"/>
  <c r="I164" i="10" s="1"/>
  <c r="E164" i="10"/>
  <c r="F164" i="10" s="1"/>
  <c r="O163" i="10"/>
  <c r="N163" i="10"/>
  <c r="K163" i="10"/>
  <c r="L163" i="10" s="1"/>
  <c r="H163" i="10"/>
  <c r="I163" i="10" s="1"/>
  <c r="E163" i="10"/>
  <c r="F163" i="10" s="1"/>
  <c r="O162" i="10"/>
  <c r="N162" i="10"/>
  <c r="K162" i="10"/>
  <c r="L162" i="10" s="1"/>
  <c r="H162" i="10"/>
  <c r="I162" i="10" s="1"/>
  <c r="E162" i="10"/>
  <c r="F162" i="10" s="1"/>
  <c r="N161" i="10"/>
  <c r="O161" i="10" s="1"/>
  <c r="K161" i="10"/>
  <c r="L161" i="10" s="1"/>
  <c r="H161" i="10"/>
  <c r="I161" i="10" s="1"/>
  <c r="E161" i="10"/>
  <c r="F161" i="10" s="1"/>
  <c r="N160" i="10"/>
  <c r="O160" i="10" s="1"/>
  <c r="K160" i="10"/>
  <c r="L160" i="10" s="1"/>
  <c r="H160" i="10"/>
  <c r="I160" i="10" s="1"/>
  <c r="E160" i="10"/>
  <c r="F160" i="10" s="1"/>
  <c r="N159" i="10"/>
  <c r="O159" i="10" s="1"/>
  <c r="K159" i="10"/>
  <c r="L159" i="10" s="1"/>
  <c r="H159" i="10"/>
  <c r="I159" i="10" s="1"/>
  <c r="E159" i="10"/>
  <c r="F159" i="10" s="1"/>
  <c r="N158" i="10"/>
  <c r="O158" i="10" s="1"/>
  <c r="K158" i="10"/>
  <c r="L158" i="10" s="1"/>
  <c r="H158" i="10"/>
  <c r="I158" i="10" s="1"/>
  <c r="E158" i="10"/>
  <c r="F158" i="10" s="1"/>
  <c r="N157" i="10"/>
  <c r="O157" i="10" s="1"/>
  <c r="L157" i="10"/>
  <c r="K157" i="10"/>
  <c r="H157" i="10"/>
  <c r="I157" i="10" s="1"/>
  <c r="E157" i="10"/>
  <c r="F157" i="10" s="1"/>
  <c r="O156" i="10"/>
  <c r="N156" i="10"/>
  <c r="K156" i="10"/>
  <c r="L156" i="10" s="1"/>
  <c r="H156" i="10"/>
  <c r="I156" i="10" s="1"/>
  <c r="E156" i="10"/>
  <c r="F156" i="10" s="1"/>
  <c r="N155" i="10"/>
  <c r="O155" i="10" s="1"/>
  <c r="K155" i="10"/>
  <c r="L155" i="10" s="1"/>
  <c r="H155" i="10"/>
  <c r="I155" i="10" s="1"/>
  <c r="E155" i="10"/>
  <c r="F155" i="10" s="1"/>
  <c r="N154" i="10"/>
  <c r="O154" i="10" s="1"/>
  <c r="K154" i="10"/>
  <c r="L154" i="10" s="1"/>
  <c r="H154" i="10"/>
  <c r="I154" i="10" s="1"/>
  <c r="E154" i="10"/>
  <c r="F154" i="10" s="1"/>
  <c r="O153" i="10"/>
  <c r="N153" i="10"/>
  <c r="K153" i="10"/>
  <c r="L153" i="10" s="1"/>
  <c r="H153" i="10"/>
  <c r="I153" i="10" s="1"/>
  <c r="E153" i="10"/>
  <c r="F153" i="10" s="1"/>
  <c r="N152" i="10"/>
  <c r="K152" i="10"/>
  <c r="H152" i="10"/>
  <c r="E152" i="10"/>
  <c r="M150" i="10"/>
  <c r="J150" i="10"/>
  <c r="G150" i="10"/>
  <c r="D150" i="10"/>
  <c r="B150" i="10"/>
  <c r="M149" i="10"/>
  <c r="G149" i="10"/>
  <c r="O144" i="10"/>
  <c r="N144" i="10"/>
  <c r="L144" i="10"/>
  <c r="K144" i="10"/>
  <c r="I144" i="10"/>
  <c r="H144" i="10"/>
  <c r="F144" i="10"/>
  <c r="E144" i="10"/>
  <c r="N143" i="10"/>
  <c r="O143" i="10" s="1"/>
  <c r="K143" i="10"/>
  <c r="L143" i="10" s="1"/>
  <c r="H143" i="10"/>
  <c r="I143" i="10" s="1"/>
  <c r="E143" i="10"/>
  <c r="F143" i="10" s="1"/>
  <c r="N142" i="10"/>
  <c r="O142" i="10" s="1"/>
  <c r="L142" i="10"/>
  <c r="K142" i="10"/>
  <c r="H142" i="10"/>
  <c r="I142" i="10" s="1"/>
  <c r="E142" i="10"/>
  <c r="F142" i="10" s="1"/>
  <c r="N141" i="10"/>
  <c r="O141" i="10" s="1"/>
  <c r="K141" i="10"/>
  <c r="L141" i="10" s="1"/>
  <c r="H141" i="10"/>
  <c r="I141" i="10" s="1"/>
  <c r="E141" i="10"/>
  <c r="F141" i="10" s="1"/>
  <c r="N140" i="10"/>
  <c r="O140" i="10" s="1"/>
  <c r="K140" i="10"/>
  <c r="L140" i="10" s="1"/>
  <c r="H140" i="10"/>
  <c r="I140" i="10" s="1"/>
  <c r="E140" i="10"/>
  <c r="F140" i="10" s="1"/>
  <c r="N139" i="10"/>
  <c r="O139" i="10" s="1"/>
  <c r="L139" i="10"/>
  <c r="K139" i="10"/>
  <c r="H139" i="10"/>
  <c r="I139" i="10" s="1"/>
  <c r="E139" i="10"/>
  <c r="F139" i="10" s="1"/>
  <c r="N138" i="10"/>
  <c r="O138" i="10" s="1"/>
  <c r="K138" i="10"/>
  <c r="L138" i="10" s="1"/>
  <c r="H138" i="10"/>
  <c r="I138" i="10" s="1"/>
  <c r="E138" i="10"/>
  <c r="F138" i="10" s="1"/>
  <c r="N137" i="10"/>
  <c r="O137" i="10" s="1"/>
  <c r="K137" i="10"/>
  <c r="L137" i="10" s="1"/>
  <c r="H137" i="10"/>
  <c r="I137" i="10" s="1"/>
  <c r="E137" i="10"/>
  <c r="F137" i="10" s="1"/>
  <c r="N136" i="10"/>
  <c r="O136" i="10" s="1"/>
  <c r="K136" i="10"/>
  <c r="L136" i="10" s="1"/>
  <c r="H136" i="10"/>
  <c r="I136" i="10" s="1"/>
  <c r="E136" i="10"/>
  <c r="F136" i="10" s="1"/>
  <c r="N135" i="10"/>
  <c r="O135" i="10" s="1"/>
  <c r="K135" i="10"/>
  <c r="L135" i="10" s="1"/>
  <c r="H135" i="10"/>
  <c r="I135" i="10" s="1"/>
  <c r="E135" i="10"/>
  <c r="F135" i="10" s="1"/>
  <c r="O134" i="10"/>
  <c r="N134" i="10"/>
  <c r="K134" i="10"/>
  <c r="L134" i="10" s="1"/>
  <c r="H134" i="10"/>
  <c r="I134" i="10" s="1"/>
  <c r="E134" i="10"/>
  <c r="F134" i="10" s="1"/>
  <c r="N133" i="10"/>
  <c r="O133" i="10" s="1"/>
  <c r="K133" i="10"/>
  <c r="L133" i="10" s="1"/>
  <c r="H133" i="10"/>
  <c r="I133" i="10" s="1"/>
  <c r="E133" i="10"/>
  <c r="F133" i="10" s="1"/>
  <c r="N132" i="10"/>
  <c r="O132" i="10" s="1"/>
  <c r="L132" i="10"/>
  <c r="K132" i="10"/>
  <c r="H132" i="10"/>
  <c r="I132" i="10" s="1"/>
  <c r="E132" i="10"/>
  <c r="F132" i="10" s="1"/>
  <c r="N131" i="10"/>
  <c r="O131" i="10" s="1"/>
  <c r="K131" i="10"/>
  <c r="L131" i="10" s="1"/>
  <c r="H131" i="10"/>
  <c r="I131" i="10" s="1"/>
  <c r="E131" i="10"/>
  <c r="F131" i="10" s="1"/>
  <c r="N130" i="10"/>
  <c r="O130" i="10" s="1"/>
  <c r="K130" i="10"/>
  <c r="L130" i="10" s="1"/>
  <c r="H130" i="10"/>
  <c r="I130" i="10" s="1"/>
  <c r="E130" i="10"/>
  <c r="F130" i="10" s="1"/>
  <c r="N129" i="10"/>
  <c r="O129" i="10" s="1"/>
  <c r="L129" i="10"/>
  <c r="K129" i="10"/>
  <c r="H129" i="10"/>
  <c r="I129" i="10" s="1"/>
  <c r="E129" i="10"/>
  <c r="F129" i="10" s="1"/>
  <c r="N128" i="10"/>
  <c r="O128" i="10" s="1"/>
  <c r="K128" i="10"/>
  <c r="L128" i="10" s="1"/>
  <c r="H128" i="10"/>
  <c r="I128" i="10" s="1"/>
  <c r="E128" i="10"/>
  <c r="F128" i="10" s="1"/>
  <c r="O127" i="10"/>
  <c r="N127" i="10"/>
  <c r="L127" i="10"/>
  <c r="K127" i="10"/>
  <c r="H127" i="10"/>
  <c r="I127" i="10" s="1"/>
  <c r="E127" i="10"/>
  <c r="F127" i="10" s="1"/>
  <c r="N126" i="10"/>
  <c r="O126" i="10" s="1"/>
  <c r="K126" i="10"/>
  <c r="L126" i="10" s="1"/>
  <c r="H126" i="10"/>
  <c r="I126" i="10" s="1"/>
  <c r="E126" i="10"/>
  <c r="F126" i="10" s="1"/>
  <c r="O125" i="10"/>
  <c r="N125" i="10"/>
  <c r="K125" i="10"/>
  <c r="H125" i="10"/>
  <c r="I125" i="10" s="1"/>
  <c r="E125" i="10"/>
  <c r="M123" i="10"/>
  <c r="J123" i="10"/>
  <c r="G123" i="10"/>
  <c r="D123" i="10"/>
  <c r="B123" i="10"/>
  <c r="M122" i="10"/>
  <c r="G122" i="10"/>
  <c r="O117" i="10"/>
  <c r="N117" i="10"/>
  <c r="L117" i="10"/>
  <c r="K117" i="10"/>
  <c r="H117" i="10"/>
  <c r="I117" i="10" s="1"/>
  <c r="E117" i="10"/>
  <c r="F117" i="10" s="1"/>
  <c r="N116" i="10"/>
  <c r="O116" i="10" s="1"/>
  <c r="K116" i="10"/>
  <c r="L116" i="10" s="1"/>
  <c r="H116" i="10"/>
  <c r="I116" i="10" s="1"/>
  <c r="E116" i="10"/>
  <c r="F116" i="10" s="1"/>
  <c r="N115" i="10"/>
  <c r="O115" i="10" s="1"/>
  <c r="L115" i="10"/>
  <c r="K115" i="10"/>
  <c r="H115" i="10"/>
  <c r="I115" i="10" s="1"/>
  <c r="E115" i="10"/>
  <c r="F115" i="10" s="1"/>
  <c r="O114" i="10"/>
  <c r="N114" i="10"/>
  <c r="K114" i="10"/>
  <c r="L114" i="10" s="1"/>
  <c r="H114" i="10"/>
  <c r="I114" i="10" s="1"/>
  <c r="E114" i="10"/>
  <c r="F114" i="10" s="1"/>
  <c r="N113" i="10"/>
  <c r="O113" i="10" s="1"/>
  <c r="L113" i="10"/>
  <c r="K113" i="10"/>
  <c r="H113" i="10"/>
  <c r="I113" i="10" s="1"/>
  <c r="E113" i="10"/>
  <c r="F113" i="10" s="1"/>
  <c r="N112" i="10"/>
  <c r="O112" i="10" s="1"/>
  <c r="K112" i="10"/>
  <c r="L112" i="10" s="1"/>
  <c r="H112" i="10"/>
  <c r="I112" i="10" s="1"/>
  <c r="E112" i="10"/>
  <c r="F112" i="10" s="1"/>
  <c r="N111" i="10"/>
  <c r="O111" i="10" s="1"/>
  <c r="L111" i="10"/>
  <c r="K111" i="10"/>
  <c r="H111" i="10"/>
  <c r="I111" i="10" s="1"/>
  <c r="E111" i="10"/>
  <c r="F111" i="10" s="1"/>
  <c r="N110" i="10"/>
  <c r="O110" i="10" s="1"/>
  <c r="K110" i="10"/>
  <c r="L110" i="10" s="1"/>
  <c r="H110" i="10"/>
  <c r="I110" i="10" s="1"/>
  <c r="E110" i="10"/>
  <c r="F110" i="10" s="1"/>
  <c r="O109" i="10"/>
  <c r="N109" i="10"/>
  <c r="L109" i="10"/>
  <c r="K109" i="10"/>
  <c r="H109" i="10"/>
  <c r="I109" i="10" s="1"/>
  <c r="E109" i="10"/>
  <c r="F109" i="10" s="1"/>
  <c r="N108" i="10"/>
  <c r="O108" i="10" s="1"/>
  <c r="K108" i="10"/>
  <c r="L108" i="10" s="1"/>
  <c r="H108" i="10"/>
  <c r="I108" i="10" s="1"/>
  <c r="E108" i="10"/>
  <c r="F108" i="10" s="1"/>
  <c r="N107" i="10"/>
  <c r="O107" i="10" s="1"/>
  <c r="L107" i="10"/>
  <c r="K107" i="10"/>
  <c r="H107" i="10"/>
  <c r="I107" i="10" s="1"/>
  <c r="E107" i="10"/>
  <c r="F107" i="10" s="1"/>
  <c r="O106" i="10"/>
  <c r="N106" i="10"/>
  <c r="K106" i="10"/>
  <c r="L106" i="10" s="1"/>
  <c r="H106" i="10"/>
  <c r="I106" i="10" s="1"/>
  <c r="E106" i="10"/>
  <c r="F106" i="10" s="1"/>
  <c r="N105" i="10"/>
  <c r="O105" i="10" s="1"/>
  <c r="L105" i="10"/>
  <c r="K105" i="10"/>
  <c r="H105" i="10"/>
  <c r="I105" i="10" s="1"/>
  <c r="E105" i="10"/>
  <c r="F105" i="10" s="1"/>
  <c r="N104" i="10"/>
  <c r="O104" i="10" s="1"/>
  <c r="K104" i="10"/>
  <c r="L104" i="10" s="1"/>
  <c r="H104" i="10"/>
  <c r="I104" i="10" s="1"/>
  <c r="E104" i="10"/>
  <c r="F104" i="10" s="1"/>
  <c r="N103" i="10"/>
  <c r="O103" i="10" s="1"/>
  <c r="L103" i="10"/>
  <c r="K103" i="10"/>
  <c r="H103" i="10"/>
  <c r="I103" i="10" s="1"/>
  <c r="E103" i="10"/>
  <c r="F103" i="10" s="1"/>
  <c r="N102" i="10"/>
  <c r="O102" i="10" s="1"/>
  <c r="K102" i="10"/>
  <c r="L102" i="10" s="1"/>
  <c r="H102" i="10"/>
  <c r="I102" i="10" s="1"/>
  <c r="E102" i="10"/>
  <c r="F102" i="10" s="1"/>
  <c r="O101" i="10"/>
  <c r="N101" i="10"/>
  <c r="L101" i="10"/>
  <c r="K101" i="10"/>
  <c r="H101" i="10"/>
  <c r="I101" i="10" s="1"/>
  <c r="E101" i="10"/>
  <c r="F101" i="10" s="1"/>
  <c r="N100" i="10"/>
  <c r="O100" i="10" s="1"/>
  <c r="K100" i="10"/>
  <c r="L100" i="10" s="1"/>
  <c r="H100" i="10"/>
  <c r="I100" i="10" s="1"/>
  <c r="E100" i="10"/>
  <c r="F100" i="10" s="1"/>
  <c r="N99" i="10"/>
  <c r="O99" i="10" s="1"/>
  <c r="L99" i="10"/>
  <c r="K99" i="10"/>
  <c r="H99" i="10"/>
  <c r="I99" i="10" s="1"/>
  <c r="E99" i="10"/>
  <c r="F99" i="10" s="1"/>
  <c r="O98" i="10"/>
  <c r="N98" i="10"/>
  <c r="K98" i="10"/>
  <c r="K118" i="10" s="1"/>
  <c r="H98" i="10"/>
  <c r="E98" i="10"/>
  <c r="F98" i="10" s="1"/>
  <c r="M96" i="10"/>
  <c r="J96" i="10"/>
  <c r="G96" i="10"/>
  <c r="D96" i="10"/>
  <c r="B96" i="10"/>
  <c r="M95" i="10"/>
  <c r="G95" i="10"/>
  <c r="N90" i="10"/>
  <c r="O90" i="10" s="1"/>
  <c r="K90" i="10"/>
  <c r="L90" i="10" s="1"/>
  <c r="H90" i="10"/>
  <c r="I90" i="10" s="1"/>
  <c r="E90" i="10"/>
  <c r="F90" i="10" s="1"/>
  <c r="N89" i="10"/>
  <c r="O89" i="10" s="1"/>
  <c r="L89" i="10"/>
  <c r="K89" i="10"/>
  <c r="H89" i="10"/>
  <c r="I89" i="10" s="1"/>
  <c r="E89" i="10"/>
  <c r="F89" i="10" s="1"/>
  <c r="N88" i="10"/>
  <c r="O88" i="10" s="1"/>
  <c r="L88" i="10"/>
  <c r="K88" i="10"/>
  <c r="H88" i="10"/>
  <c r="I88" i="10" s="1"/>
  <c r="E88" i="10"/>
  <c r="F88" i="10" s="1"/>
  <c r="N87" i="10"/>
  <c r="O87" i="10" s="1"/>
  <c r="L87" i="10"/>
  <c r="K87" i="10"/>
  <c r="H87" i="10"/>
  <c r="I87" i="10" s="1"/>
  <c r="E87" i="10"/>
  <c r="F87" i="10" s="1"/>
  <c r="N86" i="10"/>
  <c r="O86" i="10" s="1"/>
  <c r="K86" i="10"/>
  <c r="L86" i="10" s="1"/>
  <c r="H86" i="10"/>
  <c r="I86" i="10" s="1"/>
  <c r="E86" i="10"/>
  <c r="F86" i="10" s="1"/>
  <c r="O85" i="10"/>
  <c r="N85" i="10"/>
  <c r="L85" i="10"/>
  <c r="K85" i="10"/>
  <c r="H85" i="10"/>
  <c r="I85" i="10" s="1"/>
  <c r="E85" i="10"/>
  <c r="F85" i="10" s="1"/>
  <c r="N84" i="10"/>
  <c r="O84" i="10" s="1"/>
  <c r="L84" i="10"/>
  <c r="K84" i="10"/>
  <c r="H84" i="10"/>
  <c r="I84" i="10" s="1"/>
  <c r="E84" i="10"/>
  <c r="F84" i="10" s="1"/>
  <c r="O83" i="10"/>
  <c r="N83" i="10"/>
  <c r="L83" i="10"/>
  <c r="K83" i="10"/>
  <c r="H83" i="10"/>
  <c r="I83" i="10" s="1"/>
  <c r="E83" i="10"/>
  <c r="F83" i="10" s="1"/>
  <c r="N82" i="10"/>
  <c r="O82" i="10" s="1"/>
  <c r="L82" i="10"/>
  <c r="K82" i="10"/>
  <c r="H82" i="10"/>
  <c r="I82" i="10" s="1"/>
  <c r="E82" i="10"/>
  <c r="F82" i="10" s="1"/>
  <c r="N81" i="10"/>
  <c r="O81" i="10" s="1"/>
  <c r="K81" i="10"/>
  <c r="L81" i="10" s="1"/>
  <c r="H81" i="10"/>
  <c r="I81" i="10" s="1"/>
  <c r="E81" i="10"/>
  <c r="F81" i="10" s="1"/>
  <c r="N80" i="10"/>
  <c r="O80" i="10" s="1"/>
  <c r="K80" i="10"/>
  <c r="L80" i="10" s="1"/>
  <c r="H80" i="10"/>
  <c r="I80" i="10" s="1"/>
  <c r="E80" i="10"/>
  <c r="F80" i="10" s="1"/>
  <c r="N79" i="10"/>
  <c r="O79" i="10" s="1"/>
  <c r="K79" i="10"/>
  <c r="L79" i="10" s="1"/>
  <c r="H79" i="10"/>
  <c r="I79" i="10" s="1"/>
  <c r="E79" i="10"/>
  <c r="F79" i="10" s="1"/>
  <c r="N78" i="10"/>
  <c r="O78" i="10" s="1"/>
  <c r="L78" i="10"/>
  <c r="K78" i="10"/>
  <c r="H78" i="10"/>
  <c r="I78" i="10" s="1"/>
  <c r="E78" i="10"/>
  <c r="F78" i="10" s="1"/>
  <c r="O77" i="10"/>
  <c r="N77" i="10"/>
  <c r="K77" i="10"/>
  <c r="L77" i="10" s="1"/>
  <c r="H77" i="10"/>
  <c r="I77" i="10" s="1"/>
  <c r="E77" i="10"/>
  <c r="F77" i="10" s="1"/>
  <c r="N76" i="10"/>
  <c r="O76" i="10" s="1"/>
  <c r="K76" i="10"/>
  <c r="L76" i="10" s="1"/>
  <c r="H76" i="10"/>
  <c r="I76" i="10" s="1"/>
  <c r="E76" i="10"/>
  <c r="F76" i="10" s="1"/>
  <c r="N75" i="10"/>
  <c r="O75" i="10" s="1"/>
  <c r="K75" i="10"/>
  <c r="L75" i="10" s="1"/>
  <c r="H75" i="10"/>
  <c r="I75" i="10" s="1"/>
  <c r="E75" i="10"/>
  <c r="F75" i="10" s="1"/>
  <c r="O74" i="10"/>
  <c r="N74" i="10"/>
  <c r="L74" i="10"/>
  <c r="K74" i="10"/>
  <c r="H74" i="10"/>
  <c r="I74" i="10" s="1"/>
  <c r="E74" i="10"/>
  <c r="F74" i="10" s="1"/>
  <c r="N73" i="10"/>
  <c r="O73" i="10" s="1"/>
  <c r="K73" i="10"/>
  <c r="L73" i="10" s="1"/>
  <c r="H73" i="10"/>
  <c r="I73" i="10" s="1"/>
  <c r="E73" i="10"/>
  <c r="F73" i="10" s="1"/>
  <c r="O72" i="10"/>
  <c r="N72" i="10"/>
  <c r="K72" i="10"/>
  <c r="L72" i="10" s="1"/>
  <c r="H72" i="10"/>
  <c r="I72" i="10" s="1"/>
  <c r="E72" i="10"/>
  <c r="F72" i="10" s="1"/>
  <c r="N71" i="10"/>
  <c r="K71" i="10"/>
  <c r="L71" i="10" s="1"/>
  <c r="H71" i="10"/>
  <c r="E71" i="10"/>
  <c r="F71" i="10" s="1"/>
  <c r="M69" i="10"/>
  <c r="J69" i="10"/>
  <c r="G69" i="10"/>
  <c r="D69" i="10"/>
  <c r="B69" i="10"/>
  <c r="M68" i="10"/>
  <c r="G68" i="10"/>
  <c r="O63" i="10"/>
  <c r="N63" i="10"/>
  <c r="L63" i="10"/>
  <c r="K63" i="10"/>
  <c r="I63" i="10"/>
  <c r="H63" i="10"/>
  <c r="F63" i="10"/>
  <c r="E63" i="10"/>
  <c r="N62" i="10"/>
  <c r="O62" i="10" s="1"/>
  <c r="L62" i="10"/>
  <c r="K62" i="10"/>
  <c r="H62" i="10"/>
  <c r="I62" i="10" s="1"/>
  <c r="E62" i="10"/>
  <c r="F62" i="10" s="1"/>
  <c r="N61" i="10"/>
  <c r="O61" i="10" s="1"/>
  <c r="K61" i="10"/>
  <c r="L61" i="10" s="1"/>
  <c r="H61" i="10"/>
  <c r="I61" i="10" s="1"/>
  <c r="E61" i="10"/>
  <c r="F61" i="10" s="1"/>
  <c r="O60" i="10"/>
  <c r="N60" i="10"/>
  <c r="L60" i="10"/>
  <c r="K60" i="10"/>
  <c r="H60" i="10"/>
  <c r="I60" i="10" s="1"/>
  <c r="E60" i="10"/>
  <c r="F60" i="10" s="1"/>
  <c r="N59" i="10"/>
  <c r="O59" i="10" s="1"/>
  <c r="K59" i="10"/>
  <c r="L59" i="10" s="1"/>
  <c r="H59" i="10"/>
  <c r="I59" i="10" s="1"/>
  <c r="E59" i="10"/>
  <c r="F59" i="10" s="1"/>
  <c r="O58" i="10"/>
  <c r="N58" i="10"/>
  <c r="L58" i="10"/>
  <c r="K58" i="10"/>
  <c r="H58" i="10"/>
  <c r="I58" i="10" s="1"/>
  <c r="E58" i="10"/>
  <c r="F58" i="10" s="1"/>
  <c r="N57" i="10"/>
  <c r="O57" i="10" s="1"/>
  <c r="K57" i="10"/>
  <c r="L57" i="10" s="1"/>
  <c r="H57" i="10"/>
  <c r="I57" i="10" s="1"/>
  <c r="E57" i="10"/>
  <c r="F57" i="10" s="1"/>
  <c r="N56" i="10"/>
  <c r="O56" i="10" s="1"/>
  <c r="L56" i="10"/>
  <c r="K56" i="10"/>
  <c r="H56" i="10"/>
  <c r="I56" i="10" s="1"/>
  <c r="E56" i="10"/>
  <c r="F56" i="10" s="1"/>
  <c r="N55" i="10"/>
  <c r="O55" i="10" s="1"/>
  <c r="K55" i="10"/>
  <c r="L55" i="10" s="1"/>
  <c r="H55" i="10"/>
  <c r="I55" i="10" s="1"/>
  <c r="E55" i="10"/>
  <c r="F55" i="10" s="1"/>
  <c r="N54" i="10"/>
  <c r="O54" i="10" s="1"/>
  <c r="K54" i="10"/>
  <c r="L54" i="10" s="1"/>
  <c r="H54" i="10"/>
  <c r="I54" i="10" s="1"/>
  <c r="E54" i="10"/>
  <c r="F54" i="10" s="1"/>
  <c r="O53" i="10"/>
  <c r="N53" i="10"/>
  <c r="L53" i="10"/>
  <c r="K53" i="10"/>
  <c r="H53" i="10"/>
  <c r="I53" i="10" s="1"/>
  <c r="E53" i="10"/>
  <c r="F53" i="10" s="1"/>
  <c r="N52" i="10"/>
  <c r="O52" i="10" s="1"/>
  <c r="K52" i="10"/>
  <c r="L52" i="10" s="1"/>
  <c r="H52" i="10"/>
  <c r="I52" i="10" s="1"/>
  <c r="E52" i="10"/>
  <c r="F52" i="10" s="1"/>
  <c r="N51" i="10"/>
  <c r="O51" i="10" s="1"/>
  <c r="L51" i="10"/>
  <c r="K51" i="10"/>
  <c r="H51" i="10"/>
  <c r="I51" i="10" s="1"/>
  <c r="E51" i="10"/>
  <c r="F51" i="10" s="1"/>
  <c r="N50" i="10"/>
  <c r="O50" i="10" s="1"/>
  <c r="K50" i="10"/>
  <c r="L50" i="10" s="1"/>
  <c r="H50" i="10"/>
  <c r="I50" i="10" s="1"/>
  <c r="E50" i="10"/>
  <c r="F50" i="10" s="1"/>
  <c r="N49" i="10"/>
  <c r="O49" i="10" s="1"/>
  <c r="L49" i="10"/>
  <c r="K49" i="10"/>
  <c r="H49" i="10"/>
  <c r="I49" i="10" s="1"/>
  <c r="E49" i="10"/>
  <c r="F49" i="10" s="1"/>
  <c r="N48" i="10"/>
  <c r="O48" i="10" s="1"/>
  <c r="K48" i="10"/>
  <c r="L48" i="10" s="1"/>
  <c r="H48" i="10"/>
  <c r="I48" i="10" s="1"/>
  <c r="E48" i="10"/>
  <c r="F48" i="10" s="1"/>
  <c r="N47" i="10"/>
  <c r="O47" i="10" s="1"/>
  <c r="K47" i="10"/>
  <c r="L47" i="10" s="1"/>
  <c r="H47" i="10"/>
  <c r="I47" i="10" s="1"/>
  <c r="E47" i="10"/>
  <c r="F47" i="10" s="1"/>
  <c r="O46" i="10"/>
  <c r="N46" i="10"/>
  <c r="L46" i="10"/>
  <c r="K46" i="10"/>
  <c r="H46" i="10"/>
  <c r="I46" i="10" s="1"/>
  <c r="E46" i="10"/>
  <c r="F46" i="10" s="1"/>
  <c r="N45" i="10"/>
  <c r="O45" i="10" s="1"/>
  <c r="K45" i="10"/>
  <c r="L45" i="10" s="1"/>
  <c r="H45" i="10"/>
  <c r="I45" i="10" s="1"/>
  <c r="E45" i="10"/>
  <c r="F45" i="10" s="1"/>
  <c r="N44" i="10"/>
  <c r="N64" i="10" s="1"/>
  <c r="L44" i="10"/>
  <c r="K44" i="10"/>
  <c r="H44" i="10"/>
  <c r="E44" i="10"/>
  <c r="M42" i="10"/>
  <c r="J42" i="10"/>
  <c r="G42" i="10"/>
  <c r="D42" i="10"/>
  <c r="B42" i="10"/>
  <c r="M41" i="10"/>
  <c r="G41" i="10"/>
  <c r="N36" i="10"/>
  <c r="M36" i="10"/>
  <c r="O36" i="10" s="1"/>
  <c r="K36" i="10"/>
  <c r="J36" i="10"/>
  <c r="L36" i="10" s="1"/>
  <c r="H36" i="10"/>
  <c r="G36" i="10"/>
  <c r="I36" i="10" s="1"/>
  <c r="E36" i="10"/>
  <c r="D36" i="10"/>
  <c r="F36" i="10" s="1"/>
  <c r="C36" i="10"/>
  <c r="B36" i="10"/>
  <c r="N35" i="10"/>
  <c r="M35" i="10"/>
  <c r="O35" i="10" s="1"/>
  <c r="K35" i="10"/>
  <c r="J35" i="10"/>
  <c r="L35" i="10" s="1"/>
  <c r="H35" i="10"/>
  <c r="G35" i="10"/>
  <c r="I35" i="10" s="1"/>
  <c r="E35" i="10"/>
  <c r="D35" i="10"/>
  <c r="F35" i="10" s="1"/>
  <c r="C35" i="10"/>
  <c r="B35" i="10"/>
  <c r="N34" i="10"/>
  <c r="M34" i="10"/>
  <c r="O34" i="10" s="1"/>
  <c r="K34" i="10"/>
  <c r="J34" i="10"/>
  <c r="L34" i="10" s="1"/>
  <c r="H34" i="10"/>
  <c r="G34" i="10"/>
  <c r="I34" i="10" s="1"/>
  <c r="E34" i="10"/>
  <c r="D34" i="10"/>
  <c r="F34" i="10" s="1"/>
  <c r="C34" i="10"/>
  <c r="B34" i="10"/>
  <c r="N33" i="10"/>
  <c r="M33" i="10"/>
  <c r="O33" i="10" s="1"/>
  <c r="K33" i="10"/>
  <c r="J33" i="10"/>
  <c r="L33" i="10" s="1"/>
  <c r="H33" i="10"/>
  <c r="G33" i="10"/>
  <c r="I33" i="10" s="1"/>
  <c r="E33" i="10"/>
  <c r="D33" i="10"/>
  <c r="F33" i="10" s="1"/>
  <c r="C33" i="10"/>
  <c r="B33" i="10"/>
  <c r="N32" i="10"/>
  <c r="M32" i="10"/>
  <c r="O32" i="10" s="1"/>
  <c r="K32" i="10"/>
  <c r="J32" i="10"/>
  <c r="L32" i="10" s="1"/>
  <c r="H32" i="10"/>
  <c r="G32" i="10"/>
  <c r="I32" i="10" s="1"/>
  <c r="E32" i="10"/>
  <c r="D32" i="10"/>
  <c r="F32" i="10" s="1"/>
  <c r="C32" i="10"/>
  <c r="B32" i="10"/>
  <c r="N31" i="10"/>
  <c r="M31" i="10"/>
  <c r="O31" i="10" s="1"/>
  <c r="K31" i="10"/>
  <c r="J31" i="10"/>
  <c r="L31" i="10" s="1"/>
  <c r="H31" i="10"/>
  <c r="G31" i="10"/>
  <c r="I31" i="10" s="1"/>
  <c r="E31" i="10"/>
  <c r="D31" i="10"/>
  <c r="F31" i="10" s="1"/>
  <c r="C31" i="10"/>
  <c r="B31" i="10"/>
  <c r="N30" i="10"/>
  <c r="M30" i="10"/>
  <c r="O30" i="10" s="1"/>
  <c r="K30" i="10"/>
  <c r="J30" i="10"/>
  <c r="L30" i="10" s="1"/>
  <c r="H30" i="10"/>
  <c r="G30" i="10"/>
  <c r="I30" i="10" s="1"/>
  <c r="E30" i="10"/>
  <c r="D30" i="10"/>
  <c r="F30" i="10" s="1"/>
  <c r="C30" i="10"/>
  <c r="B30" i="10"/>
  <c r="N29" i="10"/>
  <c r="M29" i="10"/>
  <c r="O29" i="10" s="1"/>
  <c r="K29" i="10"/>
  <c r="J29" i="10"/>
  <c r="L29" i="10" s="1"/>
  <c r="H29" i="10"/>
  <c r="G29" i="10"/>
  <c r="I29" i="10" s="1"/>
  <c r="E29" i="10"/>
  <c r="D29" i="10"/>
  <c r="F29" i="10" s="1"/>
  <c r="C29" i="10"/>
  <c r="B29" i="10"/>
  <c r="N28" i="10"/>
  <c r="M28" i="10"/>
  <c r="O28" i="10" s="1"/>
  <c r="K28" i="10"/>
  <c r="J28" i="10"/>
  <c r="L28" i="10" s="1"/>
  <c r="H28" i="10"/>
  <c r="G28" i="10"/>
  <c r="I28" i="10" s="1"/>
  <c r="E28" i="10"/>
  <c r="D28" i="10"/>
  <c r="F28" i="10" s="1"/>
  <c r="C28" i="10"/>
  <c r="B28" i="10"/>
  <c r="N27" i="10"/>
  <c r="M27" i="10"/>
  <c r="O27" i="10" s="1"/>
  <c r="K27" i="10"/>
  <c r="J27" i="10"/>
  <c r="L27" i="10" s="1"/>
  <c r="H27" i="10"/>
  <c r="G27" i="10"/>
  <c r="I27" i="10" s="1"/>
  <c r="E27" i="10"/>
  <c r="D27" i="10"/>
  <c r="F27" i="10" s="1"/>
  <c r="C27" i="10"/>
  <c r="B27" i="10"/>
  <c r="N26" i="10"/>
  <c r="M26" i="10"/>
  <c r="O26" i="10" s="1"/>
  <c r="K26" i="10"/>
  <c r="J26" i="10"/>
  <c r="L26" i="10" s="1"/>
  <c r="H26" i="10"/>
  <c r="G26" i="10"/>
  <c r="I26" i="10" s="1"/>
  <c r="E26" i="10"/>
  <c r="D26" i="10"/>
  <c r="F26" i="10" s="1"/>
  <c r="C26" i="10"/>
  <c r="B26" i="10"/>
  <c r="N25" i="10"/>
  <c r="M25" i="10"/>
  <c r="O25" i="10" s="1"/>
  <c r="K25" i="10"/>
  <c r="J25" i="10"/>
  <c r="L25" i="10" s="1"/>
  <c r="H25" i="10"/>
  <c r="G25" i="10"/>
  <c r="I25" i="10" s="1"/>
  <c r="E25" i="10"/>
  <c r="D25" i="10"/>
  <c r="F25" i="10" s="1"/>
  <c r="C25" i="10"/>
  <c r="B25" i="10"/>
  <c r="N24" i="10"/>
  <c r="M24" i="10"/>
  <c r="O24" i="10" s="1"/>
  <c r="K24" i="10"/>
  <c r="J24" i="10"/>
  <c r="L24" i="10" s="1"/>
  <c r="H24" i="10"/>
  <c r="G24" i="10"/>
  <c r="I24" i="10" s="1"/>
  <c r="E24" i="10"/>
  <c r="D24" i="10"/>
  <c r="F24" i="10" s="1"/>
  <c r="C24" i="10"/>
  <c r="B24" i="10"/>
  <c r="N23" i="10"/>
  <c r="M23" i="10"/>
  <c r="O23" i="10" s="1"/>
  <c r="K23" i="10"/>
  <c r="J23" i="10"/>
  <c r="L23" i="10" s="1"/>
  <c r="H23" i="10"/>
  <c r="G23" i="10"/>
  <c r="I23" i="10" s="1"/>
  <c r="E23" i="10"/>
  <c r="D23" i="10"/>
  <c r="F23" i="10" s="1"/>
  <c r="C23" i="10"/>
  <c r="B23" i="10"/>
  <c r="N22" i="10"/>
  <c r="M22" i="10"/>
  <c r="O22" i="10" s="1"/>
  <c r="K22" i="10"/>
  <c r="J22" i="10"/>
  <c r="L22" i="10" s="1"/>
  <c r="H22" i="10"/>
  <c r="G22" i="10"/>
  <c r="I22" i="10" s="1"/>
  <c r="E22" i="10"/>
  <c r="D22" i="10"/>
  <c r="F22" i="10" s="1"/>
  <c r="C22" i="10"/>
  <c r="B22" i="10"/>
  <c r="N21" i="10"/>
  <c r="M21" i="10"/>
  <c r="O21" i="10" s="1"/>
  <c r="K21" i="10"/>
  <c r="J21" i="10"/>
  <c r="L21" i="10" s="1"/>
  <c r="H21" i="10"/>
  <c r="G21" i="10"/>
  <c r="I21" i="10" s="1"/>
  <c r="E21" i="10"/>
  <c r="D21" i="10"/>
  <c r="F21" i="10" s="1"/>
  <c r="C21" i="10"/>
  <c r="B21" i="10"/>
  <c r="N20" i="10"/>
  <c r="M20" i="10"/>
  <c r="O20" i="10" s="1"/>
  <c r="K20" i="10"/>
  <c r="J20" i="10"/>
  <c r="L20" i="10" s="1"/>
  <c r="H20" i="10"/>
  <c r="G20" i="10"/>
  <c r="I20" i="10" s="1"/>
  <c r="E20" i="10"/>
  <c r="D20" i="10"/>
  <c r="F20" i="10" s="1"/>
  <c r="C20" i="10"/>
  <c r="B20" i="10"/>
  <c r="N19" i="10"/>
  <c r="M19" i="10"/>
  <c r="O19" i="10" s="1"/>
  <c r="K19" i="10"/>
  <c r="J19" i="10"/>
  <c r="L19" i="10" s="1"/>
  <c r="H19" i="10"/>
  <c r="G19" i="10"/>
  <c r="I19" i="10" s="1"/>
  <c r="E19" i="10"/>
  <c r="D19" i="10"/>
  <c r="F19" i="10" s="1"/>
  <c r="C19" i="10"/>
  <c r="B19" i="10"/>
  <c r="N18" i="10"/>
  <c r="M18" i="10"/>
  <c r="O18" i="10" s="1"/>
  <c r="K18" i="10"/>
  <c r="J18" i="10"/>
  <c r="L18" i="10" s="1"/>
  <c r="H18" i="10"/>
  <c r="G18" i="10"/>
  <c r="I18" i="10" s="1"/>
  <c r="E18" i="10"/>
  <c r="D18" i="10"/>
  <c r="F18" i="10" s="1"/>
  <c r="C18" i="10"/>
  <c r="B18" i="10"/>
  <c r="N17" i="10"/>
  <c r="M17" i="10"/>
  <c r="O17" i="10" s="1"/>
  <c r="K17" i="10"/>
  <c r="J17" i="10"/>
  <c r="L17" i="10" s="1"/>
  <c r="H17" i="10"/>
  <c r="G17" i="10"/>
  <c r="I17" i="10" s="1"/>
  <c r="E17" i="10"/>
  <c r="D17" i="10"/>
  <c r="F17" i="10" s="1"/>
  <c r="C17" i="10"/>
  <c r="B17" i="10"/>
  <c r="M15" i="10"/>
  <c r="J15" i="10"/>
  <c r="G15" i="10"/>
  <c r="D15" i="10"/>
  <c r="B15" i="10"/>
  <c r="M14" i="10"/>
  <c r="G14" i="10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K18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J20" i="6"/>
  <c r="L20" i="6" s="1"/>
  <c r="J22" i="6"/>
  <c r="L22" i="6" s="1"/>
  <c r="J24" i="6"/>
  <c r="L24" i="6" s="1"/>
  <c r="J26" i="6"/>
  <c r="L26" i="6" s="1"/>
  <c r="J28" i="6"/>
  <c r="L28" i="6" s="1"/>
  <c r="J30" i="6"/>
  <c r="L30" i="6" s="1"/>
  <c r="J32" i="6"/>
  <c r="L32" i="6" s="1"/>
  <c r="J34" i="6"/>
  <c r="L34" i="6" s="1"/>
  <c r="J36" i="6"/>
  <c r="L36" i="6" s="1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L199" i="6" s="1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M41" i="6"/>
  <c r="G41" i="6"/>
  <c r="H36" i="6"/>
  <c r="C36" i="6"/>
  <c r="H35" i="6"/>
  <c r="C35" i="6"/>
  <c r="H34" i="6"/>
  <c r="C34" i="6"/>
  <c r="H33" i="6"/>
  <c r="C33" i="6"/>
  <c r="H32" i="6"/>
  <c r="C32" i="6"/>
  <c r="H31" i="6"/>
  <c r="C31" i="6"/>
  <c r="H30" i="6"/>
  <c r="C30" i="6"/>
  <c r="H29" i="6"/>
  <c r="C29" i="6"/>
  <c r="H28" i="6"/>
  <c r="C28" i="6"/>
  <c r="H27" i="6"/>
  <c r="C27" i="6"/>
  <c r="H26" i="6"/>
  <c r="C26" i="6"/>
  <c r="H25" i="6"/>
  <c r="C25" i="6"/>
  <c r="H24" i="6"/>
  <c r="C24" i="6"/>
  <c r="H23" i="6"/>
  <c r="C23" i="6"/>
  <c r="H22" i="6"/>
  <c r="C22" i="6"/>
  <c r="H21" i="6"/>
  <c r="C21" i="6"/>
  <c r="H20" i="6"/>
  <c r="C20" i="6"/>
  <c r="H19" i="6"/>
  <c r="C19" i="6"/>
  <c r="H18" i="6"/>
  <c r="C18" i="6"/>
  <c r="H17" i="6"/>
  <c r="C17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99" i="6" l="1"/>
  <c r="O199" i="6"/>
  <c r="H118" i="10"/>
  <c r="H172" i="10"/>
  <c r="I145" i="10"/>
  <c r="E172" i="10"/>
  <c r="E145" i="10"/>
  <c r="E118" i="10"/>
  <c r="E64" i="10"/>
  <c r="O199" i="10"/>
  <c r="N199" i="10"/>
  <c r="N172" i="10"/>
  <c r="O152" i="10"/>
  <c r="O172" i="10" s="1"/>
  <c r="O145" i="10"/>
  <c r="O118" i="10"/>
  <c r="N118" i="10"/>
  <c r="N91" i="10"/>
  <c r="O71" i="10"/>
  <c r="O91" i="10" s="1"/>
  <c r="O44" i="10"/>
  <c r="K172" i="10"/>
  <c r="L152" i="10"/>
  <c r="L172" i="10" s="1"/>
  <c r="K145" i="10"/>
  <c r="L125" i="10"/>
  <c r="L145" i="10" s="1"/>
  <c r="L98" i="10"/>
  <c r="L91" i="10"/>
  <c r="L64" i="10"/>
  <c r="K64" i="10"/>
  <c r="I199" i="10"/>
  <c r="H199" i="10"/>
  <c r="I152" i="10"/>
  <c r="I172" i="10" s="1"/>
  <c r="I98" i="10"/>
  <c r="I118" i="10" s="1"/>
  <c r="H91" i="10"/>
  <c r="I71" i="10"/>
  <c r="I91" i="10" s="1"/>
  <c r="H64" i="10"/>
  <c r="I44" i="10"/>
  <c r="F152" i="10"/>
  <c r="F172" i="10" s="1"/>
  <c r="F125" i="10"/>
  <c r="F145" i="10" s="1"/>
  <c r="F44" i="10"/>
  <c r="F64" i="10" s="1"/>
  <c r="H145" i="10"/>
  <c r="N145" i="10"/>
  <c r="F199" i="10"/>
  <c r="E199" i="10"/>
  <c r="K199" i="10"/>
  <c r="F91" i="10"/>
  <c r="E91" i="10"/>
  <c r="K91" i="10"/>
  <c r="I64" i="10"/>
  <c r="O64" i="10"/>
  <c r="F118" i="10"/>
  <c r="L118" i="10"/>
  <c r="E37" i="10"/>
  <c r="O37" i="10"/>
  <c r="N37" i="10"/>
  <c r="K37" i="10"/>
  <c r="I37" i="10"/>
  <c r="F37" i="10"/>
  <c r="H37" i="10"/>
  <c r="L37" i="10"/>
  <c r="E172" i="6"/>
  <c r="E181" i="6"/>
  <c r="F152" i="6"/>
  <c r="F172" i="6" s="1"/>
  <c r="F129" i="6"/>
  <c r="F133" i="6"/>
  <c r="E137" i="6"/>
  <c r="F137" i="6" s="1"/>
  <c r="E145" i="6"/>
  <c r="F118" i="6"/>
  <c r="G3" i="6" s="1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J18" i="6"/>
  <c r="L18" i="6" s="1"/>
  <c r="D17" i="6"/>
  <c r="F17" i="6" s="1"/>
  <c r="M17" i="6"/>
  <c r="O17" i="6" s="1"/>
  <c r="D18" i="6"/>
  <c r="F18" i="6" s="1"/>
  <c r="M18" i="6"/>
  <c r="O18" i="6" s="1"/>
  <c r="D19" i="6"/>
  <c r="F19" i="6" s="1"/>
  <c r="M19" i="6"/>
  <c r="O19" i="6" s="1"/>
  <c r="D20" i="6"/>
  <c r="F20" i="6" s="1"/>
  <c r="M20" i="6"/>
  <c r="O20" i="6" s="1"/>
  <c r="D21" i="6"/>
  <c r="F21" i="6" s="1"/>
  <c r="M21" i="6"/>
  <c r="O21" i="6" s="1"/>
  <c r="D22" i="6"/>
  <c r="F22" i="6" s="1"/>
  <c r="M22" i="6"/>
  <c r="O22" i="6" s="1"/>
  <c r="D23" i="6"/>
  <c r="F23" i="6" s="1"/>
  <c r="M23" i="6"/>
  <c r="O23" i="6" s="1"/>
  <c r="D24" i="6"/>
  <c r="F24" i="6" s="1"/>
  <c r="M24" i="6"/>
  <c r="O24" i="6" s="1"/>
  <c r="D25" i="6"/>
  <c r="F25" i="6" s="1"/>
  <c r="M25" i="6"/>
  <c r="O25" i="6" s="1"/>
  <c r="D26" i="6"/>
  <c r="F26" i="6" s="1"/>
  <c r="M26" i="6"/>
  <c r="O26" i="6" s="1"/>
  <c r="D27" i="6"/>
  <c r="F27" i="6" s="1"/>
  <c r="M27" i="6"/>
  <c r="O27" i="6" s="1"/>
  <c r="D28" i="6"/>
  <c r="F28" i="6" s="1"/>
  <c r="M28" i="6"/>
  <c r="O28" i="6" s="1"/>
  <c r="D29" i="6"/>
  <c r="F29" i="6" s="1"/>
  <c r="M29" i="6"/>
  <c r="O29" i="6" s="1"/>
  <c r="D30" i="6"/>
  <c r="F30" i="6" s="1"/>
  <c r="M30" i="6"/>
  <c r="O30" i="6" s="1"/>
  <c r="D31" i="6"/>
  <c r="F31" i="6" s="1"/>
  <c r="M31" i="6"/>
  <c r="O31" i="6" s="1"/>
  <c r="D32" i="6"/>
  <c r="F32" i="6" s="1"/>
  <c r="M32" i="6"/>
  <c r="O32" i="6" s="1"/>
  <c r="D33" i="6"/>
  <c r="F33" i="6" s="1"/>
  <c r="M33" i="6"/>
  <c r="O33" i="6" s="1"/>
  <c r="D34" i="6"/>
  <c r="F34" i="6" s="1"/>
  <c r="M34" i="6"/>
  <c r="O34" i="6" s="1"/>
  <c r="D35" i="6"/>
  <c r="F35" i="6" s="1"/>
  <c r="M35" i="6"/>
  <c r="O35" i="6" s="1"/>
  <c r="D36" i="6"/>
  <c r="F36" i="6" s="1"/>
  <c r="M36" i="6"/>
  <c r="O36" i="6" s="1"/>
  <c r="K35" i="6"/>
  <c r="K33" i="6"/>
  <c r="K31" i="6"/>
  <c r="K29" i="6"/>
  <c r="K27" i="6"/>
  <c r="K25" i="6"/>
  <c r="K23" i="6"/>
  <c r="K21" i="6"/>
  <c r="K19" i="6"/>
  <c r="K17" i="6"/>
  <c r="E17" i="6"/>
  <c r="N17" i="6"/>
  <c r="E18" i="6"/>
  <c r="N18" i="6"/>
  <c r="E19" i="6"/>
  <c r="N19" i="6"/>
  <c r="E20" i="6"/>
  <c r="N20" i="6"/>
  <c r="E21" i="6"/>
  <c r="N21" i="6"/>
  <c r="E22" i="6"/>
  <c r="N22" i="6"/>
  <c r="E23" i="6"/>
  <c r="N23" i="6"/>
  <c r="E24" i="6"/>
  <c r="N24" i="6"/>
  <c r="E25" i="6"/>
  <c r="N25" i="6"/>
  <c r="E26" i="6"/>
  <c r="N26" i="6"/>
  <c r="E27" i="6"/>
  <c r="N27" i="6"/>
  <c r="E28" i="6"/>
  <c r="N28" i="6"/>
  <c r="E29" i="6"/>
  <c r="N29" i="6"/>
  <c r="E30" i="6"/>
  <c r="N30" i="6"/>
  <c r="E31" i="6"/>
  <c r="N31" i="6"/>
  <c r="E32" i="6"/>
  <c r="N32" i="6"/>
  <c r="E33" i="6"/>
  <c r="N33" i="6"/>
  <c r="E34" i="6"/>
  <c r="N34" i="6"/>
  <c r="E35" i="6"/>
  <c r="N35" i="6"/>
  <c r="E36" i="6"/>
  <c r="N36" i="6"/>
  <c r="J35" i="6"/>
  <c r="L35" i="6" s="1"/>
  <c r="J33" i="6"/>
  <c r="L33" i="6" s="1"/>
  <c r="J31" i="6"/>
  <c r="L31" i="6" s="1"/>
  <c r="J29" i="6"/>
  <c r="L29" i="6" s="1"/>
  <c r="J27" i="6"/>
  <c r="L27" i="6" s="1"/>
  <c r="J25" i="6"/>
  <c r="L25" i="6" s="1"/>
  <c r="J23" i="6"/>
  <c r="L23" i="6" s="1"/>
  <c r="J21" i="6"/>
  <c r="L21" i="6" s="1"/>
  <c r="J19" i="6"/>
  <c r="L19" i="6" s="1"/>
  <c r="J17" i="6"/>
  <c r="L17" i="6" s="1"/>
  <c r="B17" i="6"/>
  <c r="G17" i="6"/>
  <c r="I17" i="6" s="1"/>
  <c r="B18" i="6"/>
  <c r="G18" i="6"/>
  <c r="I18" i="6" s="1"/>
  <c r="B19" i="6"/>
  <c r="G19" i="6"/>
  <c r="I19" i="6" s="1"/>
  <c r="B20" i="6"/>
  <c r="G20" i="6"/>
  <c r="I20" i="6" s="1"/>
  <c r="B21" i="6"/>
  <c r="G21" i="6"/>
  <c r="I21" i="6" s="1"/>
  <c r="B22" i="6"/>
  <c r="G22" i="6"/>
  <c r="I22" i="6" s="1"/>
  <c r="B23" i="6"/>
  <c r="G23" i="6"/>
  <c r="I23" i="6" s="1"/>
  <c r="B24" i="6"/>
  <c r="G24" i="6"/>
  <c r="I24" i="6" s="1"/>
  <c r="B25" i="6"/>
  <c r="G25" i="6"/>
  <c r="I25" i="6" s="1"/>
  <c r="B26" i="6"/>
  <c r="G26" i="6"/>
  <c r="I26" i="6" s="1"/>
  <c r="B27" i="6"/>
  <c r="G27" i="6"/>
  <c r="I27" i="6" s="1"/>
  <c r="B28" i="6"/>
  <c r="G28" i="6"/>
  <c r="I28" i="6" s="1"/>
  <c r="B29" i="6"/>
  <c r="G29" i="6"/>
  <c r="I29" i="6" s="1"/>
  <c r="B30" i="6"/>
  <c r="G30" i="6"/>
  <c r="I30" i="6" s="1"/>
  <c r="B31" i="6"/>
  <c r="G31" i="6"/>
  <c r="I31" i="6" s="1"/>
  <c r="B32" i="6"/>
  <c r="G32" i="6"/>
  <c r="I32" i="6" s="1"/>
  <c r="B33" i="6"/>
  <c r="G33" i="6"/>
  <c r="I33" i="6" s="1"/>
  <c r="B34" i="6"/>
  <c r="G34" i="6"/>
  <c r="I34" i="6" s="1"/>
  <c r="B35" i="6"/>
  <c r="G35" i="6"/>
  <c r="I35" i="6" s="1"/>
  <c r="B36" i="6"/>
  <c r="G36" i="6"/>
  <c r="I36" i="6" s="1"/>
  <c r="K36" i="6"/>
  <c r="K34" i="6"/>
  <c r="K32" i="6"/>
  <c r="K30" i="6"/>
  <c r="K28" i="6"/>
  <c r="K26" i="6"/>
  <c r="K24" i="6"/>
  <c r="K22" i="6"/>
  <c r="K20" i="6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K45" i="3"/>
  <c r="K63" i="3"/>
  <c r="O59" i="3"/>
  <c r="O75" i="3"/>
  <c r="G66" i="3"/>
  <c r="G47" i="3"/>
  <c r="G49" i="3"/>
  <c r="G73" i="3"/>
  <c r="K72" i="3"/>
  <c r="K11" i="5"/>
  <c r="O40" i="3"/>
  <c r="K47" i="3"/>
  <c r="O50" i="3"/>
  <c r="K9" i="5"/>
  <c r="K19" i="5"/>
  <c r="G67" i="3"/>
  <c r="O58" i="3"/>
  <c r="K24" i="5"/>
  <c r="K16" i="5"/>
  <c r="G74" i="3"/>
  <c r="O61" i="3"/>
  <c r="G62" i="3"/>
  <c r="G71" i="3"/>
  <c r="K74" i="3"/>
  <c r="K25" i="3"/>
  <c r="K56" i="3"/>
  <c r="K41" i="3"/>
  <c r="O45" i="3"/>
  <c r="G65" i="3"/>
  <c r="O60" i="3"/>
  <c r="K14" i="3"/>
  <c r="G68" i="3"/>
  <c r="O32" i="3"/>
  <c r="O66" i="3"/>
  <c r="G40" i="3"/>
  <c r="K58" i="3"/>
  <c r="G42" i="3"/>
  <c r="O72" i="3"/>
  <c r="K20" i="3"/>
  <c r="O38" i="3"/>
  <c r="O57" i="3"/>
  <c r="O33" i="3"/>
  <c r="G45" i="3"/>
  <c r="K23" i="5"/>
  <c r="K49" i="3"/>
  <c r="K8" i="3"/>
  <c r="K40" i="3"/>
  <c r="K10" i="3"/>
  <c r="G31" i="3"/>
  <c r="K44" i="3"/>
  <c r="K57" i="3"/>
  <c r="G56" i="3"/>
  <c r="K50" i="3"/>
  <c r="K22" i="5"/>
  <c r="K8" i="5"/>
  <c r="O69" i="3"/>
  <c r="K13" i="5"/>
  <c r="G61" i="3"/>
  <c r="G58" i="3"/>
  <c r="K32" i="3"/>
  <c r="G63" i="3"/>
  <c r="K12" i="5"/>
  <c r="K18" i="3"/>
  <c r="K6" i="3"/>
  <c r="K42" i="3"/>
  <c r="K67" i="3"/>
  <c r="O41" i="3"/>
  <c r="G34" i="3"/>
  <c r="K7" i="3"/>
  <c r="G70" i="3"/>
  <c r="K11" i="3"/>
  <c r="G64" i="3"/>
  <c r="K46" i="3"/>
  <c r="K33" i="3"/>
  <c r="G46" i="3"/>
  <c r="G69" i="3"/>
  <c r="G37" i="3"/>
  <c r="K60" i="3"/>
  <c r="O49" i="3"/>
  <c r="K20" i="5"/>
  <c r="K19" i="3"/>
  <c r="K10" i="5"/>
  <c r="K62" i="3"/>
  <c r="O65" i="3"/>
  <c r="G35" i="3"/>
  <c r="O71" i="3"/>
  <c r="G75" i="3"/>
  <c r="K70" i="3"/>
  <c r="K48" i="3"/>
  <c r="G32" i="3"/>
  <c r="K31" i="3"/>
  <c r="K68" i="3"/>
  <c r="G48" i="3"/>
  <c r="K35" i="3"/>
  <c r="G60" i="3"/>
  <c r="O70" i="3"/>
  <c r="O74" i="3"/>
  <c r="O68" i="3"/>
  <c r="K69" i="3"/>
  <c r="K37" i="3"/>
  <c r="K15" i="3"/>
  <c r="O35" i="3"/>
  <c r="K7" i="5"/>
  <c r="G50" i="3"/>
  <c r="O56" i="3"/>
  <c r="K34" i="3"/>
  <c r="O67" i="3"/>
  <c r="K64" i="3"/>
  <c r="O44" i="3"/>
  <c r="G43" i="3"/>
  <c r="K16" i="3"/>
  <c r="K21" i="5"/>
  <c r="K39" i="3"/>
  <c r="O39" i="3"/>
  <c r="O37" i="3"/>
  <c r="K66" i="3"/>
  <c r="K24" i="3"/>
  <c r="K17" i="3"/>
  <c r="G72" i="3"/>
  <c r="O63" i="3"/>
  <c r="K17" i="5"/>
  <c r="K36" i="3"/>
  <c r="K38" i="3"/>
  <c r="G59" i="3"/>
  <c r="K22" i="3"/>
  <c r="K65" i="3"/>
  <c r="G36" i="3"/>
  <c r="K12" i="3"/>
  <c r="K61" i="3"/>
  <c r="O47" i="3"/>
  <c r="O73" i="3"/>
  <c r="K15" i="5"/>
  <c r="K43" i="3"/>
  <c r="K6" i="5"/>
  <c r="O42" i="3"/>
  <c r="G38" i="3"/>
  <c r="G39" i="3"/>
  <c r="K14" i="5"/>
  <c r="O62" i="3"/>
  <c r="K13" i="3"/>
  <c r="O31" i="3"/>
  <c r="O46" i="3"/>
  <c r="O64" i="3"/>
  <c r="O48" i="3"/>
  <c r="G44" i="3"/>
  <c r="K21" i="3"/>
  <c r="K73" i="3"/>
  <c r="K9" i="3"/>
  <c r="G57" i="3"/>
  <c r="K59" i="3"/>
  <c r="K71" i="3"/>
  <c r="K75" i="3"/>
  <c r="K25" i="5"/>
  <c r="K23" i="3"/>
  <c r="G33" i="3"/>
  <c r="G41" i="3"/>
  <c r="K18" i="5"/>
  <c r="O36" i="3"/>
  <c r="O34" i="3"/>
  <c r="O43" i="3"/>
  <c r="H72" i="3" l="1"/>
  <c r="I72" i="3"/>
  <c r="H75" i="3"/>
  <c r="I75" i="3"/>
  <c r="H69" i="3"/>
  <c r="I69" i="3"/>
  <c r="H70" i="3"/>
  <c r="I70" i="3"/>
  <c r="H68" i="3"/>
  <c r="I68" i="3"/>
  <c r="H71" i="3"/>
  <c r="I71" i="3"/>
  <c r="H74" i="3"/>
  <c r="I74" i="3"/>
  <c r="H67" i="3"/>
  <c r="I67" i="3"/>
  <c r="H73" i="3"/>
  <c r="I73" i="3"/>
  <c r="H66" i="3"/>
  <c r="I66" i="3"/>
  <c r="G7" i="10"/>
  <c r="G5" i="10"/>
  <c r="G9" i="10"/>
  <c r="G3" i="10"/>
  <c r="G11" i="10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N24" i="5"/>
  <c r="N7" i="5"/>
  <c r="N10" i="5"/>
  <c r="N14" i="5"/>
  <c r="N18" i="5"/>
  <c r="N22" i="5"/>
  <c r="N11" i="5"/>
  <c r="N9" i="5"/>
  <c r="N6" i="5"/>
  <c r="N15" i="5"/>
  <c r="N13" i="5"/>
  <c r="N16" i="5"/>
  <c r="N23" i="5"/>
  <c r="N20" i="5"/>
  <c r="N12" i="5"/>
  <c r="N8" i="5"/>
  <c r="N17" i="5"/>
  <c r="N25" i="5"/>
  <c r="N21" i="5"/>
  <c r="N19" i="5"/>
  <c r="R59" i="3"/>
  <c r="R70" i="3"/>
  <c r="R69" i="3"/>
  <c r="R72" i="3"/>
  <c r="R66" i="3"/>
  <c r="R74" i="3"/>
  <c r="R63" i="3"/>
  <c r="R65" i="3"/>
  <c r="R71" i="3"/>
  <c r="R60" i="3"/>
  <c r="R58" i="3"/>
  <c r="R73" i="3"/>
  <c r="R64" i="3"/>
  <c r="R67" i="3"/>
  <c r="R57" i="3"/>
  <c r="R56" i="3"/>
  <c r="R62" i="3"/>
  <c r="R75" i="3"/>
  <c r="R68" i="3"/>
  <c r="R61" i="3"/>
  <c r="N69" i="3"/>
  <c r="N74" i="3"/>
  <c r="N60" i="3"/>
  <c r="N67" i="3"/>
  <c r="N71" i="3"/>
  <c r="N56" i="3"/>
  <c r="N64" i="3"/>
  <c r="N63" i="3"/>
  <c r="N75" i="3"/>
  <c r="N62" i="3"/>
  <c r="N70" i="3"/>
  <c r="N66" i="3"/>
  <c r="N72" i="3"/>
  <c r="N59" i="3"/>
  <c r="N65" i="3"/>
  <c r="N57" i="3"/>
  <c r="N73" i="3"/>
  <c r="N61" i="3"/>
  <c r="N58" i="3"/>
  <c r="N68" i="3"/>
  <c r="J64" i="3"/>
  <c r="J56" i="3"/>
  <c r="J68" i="3"/>
  <c r="J65" i="3"/>
  <c r="J66" i="3"/>
  <c r="J57" i="3"/>
  <c r="J59" i="3"/>
  <c r="J72" i="3"/>
  <c r="J75" i="3"/>
  <c r="J61" i="3"/>
  <c r="J67" i="3"/>
  <c r="J58" i="3"/>
  <c r="J70" i="3"/>
  <c r="J63" i="3"/>
  <c r="J71" i="3"/>
  <c r="J60" i="3"/>
  <c r="J69" i="3"/>
  <c r="J62" i="3"/>
  <c r="J74" i="3"/>
  <c r="J73" i="3"/>
  <c r="R40" i="3"/>
  <c r="R48" i="3"/>
  <c r="R38" i="3"/>
  <c r="R42" i="3"/>
  <c r="R31" i="3"/>
  <c r="R39" i="3"/>
  <c r="R33" i="3"/>
  <c r="R47" i="3"/>
  <c r="R37" i="3"/>
  <c r="R36" i="3"/>
  <c r="R43" i="3"/>
  <c r="R45" i="3"/>
  <c r="R49" i="3"/>
  <c r="R34" i="3"/>
  <c r="R32" i="3"/>
  <c r="R35" i="3"/>
  <c r="R41" i="3"/>
  <c r="R50" i="3"/>
  <c r="R44" i="3"/>
  <c r="R46" i="3"/>
  <c r="N49" i="3"/>
  <c r="N42" i="3"/>
  <c r="N38" i="3"/>
  <c r="N35" i="3"/>
  <c r="N33" i="3"/>
  <c r="N47" i="3"/>
  <c r="N40" i="3"/>
  <c r="N37" i="3"/>
  <c r="N48" i="3"/>
  <c r="N36" i="3"/>
  <c r="N39" i="3"/>
  <c r="N31" i="3"/>
  <c r="N46" i="3"/>
  <c r="N32" i="3"/>
  <c r="N50" i="3"/>
  <c r="N45" i="3"/>
  <c r="N41" i="3"/>
  <c r="N44" i="3"/>
  <c r="N43" i="3"/>
  <c r="N34" i="3"/>
  <c r="J42" i="3"/>
  <c r="J41" i="3"/>
  <c r="J43" i="3"/>
  <c r="J49" i="3"/>
  <c r="J34" i="3"/>
  <c r="J44" i="3"/>
  <c r="J38" i="3"/>
  <c r="J36" i="3"/>
  <c r="J31" i="3"/>
  <c r="J46" i="3"/>
  <c r="J48" i="3"/>
  <c r="J40" i="3"/>
  <c r="J47" i="3"/>
  <c r="J50" i="3"/>
  <c r="J39" i="3"/>
  <c r="J32" i="3"/>
  <c r="J45" i="3"/>
  <c r="J33" i="3"/>
  <c r="J35" i="3"/>
  <c r="J37" i="3"/>
  <c r="N7" i="3"/>
  <c r="N12" i="3"/>
  <c r="N15" i="3"/>
  <c r="N10" i="3"/>
  <c r="N18" i="3"/>
  <c r="N22" i="3"/>
  <c r="N25" i="3"/>
  <c r="N21" i="3"/>
  <c r="N23" i="3"/>
  <c r="N16" i="3"/>
  <c r="N9" i="3"/>
  <c r="N19" i="3"/>
  <c r="N8" i="3"/>
  <c r="N24" i="3"/>
  <c r="N11" i="3"/>
  <c r="N13" i="3"/>
  <c r="N20" i="3"/>
  <c r="N14" i="3"/>
  <c r="N17" i="3"/>
  <c r="N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25" i="3"/>
  <c r="L6" i="3"/>
  <c r="L69" i="3"/>
  <c r="M69" i="3"/>
  <c r="P39" i="3"/>
  <c r="Q39" i="3"/>
  <c r="Q33" i="3"/>
  <c r="P33" i="3"/>
  <c r="Q41" i="3"/>
  <c r="P41" i="3"/>
  <c r="P36" i="3"/>
  <c r="Q36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P68" i="5"/>
  <c r="Q68" i="5"/>
  <c r="I32" i="3"/>
  <c r="H32" i="3"/>
  <c r="M67" i="5"/>
  <c r="L67" i="5"/>
  <c r="L7" i="5"/>
  <c r="M7" i="5"/>
  <c r="M65" i="3"/>
  <c r="L65" i="3"/>
  <c r="Q45" i="3"/>
  <c r="P45" i="3"/>
  <c r="L46" i="3"/>
  <c r="M46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L62" i="3"/>
  <c r="M62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I42" i="3"/>
  <c r="H42" i="3"/>
  <c r="M32" i="3"/>
  <c r="L32" i="3"/>
  <c r="L64" i="3"/>
  <c r="M64" i="3"/>
  <c r="M39" i="3"/>
  <c r="L39" i="3"/>
  <c r="Q69" i="3"/>
  <c r="P69" i="3"/>
  <c r="Q47" i="3"/>
  <c r="P47" i="3"/>
  <c r="P68" i="3"/>
  <c r="Q68" i="3"/>
  <c r="Q40" i="3"/>
  <c r="P40" i="3"/>
  <c r="Q67" i="5"/>
  <c r="P67" i="5"/>
  <c r="H62" i="3"/>
  <c r="I62" i="3"/>
  <c r="L65" i="5"/>
  <c r="M65" i="5"/>
  <c r="P60" i="5"/>
  <c r="Q60" i="5"/>
  <c r="L57" i="3"/>
  <c r="M57" i="3"/>
  <c r="M60" i="3"/>
  <c r="L60" i="3"/>
  <c r="M50" i="3"/>
  <c r="L50" i="3"/>
  <c r="M6" i="5"/>
  <c r="L6" i="5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63" i="5"/>
  <c r="M63" i="5"/>
  <c r="M67" i="3"/>
  <c r="L67" i="3"/>
  <c r="I34" i="3"/>
  <c r="H34" i="3"/>
  <c r="P58" i="5"/>
  <c r="Q58" i="5"/>
  <c r="M75" i="5"/>
  <c r="L75" i="5"/>
  <c r="L48" i="3"/>
  <c r="M48" i="3"/>
  <c r="H37" i="3"/>
  <c r="I37" i="3"/>
  <c r="P38" i="5"/>
  <c r="Q38" i="5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M68" i="3"/>
  <c r="L68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9" i="6" l="1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F64" i="6" l="1"/>
  <c r="E64" i="6"/>
  <c r="G5" i="6" l="1"/>
</calcChain>
</file>

<file path=xl/sharedStrings.xml><?xml version="1.0" encoding="utf-8"?>
<sst xmlns="http://schemas.openxmlformats.org/spreadsheetml/2006/main" count="1300" uniqueCount="299">
  <si>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</si>
  <si>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</si>
  <si>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</si>
  <si>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</si>
  <si>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</si>
  <si>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</si>
  <si>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</si>
  <si>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</si>
  <si>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</si>
  <si>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</si>
  <si>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</si>
  <si>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</si>
  <si>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</si>
  <si>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</si>
  <si>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</si>
  <si>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</si>
  <si>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</si>
  <si>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</si>
  <si>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</si>
  <si>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</si>
  <si>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</si>
  <si>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</si>
  <si>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</si>
  <si>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</si>
  <si>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</si>
  <si>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</si>
  <si>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</si>
  <si>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</si>
  <si>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</si>
  <si>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</si>
  <si>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</si>
  <si>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</si>
  <si>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</si>
  <si>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</si>
  <si>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</si>
  <si>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</si>
  <si>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</si>
  <si>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</si>
  <si>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</si>
  <si>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</si>
  <si>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</si>
  <si>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</si>
  <si>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</si>
  <si>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</si>
  <si>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</si>
  <si>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</si>
  <si>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</si>
  <si>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</si>
  <si>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</si>
  <si>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</si>
  <si>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</si>
  <si>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</si>
  <si>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</si>
  <si>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</si>
  <si>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</si>
  <si>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</si>
  <si>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</si>
  <si>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</si>
  <si>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</si>
  <si>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</si>
  <si>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</si>
  <si>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</si>
  <si>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</si>
  <si>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</si>
  <si>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</si>
  <si>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</si>
  <si>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</si>
  <si>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</si>
  <si>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</si>
  <si>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</si>
  <si>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</si>
  <si>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</si>
  <si>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</si>
  <si>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</si>
  <si>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</si>
  <si>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</si>
  <si>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</si>
  <si>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</si>
  <si>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</si>
  <si>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</si>
  <si>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</si>
  <si>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</si>
  <si>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</si>
  <si>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</si>
  <si>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</si>
  <si>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</si>
  <si>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</si>
  <si>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</si>
  <si>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</si>
  <si>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</si>
  <si>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</si>
  <si>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</si>
  <si>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</si>
  <si>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</si>
  <si>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</si>
  <si>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</si>
  <si>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</si>
  <si>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</si>
  <si>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</si>
  <si>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</si>
  <si>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</si>
  <si>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</si>
  <si>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</si>
  <si>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</si>
  <si>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</si>
  <si>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</si>
  <si>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</si>
  <si>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</si>
  <si>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</si>
  <si>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</si>
  <si>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</si>
  <si>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</si>
  <si>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</si>
  <si>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</si>
  <si>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</si>
  <si>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</si>
  <si>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</si>
  <si>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</si>
  <si>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</si>
  <si>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</si>
  <si>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</si>
  <si>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</si>
  <si>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</si>
  <si>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</si>
  <si>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</si>
  <si>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</si>
  <si>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</si>
  <si>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</si>
  <si>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</si>
  <si>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</si>
  <si>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</si>
  <si>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</si>
  <si>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</si>
  <si>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</si>
  <si>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</si>
  <si>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</si>
  <si>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</si>
  <si>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</si>
  <si>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</si>
  <si>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</si>
  <si>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</si>
  <si>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</si>
  <si>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</si>
  <si>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</si>
  <si>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</si>
  <si>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</si>
  <si>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</si>
  <si>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</si>
  <si>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</si>
  <si>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</si>
  <si>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</si>
  <si>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</si>
  <si>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</si>
  <si>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</si>
  <si>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</si>
  <si>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</si>
  <si>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</si>
  <si>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</si>
  <si>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</si>
  <si>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</si>
  <si>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</si>
  <si>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</si>
  <si>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</si>
  <si>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</si>
  <si>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</si>
  <si>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</si>
  <si>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</si>
  <si>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</si>
  <si>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</si>
  <si>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</si>
  <si>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</si>
  <si>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</si>
  <si>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</si>
  <si>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</si>
  <si>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</si>
  <si>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</si>
  <si>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</si>
  <si>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</si>
  <si>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</si>
  <si>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</si>
  <si>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</si>
  <si>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</si>
  <si>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</si>
  <si>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</si>
  <si>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</si>
  <si>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</si>
  <si>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</si>
  <si>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</si>
  <si>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</si>
  <si>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</si>
  <si>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</si>
  <si>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</si>
  <si>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</si>
  <si>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</si>
  <si>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</si>
  <si>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</si>
  <si>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</si>
  <si>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</si>
  <si>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</si>
  <si>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</si>
  <si>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</si>
  <si>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</si>
  <si>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</si>
  <si>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</si>
  <si>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</si>
  <si>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</si>
  <si>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</si>
  <si>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</si>
  <si>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</si>
  <si>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</si>
  <si>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</si>
  <si>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</si>
  <si>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</si>
  <si>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</si>
  <si>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</si>
  <si>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</si>
  <si>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</si>
  <si>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</si>
  <si>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</si>
  <si>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</si>
  <si>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</si>
  <si>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</si>
  <si>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</si>
  <si>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</si>
  <si>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</si>
  <si>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</si>
  <si>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</si>
  <si>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</si>
  <si>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</si>
  <si>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</si>
  <si>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</si>
  <si>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</si>
  <si>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</si>
  <si>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</si>
  <si>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</si>
  <si>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</si>
  <si>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</si>
  <si>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</si>
  <si>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</si>
  <si>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</si>
  <si>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</si>
  <si>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</si>
  <si>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</si>
  <si>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</si>
  <si>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</si>
  <si>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</si>
  <si>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</si>
  <si>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</si>
  <si>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</si>
  <si>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</si>
  <si>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</si>
  <si>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</si>
  <si>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</si>
  <si>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</si>
  <si>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</si>
  <si>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</si>
  <si>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</si>
  <si>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</si>
  <si>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</si>
  <si>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</si>
  <si>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</si>
  <si>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</si>
  <si>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</si>
  <si>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</si>
  <si>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</si>
  <si>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</si>
  <si>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</si>
  <si>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</si>
  <si>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</si>
  <si>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</si>
  <si>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</si>
  <si>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</si>
  <si>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</si>
  <si>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</si>
  <si>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</si>
  <si>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</si>
  <si>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</si>
  <si>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</si>
  <si>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</si>
  <si>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</si>
  <si>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</si>
  <si>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</si>
  <si>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</si>
  <si>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</si>
  <si>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</si>
  <si>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</si>
  <si>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</si>
  <si>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</si>
  <si>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</si>
  <si>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</si>
  <si>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</si>
  <si>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</si>
  <si>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</si>
  <si>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</si>
  <si>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</si>
  <si>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</si>
  <si>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</si>
  <si>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2021.04.29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</si>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</sst>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 wrapText="1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30" xfId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0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0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0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0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0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0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EC06C17E-7D92-45B2-9175-3906491E0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6DCB8FFD-94FE-499E-A8E1-6993E7815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F28DF55C-1320-47BA-9B62-D8D52836A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DE32031F-062E-4531-97DB-239C1F4D9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D89DFAF5-42E3-4E9C-992B-36546FB14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23DC88D5-1286-489E-88F1-1AEB71845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21BCF1F-848B-49F9-B655-2DD5528B2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6C4AD38A-4B02-4307-8BC2-6818FC378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FA695A47-1BD2-4754-87CC-C059455A5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5CA76053-4852-47A3-9DAB-1509E135A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4B8458B-CB2F-4E9A-8341-64BC5FDF5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6A08B049-D88B-488B-8AE2-EA98E6DBC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D8EA98CC-E818-4E24-B3A4-4B30B41B3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23A304A9-89F2-483F-90D7-E1A13AC73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AF522DBF-5DC3-4445-9DA3-31827D348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7E34D397-FCEF-4F6F-AB93-36733F981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E4A5553C-CE0D-4F08-BFC6-2D0DAEEFA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3F3E0C8-5A97-4624-9CD9-4A9ED57A0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DCE77D0-890D-44AF-8297-3E923DF7A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AC549454-5C57-48EB-9ACF-3D0E3ECAA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ACCBF22B-1832-4836-95F4-6D3784104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D9EAE4F6-325D-43B0-BB8F-667E596B5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8DD2FA91-B058-46A9-95EA-0C00EAEB0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CC6A445C-12A5-46D3-9981-5B441F1BD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D0014EDE-C95F-48A1-BB5D-2A62AC54F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55712F24-6992-48A6-80BB-0696153FA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904CDFC0-D773-42C8-9207-A3DC3FB02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E716C09D-230C-44FF-AA9A-D8F0BCFAC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116850BC-B4FF-4C5B-A346-2814E7337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DCA0177-4285-4692-B812-1A9AB809B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EBEE1652-5067-4AA5-ADC3-53CD023F7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F2DD7B60-3512-435A-95B4-A67E05E49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4A7DAA61-9CA3-4C64-A971-BACDE6100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BD82F06-07F5-4CC3-90BE-88165DD17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D4D7FEFE-4E56-4B61-9103-699023ABF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47682E5D-6534-4746-A9F6-A292E8D0B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41F86E5B-C40B-40FF-828D-A42B7050B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423B1D5E-630B-4D7F-BB78-C5F9F702C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831F6F11-4134-4946-92D0-E9A63E9B1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968D9508-7664-4A93-86A5-473F410AD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4811B102-4290-49BF-8162-D4E71E3E5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6DB75087-BCED-459E-8CAF-329BD5A46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637BD0E8-A85C-485B-B138-E1E88918D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DFF18448-0734-4952-9688-E4981117C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12D79107-1473-4A25-B5C0-774AAC954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A01540FF-65B9-43C7-B357-0BCE78A81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45A26AF7-4268-45B6-A2A6-47F43EBB3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E7A9D9EE-EBC2-4D20-928E-DDD7FA7FD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75C18E8B-DE58-465A-A736-F81FC1306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6818CCD3-A0F4-49C2-A22B-FDEDFCE45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1760A65C-E22C-4273-B9C9-98DD94870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8F3BF7A0-EBC2-4FDE-8C0F-F9DB55614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D1FC3FCD-F7F7-49B4-93EC-DAE9D7E1A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F1D9B5DB-AB9D-45A5-97E5-4CAA84E0A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8A0EB8FC-1D09-4B1E-8595-1EFB4EF8F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88807BB5-10A2-4AC0-951A-EAE949104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766E91B8-3C9E-4C6D-87F9-DFAB21952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9525</xdr:rowOff>
        </xdr:from>
        <xdr:to>
          <xdr:col>22</xdr:col>
          <xdr:colOff>0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1F45519-CCCD-4AA1-BC6C-F2C6E155E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19050</xdr:rowOff>
        </xdr:from>
        <xdr:to>
          <xdr:col>22</xdr:col>
          <xdr:colOff>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74A031F4-94D3-4BA6-A06E-D29E58BD3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FA2B3422-74F2-4BC6-B8BD-A54BC26A3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1CE4B66C-7D68-42B7-85FD-AA5592391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9525</xdr:rowOff>
        </xdr:from>
        <xdr:to>
          <xdr:col>22</xdr:col>
          <xdr:colOff>0</xdr:colOff>
          <xdr:row>11</xdr:row>
          <xdr:rowOff>19050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F5BD3957-A20C-4177-9CE6-52A5486F9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19050</xdr:rowOff>
        </xdr:from>
        <xdr:to>
          <xdr:col>22</xdr:col>
          <xdr:colOff>0</xdr:colOff>
          <xdr:row>14</xdr:row>
          <xdr:rowOff>28575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684F8BC8-91E5-4DCE-A2B0-582A2DCC1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C56156E-E301-4D9D-A6AE-BDE3F7B0F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9DD23BC-F969-4319-AD89-4D365087A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8DC89759-E4C0-4D03-96A0-B8FA0262A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E51C9D02-FC64-44BD-BFF5-82F2DDFB4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B1AA5D09-9BD6-4CC7-AD61-19F473EDB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9ED515D9-5E14-40F8-A9EE-9A2C1FA45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42D1BEB7-B018-4AED-92C4-69D25B385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4240870A-6216-441D-BE03-C0A482747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7EC42E94-75EC-4508-B872-3198E6B03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E459E25-73FF-4A8E-9858-CDE6425F7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86E530C9-3A41-4336-B793-897EFE7E5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8AB3605A-24C3-41BF-A6EE-5248E79DC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983D025D-4A2E-4C52-A505-E4461F613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F1A2801B-A7FA-4715-B369-50E91F473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A4CDF8C3-39E0-479D-9B43-27F93580D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34BE84CA-B1AA-450F-AB33-F88428AD1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9C2CAF22-C7B0-4310-809C-B25BE98B3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1282" name="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33B0A15E-FC40-412C-9B71-E4C3C3D6A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1283" name="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1154120D-77D4-44FC-BF23-2FBB8225F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F5AEAC23-1950-491C-BC93-3A1D57155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285" name="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35FF99AB-FC38-423B-AAA9-81CA9CFF3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73C78CCD-73CA-472C-8C7B-AD8608000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492AFE9-731F-47CC-9FA0-43AA2266F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1288" name="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C0315113-0E13-474D-8F56-F02A59856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667FAD93-13B0-45D0-AF75-3C3E4F6283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1290" name="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5B8729BE-FE74-49D0-BAB7-FC0BB6F10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1291" name="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D12FAC12-DF35-413E-9DE5-223347B44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A9C73B39-4B85-48BD-9FD8-E016D0357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1293" name="Button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7C1B2B9A-FDB6-4FD7-BCAB-6B311962E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73FF1FDE-DB28-44C9-BE69-2060DE814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6A441279-454E-4EED-AD07-1458033BC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1296" name="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5A3905CB-D8E0-4116-A6A0-11934FCD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1297" name="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E8ABB139-07C9-4868-B443-84144E989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1298" name="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2FD45294-5689-451C-B68E-5A540D4DA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11299" name="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5EA19C86-0D41-4D0C-9E98-A28EFDD9C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1300" name="Button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B5469C6A-5293-4F3F-9DB9-90625299C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D7CC3609-361F-406D-B743-861ECB707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2682852C-BC5A-414F-8425-F2A33CE5D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1303" name="Button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9C92E5FF-2119-4EFF-A43E-0D26725CA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1304" name="Button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5CB09A80-06E7-441F-8D15-FABD75DE5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1305" name="Button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98616B78-1274-4721-875F-1345CD8E7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11306" name="Button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B651577-20C6-4CEB-884B-7E5486002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1307" name="Button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1FEEEDA1-9B6F-4945-96E9-46A326C9F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1308" name="Button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ADC23781-9A71-4F39-84E1-D61D406A5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1309" name="Button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C93C7CA-B60F-47E9-935E-3C52A1460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1310" name="Button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8812E1BF-893E-4105-9B5B-69D3EB925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1311" name="Button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F80EDC2-3918-4BD6-92FD-9FE326039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1312" name="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D25D0227-F3A8-4A53-9449-C0094B319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11313" name="Button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C61D44B-6DB2-484F-8B7C-A4DFB8376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1314" name="Button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B0A79977-761E-4C08-A14B-17EE32E2A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1315" name="Button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82CEA164-CABE-4F8C-8778-B16913458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1316" name="Button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B74D60F7-7254-47E2-8FDA-9D9E1DF4B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1317" name="Button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A1AA3B94-7DCF-4E36-B8F8-030EB6056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1318" name="Button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910E428A-E6AC-4058-A089-DEDF9A445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1319" name="Button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B5184985-75A3-4BDD-B600-F0043B805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11320" name="Button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DF295A51-5401-4248-816C-EDFEE6865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321" name="Button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6A3A0E80-A8D7-4B0C-9E21-2691DDE93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1322" name="Button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158D197F-764D-4E35-BA6B-B4DA90746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1323" name="Button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C267AC66-0F1E-48DC-A7B5-099FF7A0B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1324" name="Button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C8B4BFD6-0289-4F97-B229-2F0321377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1325" name="Button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C4A760F8-8432-45B5-95BA-CC4F4ACDF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1326" name="Button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A25922F1-D1B2-4BA7-91E4-F584028E3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1327" name="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834063A1-5A23-4BFF-9A57-7E4897275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328" name="Button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A5CBB285-B5F0-4202-990C-4E9CE0864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4986D539-5C8B-4FBB-B558-6DE0F7EF0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1330" name="Button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B3E7C82B-6203-4024-AD00-F45B1FA1C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1331" name="Button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D4F45982-E09A-415F-921C-0431E6BD7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1332" name="Button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528850F1-E5A0-4ECE-90CF-4375A1A80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1333" name="Button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65B4057F-91A9-44A7-93E9-DF17B208D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87297626-33D8-49EB-9549-EF6E67837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1335" name="Button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9B7FF2AF-1FF9-4832-9255-9AFA643A2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1336" name="Button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F6191566-146A-4BAC-BCB9-D673093A0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1337" name="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80EC21AF-8961-46C6-8792-4E2941E7A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1338" name="Button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186D2F9C-E834-4D3B-9ECF-0515E36DF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1339" name="Button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860B061F-D47B-40FE-A899-924ED42C3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1340" name="Button 7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5012EC94-539A-4EE0-A77F-49768800F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1341" name="Button 77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EA85AE88-5902-4EFB-8A1F-808A76749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1342" name="Button 78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58E700B8-5D1D-4E9C-BCDE-9C07665DD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1343" name="Button 79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B393028A-B0CC-4BF6-99DC-DA8B8BA13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1344" name="Button 80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2CEDE0C7-E588-490D-999C-B1127F251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1345" name="Button 81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6D604C34-9146-4575-BAAB-9C598D349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1346" name="Button 82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738DE7E3-33A8-45F9-BC64-97D7B8CD0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1347" name="Button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4E7B0017-823E-4908-8FEC-801A9A64B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1348" name="Button 84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A78E3D18-6C66-4588-B784-584442510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1349" name="Button 85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E8F1E5AC-1E05-426F-9C66-B4DDE005E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1350" name="Button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AD7BBC2A-3578-4B48-AE14-B4A89A39C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1351" name="Button 87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7352F2B9-F7D2-4422-92F5-515D49306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1352" name="Button 8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7702E35E-C89D-4A5E-B285-35023394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1353" name="Button 89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DCA1BB00-2286-40E5-BBA4-8F9BDF977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1354" name="Button 90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627A7A77-3F3C-4757-BE48-23F7B7AE1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1355" name="Button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D57830A8-9925-4ED8-B522-BCF46F95A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1356" name="Button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4EB768DA-AD64-4BCA-B9A3-F59963602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1357" name="Button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F2629FFE-BDD9-4968-B6A9-DF069654B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1358" name="Button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0695DBDB-F43D-443F-8299-5AAF29CB0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1359" name="Button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74DA0D8D-A456-491D-92EA-DC72059CF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1360" name="Button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909BA1A9-10DA-4BAD-BDBA-DE4C9CA44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1361" name="Button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D1196091-E64D-4EB5-9223-5CDE881BB2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1362" name="Button 98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BBCC74A9-98A4-4B70-8183-D94A772F3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1363" name="Button 99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DFC0A7DD-B55B-40F6-81FD-AF9430389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1364" name="Button 10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C4B3C7C4-3518-4DA5-910E-2792C17D6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1365" name="Button 101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0BB4EE26-B842-408F-95CB-B939D9269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1366" name="Button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D9FDFC04-DCB3-45AD-905E-E85CD64A6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1367" name="Button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6D17984A-81BF-4BAF-AA89-593753A8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1368" name="Button 104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EB2EADCC-5959-46DA-808C-FC26BB2DF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1369" name="Button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5348AB67-F63C-4FE3-92EE-38E62301C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1370" name="Button 106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1D78A2FB-F35B-4843-A5F1-417A60993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1371" name="Button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EE563FE5-028D-4A87-83B0-9A8E14413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1372" name="Button 108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1F345526-F7F7-445F-920F-A76605DC9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1373" name="Button 109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5B7D955D-3E33-44F1-8F45-4490363EF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1374" name="Button 110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1B691FDF-FF92-4D97-BC59-751E9D27A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1375" name="Button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999DFE43-F29C-46FC-BA3C-4FF4AEBF7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1376" name="Button 112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6AD90BC8-A52A-4603-BE18-514378F6A4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 데이터 붙여넣기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5.xml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3.xml"/><Relationship Id="rId21" Type="http://schemas.openxmlformats.org/officeDocument/2006/relationships/ctrlProp" Target="../ctrlProps/ctrlProp138.xml"/><Relationship Id="rId42" Type="http://schemas.openxmlformats.org/officeDocument/2006/relationships/ctrlProp" Target="../ctrlProps/ctrlProp159.xml"/><Relationship Id="rId47" Type="http://schemas.openxmlformats.org/officeDocument/2006/relationships/ctrlProp" Target="../ctrlProps/ctrlProp164.xml"/><Relationship Id="rId63" Type="http://schemas.openxmlformats.org/officeDocument/2006/relationships/ctrlProp" Target="../ctrlProps/ctrlProp180.xml"/><Relationship Id="rId68" Type="http://schemas.openxmlformats.org/officeDocument/2006/relationships/ctrlProp" Target="../ctrlProps/ctrlProp185.xml"/><Relationship Id="rId84" Type="http://schemas.openxmlformats.org/officeDocument/2006/relationships/ctrlProp" Target="../ctrlProps/ctrlProp201.xml"/><Relationship Id="rId89" Type="http://schemas.openxmlformats.org/officeDocument/2006/relationships/ctrlProp" Target="../ctrlProps/ctrlProp206.xml"/><Relationship Id="rId112" Type="http://schemas.openxmlformats.org/officeDocument/2006/relationships/ctrlProp" Target="../ctrlProps/ctrlProp229.xml"/><Relationship Id="rId16" Type="http://schemas.openxmlformats.org/officeDocument/2006/relationships/ctrlProp" Target="../ctrlProps/ctrlProp133.xml"/><Relationship Id="rId107" Type="http://schemas.openxmlformats.org/officeDocument/2006/relationships/ctrlProp" Target="../ctrlProps/ctrlProp224.xml"/><Relationship Id="rId11" Type="http://schemas.openxmlformats.org/officeDocument/2006/relationships/ctrlProp" Target="../ctrlProps/ctrlProp128.xml"/><Relationship Id="rId32" Type="http://schemas.openxmlformats.org/officeDocument/2006/relationships/ctrlProp" Target="../ctrlProps/ctrlProp149.xml"/><Relationship Id="rId37" Type="http://schemas.openxmlformats.org/officeDocument/2006/relationships/ctrlProp" Target="../ctrlProps/ctrlProp154.xml"/><Relationship Id="rId53" Type="http://schemas.openxmlformats.org/officeDocument/2006/relationships/ctrlProp" Target="../ctrlProps/ctrlProp170.xml"/><Relationship Id="rId58" Type="http://schemas.openxmlformats.org/officeDocument/2006/relationships/ctrlProp" Target="../ctrlProps/ctrlProp175.xml"/><Relationship Id="rId74" Type="http://schemas.openxmlformats.org/officeDocument/2006/relationships/ctrlProp" Target="../ctrlProps/ctrlProp191.xml"/><Relationship Id="rId79" Type="http://schemas.openxmlformats.org/officeDocument/2006/relationships/ctrlProp" Target="../ctrlProps/ctrlProp196.xml"/><Relationship Id="rId102" Type="http://schemas.openxmlformats.org/officeDocument/2006/relationships/ctrlProp" Target="../ctrlProps/ctrlProp219.xml"/><Relationship Id="rId5" Type="http://schemas.openxmlformats.org/officeDocument/2006/relationships/ctrlProp" Target="../ctrlProps/ctrlProp122.xml"/><Relationship Id="rId90" Type="http://schemas.openxmlformats.org/officeDocument/2006/relationships/ctrlProp" Target="../ctrlProps/ctrlProp207.xml"/><Relationship Id="rId95" Type="http://schemas.openxmlformats.org/officeDocument/2006/relationships/ctrlProp" Target="../ctrlProps/ctrlProp212.xml"/><Relationship Id="rId22" Type="http://schemas.openxmlformats.org/officeDocument/2006/relationships/ctrlProp" Target="../ctrlProps/ctrlProp139.xml"/><Relationship Id="rId27" Type="http://schemas.openxmlformats.org/officeDocument/2006/relationships/ctrlProp" Target="../ctrlProps/ctrlProp144.xml"/><Relationship Id="rId43" Type="http://schemas.openxmlformats.org/officeDocument/2006/relationships/ctrlProp" Target="../ctrlProps/ctrlProp160.xml"/><Relationship Id="rId48" Type="http://schemas.openxmlformats.org/officeDocument/2006/relationships/ctrlProp" Target="../ctrlProps/ctrlProp165.xml"/><Relationship Id="rId64" Type="http://schemas.openxmlformats.org/officeDocument/2006/relationships/ctrlProp" Target="../ctrlProps/ctrlProp181.xml"/><Relationship Id="rId69" Type="http://schemas.openxmlformats.org/officeDocument/2006/relationships/ctrlProp" Target="../ctrlProps/ctrlProp186.xml"/><Relationship Id="rId113" Type="http://schemas.openxmlformats.org/officeDocument/2006/relationships/ctrlProp" Target="../ctrlProps/ctrlProp230.xml"/><Relationship Id="rId80" Type="http://schemas.openxmlformats.org/officeDocument/2006/relationships/ctrlProp" Target="../ctrlProps/ctrlProp197.xml"/><Relationship Id="rId85" Type="http://schemas.openxmlformats.org/officeDocument/2006/relationships/ctrlProp" Target="../ctrlProps/ctrlProp202.xml"/><Relationship Id="rId12" Type="http://schemas.openxmlformats.org/officeDocument/2006/relationships/ctrlProp" Target="../ctrlProps/ctrlProp129.xml"/><Relationship Id="rId17" Type="http://schemas.openxmlformats.org/officeDocument/2006/relationships/ctrlProp" Target="../ctrlProps/ctrlProp134.xml"/><Relationship Id="rId33" Type="http://schemas.openxmlformats.org/officeDocument/2006/relationships/ctrlProp" Target="../ctrlProps/ctrlProp150.xml"/><Relationship Id="rId38" Type="http://schemas.openxmlformats.org/officeDocument/2006/relationships/ctrlProp" Target="../ctrlProps/ctrlProp155.xml"/><Relationship Id="rId59" Type="http://schemas.openxmlformats.org/officeDocument/2006/relationships/ctrlProp" Target="../ctrlProps/ctrlProp176.xml"/><Relationship Id="rId103" Type="http://schemas.openxmlformats.org/officeDocument/2006/relationships/ctrlProp" Target="../ctrlProps/ctrlProp220.xml"/><Relationship Id="rId108" Type="http://schemas.openxmlformats.org/officeDocument/2006/relationships/ctrlProp" Target="../ctrlProps/ctrlProp225.xml"/><Relationship Id="rId54" Type="http://schemas.openxmlformats.org/officeDocument/2006/relationships/ctrlProp" Target="../ctrlProps/ctrlProp171.xml"/><Relationship Id="rId70" Type="http://schemas.openxmlformats.org/officeDocument/2006/relationships/ctrlProp" Target="../ctrlProps/ctrlProp187.xml"/><Relationship Id="rId75" Type="http://schemas.openxmlformats.org/officeDocument/2006/relationships/ctrlProp" Target="../ctrlProps/ctrlProp192.xml"/><Relationship Id="rId91" Type="http://schemas.openxmlformats.org/officeDocument/2006/relationships/ctrlProp" Target="../ctrlProps/ctrlProp208.xml"/><Relationship Id="rId96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3.xml"/><Relationship Id="rId15" Type="http://schemas.openxmlformats.org/officeDocument/2006/relationships/ctrlProp" Target="../ctrlProps/ctrlProp132.xml"/><Relationship Id="rId23" Type="http://schemas.openxmlformats.org/officeDocument/2006/relationships/ctrlProp" Target="../ctrlProps/ctrlProp140.xml"/><Relationship Id="rId28" Type="http://schemas.openxmlformats.org/officeDocument/2006/relationships/ctrlProp" Target="../ctrlProps/ctrlProp145.xml"/><Relationship Id="rId36" Type="http://schemas.openxmlformats.org/officeDocument/2006/relationships/ctrlProp" Target="../ctrlProps/ctrlProp153.xml"/><Relationship Id="rId49" Type="http://schemas.openxmlformats.org/officeDocument/2006/relationships/ctrlProp" Target="../ctrlProps/ctrlProp166.xml"/><Relationship Id="rId57" Type="http://schemas.openxmlformats.org/officeDocument/2006/relationships/ctrlProp" Target="../ctrlProps/ctrlProp174.xml"/><Relationship Id="rId106" Type="http://schemas.openxmlformats.org/officeDocument/2006/relationships/ctrlProp" Target="../ctrlProps/ctrlProp223.xml"/><Relationship Id="rId114" Type="http://schemas.openxmlformats.org/officeDocument/2006/relationships/ctrlProp" Target="../ctrlProps/ctrlProp231.xml"/><Relationship Id="rId10" Type="http://schemas.openxmlformats.org/officeDocument/2006/relationships/ctrlProp" Target="../ctrlProps/ctrlProp127.xml"/><Relationship Id="rId31" Type="http://schemas.openxmlformats.org/officeDocument/2006/relationships/ctrlProp" Target="../ctrlProps/ctrlProp148.xml"/><Relationship Id="rId44" Type="http://schemas.openxmlformats.org/officeDocument/2006/relationships/ctrlProp" Target="../ctrlProps/ctrlProp161.xml"/><Relationship Id="rId52" Type="http://schemas.openxmlformats.org/officeDocument/2006/relationships/ctrlProp" Target="../ctrlProps/ctrlProp169.xml"/><Relationship Id="rId60" Type="http://schemas.openxmlformats.org/officeDocument/2006/relationships/ctrlProp" Target="../ctrlProps/ctrlProp177.xml"/><Relationship Id="rId65" Type="http://schemas.openxmlformats.org/officeDocument/2006/relationships/ctrlProp" Target="../ctrlProps/ctrlProp182.xml"/><Relationship Id="rId73" Type="http://schemas.openxmlformats.org/officeDocument/2006/relationships/ctrlProp" Target="../ctrlProps/ctrlProp190.xml"/><Relationship Id="rId78" Type="http://schemas.openxmlformats.org/officeDocument/2006/relationships/ctrlProp" Target="../ctrlProps/ctrlProp195.xml"/><Relationship Id="rId81" Type="http://schemas.openxmlformats.org/officeDocument/2006/relationships/ctrlProp" Target="../ctrlProps/ctrlProp198.xml"/><Relationship Id="rId86" Type="http://schemas.openxmlformats.org/officeDocument/2006/relationships/ctrlProp" Target="../ctrlProps/ctrlProp203.xml"/><Relationship Id="rId94" Type="http://schemas.openxmlformats.org/officeDocument/2006/relationships/ctrlProp" Target="../ctrlProps/ctrlProp211.xml"/><Relationship Id="rId99" Type="http://schemas.openxmlformats.org/officeDocument/2006/relationships/ctrlProp" Target="../ctrlProps/ctrlProp216.xml"/><Relationship Id="rId101" Type="http://schemas.openxmlformats.org/officeDocument/2006/relationships/ctrlProp" Target="../ctrlProps/ctrlProp218.xml"/><Relationship Id="rId4" Type="http://schemas.openxmlformats.org/officeDocument/2006/relationships/ctrlProp" Target="../ctrlProps/ctrlProp121.xml"/><Relationship Id="rId9" Type="http://schemas.openxmlformats.org/officeDocument/2006/relationships/ctrlProp" Target="../ctrlProps/ctrlProp126.xml"/><Relationship Id="rId13" Type="http://schemas.openxmlformats.org/officeDocument/2006/relationships/ctrlProp" Target="../ctrlProps/ctrlProp130.xml"/><Relationship Id="rId18" Type="http://schemas.openxmlformats.org/officeDocument/2006/relationships/ctrlProp" Target="../ctrlProps/ctrlProp135.xml"/><Relationship Id="rId39" Type="http://schemas.openxmlformats.org/officeDocument/2006/relationships/ctrlProp" Target="../ctrlProps/ctrlProp156.xml"/><Relationship Id="rId109" Type="http://schemas.openxmlformats.org/officeDocument/2006/relationships/ctrlProp" Target="../ctrlProps/ctrlProp226.xml"/><Relationship Id="rId34" Type="http://schemas.openxmlformats.org/officeDocument/2006/relationships/ctrlProp" Target="../ctrlProps/ctrlProp151.xml"/><Relationship Id="rId50" Type="http://schemas.openxmlformats.org/officeDocument/2006/relationships/ctrlProp" Target="../ctrlProps/ctrlProp167.xml"/><Relationship Id="rId55" Type="http://schemas.openxmlformats.org/officeDocument/2006/relationships/ctrlProp" Target="../ctrlProps/ctrlProp172.xml"/><Relationship Id="rId76" Type="http://schemas.openxmlformats.org/officeDocument/2006/relationships/ctrlProp" Target="../ctrlProps/ctrlProp193.xml"/><Relationship Id="rId97" Type="http://schemas.openxmlformats.org/officeDocument/2006/relationships/ctrlProp" Target="../ctrlProps/ctrlProp214.xml"/><Relationship Id="rId104" Type="http://schemas.openxmlformats.org/officeDocument/2006/relationships/ctrlProp" Target="../ctrlProps/ctrlProp221.xml"/><Relationship Id="rId7" Type="http://schemas.openxmlformats.org/officeDocument/2006/relationships/ctrlProp" Target="../ctrlProps/ctrlProp124.xml"/><Relationship Id="rId71" Type="http://schemas.openxmlformats.org/officeDocument/2006/relationships/ctrlProp" Target="../ctrlProps/ctrlProp188.xml"/><Relationship Id="rId92" Type="http://schemas.openxmlformats.org/officeDocument/2006/relationships/ctrlProp" Target="../ctrlProps/ctrlProp20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46.xml"/><Relationship Id="rId24" Type="http://schemas.openxmlformats.org/officeDocument/2006/relationships/ctrlProp" Target="../ctrlProps/ctrlProp141.xml"/><Relationship Id="rId40" Type="http://schemas.openxmlformats.org/officeDocument/2006/relationships/ctrlProp" Target="../ctrlProps/ctrlProp157.xml"/><Relationship Id="rId45" Type="http://schemas.openxmlformats.org/officeDocument/2006/relationships/ctrlProp" Target="../ctrlProps/ctrlProp162.xml"/><Relationship Id="rId66" Type="http://schemas.openxmlformats.org/officeDocument/2006/relationships/ctrlProp" Target="../ctrlProps/ctrlProp183.xml"/><Relationship Id="rId87" Type="http://schemas.openxmlformats.org/officeDocument/2006/relationships/ctrlProp" Target="../ctrlProps/ctrlProp204.xml"/><Relationship Id="rId110" Type="http://schemas.openxmlformats.org/officeDocument/2006/relationships/ctrlProp" Target="../ctrlProps/ctrlProp227.xml"/><Relationship Id="rId115" Type="http://schemas.openxmlformats.org/officeDocument/2006/relationships/ctrlProp" Target="../ctrlProps/ctrlProp232.xml"/><Relationship Id="rId61" Type="http://schemas.openxmlformats.org/officeDocument/2006/relationships/ctrlProp" Target="../ctrlProps/ctrlProp178.xml"/><Relationship Id="rId82" Type="http://schemas.openxmlformats.org/officeDocument/2006/relationships/ctrlProp" Target="../ctrlProps/ctrlProp199.xml"/><Relationship Id="rId19" Type="http://schemas.openxmlformats.org/officeDocument/2006/relationships/ctrlProp" Target="../ctrlProps/ctrlProp136.xml"/><Relationship Id="rId14" Type="http://schemas.openxmlformats.org/officeDocument/2006/relationships/ctrlProp" Target="../ctrlProps/ctrlProp131.xml"/><Relationship Id="rId30" Type="http://schemas.openxmlformats.org/officeDocument/2006/relationships/ctrlProp" Target="../ctrlProps/ctrlProp147.xml"/><Relationship Id="rId35" Type="http://schemas.openxmlformats.org/officeDocument/2006/relationships/ctrlProp" Target="../ctrlProps/ctrlProp152.xml"/><Relationship Id="rId56" Type="http://schemas.openxmlformats.org/officeDocument/2006/relationships/ctrlProp" Target="../ctrlProps/ctrlProp173.xml"/><Relationship Id="rId77" Type="http://schemas.openxmlformats.org/officeDocument/2006/relationships/ctrlProp" Target="../ctrlProps/ctrlProp194.xml"/><Relationship Id="rId100" Type="http://schemas.openxmlformats.org/officeDocument/2006/relationships/ctrlProp" Target="../ctrlProps/ctrlProp217.xml"/><Relationship Id="rId105" Type="http://schemas.openxmlformats.org/officeDocument/2006/relationships/ctrlProp" Target="../ctrlProps/ctrlProp222.xml"/><Relationship Id="rId8" Type="http://schemas.openxmlformats.org/officeDocument/2006/relationships/ctrlProp" Target="../ctrlProps/ctrlProp125.xml"/><Relationship Id="rId51" Type="http://schemas.openxmlformats.org/officeDocument/2006/relationships/ctrlProp" Target="../ctrlProps/ctrlProp168.xml"/><Relationship Id="rId72" Type="http://schemas.openxmlformats.org/officeDocument/2006/relationships/ctrlProp" Target="../ctrlProps/ctrlProp189.xml"/><Relationship Id="rId93" Type="http://schemas.openxmlformats.org/officeDocument/2006/relationships/ctrlProp" Target="../ctrlProps/ctrlProp210.xml"/><Relationship Id="rId98" Type="http://schemas.openxmlformats.org/officeDocument/2006/relationships/ctrlProp" Target="../ctrlProps/ctrlProp215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42.xml"/><Relationship Id="rId46" Type="http://schemas.openxmlformats.org/officeDocument/2006/relationships/ctrlProp" Target="../ctrlProps/ctrlProp163.xml"/><Relationship Id="rId67" Type="http://schemas.openxmlformats.org/officeDocument/2006/relationships/ctrlProp" Target="../ctrlProps/ctrlProp184.xml"/><Relationship Id="rId20" Type="http://schemas.openxmlformats.org/officeDocument/2006/relationships/ctrlProp" Target="../ctrlProps/ctrlProp137.xml"/><Relationship Id="rId41" Type="http://schemas.openxmlformats.org/officeDocument/2006/relationships/ctrlProp" Target="../ctrlProps/ctrlProp158.xml"/><Relationship Id="rId62" Type="http://schemas.openxmlformats.org/officeDocument/2006/relationships/ctrlProp" Target="../ctrlProps/ctrlProp179.xml"/><Relationship Id="rId83" Type="http://schemas.openxmlformats.org/officeDocument/2006/relationships/ctrlProp" Target="../ctrlProps/ctrlProp200.xml"/><Relationship Id="rId88" Type="http://schemas.openxmlformats.org/officeDocument/2006/relationships/ctrlProp" Target="../ctrlProps/ctrlProp205.xml"/><Relationship Id="rId111" Type="http://schemas.openxmlformats.org/officeDocument/2006/relationships/ctrlProp" Target="../ctrlProps/ctrlProp2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71" zoomScaleNormal="100" workbookViewId="0">
      <selection activeCell="F192" sqref="F19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1" t="s">
        <v>0</v>
      </c>
      <c r="B1" s="125"/>
      <c r="C1" s="125"/>
      <c r="D1" s="125"/>
      <c r="E1" s="125"/>
      <c r="F1" s="112"/>
      <c r="G1" s="126">
        <v>44287</v>
      </c>
      <c r="H1" s="127"/>
      <c r="I1" s="128"/>
      <c r="J1" s="111" t="s">
        <v>1</v>
      </c>
      <c r="K1" s="125"/>
      <c r="L1" s="125"/>
      <c r="M1" s="125"/>
      <c r="N1" s="125"/>
      <c r="O1" s="112"/>
      <c r="Q1" s="111" t="s">
        <v>2</v>
      </c>
      <c r="R1" s="112"/>
    </row>
    <row r="2" spans="1:19" ht="17.25" customHeight="1">
      <c r="A2" s="1" t="s">
        <v>3</v>
      </c>
      <c r="B2" s="113" t="s">
        <v>4</v>
      </c>
      <c r="C2" s="114"/>
      <c r="D2" s="114"/>
      <c r="E2" s="114"/>
      <c r="F2" s="115"/>
      <c r="G2" s="116" t="s">
        <v>46</v>
      </c>
      <c r="H2" s="117"/>
      <c r="I2" s="118"/>
      <c r="J2" s="1" t="s">
        <v>3</v>
      </c>
      <c r="K2" s="113" t="s">
        <v>5</v>
      </c>
      <c r="L2" s="114"/>
      <c r="M2" s="114"/>
      <c r="N2" s="114"/>
      <c r="O2" s="115"/>
      <c r="Q2" s="2" t="s">
        <v>6</v>
      </c>
      <c r="R2" s="3">
        <v>0.375</v>
      </c>
    </row>
    <row r="3" spans="1:19" ht="17.25" customHeight="1" thickBot="1">
      <c r="A3" s="4" t="s">
        <v>7</v>
      </c>
      <c r="B3" s="119" t="s">
        <v>8</v>
      </c>
      <c r="C3" s="120"/>
      <c r="D3" s="120"/>
      <c r="E3" s="120"/>
      <c r="F3" s="121"/>
      <c r="G3" s="1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23"/>
      <c r="I3" s="124"/>
      <c r="J3" s="4" t="s">
        <v>7</v>
      </c>
      <c r="K3" s="119" t="s">
        <v>9</v>
      </c>
      <c r="L3" s="120"/>
      <c r="M3" s="120"/>
      <c r="N3" s="120"/>
      <c r="O3" s="12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9" t="s">
        <v>12</v>
      </c>
      <c r="C4" s="120"/>
      <c r="D4" s="120"/>
      <c r="E4" s="120"/>
      <c r="F4" s="121"/>
      <c r="G4" s="116" t="s">
        <v>44</v>
      </c>
      <c r="H4" s="117"/>
      <c r="I4" s="118"/>
      <c r="J4" s="4" t="s">
        <v>11</v>
      </c>
      <c r="K4" s="119" t="s">
        <v>13</v>
      </c>
      <c r="L4" s="120"/>
      <c r="M4" s="120"/>
      <c r="N4" s="120"/>
      <c r="O4" s="121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19" t="s">
        <v>16</v>
      </c>
      <c r="C5" s="120"/>
      <c r="D5" s="120"/>
      <c r="E5" s="120"/>
      <c r="F5" s="121"/>
      <c r="G5" s="1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23"/>
      <c r="I5" s="124"/>
      <c r="J5" s="4" t="s">
        <v>15</v>
      </c>
      <c r="K5" s="119" t="s">
        <v>17</v>
      </c>
      <c r="L5" s="120"/>
      <c r="M5" s="120"/>
      <c r="N5" s="120"/>
      <c r="O5" s="121"/>
    </row>
    <row r="6" spans="1:19">
      <c r="A6" s="4" t="s">
        <v>18</v>
      </c>
      <c r="B6" s="119" t="s">
        <v>19</v>
      </c>
      <c r="C6" s="120"/>
      <c r="D6" s="120"/>
      <c r="E6" s="120"/>
      <c r="F6" s="121"/>
      <c r="G6" s="116" t="s">
        <v>45</v>
      </c>
      <c r="H6" s="117"/>
      <c r="I6" s="118"/>
      <c r="J6" s="4" t="s">
        <v>18</v>
      </c>
      <c r="K6" s="119" t="s">
        <v>20</v>
      </c>
      <c r="L6" s="120"/>
      <c r="M6" s="120"/>
      <c r="N6" s="120"/>
      <c r="O6" s="121"/>
    </row>
    <row r="7" spans="1:19" ht="17.25" thickBot="1">
      <c r="A7" s="4" t="s">
        <v>21</v>
      </c>
      <c r="B7" s="119" t="s">
        <v>22</v>
      </c>
      <c r="C7" s="120"/>
      <c r="D7" s="120"/>
      <c r="E7" s="120"/>
      <c r="F7" s="121"/>
      <c r="G7" s="1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23"/>
      <c r="I7" s="124"/>
      <c r="J7" s="4" t="s">
        <v>21</v>
      </c>
      <c r="K7" s="119" t="s">
        <v>23</v>
      </c>
      <c r="L7" s="120"/>
      <c r="M7" s="120"/>
      <c r="N7" s="120"/>
      <c r="O7" s="121"/>
    </row>
    <row r="8" spans="1:19" ht="17.25" thickBot="1">
      <c r="A8" s="4" t="s">
        <v>24</v>
      </c>
      <c r="B8" s="119" t="s">
        <v>25</v>
      </c>
      <c r="C8" s="120"/>
      <c r="D8" s="120"/>
      <c r="E8" s="120"/>
      <c r="F8" s="121"/>
      <c r="G8" s="116" t="s">
        <v>285</v>
      </c>
      <c r="H8" s="117"/>
      <c r="I8" s="118"/>
      <c r="J8" s="4" t="s">
        <v>24</v>
      </c>
      <c r="K8" s="119" t="s">
        <v>26</v>
      </c>
      <c r="L8" s="120"/>
      <c r="M8" s="120"/>
      <c r="N8" s="120"/>
      <c r="O8" s="121"/>
      <c r="Q8" s="111" t="s">
        <v>27</v>
      </c>
      <c r="R8" s="112"/>
    </row>
    <row r="9" spans="1:19" ht="17.25" thickBot="1">
      <c r="A9" s="4" t="s">
        <v>28</v>
      </c>
      <c r="B9" s="119"/>
      <c r="C9" s="120"/>
      <c r="D9" s="120"/>
      <c r="E9" s="120"/>
      <c r="F9" s="121"/>
      <c r="G9" s="1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23"/>
      <c r="I9" s="124"/>
      <c r="J9" s="4" t="s">
        <v>28</v>
      </c>
      <c r="K9" s="119" t="s">
        <v>293</v>
      </c>
      <c r="L9" s="120"/>
      <c r="M9" s="120"/>
      <c r="N9" s="120"/>
      <c r="O9" s="121"/>
      <c r="Q9" s="2" t="s">
        <v>29</v>
      </c>
      <c r="R9" s="6">
        <v>10</v>
      </c>
    </row>
    <row r="10" spans="1:19">
      <c r="A10" s="4" t="s">
        <v>30</v>
      </c>
      <c r="B10" s="119"/>
      <c r="C10" s="120"/>
      <c r="D10" s="120"/>
      <c r="E10" s="120"/>
      <c r="F10" s="121"/>
      <c r="G10" s="116" t="s">
        <v>47</v>
      </c>
      <c r="H10" s="117"/>
      <c r="I10" s="118"/>
      <c r="J10" s="4" t="s">
        <v>30</v>
      </c>
      <c r="K10" s="119"/>
      <c r="L10" s="120"/>
      <c r="M10" s="120"/>
      <c r="N10" s="120"/>
      <c r="O10" s="121"/>
      <c r="Q10" s="2" t="s">
        <v>31</v>
      </c>
      <c r="R10" s="6">
        <v>100</v>
      </c>
    </row>
    <row r="11" spans="1:19" ht="17.25" thickBot="1">
      <c r="A11" s="7" t="s">
        <v>32</v>
      </c>
      <c r="B11" s="150"/>
      <c r="C11" s="151"/>
      <c r="D11" s="151"/>
      <c r="E11" s="151"/>
      <c r="F11" s="152"/>
      <c r="G11" s="1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23"/>
      <c r="I11" s="124"/>
      <c r="J11" s="7" t="s">
        <v>32</v>
      </c>
      <c r="K11" s="150"/>
      <c r="L11" s="151"/>
      <c r="M11" s="151"/>
      <c r="N11" s="151"/>
      <c r="O11" s="152"/>
      <c r="Q11" s="71" t="s">
        <v>33</v>
      </c>
      <c r="R11" s="8">
        <v>1000</v>
      </c>
    </row>
    <row r="12" spans="1:19" ht="17.25" thickBot="1"/>
    <row r="13" spans="1:19" ht="17.25" customHeight="1" thickBot="1">
      <c r="A13" s="111" t="s">
        <v>34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12"/>
      <c r="Q13" s="129"/>
      <c r="R13" s="130"/>
      <c r="S13" s="131"/>
    </row>
    <row r="14" spans="1:19" ht="17.25" customHeight="1" thickBot="1">
      <c r="A14" s="66" t="s">
        <v>35</v>
      </c>
      <c r="B14" s="111" t="s">
        <v>36</v>
      </c>
      <c r="C14" s="112"/>
      <c r="D14" s="111" t="s">
        <v>37</v>
      </c>
      <c r="E14" s="125"/>
      <c r="F14" s="112"/>
      <c r="G14" s="138">
        <f>_xlfn.IFNA(VLOOKUP(B14, 현재가테이블!$B$2:$D$200, 2, FALSE), "-")</f>
        <v>63826000</v>
      </c>
      <c r="H14" s="139"/>
      <c r="I14" s="140"/>
      <c r="J14" s="111" t="s">
        <v>38</v>
      </c>
      <c r="K14" s="125"/>
      <c r="L14" s="112"/>
      <c r="M14" s="141">
        <f>_xlfn.IFNA(VLOOKUP(B14, 현재가테이블!$B$2:$D$200, 3, FALSE), "-")</f>
        <v>-1.4529004E-2</v>
      </c>
      <c r="N14" s="142"/>
      <c r="O14" s="143"/>
      <c r="Q14" s="132"/>
      <c r="R14" s="133"/>
      <c r="S14" s="134"/>
    </row>
    <row r="15" spans="1:19" ht="17.25" customHeight="1" thickBot="1">
      <c r="A15" s="144" t="s">
        <v>39</v>
      </c>
      <c r="B15" s="145" t="str">
        <f>TEXT($G$1, "[$-ko-KR]yyyy-mm-dd(ddd) ") &amp; "오전 00:00"</f>
        <v>2021-04-01(목) 오전 00:00</v>
      </c>
      <c r="C15" s="146"/>
      <c r="D15" s="147" t="str">
        <f>TEXT($G$1, "[$-ko-KR]yyyy-mm-dd(ddd) ") &amp; "오후 14:00"</f>
        <v>2021-04-01(목) 오후 14:00</v>
      </c>
      <c r="E15" s="148"/>
      <c r="F15" s="149"/>
      <c r="G15" s="147" t="str">
        <f>TEXT($G$1, "[$-ko-KR]yyyy-mm-dd(ddd) ") &amp; "오후 19:00"</f>
        <v>2021-04-01(목) 오후 19:00</v>
      </c>
      <c r="H15" s="148"/>
      <c r="I15" s="149"/>
      <c r="J15" s="147" t="str">
        <f>TEXT($G$1, "[$-ko-KR]yyyy-mm-dd(ddd) ") &amp; "오후 21:00"</f>
        <v>2021-04-01(목) 오후 21:00</v>
      </c>
      <c r="K15" s="148"/>
      <c r="L15" s="149"/>
      <c r="M15" s="147" t="str">
        <f>TEXT($G$1+1, "[$-ko-KR]yyyy-mm-dd(ddd) ") &amp; "오전 00:00"</f>
        <v>2021-04-02(금) 오전 00:00</v>
      </c>
      <c r="N15" s="148"/>
      <c r="O15" s="149"/>
      <c r="Q15" s="135"/>
      <c r="R15" s="136"/>
      <c r="S15" s="137"/>
    </row>
    <row r="16" spans="1:19" ht="17.25" customHeight="1" thickBot="1">
      <c r="A16" s="14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66"/>
      <c r="R16" s="166"/>
      <c r="S16" s="166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63"/>
      <c r="R17" s="163"/>
      <c r="S17" s="163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63"/>
      <c r="R18" s="163"/>
      <c r="S18" s="163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64"/>
      <c r="R19" s="164"/>
      <c r="S19" s="164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64"/>
      <c r="R20" s="164"/>
      <c r="S20" s="164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65"/>
      <c r="R21" s="165"/>
      <c r="S21" s="165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53"/>
      <c r="R22" s="154"/>
      <c r="S22" s="155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56"/>
      <c r="R23" s="157"/>
      <c r="S23" s="158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59"/>
      <c r="R24" s="160"/>
      <c r="S24" s="161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32"/>
      <c r="R27" s="133"/>
      <c r="S27" s="134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35"/>
      <c r="R28" s="136"/>
      <c r="S28" s="137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62"/>
      <c r="R29" s="162"/>
      <c r="S29" s="162"/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63"/>
      <c r="R30" s="163"/>
      <c r="S30" s="163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63"/>
      <c r="R31" s="163"/>
      <c r="S31" s="163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64"/>
      <c r="R32" s="164"/>
      <c r="S32" s="164"/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64"/>
      <c r="R33" s="164"/>
      <c r="S33" s="164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65"/>
      <c r="R34" s="165"/>
      <c r="S34" s="165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53"/>
      <c r="R35" s="154"/>
      <c r="S35" s="15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56"/>
      <c r="R36" s="157"/>
      <c r="S36" s="158"/>
    </row>
    <row r="37" spans="1:19" ht="17.25" customHeight="1" thickBot="1">
      <c r="A37" s="27" t="s">
        <v>42</v>
      </c>
      <c r="B37" s="168">
        <v>100000</v>
      </c>
      <c r="C37" s="169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11" t="s">
        <v>44</v>
      </c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12"/>
      <c r="Q40" s="129"/>
      <c r="R40" s="130"/>
      <c r="S40" s="131"/>
    </row>
    <row r="41" spans="1:19" ht="17.25" customHeight="1" thickBot="1">
      <c r="A41" s="66" t="s">
        <v>35</v>
      </c>
      <c r="B41" s="111" t="s">
        <v>36</v>
      </c>
      <c r="C41" s="112"/>
      <c r="D41" s="111" t="s">
        <v>37</v>
      </c>
      <c r="E41" s="125"/>
      <c r="F41" s="112"/>
      <c r="G41" s="138">
        <f>_xlfn.IFNA(VLOOKUP(B41, 현재가테이블!$B$2:$D$200, 2, FALSE), "-")</f>
        <v>63826000</v>
      </c>
      <c r="H41" s="139"/>
      <c r="I41" s="140"/>
      <c r="J41" s="111" t="s">
        <v>38</v>
      </c>
      <c r="K41" s="125"/>
      <c r="L41" s="112"/>
      <c r="M41" s="141">
        <f>_xlfn.IFNA(VLOOKUP(B41, 현재가테이블!$B$2:$D$200, 3, FALSE), "-")</f>
        <v>-1.4529004E-2</v>
      </c>
      <c r="N41" s="142"/>
      <c r="O41" s="143"/>
      <c r="Q41" s="132"/>
      <c r="R41" s="133"/>
      <c r="S41" s="134"/>
    </row>
    <row r="42" spans="1:19" ht="17.25" customHeight="1" thickBot="1">
      <c r="A42" s="144" t="s">
        <v>39</v>
      </c>
      <c r="B42" s="145" t="str">
        <f>TEXT($G$1, "[$-ko-KR]yyyy-mm-dd(ddd) ") &amp; "오전 00:00"</f>
        <v>2021-04-01(목) 오전 00:00</v>
      </c>
      <c r="C42" s="146"/>
      <c r="D42" s="147" t="str">
        <f>TEXT($G$1, "[$-ko-KR]yyyy-mm-dd(ddd) ") &amp; "오후 14:00"</f>
        <v>2021-04-01(목) 오후 14:00</v>
      </c>
      <c r="E42" s="148"/>
      <c r="F42" s="149"/>
      <c r="G42" s="147" t="str">
        <f>TEXT($G$1, "[$-ko-KR]yyyy-mm-dd(ddd) ") &amp; "오후 19:00"</f>
        <v>2021-04-01(목) 오후 19:00</v>
      </c>
      <c r="H42" s="148"/>
      <c r="I42" s="149"/>
      <c r="J42" s="167" t="str">
        <f>TEXT($G$1, "[$-ko-KR]yyyy-mm-dd(ddd) ") &amp; "오후 21:00"</f>
        <v>2021-04-01(목) 오후 21:00</v>
      </c>
      <c r="K42" s="167"/>
      <c r="L42" s="167"/>
      <c r="M42" s="147" t="str">
        <f>TEXT($G$1+1, "[$-ko-KR]yyyy-mm-dd(ddd) ") &amp; "오전 00:00"</f>
        <v>2021-04-02(금) 오전 00:00</v>
      </c>
      <c r="N42" s="148"/>
      <c r="O42" s="149"/>
      <c r="Q42" s="135"/>
      <c r="R42" s="136"/>
      <c r="S42" s="137"/>
    </row>
    <row r="43" spans="1:19" ht="17.25" customHeight="1" thickBot="1">
      <c r="A43" s="144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66"/>
      <c r="R43" s="166"/>
      <c r="S43" s="166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63"/>
      <c r="R44" s="163"/>
      <c r="S44" s="163"/>
    </row>
    <row r="45" spans="1:19" ht="17.25" customHeight="1" thickBot="1">
      <c r="A45" s="32"/>
      <c r="B45" s="33"/>
      <c r="C45" s="16"/>
      <c r="D45" s="15"/>
      <c r="E45" s="16" t="str">
        <f t="shared" ref="E45:E48" si="10">IF(ISNUMBER(D45), (D45 - $B45) / $B45, "")</f>
        <v/>
      </c>
      <c r="F45" s="19" t="str">
        <f>IF(ISNUMBER(D45), $B64 * E45, "")</f>
        <v/>
      </c>
      <c r="G45" s="15"/>
      <c r="H45" s="16" t="str">
        <f t="shared" ref="H45:H48" si="11">IF(ISNUMBER(G45), (G45 - $B45) / $B45, "")</f>
        <v/>
      </c>
      <c r="I45" s="19" t="str">
        <f>IF(ISNUMBER(G45), $B64 * H45, "")</f>
        <v/>
      </c>
      <c r="J45" s="15"/>
      <c r="K45" s="16" t="str">
        <f t="shared" ref="K45:K48" si="12">IF(ISNUMBER(J45), (J45 - $B45) / $B45, "")</f>
        <v/>
      </c>
      <c r="L45" s="19" t="str">
        <f>IF(ISNUMBER(J45), $B64 * K45, "")</f>
        <v/>
      </c>
      <c r="M45" s="15"/>
      <c r="N45" s="16" t="str">
        <f t="shared" ref="N45:N48" si="13">IF(ISNUMBER(M45), (M45 - $B45) / $B45, "")</f>
        <v/>
      </c>
      <c r="O45" s="19" t="str">
        <f>IF(ISNUMBER(M45), $B64 * N45, "")</f>
        <v/>
      </c>
      <c r="Q45" s="163"/>
      <c r="R45" s="163"/>
      <c r="S45" s="163"/>
    </row>
    <row r="46" spans="1:19" ht="17.25" customHeight="1" thickBot="1">
      <c r="A46" s="32"/>
      <c r="B46" s="33"/>
      <c r="C46" s="16"/>
      <c r="D46" s="15"/>
      <c r="E46" s="16" t="str">
        <f t="shared" si="10"/>
        <v/>
      </c>
      <c r="F46" s="19" t="str">
        <f>IF(ISNUMBER(D46), $B64 * E46, "")</f>
        <v/>
      </c>
      <c r="G46" s="15"/>
      <c r="H46" s="16" t="str">
        <f t="shared" si="11"/>
        <v/>
      </c>
      <c r="I46" s="19" t="str">
        <f>IF(ISNUMBER(G46), $B64 * H46, "")</f>
        <v/>
      </c>
      <c r="J46" s="15"/>
      <c r="K46" s="16" t="str">
        <f t="shared" si="12"/>
        <v/>
      </c>
      <c r="L46" s="19" t="str">
        <f>IF(ISNUMBER(J46), $B64 * K46, "")</f>
        <v/>
      </c>
      <c r="M46" s="15"/>
      <c r="N46" s="16" t="str">
        <f t="shared" si="13"/>
        <v/>
      </c>
      <c r="O46" s="19" t="str">
        <f>IF(ISNUMBER(M46), $B64 * N46, "")</f>
        <v/>
      </c>
      <c r="Q46" s="164"/>
      <c r="R46" s="164"/>
      <c r="S46" s="164"/>
    </row>
    <row r="47" spans="1:19" ht="17.25" customHeight="1" thickBot="1">
      <c r="A47" s="32"/>
      <c r="B47" s="33"/>
      <c r="C47" s="16"/>
      <c r="D47" s="15"/>
      <c r="E47" s="16" t="str">
        <f t="shared" si="10"/>
        <v/>
      </c>
      <c r="F47" s="19" t="str">
        <f>IF(ISNUMBER(D47), $B64 * E47, "")</f>
        <v/>
      </c>
      <c r="G47" s="15"/>
      <c r="H47" s="16" t="str">
        <f t="shared" si="11"/>
        <v/>
      </c>
      <c r="I47" s="19" t="str">
        <f>IF(ISNUMBER(G47), $B64 * H47, "")</f>
        <v/>
      </c>
      <c r="J47" s="15"/>
      <c r="K47" s="16" t="str">
        <f t="shared" si="12"/>
        <v/>
      </c>
      <c r="L47" s="19" t="str">
        <f>IF(ISNUMBER(J47), $B64 * K47, "")</f>
        <v/>
      </c>
      <c r="M47" s="15"/>
      <c r="N47" s="16" t="str">
        <f t="shared" si="13"/>
        <v/>
      </c>
      <c r="O47" s="19" t="str">
        <f>IF(ISNUMBER(M47), $B64 * N47, "")</f>
        <v/>
      </c>
      <c r="Q47" s="164"/>
      <c r="R47" s="164"/>
      <c r="S47" s="164"/>
    </row>
    <row r="48" spans="1:19" ht="17.25" customHeight="1" thickBot="1">
      <c r="A48" s="34"/>
      <c r="B48" s="35"/>
      <c r="C48" s="22"/>
      <c r="D48" s="21"/>
      <c r="E48" s="22" t="str">
        <f t="shared" si="10"/>
        <v/>
      </c>
      <c r="F48" s="23" t="str">
        <f>IF(ISNUMBER(D48), $B64 * E48, "")</f>
        <v/>
      </c>
      <c r="G48" s="21"/>
      <c r="H48" s="22" t="str">
        <f t="shared" si="11"/>
        <v/>
      </c>
      <c r="I48" s="23" t="str">
        <f>IF(ISNUMBER(G48), $B64 * H48, "")</f>
        <v/>
      </c>
      <c r="J48" s="21"/>
      <c r="K48" s="22" t="str">
        <f t="shared" si="12"/>
        <v/>
      </c>
      <c r="L48" s="23" t="str">
        <f>IF(ISNUMBER(J48), $B64 * K48, "")</f>
        <v/>
      </c>
      <c r="M48" s="21"/>
      <c r="N48" s="22" t="str">
        <f t="shared" si="13"/>
        <v/>
      </c>
      <c r="O48" s="23" t="str">
        <f>IF(ISNUMBER(M48), $B64 * N48, "")</f>
        <v/>
      </c>
      <c r="Q48" s="165"/>
      <c r="R48" s="165"/>
      <c r="S48" s="165"/>
    </row>
    <row r="49" spans="1:19" ht="17.25" customHeigh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53"/>
      <c r="R49" s="154"/>
      <c r="S49" s="155"/>
    </row>
    <row r="50" spans="1:19" ht="17.25" customHeight="1">
      <c r="A50" s="32"/>
      <c r="B50" s="33"/>
      <c r="C50" s="16"/>
      <c r="D50" s="15"/>
      <c r="E50" s="16" t="str">
        <f t="shared" ref="E50:E53" si="14">IF(ISNUMBER(D50), (D50 - $B50) / $B50, "")</f>
        <v/>
      </c>
      <c r="F50" s="19" t="str">
        <f>IF(ISNUMBER(D50), $B64 * E50, "")</f>
        <v/>
      </c>
      <c r="G50" s="15"/>
      <c r="H50" s="16" t="str">
        <f t="shared" ref="H50:H53" si="15">IF(ISNUMBER(G50), (G50 - $B50) / $B50, "")</f>
        <v/>
      </c>
      <c r="I50" s="19" t="str">
        <f>IF(ISNUMBER(G50), $B64 * H50, "")</f>
        <v/>
      </c>
      <c r="J50" s="15"/>
      <c r="K50" s="16" t="str">
        <f t="shared" ref="K50:K53" si="16">IF(ISNUMBER(J50), (J50 - $B50) / $B50, "")</f>
        <v/>
      </c>
      <c r="L50" s="19" t="str">
        <f>IF(ISNUMBER(J50), $B64 * K50, "")</f>
        <v/>
      </c>
      <c r="M50" s="15"/>
      <c r="N50" s="16" t="str">
        <f t="shared" ref="N50:N53" si="17">IF(ISNUMBER(M50), (M50 - $B50) / $B50, "")</f>
        <v/>
      </c>
      <c r="O50" s="19" t="str">
        <f>IF(ISNUMBER(M50), $B64 * N50, "")</f>
        <v/>
      </c>
      <c r="Q50" s="156"/>
      <c r="R50" s="157"/>
      <c r="S50" s="158"/>
    </row>
    <row r="51" spans="1:19" ht="17.25" customHeight="1" thickBot="1">
      <c r="A51" s="32"/>
      <c r="B51" s="33"/>
      <c r="C51" s="16"/>
      <c r="D51" s="15"/>
      <c r="E51" s="16" t="str">
        <f t="shared" si="14"/>
        <v/>
      </c>
      <c r="F51" s="19" t="str">
        <f>IF(ISNUMBER(D51), $B64 * E51, "")</f>
        <v/>
      </c>
      <c r="G51" s="15"/>
      <c r="H51" s="16" t="str">
        <f t="shared" si="15"/>
        <v/>
      </c>
      <c r="I51" s="19" t="str">
        <f>IF(ISNUMBER(G51), $B64 * H51, "")</f>
        <v/>
      </c>
      <c r="J51" s="15"/>
      <c r="K51" s="16" t="str">
        <f t="shared" si="16"/>
        <v/>
      </c>
      <c r="L51" s="19" t="str">
        <f>IF(ISNUMBER(J51), $B64 * K51, "")</f>
        <v/>
      </c>
      <c r="M51" s="15"/>
      <c r="N51" s="16" t="str">
        <f t="shared" si="17"/>
        <v/>
      </c>
      <c r="O51" s="19" t="str">
        <f>IF(ISNUMBER(M51), $B64 * N51, "")</f>
        <v/>
      </c>
      <c r="Q51" s="159"/>
      <c r="R51" s="160"/>
      <c r="S51" s="161"/>
    </row>
    <row r="52" spans="1:19" ht="17.25" customHeight="1" thickBot="1">
      <c r="A52" s="32"/>
      <c r="B52" s="33"/>
      <c r="C52" s="16"/>
      <c r="D52" s="15"/>
      <c r="E52" s="16" t="str">
        <f t="shared" si="14"/>
        <v/>
      </c>
      <c r="F52" s="19" t="str">
        <f>IF(ISNUMBER(D52), $B64 * E52, "")</f>
        <v/>
      </c>
      <c r="G52" s="15"/>
      <c r="H52" s="16" t="str">
        <f t="shared" si="15"/>
        <v/>
      </c>
      <c r="I52" s="19" t="str">
        <f>IF(ISNUMBER(G52), $B64 * H52, "")</f>
        <v/>
      </c>
      <c r="J52" s="15"/>
      <c r="K52" s="16" t="str">
        <f t="shared" si="16"/>
        <v/>
      </c>
      <c r="L52" s="19" t="str">
        <f>IF(ISNUMBER(J52), $B64 * K52, "")</f>
        <v/>
      </c>
      <c r="M52" s="15"/>
      <c r="N52" s="16" t="str">
        <f t="shared" si="17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4"/>
        <v/>
      </c>
      <c r="F53" s="19" t="str">
        <f>IF(ISNUMBER(D53), $B64 * E53, "")</f>
        <v/>
      </c>
      <c r="G53" s="21"/>
      <c r="H53" s="22" t="str">
        <f t="shared" si="15"/>
        <v/>
      </c>
      <c r="I53" s="19" t="str">
        <f>IF(ISNUMBER(G53), $B64 * H53, "")</f>
        <v/>
      </c>
      <c r="J53" s="21"/>
      <c r="K53" s="22" t="str">
        <f t="shared" si="16"/>
        <v/>
      </c>
      <c r="L53" s="19" t="str">
        <f>IF(ISNUMBER(J53), $B64 * K53, "")</f>
        <v/>
      </c>
      <c r="M53" s="21"/>
      <c r="N53" s="22" t="str">
        <f t="shared" si="17"/>
        <v/>
      </c>
      <c r="O53" s="19" t="str">
        <f>IF(ISNUMBER(M53), $B64 * N53, "")</f>
        <v/>
      </c>
      <c r="Q53" s="129"/>
      <c r="R53" s="130"/>
      <c r="S53" s="131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32"/>
      <c r="R54" s="133"/>
      <c r="S54" s="134"/>
    </row>
    <row r="55" spans="1:19" ht="17.25" customHeight="1" thickBot="1">
      <c r="A55" s="32"/>
      <c r="B55" s="33"/>
      <c r="C55" s="16"/>
      <c r="D55" s="15"/>
      <c r="E55" s="16" t="str">
        <f t="shared" ref="E55:E58" si="18">IF(ISNUMBER(D55), (D55 - $B55) / $B55, "")</f>
        <v/>
      </c>
      <c r="F55" s="19" t="str">
        <f>IF(ISNUMBER(D55), $B64 * E55, "")</f>
        <v/>
      </c>
      <c r="G55" s="15"/>
      <c r="H55" s="16" t="str">
        <f t="shared" ref="H55:H58" si="19">IF(ISNUMBER(G55), (G55 - $B55) / $B55, "")</f>
        <v/>
      </c>
      <c r="I55" s="19" t="str">
        <f>IF(ISNUMBER(G55), $B64 * H55, "")</f>
        <v/>
      </c>
      <c r="J55" s="15"/>
      <c r="K55" s="16" t="str">
        <f t="shared" ref="K55:K58" si="20">IF(ISNUMBER(J55), (J55 - $B55) / $B55, "")</f>
        <v/>
      </c>
      <c r="L55" s="19" t="str">
        <f>IF(ISNUMBER(J55), $B64 * K55, "")</f>
        <v/>
      </c>
      <c r="M55" s="15"/>
      <c r="N55" s="16" t="str">
        <f t="shared" ref="N55:N58" si="21">IF(ISNUMBER(M55), (M55 - $B55) / $B55, "")</f>
        <v/>
      </c>
      <c r="O55" s="19" t="str">
        <f>IF(ISNUMBER(M55), $B64 * N55, "")</f>
        <v/>
      </c>
      <c r="Q55" s="135"/>
      <c r="R55" s="136"/>
      <c r="S55" s="137"/>
    </row>
    <row r="56" spans="1:19" ht="17.25" customHeight="1" thickBot="1">
      <c r="A56" s="32"/>
      <c r="B56" s="33"/>
      <c r="C56" s="16"/>
      <c r="D56" s="15"/>
      <c r="E56" s="16" t="str">
        <f t="shared" si="18"/>
        <v/>
      </c>
      <c r="F56" s="19" t="str">
        <f>IF(ISNUMBER(D56), $B64 * E56, "")</f>
        <v/>
      </c>
      <c r="G56" s="15"/>
      <c r="H56" s="16" t="str">
        <f t="shared" si="19"/>
        <v/>
      </c>
      <c r="I56" s="19" t="str">
        <f>IF(ISNUMBER(G56), $B64 * H56, "")</f>
        <v/>
      </c>
      <c r="J56" s="15"/>
      <c r="K56" s="16" t="str">
        <f t="shared" si="20"/>
        <v/>
      </c>
      <c r="L56" s="19" t="str">
        <f>IF(ISNUMBER(J56), $B64 * K56, "")</f>
        <v/>
      </c>
      <c r="M56" s="15"/>
      <c r="N56" s="16" t="str">
        <f t="shared" si="21"/>
        <v/>
      </c>
      <c r="O56" s="19" t="str">
        <f>IF(ISNUMBER(M56), $B64 * N56, "")</f>
        <v/>
      </c>
      <c r="Q56" s="166"/>
      <c r="R56" s="166"/>
      <c r="S56" s="166"/>
    </row>
    <row r="57" spans="1:19" ht="17.25" customHeight="1" thickBot="1">
      <c r="A57" s="32"/>
      <c r="B57" s="33"/>
      <c r="C57" s="16"/>
      <c r="D57" s="15"/>
      <c r="E57" s="16" t="str">
        <f t="shared" si="18"/>
        <v/>
      </c>
      <c r="F57" s="19" t="str">
        <f>IF(ISNUMBER(D57), $B64 * E57, "")</f>
        <v/>
      </c>
      <c r="G57" s="15"/>
      <c r="H57" s="16" t="str">
        <f t="shared" si="19"/>
        <v/>
      </c>
      <c r="I57" s="19" t="str">
        <f>IF(ISNUMBER(G57), $B64 * H57, "")</f>
        <v/>
      </c>
      <c r="J57" s="15"/>
      <c r="K57" s="16" t="str">
        <f t="shared" si="20"/>
        <v/>
      </c>
      <c r="L57" s="19" t="str">
        <f>IF(ISNUMBER(J57), $B64 * K57, "")</f>
        <v/>
      </c>
      <c r="M57" s="15"/>
      <c r="N57" s="16" t="str">
        <f t="shared" si="21"/>
        <v/>
      </c>
      <c r="O57" s="19" t="str">
        <f>IF(ISNUMBER(M57), $B64 * N57, "")</f>
        <v/>
      </c>
      <c r="Q57" s="163"/>
      <c r="R57" s="163"/>
      <c r="S57" s="163"/>
    </row>
    <row r="58" spans="1:19" ht="17.25" customHeight="1" thickBot="1">
      <c r="A58" s="34"/>
      <c r="B58" s="35"/>
      <c r="C58" s="22"/>
      <c r="D58" s="21"/>
      <c r="E58" s="22" t="str">
        <f t="shared" si="18"/>
        <v/>
      </c>
      <c r="F58" s="23" t="str">
        <f>IF(ISNUMBER(D58), $B64 * E58, "")</f>
        <v/>
      </c>
      <c r="G58" s="21"/>
      <c r="H58" s="22" t="str">
        <f t="shared" si="19"/>
        <v/>
      </c>
      <c r="I58" s="23" t="str">
        <f>IF(ISNUMBER(G58), $B64 * H58, "")</f>
        <v/>
      </c>
      <c r="J58" s="21"/>
      <c r="K58" s="22" t="str">
        <f t="shared" si="20"/>
        <v/>
      </c>
      <c r="L58" s="23" t="str">
        <f>IF(ISNUMBER(J58), $B64 * K58, "")</f>
        <v/>
      </c>
      <c r="M58" s="21"/>
      <c r="N58" s="22" t="str">
        <f t="shared" si="21"/>
        <v/>
      </c>
      <c r="O58" s="23" t="str">
        <f>IF(ISNUMBER(M58), $B64 * N58, "")</f>
        <v/>
      </c>
      <c r="Q58" s="163"/>
      <c r="R58" s="163"/>
      <c r="S58" s="163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64"/>
      <c r="R59" s="164"/>
      <c r="S59" s="164"/>
    </row>
    <row r="60" spans="1:19" ht="17.25" customHeight="1" thickBot="1">
      <c r="A60" s="32"/>
      <c r="B60" s="33"/>
      <c r="C60" s="16"/>
      <c r="D60" s="15"/>
      <c r="E60" s="16" t="str">
        <f t="shared" ref="E60:E63" si="22">IF(ISNUMBER(D60), (D60 - $B60) / $B60, "")</f>
        <v/>
      </c>
      <c r="F60" s="19" t="str">
        <f>IF(ISNUMBER(D60), $B64 * E60, "")</f>
        <v/>
      </c>
      <c r="G60" s="15"/>
      <c r="H60" s="16" t="str">
        <f t="shared" ref="H60:H63" si="23">IF(ISNUMBER(G60), (G60 - $B60) / $B60, "")</f>
        <v/>
      </c>
      <c r="I60" s="19" t="str">
        <f>IF(ISNUMBER(G60), $B64 * H60, "")</f>
        <v/>
      </c>
      <c r="J60" s="15"/>
      <c r="K60" s="16" t="str">
        <f t="shared" ref="K60:K63" si="24">IF(ISNUMBER(J60), (J60 - $B60) / $B60, "")</f>
        <v/>
      </c>
      <c r="L60" s="19" t="str">
        <f>IF(ISNUMBER(J60), $B64 * K60, "")</f>
        <v/>
      </c>
      <c r="M60" s="15"/>
      <c r="N60" s="16" t="str">
        <f t="shared" ref="N60:N63" si="25">IF(ISNUMBER(M60), (M60 - $B60) / $B60, "")</f>
        <v/>
      </c>
      <c r="O60" s="19" t="str">
        <f>IF(ISNUMBER(M60), $B64 * N60, "")</f>
        <v/>
      </c>
      <c r="Q60" s="164"/>
      <c r="R60" s="164"/>
      <c r="S60" s="164"/>
    </row>
    <row r="61" spans="1:19" ht="17.25" customHeight="1" thickBot="1">
      <c r="A61" s="32"/>
      <c r="B61" s="33"/>
      <c r="C61" s="16"/>
      <c r="D61" s="15"/>
      <c r="E61" s="16" t="str">
        <f t="shared" si="22"/>
        <v/>
      </c>
      <c r="F61" s="19" t="str">
        <f>IF(ISNUMBER(D61), $B64 * E61, "")</f>
        <v/>
      </c>
      <c r="G61" s="15"/>
      <c r="H61" s="16" t="str">
        <f t="shared" si="23"/>
        <v/>
      </c>
      <c r="I61" s="19" t="str">
        <f>IF(ISNUMBER(G61), $B64 * H61, "")</f>
        <v/>
      </c>
      <c r="J61" s="15"/>
      <c r="K61" s="16" t="str">
        <f t="shared" si="24"/>
        <v/>
      </c>
      <c r="L61" s="19" t="str">
        <f>IF(ISNUMBER(J61), $B64 * K61, "")</f>
        <v/>
      </c>
      <c r="M61" s="15"/>
      <c r="N61" s="16" t="str">
        <f t="shared" si="25"/>
        <v/>
      </c>
      <c r="O61" s="19" t="str">
        <f>IF(ISNUMBER(M61), $B64 * N61, "")</f>
        <v/>
      </c>
      <c r="Q61" s="165"/>
      <c r="R61" s="165"/>
      <c r="S61" s="165"/>
    </row>
    <row r="62" spans="1:19" ht="17.25" customHeight="1">
      <c r="A62" s="32"/>
      <c r="B62" s="33"/>
      <c r="C62" s="16"/>
      <c r="D62" s="15"/>
      <c r="E62" s="16" t="str">
        <f t="shared" si="22"/>
        <v/>
      </c>
      <c r="F62" s="19" t="str">
        <f>IF(ISNUMBER(D62), $B64 * E62, "")</f>
        <v/>
      </c>
      <c r="G62" s="15"/>
      <c r="H62" s="16" t="str">
        <f t="shared" si="23"/>
        <v/>
      </c>
      <c r="I62" s="19" t="str">
        <f>IF(ISNUMBER(G62), $B64 * H62, "")</f>
        <v/>
      </c>
      <c r="J62" s="15"/>
      <c r="K62" s="16" t="str">
        <f t="shared" si="24"/>
        <v/>
      </c>
      <c r="L62" s="19" t="str">
        <f>IF(ISNUMBER(J62), $B64 * K62, "")</f>
        <v/>
      </c>
      <c r="M62" s="15"/>
      <c r="N62" s="16" t="str">
        <f t="shared" si="25"/>
        <v/>
      </c>
      <c r="O62" s="19" t="str">
        <f>IF(ISNUMBER(M62), $B64 * N62, "")</f>
        <v/>
      </c>
      <c r="Q62" s="153"/>
      <c r="R62" s="154"/>
      <c r="S62" s="155"/>
    </row>
    <row r="63" spans="1:19" ht="17.25" customHeight="1" thickBot="1">
      <c r="A63" s="34"/>
      <c r="B63" s="35"/>
      <c r="C63" s="22"/>
      <c r="D63" s="21"/>
      <c r="E63" s="22" t="str">
        <f t="shared" si="22"/>
        <v/>
      </c>
      <c r="F63" s="19" t="str">
        <f>IF(ISNUMBER(D63), $B64 * E63, "")</f>
        <v/>
      </c>
      <c r="G63" s="21"/>
      <c r="H63" s="22" t="str">
        <f t="shared" si="23"/>
        <v/>
      </c>
      <c r="I63" s="19" t="str">
        <f>IF(ISNUMBER(G63), $B64 * H63, "")</f>
        <v/>
      </c>
      <c r="J63" s="21"/>
      <c r="K63" s="22" t="str">
        <f t="shared" si="24"/>
        <v/>
      </c>
      <c r="L63" s="19" t="str">
        <f>IF(ISNUMBER(J63), $B64 * K63, "")</f>
        <v/>
      </c>
      <c r="M63" s="21"/>
      <c r="N63" s="22" t="str">
        <f t="shared" si="25"/>
        <v/>
      </c>
      <c r="O63" s="19" t="str">
        <f>IF(ISNUMBER(M63), $B64 * N63, "")</f>
        <v/>
      </c>
      <c r="Q63" s="156"/>
      <c r="R63" s="157"/>
      <c r="S63" s="158"/>
    </row>
    <row r="64" spans="1:19" ht="17.25" customHeight="1" thickBot="1">
      <c r="A64" s="27" t="s">
        <v>42</v>
      </c>
      <c r="B64" s="168">
        <v>100000</v>
      </c>
      <c r="C64" s="169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11" t="s">
        <v>45</v>
      </c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12"/>
      <c r="Q67" s="129"/>
      <c r="R67" s="130"/>
      <c r="S67" s="131"/>
    </row>
    <row r="68" spans="1:19" ht="17.25" thickBot="1">
      <c r="A68" s="66" t="s">
        <v>35</v>
      </c>
      <c r="B68" s="111" t="s">
        <v>36</v>
      </c>
      <c r="C68" s="112"/>
      <c r="D68" s="111" t="s">
        <v>37</v>
      </c>
      <c r="E68" s="125"/>
      <c r="F68" s="112"/>
      <c r="G68" s="138">
        <f>_xlfn.IFNA(VLOOKUP(B68, 현재가테이블!$B$2:$D$200, 2, FALSE), "-")</f>
        <v>63826000</v>
      </c>
      <c r="H68" s="139"/>
      <c r="I68" s="140"/>
      <c r="J68" s="111" t="s">
        <v>38</v>
      </c>
      <c r="K68" s="125"/>
      <c r="L68" s="112"/>
      <c r="M68" s="141">
        <f>_xlfn.IFNA(VLOOKUP(B68, 현재가테이블!$B$2:$D$200, 3, FALSE), "-")</f>
        <v>-1.4529004E-2</v>
      </c>
      <c r="N68" s="142"/>
      <c r="O68" s="143"/>
      <c r="Q68" s="132"/>
      <c r="R68" s="133"/>
      <c r="S68" s="134"/>
    </row>
    <row r="69" spans="1:19" ht="17.25" thickBot="1">
      <c r="A69" s="144" t="s">
        <v>39</v>
      </c>
      <c r="B69" s="145" t="str">
        <f>TEXT($G$1, "[$-ko-KR]yyyy-mm-dd(ddd) ") &amp; "오전 00:00"</f>
        <v>2021-04-01(목) 오전 00:00</v>
      </c>
      <c r="C69" s="146"/>
      <c r="D69" s="147" t="str">
        <f>TEXT($G$1, "[$-ko-KR]yyyy-mm-dd(ddd) ") &amp; "오후 14:00"</f>
        <v>2021-04-01(목) 오후 14:00</v>
      </c>
      <c r="E69" s="148"/>
      <c r="F69" s="149"/>
      <c r="G69" s="147" t="str">
        <f>TEXT($G$1, "[$-ko-KR]yyyy-mm-dd(ddd) ") &amp; "오후 19:00"</f>
        <v>2021-04-01(목) 오후 19:00</v>
      </c>
      <c r="H69" s="148"/>
      <c r="I69" s="149"/>
      <c r="J69" s="167" t="str">
        <f>TEXT($G$1, "[$-ko-KR]yyyy-mm-dd(ddd) ") &amp; "오후 21:00"</f>
        <v>2021-04-01(목) 오후 21:00</v>
      </c>
      <c r="K69" s="167"/>
      <c r="L69" s="167"/>
      <c r="M69" s="147" t="str">
        <f>TEXT($G$1+1, "[$-ko-KR]yyyy-mm-dd(ddd) ") &amp; "오전 00:00"</f>
        <v>2021-04-02(금) 오전 00:00</v>
      </c>
      <c r="N69" s="148"/>
      <c r="O69" s="149"/>
      <c r="Q69" s="135"/>
      <c r="R69" s="136"/>
      <c r="S69" s="137"/>
    </row>
    <row r="70" spans="1:19" ht="17.25" thickBot="1">
      <c r="A70" s="144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66"/>
      <c r="R70" s="166"/>
      <c r="S70" s="166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63"/>
      <c r="R71" s="163"/>
      <c r="S71" s="163"/>
    </row>
    <row r="72" spans="1:19" ht="17.25" thickBot="1">
      <c r="A72" s="32"/>
      <c r="B72" s="33"/>
      <c r="C72" s="16"/>
      <c r="D72" s="15"/>
      <c r="E72" s="16" t="str">
        <f t="shared" ref="E72:E75" si="26">IF(ISNUMBER(D72), (D72 - $B72) / $B72, "")</f>
        <v/>
      </c>
      <c r="F72" s="19" t="str">
        <f>IF(ISNUMBER(D72), $B91 * E72, "")</f>
        <v/>
      </c>
      <c r="G72" s="15"/>
      <c r="H72" s="16" t="str">
        <f t="shared" ref="H72:H75" si="27">IF(ISNUMBER(G72), (G72 - $B72) / $B72, "")</f>
        <v/>
      </c>
      <c r="I72" s="19" t="str">
        <f>IF(ISNUMBER(G72), $B91 * H72, "")</f>
        <v/>
      </c>
      <c r="J72" s="15"/>
      <c r="K72" s="16" t="str">
        <f t="shared" ref="K72:K75" si="28">IF(ISNUMBER(J72), (J72 - $B72) / $B72, "")</f>
        <v/>
      </c>
      <c r="L72" s="19" t="str">
        <f>IF(ISNUMBER(J72), $B91 * K72, "")</f>
        <v/>
      </c>
      <c r="M72" s="15"/>
      <c r="N72" s="16" t="str">
        <f t="shared" ref="N72:N75" si="29">IF(ISNUMBER(M72), (M72 - $B72) / $B72, "")</f>
        <v/>
      </c>
      <c r="O72" s="19" t="str">
        <f>IF(ISNUMBER(M72), $B91 * N72, "")</f>
        <v/>
      </c>
      <c r="Q72" s="163"/>
      <c r="R72" s="163"/>
      <c r="S72" s="163"/>
    </row>
    <row r="73" spans="1:19" ht="17.25" thickBot="1">
      <c r="A73" s="32"/>
      <c r="B73" s="33"/>
      <c r="C73" s="16"/>
      <c r="D73" s="15"/>
      <c r="E73" s="16" t="str">
        <f t="shared" si="26"/>
        <v/>
      </c>
      <c r="F73" s="19" t="str">
        <f>IF(ISNUMBER(D73), $B91 * E73, "")</f>
        <v/>
      </c>
      <c r="G73" s="15"/>
      <c r="H73" s="16" t="str">
        <f t="shared" si="27"/>
        <v/>
      </c>
      <c r="I73" s="19" t="str">
        <f>IF(ISNUMBER(G73), $B91 * H73, "")</f>
        <v/>
      </c>
      <c r="J73" s="15"/>
      <c r="K73" s="16" t="str">
        <f t="shared" si="28"/>
        <v/>
      </c>
      <c r="L73" s="19" t="str">
        <f>IF(ISNUMBER(J73), $B91 * K73, "")</f>
        <v/>
      </c>
      <c r="M73" s="15"/>
      <c r="N73" s="16" t="str">
        <f t="shared" si="29"/>
        <v/>
      </c>
      <c r="O73" s="19" t="str">
        <f>IF(ISNUMBER(M73), $B91 * N73, "")</f>
        <v/>
      </c>
      <c r="Q73" s="164"/>
      <c r="R73" s="164"/>
      <c r="S73" s="164"/>
    </row>
    <row r="74" spans="1:19" ht="17.25" thickBot="1">
      <c r="A74" s="32"/>
      <c r="B74" s="33"/>
      <c r="C74" s="16"/>
      <c r="D74" s="15"/>
      <c r="E74" s="16" t="str">
        <f t="shared" si="26"/>
        <v/>
      </c>
      <c r="F74" s="19" t="str">
        <f>IF(ISNUMBER(D74), $B91 * E74, "")</f>
        <v/>
      </c>
      <c r="G74" s="15"/>
      <c r="H74" s="16" t="str">
        <f t="shared" si="27"/>
        <v/>
      </c>
      <c r="I74" s="19" t="str">
        <f>IF(ISNUMBER(G74), $B91 * H74, "")</f>
        <v/>
      </c>
      <c r="J74" s="15"/>
      <c r="K74" s="16" t="str">
        <f t="shared" si="28"/>
        <v/>
      </c>
      <c r="L74" s="19" t="str">
        <f>IF(ISNUMBER(J74), $B91 * K74, "")</f>
        <v/>
      </c>
      <c r="M74" s="15"/>
      <c r="N74" s="16" t="str">
        <f t="shared" si="29"/>
        <v/>
      </c>
      <c r="O74" s="19" t="str">
        <f>IF(ISNUMBER(M74), $B91 * N74, "")</f>
        <v/>
      </c>
      <c r="Q74" s="164"/>
      <c r="R74" s="164"/>
      <c r="S74" s="164"/>
    </row>
    <row r="75" spans="1:19" ht="17.25" thickBot="1">
      <c r="A75" s="34"/>
      <c r="B75" s="35"/>
      <c r="C75" s="22"/>
      <c r="D75" s="21"/>
      <c r="E75" s="22" t="str">
        <f t="shared" si="26"/>
        <v/>
      </c>
      <c r="F75" s="23" t="str">
        <f>IF(ISNUMBER(D75), $B91 * E75, "")</f>
        <v/>
      </c>
      <c r="G75" s="21"/>
      <c r="H75" s="22" t="str">
        <f t="shared" si="27"/>
        <v/>
      </c>
      <c r="I75" s="23" t="str">
        <f>IF(ISNUMBER(G75), $B91 * H75, "")</f>
        <v/>
      </c>
      <c r="J75" s="21"/>
      <c r="K75" s="22" t="str">
        <f t="shared" si="28"/>
        <v/>
      </c>
      <c r="L75" s="23" t="str">
        <f>IF(ISNUMBER(J75), $B91 * K75, "")</f>
        <v/>
      </c>
      <c r="M75" s="21"/>
      <c r="N75" s="22" t="str">
        <f t="shared" si="29"/>
        <v/>
      </c>
      <c r="O75" s="23" t="str">
        <f>IF(ISNUMBER(M75), $B91 * N75, "")</f>
        <v/>
      </c>
      <c r="Q75" s="165"/>
      <c r="R75" s="165"/>
      <c r="S75" s="165"/>
    </row>
    <row r="76" spans="1:19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53"/>
      <c r="R76" s="154"/>
      <c r="S76" s="155"/>
    </row>
    <row r="77" spans="1:19">
      <c r="A77" s="32"/>
      <c r="B77" s="33"/>
      <c r="C77" s="16"/>
      <c r="D77" s="15"/>
      <c r="E77" s="16" t="str">
        <f t="shared" ref="E77:E80" si="30">IF(ISNUMBER(D77), (D77 - $B77) / $B77, "")</f>
        <v/>
      </c>
      <c r="F77" s="19" t="str">
        <f>IF(ISNUMBER(D77), $B91 * E77, "")</f>
        <v/>
      </c>
      <c r="G77" s="15"/>
      <c r="H77" s="16" t="str">
        <f t="shared" ref="H77:H80" si="31">IF(ISNUMBER(G77), (G77 - $B77) / $B77, "")</f>
        <v/>
      </c>
      <c r="I77" s="19" t="str">
        <f>IF(ISNUMBER(G77), $B91 * H77, "")</f>
        <v/>
      </c>
      <c r="J77" s="15"/>
      <c r="K77" s="16" t="str">
        <f t="shared" ref="K77:K80" si="32">IF(ISNUMBER(J77), (J77 - $B77) / $B77, "")</f>
        <v/>
      </c>
      <c r="L77" s="19" t="str">
        <f>IF(ISNUMBER(J77), $B91 * K77, "")</f>
        <v/>
      </c>
      <c r="M77" s="15"/>
      <c r="N77" s="16" t="str">
        <f t="shared" ref="N77:N80" si="33">IF(ISNUMBER(M77), (M77 - $B77) / $B77, "")</f>
        <v/>
      </c>
      <c r="O77" s="19" t="str">
        <f>IF(ISNUMBER(M77), $B91 * N77, "")</f>
        <v/>
      </c>
      <c r="Q77" s="156"/>
      <c r="R77" s="157"/>
      <c r="S77" s="158"/>
    </row>
    <row r="78" spans="1:19" ht="17.25" thickBot="1">
      <c r="A78" s="32"/>
      <c r="B78" s="33"/>
      <c r="C78" s="16"/>
      <c r="D78" s="15"/>
      <c r="E78" s="16" t="str">
        <f t="shared" si="30"/>
        <v/>
      </c>
      <c r="F78" s="19" t="str">
        <f>IF(ISNUMBER(D78), $B91 * E78, "")</f>
        <v/>
      </c>
      <c r="G78" s="15"/>
      <c r="H78" s="16" t="str">
        <f t="shared" si="31"/>
        <v/>
      </c>
      <c r="I78" s="19" t="str">
        <f>IF(ISNUMBER(G78), $B91 * H78, "")</f>
        <v/>
      </c>
      <c r="J78" s="15"/>
      <c r="K78" s="16" t="str">
        <f t="shared" si="32"/>
        <v/>
      </c>
      <c r="L78" s="19" t="str">
        <f>IF(ISNUMBER(J78), $B91 * K78, "")</f>
        <v/>
      </c>
      <c r="M78" s="15"/>
      <c r="N78" s="16" t="str">
        <f t="shared" si="33"/>
        <v/>
      </c>
      <c r="O78" s="19" t="str">
        <f>IF(ISNUMBER(M78), $B91 * N78, "")</f>
        <v/>
      </c>
      <c r="Q78" s="159"/>
      <c r="R78" s="160"/>
      <c r="S78" s="161"/>
    </row>
    <row r="79" spans="1:19" ht="17.25" thickBot="1">
      <c r="A79" s="32"/>
      <c r="B79" s="33"/>
      <c r="C79" s="16"/>
      <c r="D79" s="15"/>
      <c r="E79" s="16" t="str">
        <f t="shared" si="30"/>
        <v/>
      </c>
      <c r="F79" s="19" t="str">
        <f>IF(ISNUMBER(D79), $B91 * E79, "")</f>
        <v/>
      </c>
      <c r="G79" s="15"/>
      <c r="H79" s="16" t="str">
        <f t="shared" si="31"/>
        <v/>
      </c>
      <c r="I79" s="19" t="str">
        <f>IF(ISNUMBER(G79), $B91 * H79, "")</f>
        <v/>
      </c>
      <c r="J79" s="15"/>
      <c r="K79" s="16" t="str">
        <f t="shared" si="32"/>
        <v/>
      </c>
      <c r="L79" s="19" t="str">
        <f>IF(ISNUMBER(J79), $B91 * K79, "")</f>
        <v/>
      </c>
      <c r="M79" s="15"/>
      <c r="N79" s="16" t="str">
        <f t="shared" si="33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0"/>
        <v/>
      </c>
      <c r="F80" s="19" t="str">
        <f>IF(ISNUMBER(D80), $B91 * E80, "")</f>
        <v/>
      </c>
      <c r="G80" s="21"/>
      <c r="H80" s="22" t="str">
        <f t="shared" si="31"/>
        <v/>
      </c>
      <c r="I80" s="19" t="str">
        <f>IF(ISNUMBER(G80), $B91 * H80, "")</f>
        <v/>
      </c>
      <c r="J80" s="21"/>
      <c r="K80" s="22" t="str">
        <f t="shared" si="32"/>
        <v/>
      </c>
      <c r="L80" s="19" t="str">
        <f>IF(ISNUMBER(J80), $B91 * K80, "")</f>
        <v/>
      </c>
      <c r="M80" s="21"/>
      <c r="N80" s="22" t="str">
        <f t="shared" si="33"/>
        <v/>
      </c>
      <c r="O80" s="19" t="str">
        <f>IF(ISNUMBER(M80), $B91 * N80, "")</f>
        <v/>
      </c>
      <c r="Q80" s="129"/>
      <c r="R80" s="130"/>
      <c r="S80" s="131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32"/>
      <c r="R81" s="133"/>
      <c r="S81" s="134"/>
    </row>
    <row r="82" spans="1:19" ht="17.25" thickBot="1">
      <c r="A82" s="32"/>
      <c r="B82" s="33"/>
      <c r="C82" s="16"/>
      <c r="D82" s="15"/>
      <c r="E82" s="16" t="str">
        <f t="shared" ref="E82:E85" si="34">IF(ISNUMBER(D82), (D82 - $B82) / $B82, "")</f>
        <v/>
      </c>
      <c r="F82" s="19" t="str">
        <f>IF(ISNUMBER(D82), $B91 * E82, "")</f>
        <v/>
      </c>
      <c r="G82" s="15"/>
      <c r="H82" s="16" t="str">
        <f t="shared" ref="H82:H85" si="35">IF(ISNUMBER(G82), (G82 - $B82) / $B82, "")</f>
        <v/>
      </c>
      <c r="I82" s="19" t="str">
        <f>IF(ISNUMBER(G82), $B91 * H82, "")</f>
        <v/>
      </c>
      <c r="J82" s="15"/>
      <c r="K82" s="16" t="str">
        <f t="shared" ref="K82:K85" si="36">IF(ISNUMBER(J82), (J82 - $B82) / $B82, "")</f>
        <v/>
      </c>
      <c r="L82" s="19" t="str">
        <f>IF(ISNUMBER(J82), $B91 * K82, "")</f>
        <v/>
      </c>
      <c r="M82" s="15"/>
      <c r="N82" s="16" t="str">
        <f t="shared" ref="N82:N85" si="37">IF(ISNUMBER(M82), (M82 - $B82) / $B82, "")</f>
        <v/>
      </c>
      <c r="O82" s="19" t="str">
        <f>IF(ISNUMBER(M82), $B91 * N82, "")</f>
        <v/>
      </c>
      <c r="Q82" s="135"/>
      <c r="R82" s="136"/>
      <c r="S82" s="137"/>
    </row>
    <row r="83" spans="1:19" ht="17.25" thickBot="1">
      <c r="A83" s="32"/>
      <c r="B83" s="33"/>
      <c r="C83" s="16"/>
      <c r="D83" s="15"/>
      <c r="E83" s="16" t="str">
        <f t="shared" si="34"/>
        <v/>
      </c>
      <c r="F83" s="19" t="str">
        <f>IF(ISNUMBER(D83), $B91 * E83, "")</f>
        <v/>
      </c>
      <c r="G83" s="15"/>
      <c r="H83" s="16" t="str">
        <f t="shared" si="35"/>
        <v/>
      </c>
      <c r="I83" s="19" t="str">
        <f>IF(ISNUMBER(G83), $B91 * H83, "")</f>
        <v/>
      </c>
      <c r="J83" s="15"/>
      <c r="K83" s="16" t="str">
        <f t="shared" si="36"/>
        <v/>
      </c>
      <c r="L83" s="19" t="str">
        <f>IF(ISNUMBER(J83), $B91 * K83, "")</f>
        <v/>
      </c>
      <c r="M83" s="15"/>
      <c r="N83" s="16" t="str">
        <f t="shared" si="37"/>
        <v/>
      </c>
      <c r="O83" s="19" t="str">
        <f>IF(ISNUMBER(M83), $B91 * N83, "")</f>
        <v/>
      </c>
      <c r="Q83" s="166"/>
      <c r="R83" s="166"/>
      <c r="S83" s="166"/>
    </row>
    <row r="84" spans="1:19" ht="17.25" thickBot="1">
      <c r="A84" s="32"/>
      <c r="B84" s="33"/>
      <c r="C84" s="16"/>
      <c r="D84" s="15"/>
      <c r="E84" s="16" t="str">
        <f t="shared" si="34"/>
        <v/>
      </c>
      <c r="F84" s="19" t="str">
        <f>IF(ISNUMBER(D84), $B91 * E84, "")</f>
        <v/>
      </c>
      <c r="G84" s="15"/>
      <c r="H84" s="16" t="str">
        <f t="shared" si="35"/>
        <v/>
      </c>
      <c r="I84" s="19" t="str">
        <f>IF(ISNUMBER(G84), $B91 * H84, "")</f>
        <v/>
      </c>
      <c r="J84" s="15"/>
      <c r="K84" s="16" t="str">
        <f t="shared" si="36"/>
        <v/>
      </c>
      <c r="L84" s="19" t="str">
        <f>IF(ISNUMBER(J84), $B91 * K84, "")</f>
        <v/>
      </c>
      <c r="M84" s="15"/>
      <c r="N84" s="16" t="str">
        <f t="shared" si="37"/>
        <v/>
      </c>
      <c r="O84" s="19" t="str">
        <f>IF(ISNUMBER(M84), $B91 * N84, "")</f>
        <v/>
      </c>
      <c r="Q84" s="163"/>
      <c r="R84" s="163"/>
      <c r="S84" s="163"/>
    </row>
    <row r="85" spans="1:19" ht="17.25" thickBot="1">
      <c r="A85" s="34"/>
      <c r="B85" s="35"/>
      <c r="C85" s="22"/>
      <c r="D85" s="21"/>
      <c r="E85" s="22" t="str">
        <f t="shared" si="34"/>
        <v/>
      </c>
      <c r="F85" s="23" t="str">
        <f>IF(ISNUMBER(D85), $B91 * E85, "")</f>
        <v/>
      </c>
      <c r="G85" s="21"/>
      <c r="H85" s="22" t="str">
        <f t="shared" si="35"/>
        <v/>
      </c>
      <c r="I85" s="23" t="str">
        <f>IF(ISNUMBER(G85), $B91 * H85, "")</f>
        <v/>
      </c>
      <c r="J85" s="21"/>
      <c r="K85" s="22" t="str">
        <f t="shared" si="36"/>
        <v/>
      </c>
      <c r="L85" s="23" t="str">
        <f>IF(ISNUMBER(J85), $B91 * K85, "")</f>
        <v/>
      </c>
      <c r="M85" s="21"/>
      <c r="N85" s="22" t="str">
        <f t="shared" si="37"/>
        <v/>
      </c>
      <c r="O85" s="23" t="str">
        <f>IF(ISNUMBER(M85), $B91 * N85, "")</f>
        <v/>
      </c>
      <c r="Q85" s="163"/>
      <c r="R85" s="163"/>
      <c r="S85" s="163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64"/>
      <c r="R86" s="164"/>
      <c r="S86" s="164"/>
    </row>
    <row r="87" spans="1:19" ht="17.25" thickBot="1">
      <c r="A87" s="32"/>
      <c r="B87" s="33"/>
      <c r="C87" s="16"/>
      <c r="D87" s="15"/>
      <c r="E87" s="16" t="str">
        <f t="shared" ref="E87:E90" si="38">IF(ISNUMBER(D87), (D87 - $B87) / $B87, "")</f>
        <v/>
      </c>
      <c r="F87" s="19" t="str">
        <f>IF(ISNUMBER(D87), $B91 * E87, "")</f>
        <v/>
      </c>
      <c r="G87" s="15"/>
      <c r="H87" s="16" t="str">
        <f t="shared" ref="H87:H90" si="39">IF(ISNUMBER(G87), (G87 - $B87) / $B87, "")</f>
        <v/>
      </c>
      <c r="I87" s="19" t="str">
        <f>IF(ISNUMBER(G87), $B91 * H87, "")</f>
        <v/>
      </c>
      <c r="J87" s="15"/>
      <c r="K87" s="16" t="str">
        <f t="shared" ref="K87:K90" si="40">IF(ISNUMBER(J87), (J87 - $B87) / $B87, "")</f>
        <v/>
      </c>
      <c r="L87" s="19" t="str">
        <f>IF(ISNUMBER(J87), $B91 * K87, "")</f>
        <v/>
      </c>
      <c r="M87" s="15"/>
      <c r="N87" s="16" t="str">
        <f t="shared" ref="N87:N90" si="41">IF(ISNUMBER(M87), (M87 - $B87) / $B87, "")</f>
        <v/>
      </c>
      <c r="O87" s="19" t="str">
        <f>IF(ISNUMBER(M87), $B91 * N87, "")</f>
        <v/>
      </c>
      <c r="Q87" s="164"/>
      <c r="R87" s="164"/>
      <c r="S87" s="164"/>
    </row>
    <row r="88" spans="1:19" ht="17.25" thickBot="1">
      <c r="A88" s="32"/>
      <c r="B88" s="33"/>
      <c r="C88" s="16"/>
      <c r="D88" s="15"/>
      <c r="E88" s="16" t="str">
        <f t="shared" si="38"/>
        <v/>
      </c>
      <c r="F88" s="19" t="str">
        <f>IF(ISNUMBER(D88), $B91 * E88, "")</f>
        <v/>
      </c>
      <c r="G88" s="15"/>
      <c r="H88" s="16" t="str">
        <f t="shared" si="39"/>
        <v/>
      </c>
      <c r="I88" s="19" t="str">
        <f>IF(ISNUMBER(G88), $B91 * H88, "")</f>
        <v/>
      </c>
      <c r="J88" s="15"/>
      <c r="K88" s="16" t="str">
        <f t="shared" si="40"/>
        <v/>
      </c>
      <c r="L88" s="19" t="str">
        <f>IF(ISNUMBER(J88), $B91 * K88, "")</f>
        <v/>
      </c>
      <c r="M88" s="15"/>
      <c r="N88" s="16" t="str">
        <f t="shared" si="41"/>
        <v/>
      </c>
      <c r="O88" s="19" t="str">
        <f>IF(ISNUMBER(M88), $B91 * N88, "")</f>
        <v/>
      </c>
      <c r="Q88" s="165"/>
      <c r="R88" s="165"/>
      <c r="S88" s="165"/>
    </row>
    <row r="89" spans="1:19">
      <c r="A89" s="32"/>
      <c r="B89" s="33"/>
      <c r="C89" s="16"/>
      <c r="D89" s="15"/>
      <c r="E89" s="16" t="str">
        <f t="shared" si="38"/>
        <v/>
      </c>
      <c r="F89" s="19" t="str">
        <f>IF(ISNUMBER(D89), $B91 * E89, "")</f>
        <v/>
      </c>
      <c r="G89" s="15"/>
      <c r="H89" s="16" t="str">
        <f t="shared" si="39"/>
        <v/>
      </c>
      <c r="I89" s="19" t="str">
        <f>IF(ISNUMBER(G89), $B91 * H89, "")</f>
        <v/>
      </c>
      <c r="J89" s="15"/>
      <c r="K89" s="16" t="str">
        <f t="shared" si="40"/>
        <v/>
      </c>
      <c r="L89" s="19" t="str">
        <f>IF(ISNUMBER(J89), $B91 * K89, "")</f>
        <v/>
      </c>
      <c r="M89" s="15"/>
      <c r="N89" s="16" t="str">
        <f t="shared" si="41"/>
        <v/>
      </c>
      <c r="O89" s="19" t="str">
        <f>IF(ISNUMBER(M89), $B91 * N89, "")</f>
        <v/>
      </c>
      <c r="Q89" s="153"/>
      <c r="R89" s="154"/>
      <c r="S89" s="155"/>
    </row>
    <row r="90" spans="1:19" ht="17.25" thickBot="1">
      <c r="A90" s="34"/>
      <c r="B90" s="35"/>
      <c r="C90" s="22"/>
      <c r="D90" s="21"/>
      <c r="E90" s="22" t="str">
        <f t="shared" si="38"/>
        <v/>
      </c>
      <c r="F90" s="19" t="str">
        <f>IF(ISNUMBER(D90), $B91 * E90, "")</f>
        <v/>
      </c>
      <c r="G90" s="21"/>
      <c r="H90" s="22" t="str">
        <f t="shared" si="39"/>
        <v/>
      </c>
      <c r="I90" s="19" t="str">
        <f>IF(ISNUMBER(G90), $B91 * H90, "")</f>
        <v/>
      </c>
      <c r="J90" s="21"/>
      <c r="K90" s="22" t="str">
        <f t="shared" si="40"/>
        <v/>
      </c>
      <c r="L90" s="19" t="str">
        <f>IF(ISNUMBER(J90), $B91 * K90, "")</f>
        <v/>
      </c>
      <c r="M90" s="21"/>
      <c r="N90" s="22" t="str">
        <f t="shared" si="41"/>
        <v/>
      </c>
      <c r="O90" s="19" t="str">
        <f>IF(ISNUMBER(M90), $B91 * N90, "")</f>
        <v/>
      </c>
      <c r="Q90" s="156"/>
      <c r="R90" s="157"/>
      <c r="S90" s="158"/>
    </row>
    <row r="91" spans="1:19" ht="17.25" thickBot="1">
      <c r="A91" s="27" t="s">
        <v>42</v>
      </c>
      <c r="B91" s="168">
        <v>100000</v>
      </c>
      <c r="C91" s="169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11" t="s">
        <v>46</v>
      </c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12"/>
      <c r="Q94" s="129"/>
      <c r="R94" s="130"/>
      <c r="S94" s="131"/>
    </row>
    <row r="95" spans="1:19" ht="17.25" thickBot="1">
      <c r="A95" s="66" t="s">
        <v>35</v>
      </c>
      <c r="B95" s="111" t="s">
        <v>36</v>
      </c>
      <c r="C95" s="112"/>
      <c r="D95" s="111" t="s">
        <v>37</v>
      </c>
      <c r="E95" s="125"/>
      <c r="F95" s="112"/>
      <c r="G95" s="138">
        <f>_xlfn.IFNA(VLOOKUP(B95, 현재가테이블!$B$2:$D$200, 2, FALSE), "-")</f>
        <v>63826000</v>
      </c>
      <c r="H95" s="139"/>
      <c r="I95" s="140"/>
      <c r="J95" s="111" t="s">
        <v>38</v>
      </c>
      <c r="K95" s="125"/>
      <c r="L95" s="112"/>
      <c r="M95" s="141">
        <f>_xlfn.IFNA(VLOOKUP(B95, 현재가테이블!$B$2:$D$200, 3, FALSE), "-")</f>
        <v>-1.4529004E-2</v>
      </c>
      <c r="N95" s="142"/>
      <c r="O95" s="143"/>
      <c r="Q95" s="132"/>
      <c r="R95" s="133"/>
      <c r="S95" s="134"/>
    </row>
    <row r="96" spans="1:19" ht="17.25" thickBot="1">
      <c r="A96" s="144" t="s">
        <v>39</v>
      </c>
      <c r="B96" s="145" t="str">
        <f>TEXT($G$1, "[$-ko-KR]yyyy-mm-dd(ddd) ") &amp; "오전 00:00"</f>
        <v>2021-04-01(목) 오전 00:00</v>
      </c>
      <c r="C96" s="146"/>
      <c r="D96" s="147" t="str">
        <f>TEXT($G$1, "[$-ko-KR]yyyy-mm-dd(ddd) ") &amp; "오후 14:00"</f>
        <v>2021-04-01(목) 오후 14:00</v>
      </c>
      <c r="E96" s="148"/>
      <c r="F96" s="149"/>
      <c r="G96" s="147" t="str">
        <f>TEXT($G$1, "[$-ko-KR]yyyy-mm-dd(ddd) ") &amp; "오후 19:00"</f>
        <v>2021-04-01(목) 오후 19:00</v>
      </c>
      <c r="H96" s="148"/>
      <c r="I96" s="149"/>
      <c r="J96" s="167" t="str">
        <f>TEXT($G$1, "[$-ko-KR]yyyy-mm-dd(ddd) ") &amp; "오후 21:00"</f>
        <v>2021-04-01(목) 오후 21:00</v>
      </c>
      <c r="K96" s="167"/>
      <c r="L96" s="167"/>
      <c r="M96" s="147" t="str">
        <f>TEXT($G$1+1, "[$-ko-KR]yyyy-mm-dd(ddd) ") &amp; "오전 00:00"</f>
        <v>2021-04-02(금) 오전 00:00</v>
      </c>
      <c r="N96" s="148"/>
      <c r="O96" s="149"/>
      <c r="Q96" s="135"/>
      <c r="R96" s="136"/>
      <c r="S96" s="137"/>
    </row>
    <row r="97" spans="1:19" ht="17.25" thickBot="1">
      <c r="A97" s="144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66"/>
      <c r="R97" s="166"/>
      <c r="S97" s="166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63"/>
      <c r="R98" s="163"/>
      <c r="S98" s="163"/>
    </row>
    <row r="99" spans="1:19" ht="17.25" thickBot="1">
      <c r="A99" s="32"/>
      <c r="B99" s="33"/>
      <c r="C99" s="16"/>
      <c r="D99" s="15"/>
      <c r="E99" s="16" t="str">
        <f t="shared" ref="E99:E102" si="42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3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4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5">IF(ISNUMBER(M99), (M99 - $B99) / $B99, "")</f>
        <v/>
      </c>
      <c r="O99" s="19" t="str">
        <f>IF(ISNUMBER(M99), $B118 * N99, "")</f>
        <v/>
      </c>
      <c r="Q99" s="163"/>
      <c r="R99" s="163"/>
      <c r="S99" s="163"/>
    </row>
    <row r="100" spans="1:19" ht="17.25" thickBot="1">
      <c r="A100" s="32"/>
      <c r="B100" s="33"/>
      <c r="C100" s="16"/>
      <c r="D100" s="15"/>
      <c r="E100" s="16" t="str">
        <f t="shared" si="42"/>
        <v/>
      </c>
      <c r="F100" s="19" t="str">
        <f>IF(ISNUMBER(D100), $B118 * E100, "")</f>
        <v/>
      </c>
      <c r="G100" s="15"/>
      <c r="H100" s="16" t="str">
        <f t="shared" si="43"/>
        <v/>
      </c>
      <c r="I100" s="19" t="str">
        <f>IF(ISNUMBER(G100), $B118 * H100, "")</f>
        <v/>
      </c>
      <c r="J100" s="15"/>
      <c r="K100" s="16" t="str">
        <f t="shared" si="44"/>
        <v/>
      </c>
      <c r="L100" s="19" t="str">
        <f>IF(ISNUMBER(J100), $B118 * K100, "")</f>
        <v/>
      </c>
      <c r="M100" s="15"/>
      <c r="N100" s="16" t="str">
        <f t="shared" si="45"/>
        <v/>
      </c>
      <c r="O100" s="19" t="str">
        <f>IF(ISNUMBER(M100), $B118 * N100, "")</f>
        <v/>
      </c>
      <c r="Q100" s="164"/>
      <c r="R100" s="164"/>
      <c r="S100" s="164"/>
    </row>
    <row r="101" spans="1:19" ht="17.25" thickBot="1">
      <c r="A101" s="32"/>
      <c r="B101" s="33"/>
      <c r="C101" s="16"/>
      <c r="D101" s="15"/>
      <c r="E101" s="16" t="str">
        <f t="shared" si="42"/>
        <v/>
      </c>
      <c r="F101" s="19" t="str">
        <f>IF(ISNUMBER(D101), $B118 * E101, "")</f>
        <v/>
      </c>
      <c r="G101" s="15"/>
      <c r="H101" s="16" t="str">
        <f t="shared" si="43"/>
        <v/>
      </c>
      <c r="I101" s="19" t="str">
        <f>IF(ISNUMBER(G101), $B118 * H101, "")</f>
        <v/>
      </c>
      <c r="J101" s="15"/>
      <c r="K101" s="16" t="str">
        <f t="shared" si="44"/>
        <v/>
      </c>
      <c r="L101" s="19" t="str">
        <f>IF(ISNUMBER(J101), $B118 * K101, "")</f>
        <v/>
      </c>
      <c r="M101" s="15"/>
      <c r="N101" s="16" t="str">
        <f t="shared" si="45"/>
        <v/>
      </c>
      <c r="O101" s="19" t="str">
        <f>IF(ISNUMBER(M101), $B118 * N101, "")</f>
        <v/>
      </c>
      <c r="Q101" s="164"/>
      <c r="R101" s="164"/>
      <c r="S101" s="164"/>
    </row>
    <row r="102" spans="1:19" ht="17.25" thickBot="1">
      <c r="A102" s="34"/>
      <c r="B102" s="35"/>
      <c r="C102" s="22"/>
      <c r="D102" s="21"/>
      <c r="E102" s="22" t="str">
        <f t="shared" si="42"/>
        <v/>
      </c>
      <c r="F102" s="23" t="str">
        <f>IF(ISNUMBER(D102), $B118 * E102, "")</f>
        <v/>
      </c>
      <c r="G102" s="21"/>
      <c r="H102" s="22" t="str">
        <f t="shared" si="43"/>
        <v/>
      </c>
      <c r="I102" s="23" t="str">
        <f>IF(ISNUMBER(G102), $B118 * H102, "")</f>
        <v/>
      </c>
      <c r="J102" s="21"/>
      <c r="K102" s="22" t="str">
        <f t="shared" si="44"/>
        <v/>
      </c>
      <c r="L102" s="23" t="str">
        <f>IF(ISNUMBER(J102), $B118 * K102, "")</f>
        <v/>
      </c>
      <c r="M102" s="21"/>
      <c r="N102" s="22" t="str">
        <f t="shared" si="45"/>
        <v/>
      </c>
      <c r="O102" s="23" t="str">
        <f>IF(ISNUMBER(M102), $B118 * N102, "")</f>
        <v/>
      </c>
      <c r="Q102" s="165"/>
      <c r="R102" s="165"/>
      <c r="S102" s="165"/>
    </row>
    <row r="103" spans="1:19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53"/>
      <c r="R103" s="154"/>
      <c r="S103" s="155"/>
    </row>
    <row r="104" spans="1:19">
      <c r="A104" s="32"/>
      <c r="B104" s="33"/>
      <c r="C104" s="16"/>
      <c r="D104" s="15"/>
      <c r="E104" s="16" t="str">
        <f t="shared" ref="E104:E107" si="46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47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48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49">IF(ISNUMBER(M104), (M104 - $B104) / $B104, "")</f>
        <v/>
      </c>
      <c r="O104" s="19" t="str">
        <f>IF(ISNUMBER(M104), $B118 * N104, "")</f>
        <v/>
      </c>
      <c r="Q104" s="156"/>
      <c r="R104" s="157"/>
      <c r="S104" s="158"/>
    </row>
    <row r="105" spans="1:19" ht="17.25" thickBot="1">
      <c r="A105" s="32"/>
      <c r="B105" s="33"/>
      <c r="C105" s="16"/>
      <c r="D105" s="15"/>
      <c r="E105" s="16" t="str">
        <f t="shared" si="46"/>
        <v/>
      </c>
      <c r="F105" s="19" t="str">
        <f>IF(ISNUMBER(D105), $B118 * E105, "")</f>
        <v/>
      </c>
      <c r="G105" s="15"/>
      <c r="H105" s="16" t="str">
        <f t="shared" si="47"/>
        <v/>
      </c>
      <c r="I105" s="19" t="str">
        <f>IF(ISNUMBER(G105), $B118 * H105, "")</f>
        <v/>
      </c>
      <c r="J105" s="15"/>
      <c r="K105" s="16" t="str">
        <f t="shared" si="48"/>
        <v/>
      </c>
      <c r="L105" s="19" t="str">
        <f>IF(ISNUMBER(J105), $B118 * K105, "")</f>
        <v/>
      </c>
      <c r="M105" s="15"/>
      <c r="N105" s="16" t="str">
        <f t="shared" si="49"/>
        <v/>
      </c>
      <c r="O105" s="19" t="str">
        <f>IF(ISNUMBER(M105), $B118 * N105, "")</f>
        <v/>
      </c>
      <c r="Q105" s="159"/>
      <c r="R105" s="160"/>
      <c r="S105" s="161"/>
    </row>
    <row r="106" spans="1:19" ht="17.25" thickBot="1">
      <c r="A106" s="32"/>
      <c r="B106" s="33"/>
      <c r="C106" s="16"/>
      <c r="D106" s="15"/>
      <c r="E106" s="16" t="str">
        <f t="shared" si="46"/>
        <v/>
      </c>
      <c r="F106" s="19" t="str">
        <f>IF(ISNUMBER(D106), $B118 * E106, "")</f>
        <v/>
      </c>
      <c r="G106" s="15"/>
      <c r="H106" s="16" t="str">
        <f t="shared" si="47"/>
        <v/>
      </c>
      <c r="I106" s="19" t="str">
        <f>IF(ISNUMBER(G106), $B118 * H106, "")</f>
        <v/>
      </c>
      <c r="J106" s="15"/>
      <c r="K106" s="16" t="str">
        <f t="shared" si="48"/>
        <v/>
      </c>
      <c r="L106" s="19" t="str">
        <f>IF(ISNUMBER(J106), $B118 * K106, "")</f>
        <v/>
      </c>
      <c r="M106" s="15"/>
      <c r="N106" s="16" t="str">
        <f t="shared" si="49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46"/>
        <v/>
      </c>
      <c r="F107" s="19" t="str">
        <f>IF(ISNUMBER(D107), $B118 * E107, "")</f>
        <v/>
      </c>
      <c r="G107" s="21"/>
      <c r="H107" s="22" t="str">
        <f t="shared" si="47"/>
        <v/>
      </c>
      <c r="I107" s="19" t="str">
        <f>IF(ISNUMBER(G107), $B118 * H107, "")</f>
        <v/>
      </c>
      <c r="J107" s="21"/>
      <c r="K107" s="22" t="str">
        <f t="shared" si="48"/>
        <v/>
      </c>
      <c r="L107" s="19" t="str">
        <f>IF(ISNUMBER(J107), $B118 * K107, "")</f>
        <v/>
      </c>
      <c r="M107" s="21"/>
      <c r="N107" s="22" t="str">
        <f t="shared" si="49"/>
        <v/>
      </c>
      <c r="O107" s="19" t="str">
        <f>IF(ISNUMBER(M107), $B118 * N107, "")</f>
        <v/>
      </c>
      <c r="Q107" s="129"/>
      <c r="R107" s="130"/>
      <c r="S107" s="131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32"/>
      <c r="R108" s="133"/>
      <c r="S108" s="134"/>
    </row>
    <row r="109" spans="1:19" ht="17.25" thickBot="1">
      <c r="A109" s="32"/>
      <c r="B109" s="33"/>
      <c r="C109" s="16"/>
      <c r="D109" s="15"/>
      <c r="E109" s="16" t="str">
        <f t="shared" ref="E109:E112" si="50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1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2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3">IF(ISNUMBER(M109), (M109 - $B109) / $B109, "")</f>
        <v/>
      </c>
      <c r="O109" s="19" t="str">
        <f>IF(ISNUMBER(M109), $B118 * N109, "")</f>
        <v/>
      </c>
      <c r="Q109" s="135"/>
      <c r="R109" s="136"/>
      <c r="S109" s="137"/>
    </row>
    <row r="110" spans="1:19" ht="17.25" thickBot="1">
      <c r="A110" s="32"/>
      <c r="B110" s="33"/>
      <c r="C110" s="16"/>
      <c r="D110" s="15"/>
      <c r="E110" s="16" t="str">
        <f t="shared" si="50"/>
        <v/>
      </c>
      <c r="F110" s="19" t="str">
        <f>IF(ISNUMBER(D110), $B118 * E110, "")</f>
        <v/>
      </c>
      <c r="G110" s="15"/>
      <c r="H110" s="16" t="str">
        <f t="shared" si="51"/>
        <v/>
      </c>
      <c r="I110" s="19" t="str">
        <f>IF(ISNUMBER(G110), $B118 * H110, "")</f>
        <v/>
      </c>
      <c r="J110" s="15"/>
      <c r="K110" s="16" t="str">
        <f t="shared" si="52"/>
        <v/>
      </c>
      <c r="L110" s="19" t="str">
        <f>IF(ISNUMBER(J110), $B118 * K110, "")</f>
        <v/>
      </c>
      <c r="M110" s="15"/>
      <c r="N110" s="16" t="str">
        <f t="shared" si="53"/>
        <v/>
      </c>
      <c r="O110" s="19" t="str">
        <f>IF(ISNUMBER(M110), $B118 * N110, "")</f>
        <v/>
      </c>
      <c r="Q110" s="166"/>
      <c r="R110" s="166"/>
      <c r="S110" s="166"/>
    </row>
    <row r="111" spans="1:19" ht="17.25" thickBot="1">
      <c r="A111" s="32"/>
      <c r="B111" s="33"/>
      <c r="C111" s="16"/>
      <c r="D111" s="15"/>
      <c r="E111" s="16" t="str">
        <f t="shared" si="50"/>
        <v/>
      </c>
      <c r="F111" s="19" t="str">
        <f>IF(ISNUMBER(D111), $B118 * E111, "")</f>
        <v/>
      </c>
      <c r="G111" s="15"/>
      <c r="H111" s="16" t="str">
        <f t="shared" si="51"/>
        <v/>
      </c>
      <c r="I111" s="19" t="str">
        <f>IF(ISNUMBER(G111), $B118 * H111, "")</f>
        <v/>
      </c>
      <c r="J111" s="15"/>
      <c r="K111" s="16" t="str">
        <f t="shared" si="52"/>
        <v/>
      </c>
      <c r="L111" s="19" t="str">
        <f>IF(ISNUMBER(J111), $B118 * K111, "")</f>
        <v/>
      </c>
      <c r="M111" s="15"/>
      <c r="N111" s="16" t="str">
        <f t="shared" si="53"/>
        <v/>
      </c>
      <c r="O111" s="19" t="str">
        <f>IF(ISNUMBER(M111), $B118 * N111, "")</f>
        <v/>
      </c>
      <c r="Q111" s="163"/>
      <c r="R111" s="163"/>
      <c r="S111" s="163"/>
    </row>
    <row r="112" spans="1:19" ht="17.25" thickBot="1">
      <c r="A112" s="34"/>
      <c r="B112" s="35"/>
      <c r="C112" s="22"/>
      <c r="D112" s="21"/>
      <c r="E112" s="22" t="str">
        <f t="shared" si="50"/>
        <v/>
      </c>
      <c r="F112" s="23" t="str">
        <f>IF(ISNUMBER(D112), $B118 * E112, "")</f>
        <v/>
      </c>
      <c r="G112" s="21"/>
      <c r="H112" s="22" t="str">
        <f t="shared" si="51"/>
        <v/>
      </c>
      <c r="I112" s="23" t="str">
        <f>IF(ISNUMBER(G112), $B118 * H112, "")</f>
        <v/>
      </c>
      <c r="J112" s="21"/>
      <c r="K112" s="22" t="str">
        <f t="shared" si="52"/>
        <v/>
      </c>
      <c r="L112" s="23" t="str">
        <f>IF(ISNUMBER(J112), $B118 * K112, "")</f>
        <v/>
      </c>
      <c r="M112" s="21"/>
      <c r="N112" s="22" t="str">
        <f t="shared" si="53"/>
        <v/>
      </c>
      <c r="O112" s="23" t="str">
        <f>IF(ISNUMBER(M112), $B118 * N112, "")</f>
        <v/>
      </c>
      <c r="Q112" s="163"/>
      <c r="R112" s="163"/>
      <c r="S112" s="163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64"/>
      <c r="R113" s="164"/>
      <c r="S113" s="164"/>
    </row>
    <row r="114" spans="1:19" ht="17.25" thickBot="1">
      <c r="A114" s="32"/>
      <c r="B114" s="33"/>
      <c r="C114" s="16"/>
      <c r="D114" s="15"/>
      <c r="E114" s="16" t="str">
        <f t="shared" ref="E114:E117" si="54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5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56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57">IF(ISNUMBER(M114), (M114 - $B114) / $B114, "")</f>
        <v/>
      </c>
      <c r="O114" s="19" t="str">
        <f>IF(ISNUMBER(M114), $B118 * N114, "")</f>
        <v/>
      </c>
      <c r="Q114" s="164"/>
      <c r="R114" s="164"/>
      <c r="S114" s="164"/>
    </row>
    <row r="115" spans="1:19" ht="17.25" thickBot="1">
      <c r="A115" s="32"/>
      <c r="B115" s="33"/>
      <c r="C115" s="16"/>
      <c r="D115" s="15"/>
      <c r="E115" s="16" t="str">
        <f t="shared" si="54"/>
        <v/>
      </c>
      <c r="F115" s="19" t="str">
        <f>IF(ISNUMBER(D115), $B118 * E115, "")</f>
        <v/>
      </c>
      <c r="G115" s="15"/>
      <c r="H115" s="16" t="str">
        <f t="shared" si="55"/>
        <v/>
      </c>
      <c r="I115" s="19" t="str">
        <f>IF(ISNUMBER(G115), $B118 * H115, "")</f>
        <v/>
      </c>
      <c r="J115" s="15"/>
      <c r="K115" s="16" t="str">
        <f t="shared" si="56"/>
        <v/>
      </c>
      <c r="L115" s="19" t="str">
        <f>IF(ISNUMBER(J115), $B118 * K115, "")</f>
        <v/>
      </c>
      <c r="M115" s="15"/>
      <c r="N115" s="16" t="str">
        <f t="shared" si="57"/>
        <v/>
      </c>
      <c r="O115" s="19" t="str">
        <f>IF(ISNUMBER(M115), $B118 * N115, "")</f>
        <v/>
      </c>
      <c r="Q115" s="165"/>
      <c r="R115" s="165"/>
      <c r="S115" s="165"/>
    </row>
    <row r="116" spans="1:19">
      <c r="A116" s="32"/>
      <c r="B116" s="33"/>
      <c r="C116" s="16"/>
      <c r="D116" s="15"/>
      <c r="E116" s="16" t="str">
        <f t="shared" si="54"/>
        <v/>
      </c>
      <c r="F116" s="19" t="str">
        <f>IF(ISNUMBER(D116), $B118 * E116, "")</f>
        <v/>
      </c>
      <c r="G116" s="15"/>
      <c r="H116" s="16" t="str">
        <f t="shared" si="55"/>
        <v/>
      </c>
      <c r="I116" s="19" t="str">
        <f>IF(ISNUMBER(G116), $B118 * H116, "")</f>
        <v/>
      </c>
      <c r="J116" s="15"/>
      <c r="K116" s="16" t="str">
        <f t="shared" si="56"/>
        <v/>
      </c>
      <c r="L116" s="19" t="str">
        <f>IF(ISNUMBER(J116), $B118 * K116, "")</f>
        <v/>
      </c>
      <c r="M116" s="15"/>
      <c r="N116" s="16" t="str">
        <f t="shared" si="57"/>
        <v/>
      </c>
      <c r="O116" s="19" t="str">
        <f>IF(ISNUMBER(M116), $B118 * N116, "")</f>
        <v/>
      </c>
      <c r="Q116" s="153"/>
      <c r="R116" s="154"/>
      <c r="S116" s="155"/>
    </row>
    <row r="117" spans="1:19" ht="17.25" thickBot="1">
      <c r="A117" s="34"/>
      <c r="B117" s="35"/>
      <c r="C117" s="22"/>
      <c r="D117" s="21"/>
      <c r="E117" s="22" t="str">
        <f t="shared" si="54"/>
        <v/>
      </c>
      <c r="F117" s="19" t="str">
        <f>IF(ISNUMBER(D117), $B118 * E117, "")</f>
        <v/>
      </c>
      <c r="G117" s="21"/>
      <c r="H117" s="22" t="str">
        <f t="shared" si="55"/>
        <v/>
      </c>
      <c r="I117" s="19" t="str">
        <f>IF(ISNUMBER(G117), $B118 * H117, "")</f>
        <v/>
      </c>
      <c r="J117" s="21"/>
      <c r="K117" s="22" t="str">
        <f t="shared" si="56"/>
        <v/>
      </c>
      <c r="L117" s="19" t="str">
        <f>IF(ISNUMBER(J117), $B118 * K117, "")</f>
        <v/>
      </c>
      <c r="M117" s="21"/>
      <c r="N117" s="22" t="str">
        <f t="shared" si="57"/>
        <v/>
      </c>
      <c r="O117" s="19" t="str">
        <f>IF(ISNUMBER(M117), $B118 * N117, "")</f>
        <v/>
      </c>
      <c r="Q117" s="156"/>
      <c r="R117" s="157"/>
      <c r="S117" s="158"/>
    </row>
    <row r="118" spans="1:19" ht="17.25" thickBot="1">
      <c r="A118" s="27" t="s">
        <v>42</v>
      </c>
      <c r="B118" s="168">
        <v>100000</v>
      </c>
      <c r="C118" s="169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11" t="s">
        <v>288</v>
      </c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12"/>
      <c r="Q121" s="129"/>
      <c r="R121" s="130"/>
      <c r="S121" s="131"/>
    </row>
    <row r="122" spans="1:19" ht="17.25" thickBot="1">
      <c r="A122" s="66" t="s">
        <v>35</v>
      </c>
      <c r="B122" s="111" t="s">
        <v>36</v>
      </c>
      <c r="C122" s="112"/>
      <c r="D122" s="111" t="s">
        <v>37</v>
      </c>
      <c r="E122" s="125"/>
      <c r="F122" s="112"/>
      <c r="G122" s="138">
        <f>_xlfn.IFNA(VLOOKUP(B122, 현재가테이블!$B$2:$D$200, 2, FALSE), "-")</f>
        <v>63826000</v>
      </c>
      <c r="H122" s="139"/>
      <c r="I122" s="140"/>
      <c r="J122" s="111" t="s">
        <v>38</v>
      </c>
      <c r="K122" s="125"/>
      <c r="L122" s="112"/>
      <c r="M122" s="141">
        <f>_xlfn.IFNA(VLOOKUP(B122, 현재가테이블!$B$2:$D$200, 3, FALSE), "-")</f>
        <v>-1.4529004E-2</v>
      </c>
      <c r="N122" s="142"/>
      <c r="O122" s="143"/>
      <c r="Q122" s="132"/>
      <c r="R122" s="133"/>
      <c r="S122" s="134"/>
    </row>
    <row r="123" spans="1:19" ht="17.25" thickBot="1">
      <c r="A123" s="144" t="s">
        <v>39</v>
      </c>
      <c r="B123" s="145" t="str">
        <f>TEXT($G$1, "[$-ko-KR]yyyy-mm-dd(ddd) ") &amp; "오전 00:00"</f>
        <v>2021-04-01(목) 오전 00:00</v>
      </c>
      <c r="C123" s="146"/>
      <c r="D123" s="147" t="str">
        <f>TEXT($G$1, "[$-ko-KR]yyyy-mm-dd(ddd) ") &amp; "오후 14:00"</f>
        <v>2021-04-01(목) 오후 14:00</v>
      </c>
      <c r="E123" s="148"/>
      <c r="F123" s="149"/>
      <c r="G123" s="147" t="str">
        <f>TEXT($G$1, "[$-ko-KR]yyyy-mm-dd(ddd) ") &amp; "오후 19:00"</f>
        <v>2021-04-01(목) 오후 19:00</v>
      </c>
      <c r="H123" s="148"/>
      <c r="I123" s="149"/>
      <c r="J123" s="167" t="str">
        <f>TEXT($G$1, "[$-ko-KR]yyyy-mm-dd(ddd) ") &amp; "오후 21:00"</f>
        <v>2021-04-01(목) 오후 21:00</v>
      </c>
      <c r="K123" s="167"/>
      <c r="L123" s="167"/>
      <c r="M123" s="147" t="str">
        <f>TEXT($G$1+1, "[$-ko-KR]yyyy-mm-dd(ddd) ") &amp; "오전 00:00"</f>
        <v>2021-04-02(금) 오전 00:00</v>
      </c>
      <c r="N123" s="148"/>
      <c r="O123" s="149"/>
      <c r="Q123" s="135"/>
      <c r="R123" s="136"/>
      <c r="S123" s="137"/>
    </row>
    <row r="124" spans="1:19" ht="17.25" thickBot="1">
      <c r="A124" s="144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66"/>
      <c r="R124" s="166"/>
      <c r="S124" s="166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63"/>
      <c r="R125" s="163"/>
      <c r="S125" s="163"/>
    </row>
    <row r="126" spans="1:19" ht="17.25" thickBot="1">
      <c r="A126" s="32"/>
      <c r="B126" s="33"/>
      <c r="C126" s="16"/>
      <c r="D126" s="15"/>
      <c r="E126" s="16" t="str">
        <f t="shared" ref="E126:E129" si="58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59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0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1">IF(ISNUMBER(M126), (M126 - $B126) / $B126, "")</f>
        <v/>
      </c>
      <c r="O126" s="19" t="str">
        <f>IF(ISNUMBER(M126), $B145 * N126, "")</f>
        <v/>
      </c>
      <c r="Q126" s="163"/>
      <c r="R126" s="163"/>
      <c r="S126" s="163"/>
    </row>
    <row r="127" spans="1:19" ht="17.25" thickBot="1">
      <c r="A127" s="32"/>
      <c r="B127" s="33"/>
      <c r="C127" s="16"/>
      <c r="D127" s="15"/>
      <c r="E127" s="16" t="str">
        <f t="shared" si="58"/>
        <v/>
      </c>
      <c r="F127" s="19" t="str">
        <f>IF(ISNUMBER(D127), $B145 * E127, "")</f>
        <v/>
      </c>
      <c r="G127" s="15"/>
      <c r="H127" s="16" t="str">
        <f t="shared" si="59"/>
        <v/>
      </c>
      <c r="I127" s="19" t="str">
        <f>IF(ISNUMBER(G127), $B145 * H127, "")</f>
        <v/>
      </c>
      <c r="J127" s="15"/>
      <c r="K127" s="16" t="str">
        <f t="shared" si="60"/>
        <v/>
      </c>
      <c r="L127" s="19" t="str">
        <f>IF(ISNUMBER(J127), $B145 * K127, "")</f>
        <v/>
      </c>
      <c r="M127" s="15"/>
      <c r="N127" s="16" t="str">
        <f t="shared" si="61"/>
        <v/>
      </c>
      <c r="O127" s="19" t="str">
        <f>IF(ISNUMBER(M127), $B145 * N127, "")</f>
        <v/>
      </c>
      <c r="Q127" s="164"/>
      <c r="R127" s="164"/>
      <c r="S127" s="164"/>
    </row>
    <row r="128" spans="1:19" ht="17.25" thickBot="1">
      <c r="A128" s="32"/>
      <c r="B128" s="33"/>
      <c r="C128" s="16"/>
      <c r="D128" s="15"/>
      <c r="E128" s="16" t="str">
        <f t="shared" si="58"/>
        <v/>
      </c>
      <c r="F128" s="19" t="str">
        <f>IF(ISNUMBER(D128), $B145 * E128, "")</f>
        <v/>
      </c>
      <c r="G128" s="15"/>
      <c r="H128" s="16" t="str">
        <f t="shared" si="59"/>
        <v/>
      </c>
      <c r="I128" s="19" t="str">
        <f>IF(ISNUMBER(G128), $B145 * H128, "")</f>
        <v/>
      </c>
      <c r="J128" s="15"/>
      <c r="K128" s="16" t="str">
        <f t="shared" si="60"/>
        <v/>
      </c>
      <c r="L128" s="19" t="str">
        <f>IF(ISNUMBER(J128), $B145 * K128, "")</f>
        <v/>
      </c>
      <c r="M128" s="15"/>
      <c r="N128" s="16" t="str">
        <f t="shared" si="61"/>
        <v/>
      </c>
      <c r="O128" s="19" t="str">
        <f>IF(ISNUMBER(M128), $B145 * N128, "")</f>
        <v/>
      </c>
      <c r="Q128" s="164"/>
      <c r="R128" s="164"/>
      <c r="S128" s="164"/>
    </row>
    <row r="129" spans="1:19" ht="17.25" thickBot="1">
      <c r="A129" s="34"/>
      <c r="B129" s="35"/>
      <c r="C129" s="22"/>
      <c r="D129" s="21"/>
      <c r="E129" s="22" t="str">
        <f t="shared" si="58"/>
        <v/>
      </c>
      <c r="F129" s="23" t="str">
        <f>IF(ISNUMBER(D129), $B145 * E129, "")</f>
        <v/>
      </c>
      <c r="G129" s="21"/>
      <c r="H129" s="22" t="str">
        <f t="shared" si="59"/>
        <v/>
      </c>
      <c r="I129" s="23" t="str">
        <f>IF(ISNUMBER(G129), $B145 * H129, "")</f>
        <v/>
      </c>
      <c r="J129" s="21"/>
      <c r="K129" s="22" t="str">
        <f t="shared" si="60"/>
        <v/>
      </c>
      <c r="L129" s="23" t="str">
        <f>IF(ISNUMBER(J129), $B145 * K129, "")</f>
        <v/>
      </c>
      <c r="M129" s="21"/>
      <c r="N129" s="22" t="str">
        <f t="shared" si="61"/>
        <v/>
      </c>
      <c r="O129" s="23" t="str">
        <f>IF(ISNUMBER(M129), $B145 * N129, "")</f>
        <v/>
      </c>
      <c r="Q129" s="165"/>
      <c r="R129" s="165"/>
      <c r="S129" s="165"/>
    </row>
    <row r="130" spans="1:19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53"/>
      <c r="R130" s="154"/>
      <c r="S130" s="155"/>
    </row>
    <row r="131" spans="1:19">
      <c r="A131" s="32"/>
      <c r="B131" s="33"/>
      <c r="C131" s="16"/>
      <c r="D131" s="15"/>
      <c r="E131" s="16" t="str">
        <f t="shared" ref="E131:E134" si="62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3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4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5">IF(ISNUMBER(M131), (M131 - $B131) / $B131, "")</f>
        <v/>
      </c>
      <c r="O131" s="19" t="str">
        <f>IF(ISNUMBER(M131), $B145 * N131, "")</f>
        <v/>
      </c>
      <c r="Q131" s="156"/>
      <c r="R131" s="157"/>
      <c r="S131" s="158"/>
    </row>
    <row r="132" spans="1:19" ht="17.25" thickBot="1">
      <c r="A132" s="32"/>
      <c r="B132" s="33"/>
      <c r="C132" s="16"/>
      <c r="D132" s="15"/>
      <c r="E132" s="16" t="str">
        <f t="shared" si="62"/>
        <v/>
      </c>
      <c r="F132" s="19" t="str">
        <f>IF(ISNUMBER(D132), $B145 * E132, "")</f>
        <v/>
      </c>
      <c r="G132" s="15"/>
      <c r="H132" s="16" t="str">
        <f t="shared" si="63"/>
        <v/>
      </c>
      <c r="I132" s="19" t="str">
        <f>IF(ISNUMBER(G132), $B145 * H132, "")</f>
        <v/>
      </c>
      <c r="J132" s="15"/>
      <c r="K132" s="16" t="str">
        <f t="shared" si="64"/>
        <v/>
      </c>
      <c r="L132" s="19" t="str">
        <f>IF(ISNUMBER(J132), $B145 * K132, "")</f>
        <v/>
      </c>
      <c r="M132" s="15"/>
      <c r="N132" s="16" t="str">
        <f t="shared" si="65"/>
        <v/>
      </c>
      <c r="O132" s="19" t="str">
        <f>IF(ISNUMBER(M132), $B145 * N132, "")</f>
        <v/>
      </c>
      <c r="Q132" s="159"/>
      <c r="R132" s="160"/>
      <c r="S132" s="161"/>
    </row>
    <row r="133" spans="1:19" ht="17.25" thickBot="1">
      <c r="A133" s="32"/>
      <c r="B133" s="33"/>
      <c r="C133" s="16"/>
      <c r="D133" s="15"/>
      <c r="E133" s="16" t="str">
        <f t="shared" si="62"/>
        <v/>
      </c>
      <c r="F133" s="19" t="str">
        <f>IF(ISNUMBER(D133), $B145 * E133, "")</f>
        <v/>
      </c>
      <c r="G133" s="15"/>
      <c r="H133" s="16" t="str">
        <f t="shared" si="63"/>
        <v/>
      </c>
      <c r="I133" s="19" t="str">
        <f>IF(ISNUMBER(G133), $B145 * H133, "")</f>
        <v/>
      </c>
      <c r="J133" s="15"/>
      <c r="K133" s="16" t="str">
        <f t="shared" si="64"/>
        <v/>
      </c>
      <c r="L133" s="19" t="str">
        <f>IF(ISNUMBER(J133), $B145 * K133, "")</f>
        <v/>
      </c>
      <c r="M133" s="15"/>
      <c r="N133" s="16" t="str">
        <f t="shared" si="65"/>
        <v/>
      </c>
      <c r="O133" s="19" t="str">
        <f>IF(ISNUMBER(M133), $B145 * N133, "")</f>
        <v/>
      </c>
    </row>
    <row r="134" spans="1:19" ht="17.25" thickBot="1">
      <c r="A134" s="34"/>
      <c r="B134" s="35"/>
      <c r="C134" s="22"/>
      <c r="D134" s="21"/>
      <c r="E134" s="22" t="str">
        <f t="shared" si="62"/>
        <v/>
      </c>
      <c r="F134" s="19" t="str">
        <f>IF(ISNUMBER(D134), $B145 * E134, "")</f>
        <v/>
      </c>
      <c r="G134" s="21"/>
      <c r="H134" s="22" t="str">
        <f t="shared" si="63"/>
        <v/>
      </c>
      <c r="I134" s="19" t="str">
        <f>IF(ISNUMBER(G134), $B145 * H134, "")</f>
        <v/>
      </c>
      <c r="J134" s="21"/>
      <c r="K134" s="22" t="str">
        <f t="shared" si="64"/>
        <v/>
      </c>
      <c r="L134" s="19" t="str">
        <f>IF(ISNUMBER(J134), $B145 * K134, "")</f>
        <v/>
      </c>
      <c r="M134" s="21"/>
      <c r="N134" s="22" t="str">
        <f t="shared" si="65"/>
        <v/>
      </c>
      <c r="O134" s="19" t="str">
        <f>IF(ISNUMBER(M134), $B145 * N134, "")</f>
        <v/>
      </c>
      <c r="Q134" s="129"/>
      <c r="R134" s="130"/>
      <c r="S134" s="131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32"/>
      <c r="R135" s="133"/>
      <c r="S135" s="134"/>
    </row>
    <row r="136" spans="1:19" ht="17.25" thickBot="1">
      <c r="A136" s="32"/>
      <c r="B136" s="33"/>
      <c r="C136" s="16"/>
      <c r="D136" s="15"/>
      <c r="E136" s="16" t="str">
        <f t="shared" ref="E136:E139" si="66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67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68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69">IF(ISNUMBER(M136), (M136 - $B136) / $B136, "")</f>
        <v/>
      </c>
      <c r="O136" s="19" t="str">
        <f>IF(ISNUMBER(M136), $B145 * N136, "")</f>
        <v/>
      </c>
      <c r="Q136" s="135"/>
      <c r="R136" s="136"/>
      <c r="S136" s="137"/>
    </row>
    <row r="137" spans="1:19" ht="17.25" thickBot="1">
      <c r="A137" s="32"/>
      <c r="B137" s="33"/>
      <c r="C137" s="16"/>
      <c r="D137" s="15"/>
      <c r="E137" s="16" t="str">
        <f t="shared" si="66"/>
        <v/>
      </c>
      <c r="F137" s="19" t="str">
        <f>IF(ISNUMBER(D137), $B145 * E137, "")</f>
        <v/>
      </c>
      <c r="G137" s="15"/>
      <c r="H137" s="16" t="str">
        <f t="shared" si="67"/>
        <v/>
      </c>
      <c r="I137" s="19" t="str">
        <f>IF(ISNUMBER(G137), $B145 * H137, "")</f>
        <v/>
      </c>
      <c r="J137" s="15"/>
      <c r="K137" s="16" t="str">
        <f t="shared" si="68"/>
        <v/>
      </c>
      <c r="L137" s="19" t="str">
        <f>IF(ISNUMBER(J137), $B145 * K137, "")</f>
        <v/>
      </c>
      <c r="M137" s="15"/>
      <c r="N137" s="16" t="str">
        <f t="shared" si="69"/>
        <v/>
      </c>
      <c r="O137" s="19" t="str">
        <f>IF(ISNUMBER(M137), $B145 * N137, "")</f>
        <v/>
      </c>
      <c r="Q137" s="166"/>
      <c r="R137" s="166"/>
      <c r="S137" s="166"/>
    </row>
    <row r="138" spans="1:19" ht="17.25" thickBot="1">
      <c r="A138" s="32"/>
      <c r="B138" s="33"/>
      <c r="C138" s="16"/>
      <c r="D138" s="15"/>
      <c r="E138" s="16" t="str">
        <f t="shared" si="66"/>
        <v/>
      </c>
      <c r="F138" s="19" t="str">
        <f>IF(ISNUMBER(D138), $B145 * E138, "")</f>
        <v/>
      </c>
      <c r="G138" s="15"/>
      <c r="H138" s="16" t="str">
        <f t="shared" si="67"/>
        <v/>
      </c>
      <c r="I138" s="19" t="str">
        <f>IF(ISNUMBER(G138), $B145 * H138, "")</f>
        <v/>
      </c>
      <c r="J138" s="15"/>
      <c r="K138" s="16" t="str">
        <f t="shared" si="68"/>
        <v/>
      </c>
      <c r="L138" s="19" t="str">
        <f>IF(ISNUMBER(J138), $B145 * K138, "")</f>
        <v/>
      </c>
      <c r="M138" s="15"/>
      <c r="N138" s="16" t="str">
        <f t="shared" si="69"/>
        <v/>
      </c>
      <c r="O138" s="19" t="str">
        <f>IF(ISNUMBER(M138), $B145 * N138, "")</f>
        <v/>
      </c>
      <c r="Q138" s="163"/>
      <c r="R138" s="163"/>
      <c r="S138" s="163"/>
    </row>
    <row r="139" spans="1:19" ht="17.25" thickBot="1">
      <c r="A139" s="34"/>
      <c r="B139" s="35"/>
      <c r="C139" s="22"/>
      <c r="D139" s="21"/>
      <c r="E139" s="22" t="str">
        <f t="shared" si="66"/>
        <v/>
      </c>
      <c r="F139" s="23" t="str">
        <f>IF(ISNUMBER(D139), $B145 * E139, "")</f>
        <v/>
      </c>
      <c r="G139" s="21"/>
      <c r="H139" s="22" t="str">
        <f t="shared" si="67"/>
        <v/>
      </c>
      <c r="I139" s="23" t="str">
        <f>IF(ISNUMBER(G139), $B145 * H139, "")</f>
        <v/>
      </c>
      <c r="J139" s="21"/>
      <c r="K139" s="22" t="str">
        <f t="shared" si="68"/>
        <v/>
      </c>
      <c r="L139" s="23" t="str">
        <f>IF(ISNUMBER(J139), $B145 * K139, "")</f>
        <v/>
      </c>
      <c r="M139" s="21"/>
      <c r="N139" s="22" t="str">
        <f t="shared" si="69"/>
        <v/>
      </c>
      <c r="O139" s="23" t="str">
        <f>IF(ISNUMBER(M139), $B145 * N139, "")</f>
        <v/>
      </c>
      <c r="Q139" s="163"/>
      <c r="R139" s="163"/>
      <c r="S139" s="163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64"/>
      <c r="R140" s="164"/>
      <c r="S140" s="164"/>
    </row>
    <row r="141" spans="1:19" ht="17.25" thickBot="1">
      <c r="A141" s="32"/>
      <c r="B141" s="33"/>
      <c r="C141" s="16"/>
      <c r="D141" s="15"/>
      <c r="E141" s="16" t="str">
        <f t="shared" ref="E141:E144" si="70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1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2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3">IF(ISNUMBER(M141), (M141 - $B141) / $B141, "")</f>
        <v/>
      </c>
      <c r="O141" s="19" t="str">
        <f>IF(ISNUMBER(M141), $B145 * N141, "")</f>
        <v/>
      </c>
      <c r="Q141" s="164"/>
      <c r="R141" s="164"/>
      <c r="S141" s="164"/>
    </row>
    <row r="142" spans="1:19" ht="17.25" thickBot="1">
      <c r="A142" s="32"/>
      <c r="B142" s="33"/>
      <c r="C142" s="16"/>
      <c r="D142" s="15"/>
      <c r="E142" s="16" t="str">
        <f t="shared" si="70"/>
        <v/>
      </c>
      <c r="F142" s="19" t="str">
        <f>IF(ISNUMBER(D142), $B145 * E142, "")</f>
        <v/>
      </c>
      <c r="G142" s="15"/>
      <c r="H142" s="16" t="str">
        <f t="shared" si="71"/>
        <v/>
      </c>
      <c r="I142" s="19" t="str">
        <f>IF(ISNUMBER(G142), $B145 * H142, "")</f>
        <v/>
      </c>
      <c r="J142" s="15"/>
      <c r="K142" s="16" t="str">
        <f t="shared" si="72"/>
        <v/>
      </c>
      <c r="L142" s="19" t="str">
        <f>IF(ISNUMBER(J142), $B145 * K142, "")</f>
        <v/>
      </c>
      <c r="M142" s="15"/>
      <c r="N142" s="16" t="str">
        <f t="shared" si="73"/>
        <v/>
      </c>
      <c r="O142" s="19" t="str">
        <f>IF(ISNUMBER(M142), $B145 * N142, "")</f>
        <v/>
      </c>
      <c r="Q142" s="165"/>
      <c r="R142" s="165"/>
      <c r="S142" s="165"/>
    </row>
    <row r="143" spans="1:19">
      <c r="A143" s="32"/>
      <c r="B143" s="33"/>
      <c r="C143" s="16"/>
      <c r="D143" s="15"/>
      <c r="E143" s="16" t="str">
        <f t="shared" si="70"/>
        <v/>
      </c>
      <c r="F143" s="19" t="str">
        <f>IF(ISNUMBER(D143), $B145 * E143, "")</f>
        <v/>
      </c>
      <c r="G143" s="15"/>
      <c r="H143" s="16" t="str">
        <f t="shared" si="71"/>
        <v/>
      </c>
      <c r="I143" s="19" t="str">
        <f>IF(ISNUMBER(G143), $B145 * H143, "")</f>
        <v/>
      </c>
      <c r="J143" s="15"/>
      <c r="K143" s="16" t="str">
        <f t="shared" si="72"/>
        <v/>
      </c>
      <c r="L143" s="19" t="str">
        <f>IF(ISNUMBER(J143), $B145 * K143, "")</f>
        <v/>
      </c>
      <c r="M143" s="15"/>
      <c r="N143" s="16" t="str">
        <f t="shared" si="73"/>
        <v/>
      </c>
      <c r="O143" s="19" t="str">
        <f>IF(ISNUMBER(M143), $B145 * N143, "")</f>
        <v/>
      </c>
      <c r="Q143" s="153"/>
      <c r="R143" s="154"/>
      <c r="S143" s="155"/>
    </row>
    <row r="144" spans="1:19" ht="17.25" thickBot="1">
      <c r="A144" s="34"/>
      <c r="B144" s="35"/>
      <c r="C144" s="22"/>
      <c r="D144" s="21"/>
      <c r="E144" s="22" t="str">
        <f t="shared" si="70"/>
        <v/>
      </c>
      <c r="F144" s="19" t="str">
        <f>IF(ISNUMBER(D144), $B145 * E144, "")</f>
        <v/>
      </c>
      <c r="G144" s="21"/>
      <c r="H144" s="22" t="str">
        <f t="shared" si="71"/>
        <v/>
      </c>
      <c r="I144" s="19" t="str">
        <f>IF(ISNUMBER(G144), $B145 * H144, "")</f>
        <v/>
      </c>
      <c r="J144" s="21"/>
      <c r="K144" s="22" t="str">
        <f t="shared" si="72"/>
        <v/>
      </c>
      <c r="L144" s="19" t="str">
        <f>IF(ISNUMBER(J144), $B145 * K144, "")</f>
        <v/>
      </c>
      <c r="M144" s="21"/>
      <c r="N144" s="22" t="str">
        <f t="shared" si="73"/>
        <v/>
      </c>
      <c r="O144" s="19" t="str">
        <f>IF(ISNUMBER(M144), $B145 * N144, "")</f>
        <v/>
      </c>
      <c r="Q144" s="156"/>
      <c r="R144" s="157"/>
      <c r="S144" s="158"/>
    </row>
    <row r="145" spans="1:19" ht="17.25" thickBot="1">
      <c r="A145" s="27" t="s">
        <v>42</v>
      </c>
      <c r="B145" s="168">
        <v>100000</v>
      </c>
      <c r="C145" s="169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11" t="s">
        <v>289</v>
      </c>
      <c r="B148" s="125"/>
      <c r="C148" s="125"/>
      <c r="D148" s="125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12"/>
      <c r="Q148" s="129"/>
      <c r="R148" s="130"/>
      <c r="S148" s="131"/>
    </row>
    <row r="149" spans="1:19" ht="17.25" thickBot="1">
      <c r="A149" s="66" t="s">
        <v>35</v>
      </c>
      <c r="B149" s="111" t="s">
        <v>36</v>
      </c>
      <c r="C149" s="112"/>
      <c r="D149" s="111" t="s">
        <v>37</v>
      </c>
      <c r="E149" s="125"/>
      <c r="F149" s="112"/>
      <c r="G149" s="138">
        <f>_xlfn.IFNA(VLOOKUP(B149, 현재가테이블!$B$2:$D$200, 2, FALSE), "-")</f>
        <v>63826000</v>
      </c>
      <c r="H149" s="139"/>
      <c r="I149" s="140"/>
      <c r="J149" s="111" t="s">
        <v>38</v>
      </c>
      <c r="K149" s="125"/>
      <c r="L149" s="112"/>
      <c r="M149" s="141">
        <f>_xlfn.IFNA(VLOOKUP(B149, 현재가테이블!$B$2:$D$200, 3, FALSE), "-")</f>
        <v>-1.4529004E-2</v>
      </c>
      <c r="N149" s="142"/>
      <c r="O149" s="143"/>
      <c r="Q149" s="132"/>
      <c r="R149" s="133"/>
      <c r="S149" s="134"/>
    </row>
    <row r="150" spans="1:19" ht="17.25" thickBot="1">
      <c r="A150" s="144" t="s">
        <v>39</v>
      </c>
      <c r="B150" s="145" t="str">
        <f>TEXT($G$1, "[$-ko-KR]yyyy-mm-dd(ddd) ") &amp; "오전 00:00"</f>
        <v>2021-04-01(목) 오전 00:00</v>
      </c>
      <c r="C150" s="146"/>
      <c r="D150" s="147" t="str">
        <f>TEXT($G$1, "[$-ko-KR]yyyy-mm-dd(ddd) ") &amp; "오후 14:00"</f>
        <v>2021-04-01(목) 오후 14:00</v>
      </c>
      <c r="E150" s="148"/>
      <c r="F150" s="149"/>
      <c r="G150" s="147" t="str">
        <f>TEXT($G$1, "[$-ko-KR]yyyy-mm-dd(ddd) ") &amp; "오후 19:00"</f>
        <v>2021-04-01(목) 오후 19:00</v>
      </c>
      <c r="H150" s="148"/>
      <c r="I150" s="149"/>
      <c r="J150" s="167" t="str">
        <f>TEXT($G$1, "[$-ko-KR]yyyy-mm-dd(ddd) ") &amp; "오후 21:00"</f>
        <v>2021-04-01(목) 오후 21:00</v>
      </c>
      <c r="K150" s="167"/>
      <c r="L150" s="167"/>
      <c r="M150" s="147" t="str">
        <f>TEXT($G$1+1, "[$-ko-KR]yyyy-mm-dd(ddd) ") &amp; "오전 00:00"</f>
        <v>2021-04-02(금) 오전 00:00</v>
      </c>
      <c r="N150" s="148"/>
      <c r="O150" s="149"/>
      <c r="Q150" s="135"/>
      <c r="R150" s="136"/>
      <c r="S150" s="137"/>
    </row>
    <row r="151" spans="1:19" ht="17.25" thickBot="1">
      <c r="A151" s="144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66"/>
      <c r="R151" s="166"/>
      <c r="S151" s="166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63"/>
      <c r="R152" s="163"/>
      <c r="S152" s="163"/>
    </row>
    <row r="153" spans="1:19" ht="17.25" thickBot="1">
      <c r="A153" s="32"/>
      <c r="B153" s="33"/>
      <c r="C153" s="16"/>
      <c r="D153" s="15"/>
      <c r="E153" s="16" t="str">
        <f t="shared" ref="E153:E156" si="74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5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76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77">IF(ISNUMBER(M153), (M153 - $B153) / $B153, "")</f>
        <v/>
      </c>
      <c r="O153" s="19" t="str">
        <f>IF(ISNUMBER(M153), $B172 * N153, "")</f>
        <v/>
      </c>
      <c r="Q153" s="163"/>
      <c r="R153" s="163"/>
      <c r="S153" s="163"/>
    </row>
    <row r="154" spans="1:19" ht="17.25" thickBot="1">
      <c r="A154" s="32"/>
      <c r="B154" s="33"/>
      <c r="C154" s="16"/>
      <c r="D154" s="15"/>
      <c r="E154" s="16" t="str">
        <f t="shared" si="74"/>
        <v/>
      </c>
      <c r="F154" s="19" t="str">
        <f>IF(ISNUMBER(D154), $B172 * E154, "")</f>
        <v/>
      </c>
      <c r="G154" s="15"/>
      <c r="H154" s="16" t="str">
        <f t="shared" si="75"/>
        <v/>
      </c>
      <c r="I154" s="19" t="str">
        <f>IF(ISNUMBER(G154), $B172 * H154, "")</f>
        <v/>
      </c>
      <c r="J154" s="15"/>
      <c r="K154" s="16" t="str">
        <f t="shared" si="76"/>
        <v/>
      </c>
      <c r="L154" s="19" t="str">
        <f>IF(ISNUMBER(J154), $B172 * K154, "")</f>
        <v/>
      </c>
      <c r="M154" s="15"/>
      <c r="N154" s="16" t="str">
        <f t="shared" si="77"/>
        <v/>
      </c>
      <c r="O154" s="19" t="str">
        <f>IF(ISNUMBER(M154), $B172 * N154, "")</f>
        <v/>
      </c>
      <c r="Q154" s="164"/>
      <c r="R154" s="164"/>
      <c r="S154" s="164"/>
    </row>
    <row r="155" spans="1:19" ht="17.25" thickBot="1">
      <c r="A155" s="32"/>
      <c r="B155" s="33"/>
      <c r="C155" s="16"/>
      <c r="D155" s="15"/>
      <c r="E155" s="16" t="str">
        <f t="shared" si="74"/>
        <v/>
      </c>
      <c r="F155" s="19" t="str">
        <f>IF(ISNUMBER(D155), $B172 * E155, "")</f>
        <v/>
      </c>
      <c r="G155" s="15"/>
      <c r="H155" s="16" t="str">
        <f t="shared" si="75"/>
        <v/>
      </c>
      <c r="I155" s="19" t="str">
        <f>IF(ISNUMBER(G155), $B172 * H155, "")</f>
        <v/>
      </c>
      <c r="J155" s="15"/>
      <c r="K155" s="16" t="str">
        <f t="shared" si="76"/>
        <v/>
      </c>
      <c r="L155" s="19" t="str">
        <f>IF(ISNUMBER(J155), $B172 * K155, "")</f>
        <v/>
      </c>
      <c r="M155" s="15"/>
      <c r="N155" s="16" t="str">
        <f t="shared" si="77"/>
        <v/>
      </c>
      <c r="O155" s="19" t="str">
        <f>IF(ISNUMBER(M155), $B172 * N155, "")</f>
        <v/>
      </c>
      <c r="Q155" s="164"/>
      <c r="R155" s="164"/>
      <c r="S155" s="164"/>
    </row>
    <row r="156" spans="1:19" ht="17.25" thickBot="1">
      <c r="A156" s="34"/>
      <c r="B156" s="35"/>
      <c r="C156" s="22"/>
      <c r="D156" s="21"/>
      <c r="E156" s="22" t="str">
        <f t="shared" si="74"/>
        <v/>
      </c>
      <c r="F156" s="23" t="str">
        <f>IF(ISNUMBER(D156), $B172 * E156, "")</f>
        <v/>
      </c>
      <c r="G156" s="21"/>
      <c r="H156" s="22" t="str">
        <f t="shared" si="75"/>
        <v/>
      </c>
      <c r="I156" s="23" t="str">
        <f>IF(ISNUMBER(G156), $B172 * H156, "")</f>
        <v/>
      </c>
      <c r="J156" s="21"/>
      <c r="K156" s="22" t="str">
        <f t="shared" si="76"/>
        <v/>
      </c>
      <c r="L156" s="23" t="str">
        <f>IF(ISNUMBER(J156), $B172 * K156, "")</f>
        <v/>
      </c>
      <c r="M156" s="21"/>
      <c r="N156" s="22" t="str">
        <f t="shared" si="77"/>
        <v/>
      </c>
      <c r="O156" s="23" t="str">
        <f>IF(ISNUMBER(M156), $B172 * N156, "")</f>
        <v/>
      </c>
      <c r="Q156" s="165"/>
      <c r="R156" s="165"/>
      <c r="S156" s="165"/>
    </row>
    <row r="157" spans="1:19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53"/>
      <c r="R157" s="154"/>
      <c r="S157" s="155"/>
    </row>
    <row r="158" spans="1:19">
      <c r="A158" s="32"/>
      <c r="B158" s="33"/>
      <c r="C158" s="16"/>
      <c r="D158" s="15"/>
      <c r="E158" s="16" t="str">
        <f t="shared" ref="E158:E161" si="78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79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0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1">IF(ISNUMBER(M158), (M158 - $B158) / $B158, "")</f>
        <v/>
      </c>
      <c r="O158" s="19" t="str">
        <f>IF(ISNUMBER(M158), $B172 * N158, "")</f>
        <v/>
      </c>
      <c r="Q158" s="156"/>
      <c r="R158" s="157"/>
      <c r="S158" s="158"/>
    </row>
    <row r="159" spans="1:19" ht="17.25" thickBot="1">
      <c r="A159" s="32"/>
      <c r="B159" s="33"/>
      <c r="C159" s="16"/>
      <c r="D159" s="15"/>
      <c r="E159" s="16" t="str">
        <f t="shared" si="78"/>
        <v/>
      </c>
      <c r="F159" s="19" t="str">
        <f>IF(ISNUMBER(D159), $B172 * E159, "")</f>
        <v/>
      </c>
      <c r="G159" s="15"/>
      <c r="H159" s="16" t="str">
        <f t="shared" si="79"/>
        <v/>
      </c>
      <c r="I159" s="19" t="str">
        <f>IF(ISNUMBER(G159), $B172 * H159, "")</f>
        <v/>
      </c>
      <c r="J159" s="15"/>
      <c r="K159" s="16" t="str">
        <f t="shared" si="80"/>
        <v/>
      </c>
      <c r="L159" s="19" t="str">
        <f>IF(ISNUMBER(J159), $B172 * K159, "")</f>
        <v/>
      </c>
      <c r="M159" s="15"/>
      <c r="N159" s="16" t="str">
        <f t="shared" si="81"/>
        <v/>
      </c>
      <c r="O159" s="19" t="str">
        <f>IF(ISNUMBER(M159), $B172 * N159, "")</f>
        <v/>
      </c>
      <c r="Q159" s="159"/>
      <c r="R159" s="160"/>
      <c r="S159" s="161"/>
    </row>
    <row r="160" spans="1:19" ht="17.25" thickBot="1">
      <c r="A160" s="32"/>
      <c r="B160" s="33"/>
      <c r="C160" s="16"/>
      <c r="D160" s="15"/>
      <c r="E160" s="16" t="str">
        <f t="shared" si="78"/>
        <v/>
      </c>
      <c r="F160" s="19" t="str">
        <f>IF(ISNUMBER(D160), $B172 * E160, "")</f>
        <v/>
      </c>
      <c r="G160" s="15"/>
      <c r="H160" s="16" t="str">
        <f t="shared" si="79"/>
        <v/>
      </c>
      <c r="I160" s="19" t="str">
        <f>IF(ISNUMBER(G160), $B172 * H160, "")</f>
        <v/>
      </c>
      <c r="J160" s="15"/>
      <c r="K160" s="16" t="str">
        <f t="shared" si="80"/>
        <v/>
      </c>
      <c r="L160" s="19" t="str">
        <f>IF(ISNUMBER(J160), $B172 * K160, "")</f>
        <v/>
      </c>
      <c r="M160" s="15"/>
      <c r="N160" s="16" t="str">
        <f t="shared" si="81"/>
        <v/>
      </c>
      <c r="O160" s="19" t="str">
        <f>IF(ISNUMBER(M160), $B172 * N160, "")</f>
        <v/>
      </c>
    </row>
    <row r="161" spans="1:19" ht="17.25" thickBot="1">
      <c r="A161" s="34"/>
      <c r="B161" s="35"/>
      <c r="C161" s="22"/>
      <c r="D161" s="21"/>
      <c r="E161" s="22" t="str">
        <f t="shared" si="78"/>
        <v/>
      </c>
      <c r="F161" s="19" t="str">
        <f>IF(ISNUMBER(D161), $B172 * E161, "")</f>
        <v/>
      </c>
      <c r="G161" s="21"/>
      <c r="H161" s="22" t="str">
        <f t="shared" si="79"/>
        <v/>
      </c>
      <c r="I161" s="19" t="str">
        <f>IF(ISNUMBER(G161), $B172 * H161, "")</f>
        <v/>
      </c>
      <c r="J161" s="21"/>
      <c r="K161" s="22" t="str">
        <f t="shared" si="80"/>
        <v/>
      </c>
      <c r="L161" s="19" t="str">
        <f>IF(ISNUMBER(J161), $B172 * K161, "")</f>
        <v/>
      </c>
      <c r="M161" s="21"/>
      <c r="N161" s="22" t="str">
        <f t="shared" si="81"/>
        <v/>
      </c>
      <c r="O161" s="19" t="str">
        <f>IF(ISNUMBER(M161), $B172 * N161, "")</f>
        <v/>
      </c>
      <c r="Q161" s="129"/>
      <c r="R161" s="130"/>
      <c r="S161" s="131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32"/>
      <c r="R162" s="133"/>
      <c r="S162" s="134"/>
    </row>
    <row r="163" spans="1:19" ht="17.25" thickBot="1">
      <c r="A163" s="32"/>
      <c r="B163" s="33"/>
      <c r="C163" s="16"/>
      <c r="D163" s="15"/>
      <c r="E163" s="16" t="str">
        <f t="shared" ref="E163:E166" si="82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3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4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5">IF(ISNUMBER(M163), (M163 - $B163) / $B163, "")</f>
        <v/>
      </c>
      <c r="O163" s="19" t="str">
        <f>IF(ISNUMBER(M163), $B172 * N163, "")</f>
        <v/>
      </c>
      <c r="Q163" s="135"/>
      <c r="R163" s="136"/>
      <c r="S163" s="137"/>
    </row>
    <row r="164" spans="1:19" ht="17.25" thickBot="1">
      <c r="A164" s="32"/>
      <c r="B164" s="33"/>
      <c r="C164" s="16"/>
      <c r="D164" s="15"/>
      <c r="E164" s="16" t="str">
        <f t="shared" si="82"/>
        <v/>
      </c>
      <c r="F164" s="19" t="str">
        <f>IF(ISNUMBER(D164), $B172 * E164, "")</f>
        <v/>
      </c>
      <c r="G164" s="15"/>
      <c r="H164" s="16" t="str">
        <f t="shared" si="83"/>
        <v/>
      </c>
      <c r="I164" s="19" t="str">
        <f>IF(ISNUMBER(G164), $B172 * H164, "")</f>
        <v/>
      </c>
      <c r="J164" s="15"/>
      <c r="K164" s="16" t="str">
        <f t="shared" si="84"/>
        <v/>
      </c>
      <c r="L164" s="19" t="str">
        <f>IF(ISNUMBER(J164), $B172 * K164, "")</f>
        <v/>
      </c>
      <c r="M164" s="15"/>
      <c r="N164" s="16" t="str">
        <f t="shared" si="85"/>
        <v/>
      </c>
      <c r="O164" s="19" t="str">
        <f>IF(ISNUMBER(M164), $B172 * N164, "")</f>
        <v/>
      </c>
      <c r="Q164" s="166"/>
      <c r="R164" s="166"/>
      <c r="S164" s="166"/>
    </row>
    <row r="165" spans="1:19" ht="17.25" thickBot="1">
      <c r="A165" s="32"/>
      <c r="B165" s="33"/>
      <c r="C165" s="16"/>
      <c r="D165" s="15"/>
      <c r="E165" s="16" t="str">
        <f t="shared" si="82"/>
        <v/>
      </c>
      <c r="F165" s="19" t="str">
        <f>IF(ISNUMBER(D165), $B172 * E165, "")</f>
        <v/>
      </c>
      <c r="G165" s="15"/>
      <c r="H165" s="16" t="str">
        <f t="shared" si="83"/>
        <v/>
      </c>
      <c r="I165" s="19" t="str">
        <f>IF(ISNUMBER(G165), $B172 * H165, "")</f>
        <v/>
      </c>
      <c r="J165" s="15"/>
      <c r="K165" s="16" t="str">
        <f t="shared" si="84"/>
        <v/>
      </c>
      <c r="L165" s="19" t="str">
        <f>IF(ISNUMBER(J165), $B172 * K165, "")</f>
        <v/>
      </c>
      <c r="M165" s="15"/>
      <c r="N165" s="16" t="str">
        <f t="shared" si="85"/>
        <v/>
      </c>
      <c r="O165" s="19" t="str">
        <f>IF(ISNUMBER(M165), $B172 * N165, "")</f>
        <v/>
      </c>
      <c r="Q165" s="163"/>
      <c r="R165" s="163"/>
      <c r="S165" s="163"/>
    </row>
    <row r="166" spans="1:19" ht="17.25" thickBot="1">
      <c r="A166" s="34"/>
      <c r="B166" s="35"/>
      <c r="C166" s="22"/>
      <c r="D166" s="21"/>
      <c r="E166" s="22" t="str">
        <f t="shared" si="82"/>
        <v/>
      </c>
      <c r="F166" s="23" t="str">
        <f>IF(ISNUMBER(D166), $B172 * E166, "")</f>
        <v/>
      </c>
      <c r="G166" s="21"/>
      <c r="H166" s="22" t="str">
        <f t="shared" si="83"/>
        <v/>
      </c>
      <c r="I166" s="23" t="str">
        <f>IF(ISNUMBER(G166), $B172 * H166, "")</f>
        <v/>
      </c>
      <c r="J166" s="21"/>
      <c r="K166" s="22" t="str">
        <f t="shared" si="84"/>
        <v/>
      </c>
      <c r="L166" s="23" t="str">
        <f>IF(ISNUMBER(J166), $B172 * K166, "")</f>
        <v/>
      </c>
      <c r="M166" s="21"/>
      <c r="N166" s="22" t="str">
        <f t="shared" si="85"/>
        <v/>
      </c>
      <c r="O166" s="23" t="str">
        <f>IF(ISNUMBER(M166), $B172 * N166, "")</f>
        <v/>
      </c>
      <c r="Q166" s="163"/>
      <c r="R166" s="163"/>
      <c r="S166" s="163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64"/>
      <c r="R167" s="164"/>
      <c r="S167" s="164"/>
    </row>
    <row r="168" spans="1:19" ht="17.25" thickBot="1">
      <c r="A168" s="32"/>
      <c r="B168" s="33"/>
      <c r="C168" s="16"/>
      <c r="D168" s="15"/>
      <c r="E168" s="16" t="str">
        <f t="shared" ref="E168:E171" si="86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87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88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89">IF(ISNUMBER(M168), (M168 - $B168) / $B168, "")</f>
        <v/>
      </c>
      <c r="O168" s="19" t="str">
        <f>IF(ISNUMBER(M168), $B172 * N168, "")</f>
        <v/>
      </c>
      <c r="Q168" s="164"/>
      <c r="R168" s="164"/>
      <c r="S168" s="164"/>
    </row>
    <row r="169" spans="1:19" ht="17.25" thickBot="1">
      <c r="A169" s="32"/>
      <c r="B169" s="33"/>
      <c r="C169" s="16"/>
      <c r="D169" s="15"/>
      <c r="E169" s="16" t="str">
        <f t="shared" si="86"/>
        <v/>
      </c>
      <c r="F169" s="19" t="str">
        <f>IF(ISNUMBER(D169), $B172 * E169, "")</f>
        <v/>
      </c>
      <c r="G169" s="15"/>
      <c r="H169" s="16" t="str">
        <f t="shared" si="87"/>
        <v/>
      </c>
      <c r="I169" s="19" t="str">
        <f>IF(ISNUMBER(G169), $B172 * H169, "")</f>
        <v/>
      </c>
      <c r="J169" s="15"/>
      <c r="K169" s="16" t="str">
        <f t="shared" si="88"/>
        <v/>
      </c>
      <c r="L169" s="19" t="str">
        <f>IF(ISNUMBER(J169), $B172 * K169, "")</f>
        <v/>
      </c>
      <c r="M169" s="15"/>
      <c r="N169" s="16" t="str">
        <f t="shared" si="89"/>
        <v/>
      </c>
      <c r="O169" s="19" t="str">
        <f>IF(ISNUMBER(M169), $B172 * N169, "")</f>
        <v/>
      </c>
      <c r="Q169" s="165"/>
      <c r="R169" s="165"/>
      <c r="S169" s="165"/>
    </row>
    <row r="170" spans="1:19">
      <c r="A170" s="32"/>
      <c r="B170" s="33"/>
      <c r="C170" s="16"/>
      <c r="D170" s="15"/>
      <c r="E170" s="16" t="str">
        <f t="shared" si="86"/>
        <v/>
      </c>
      <c r="F170" s="19" t="str">
        <f>IF(ISNUMBER(D170), $B172 * E170, "")</f>
        <v/>
      </c>
      <c r="G170" s="15"/>
      <c r="H170" s="16" t="str">
        <f t="shared" si="87"/>
        <v/>
      </c>
      <c r="I170" s="19" t="str">
        <f>IF(ISNUMBER(G170), $B172 * H170, "")</f>
        <v/>
      </c>
      <c r="J170" s="15"/>
      <c r="K170" s="16" t="str">
        <f t="shared" si="88"/>
        <v/>
      </c>
      <c r="L170" s="19" t="str">
        <f>IF(ISNUMBER(J170), $B172 * K170, "")</f>
        <v/>
      </c>
      <c r="M170" s="15"/>
      <c r="N170" s="16" t="str">
        <f t="shared" si="89"/>
        <v/>
      </c>
      <c r="O170" s="19" t="str">
        <f>IF(ISNUMBER(M170), $B172 * N170, "")</f>
        <v/>
      </c>
      <c r="Q170" s="153"/>
      <c r="R170" s="154"/>
      <c r="S170" s="155"/>
    </row>
    <row r="171" spans="1:19" ht="17.25" thickBot="1">
      <c r="A171" s="34"/>
      <c r="B171" s="35"/>
      <c r="C171" s="22"/>
      <c r="D171" s="21"/>
      <c r="E171" s="22" t="str">
        <f t="shared" si="86"/>
        <v/>
      </c>
      <c r="F171" s="19" t="str">
        <f>IF(ISNUMBER(D171), $B172 * E171, "")</f>
        <v/>
      </c>
      <c r="G171" s="21"/>
      <c r="H171" s="22" t="str">
        <f t="shared" si="87"/>
        <v/>
      </c>
      <c r="I171" s="19" t="str">
        <f>IF(ISNUMBER(G171), $B172 * H171, "")</f>
        <v/>
      </c>
      <c r="J171" s="21"/>
      <c r="K171" s="22" t="str">
        <f t="shared" si="88"/>
        <v/>
      </c>
      <c r="L171" s="19" t="str">
        <f>IF(ISNUMBER(J171), $B172 * K171, "")</f>
        <v/>
      </c>
      <c r="M171" s="21"/>
      <c r="N171" s="22" t="str">
        <f t="shared" si="89"/>
        <v/>
      </c>
      <c r="O171" s="19" t="str">
        <f>IF(ISNUMBER(M171), $B172 * N171, "")</f>
        <v/>
      </c>
      <c r="Q171" s="156"/>
      <c r="R171" s="157"/>
      <c r="S171" s="158"/>
    </row>
    <row r="172" spans="1:19" ht="17.25" thickBot="1">
      <c r="A172" s="27" t="s">
        <v>42</v>
      </c>
      <c r="B172" s="168">
        <v>100000</v>
      </c>
      <c r="C172" s="169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11" t="s">
        <v>285</v>
      </c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12"/>
      <c r="Q175" s="129"/>
      <c r="R175" s="130"/>
      <c r="S175" s="131"/>
    </row>
    <row r="176" spans="1:19" ht="17.25" thickBot="1">
      <c r="A176" s="66" t="s">
        <v>35</v>
      </c>
      <c r="B176" s="111" t="s">
        <v>36</v>
      </c>
      <c r="C176" s="112"/>
      <c r="D176" s="111" t="s">
        <v>37</v>
      </c>
      <c r="E176" s="125"/>
      <c r="F176" s="112"/>
      <c r="G176" s="138">
        <f>_xlfn.IFNA(VLOOKUP(B176, 현재가테이블!$B$2:$D$200, 2, FALSE), "-")</f>
        <v>63826000</v>
      </c>
      <c r="H176" s="139"/>
      <c r="I176" s="140"/>
      <c r="J176" s="111" t="s">
        <v>38</v>
      </c>
      <c r="K176" s="125"/>
      <c r="L176" s="112"/>
      <c r="M176" s="141">
        <f>_xlfn.IFNA(VLOOKUP(B176, 현재가테이블!$B$2:$D$200, 3, FALSE), "-")</f>
        <v>-1.4529004E-2</v>
      </c>
      <c r="N176" s="142"/>
      <c r="O176" s="143"/>
      <c r="Q176" s="132"/>
      <c r="R176" s="133"/>
      <c r="S176" s="134"/>
    </row>
    <row r="177" spans="1:19" ht="17.25" thickBot="1">
      <c r="A177" s="144" t="s">
        <v>39</v>
      </c>
      <c r="B177" s="145" t="str">
        <f>TEXT($G$1, "[$-ko-KR]yyyy-mm-dd(ddd) ") &amp; "오전 00:00"</f>
        <v>2021-04-01(목) 오전 00:00</v>
      </c>
      <c r="C177" s="146"/>
      <c r="D177" s="147" t="str">
        <f>TEXT($G$1, "[$-ko-KR]yyyy-mm-dd(ddd) ") &amp; "오후 14:00"</f>
        <v>2021-04-01(목) 오후 14:00</v>
      </c>
      <c r="E177" s="148"/>
      <c r="F177" s="149"/>
      <c r="G177" s="147" t="str">
        <f>TEXT($G$1, "[$-ko-KR]yyyy-mm-dd(ddd) ") &amp; "오후 19:00"</f>
        <v>2021-04-01(목) 오후 19:00</v>
      </c>
      <c r="H177" s="148"/>
      <c r="I177" s="149"/>
      <c r="J177" s="167" t="str">
        <f>TEXT($G$1, "[$-ko-KR]yyyy-mm-dd(ddd) ") &amp; "오후 21:00"</f>
        <v>2021-04-01(목) 오후 21:00</v>
      </c>
      <c r="K177" s="167"/>
      <c r="L177" s="167"/>
      <c r="M177" s="147" t="str">
        <f>TEXT($G$1+1, "[$-ko-KR]yyyy-mm-dd(ddd) ") &amp; "오전 00:00"</f>
        <v>2021-04-02(금) 오전 00:00</v>
      </c>
      <c r="N177" s="148"/>
      <c r="O177" s="149"/>
      <c r="Q177" s="135"/>
      <c r="R177" s="136"/>
      <c r="S177" s="137"/>
    </row>
    <row r="178" spans="1:19" ht="17.25" thickBot="1">
      <c r="A178" s="144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66"/>
      <c r="R178" s="166"/>
      <c r="S178" s="166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63"/>
      <c r="R179" s="163"/>
      <c r="S179" s="163"/>
    </row>
    <row r="180" spans="1:19" ht="17.25" thickBot="1">
      <c r="A180" s="32"/>
      <c r="B180" s="33"/>
      <c r="C180" s="16"/>
      <c r="D180" s="15"/>
      <c r="E180" s="16" t="str">
        <f t="shared" ref="E180:E183" si="90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1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2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3">IF(ISNUMBER(M180), (M180 - $B180) / $B180, "")</f>
        <v/>
      </c>
      <c r="O180" s="19" t="str">
        <f>IF(ISNUMBER(M180), $B199 * N180, "")</f>
        <v/>
      </c>
      <c r="Q180" s="163"/>
      <c r="R180" s="163"/>
      <c r="S180" s="163"/>
    </row>
    <row r="181" spans="1:19" ht="17.25" thickBot="1">
      <c r="A181" s="32"/>
      <c r="B181" s="33"/>
      <c r="C181" s="16"/>
      <c r="D181" s="15"/>
      <c r="E181" s="16" t="str">
        <f t="shared" si="90"/>
        <v/>
      </c>
      <c r="F181" s="19" t="str">
        <f>IF(ISNUMBER(D181), $B199 * E181, "")</f>
        <v/>
      </c>
      <c r="G181" s="15"/>
      <c r="H181" s="16" t="str">
        <f t="shared" si="91"/>
        <v/>
      </c>
      <c r="I181" s="19" t="str">
        <f>IF(ISNUMBER(G181), $B199 * H181, "")</f>
        <v/>
      </c>
      <c r="J181" s="15"/>
      <c r="K181" s="16" t="str">
        <f t="shared" si="92"/>
        <v/>
      </c>
      <c r="L181" s="19" t="str">
        <f>IF(ISNUMBER(J181), $B199 * K181, "")</f>
        <v/>
      </c>
      <c r="M181" s="15"/>
      <c r="N181" s="16" t="str">
        <f t="shared" si="93"/>
        <v/>
      </c>
      <c r="O181" s="19" t="str">
        <f>IF(ISNUMBER(M181), $B199 * N181, "")</f>
        <v/>
      </c>
      <c r="Q181" s="164"/>
      <c r="R181" s="164"/>
      <c r="S181" s="164"/>
    </row>
    <row r="182" spans="1:19" ht="17.25" thickBot="1">
      <c r="A182" s="32"/>
      <c r="B182" s="33"/>
      <c r="C182" s="16"/>
      <c r="D182" s="15"/>
      <c r="E182" s="16" t="str">
        <f t="shared" si="90"/>
        <v/>
      </c>
      <c r="F182" s="19" t="str">
        <f>IF(ISNUMBER(D182), $B199 * E182, "")</f>
        <v/>
      </c>
      <c r="G182" s="15"/>
      <c r="H182" s="16" t="str">
        <f t="shared" si="91"/>
        <v/>
      </c>
      <c r="I182" s="19" t="str">
        <f>IF(ISNUMBER(G182), $B199 * H182, "")</f>
        <v/>
      </c>
      <c r="J182" s="15"/>
      <c r="K182" s="16" t="str">
        <f t="shared" si="92"/>
        <v/>
      </c>
      <c r="L182" s="19" t="str">
        <f>IF(ISNUMBER(J182), $B199 * K182, "")</f>
        <v/>
      </c>
      <c r="M182" s="15"/>
      <c r="N182" s="16" t="str">
        <f t="shared" si="93"/>
        <v/>
      </c>
      <c r="O182" s="19" t="str">
        <f>IF(ISNUMBER(M182), $B199 * N182, "")</f>
        <v/>
      </c>
      <c r="Q182" s="164"/>
      <c r="R182" s="164"/>
      <c r="S182" s="164"/>
    </row>
    <row r="183" spans="1:19" ht="17.25" thickBot="1">
      <c r="A183" s="34"/>
      <c r="B183" s="35"/>
      <c r="C183" s="22"/>
      <c r="D183" s="21"/>
      <c r="E183" s="22" t="str">
        <f t="shared" si="90"/>
        <v/>
      </c>
      <c r="F183" s="23" t="str">
        <f>IF(ISNUMBER(D183), $B199 * E183, "")</f>
        <v/>
      </c>
      <c r="G183" s="21"/>
      <c r="H183" s="22" t="str">
        <f t="shared" si="91"/>
        <v/>
      </c>
      <c r="I183" s="23" t="str">
        <f>IF(ISNUMBER(G183), $B199 * H183, "")</f>
        <v/>
      </c>
      <c r="J183" s="21"/>
      <c r="K183" s="22" t="str">
        <f t="shared" si="92"/>
        <v/>
      </c>
      <c r="L183" s="23" t="str">
        <f>IF(ISNUMBER(J183), $B199 * K183, "")</f>
        <v/>
      </c>
      <c r="M183" s="21"/>
      <c r="N183" s="22" t="str">
        <f t="shared" si="93"/>
        <v/>
      </c>
      <c r="O183" s="23" t="str">
        <f>IF(ISNUMBER(M183), $B199 * N183, "")</f>
        <v/>
      </c>
      <c r="Q183" s="165"/>
      <c r="R183" s="165"/>
      <c r="S183" s="165"/>
    </row>
    <row r="184" spans="1:19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53"/>
      <c r="R184" s="154"/>
      <c r="S184" s="155"/>
    </row>
    <row r="185" spans="1:19">
      <c r="A185" s="32"/>
      <c r="B185" s="33"/>
      <c r="C185" s="16"/>
      <c r="D185" s="15"/>
      <c r="E185" s="16" t="str">
        <f t="shared" ref="E185:E188" si="94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5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96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97">IF(ISNUMBER(M185), (M185 - $B185) / $B185, "")</f>
        <v/>
      </c>
      <c r="O185" s="19" t="str">
        <f>IF(ISNUMBER(M185), $B199 * N185, "")</f>
        <v/>
      </c>
      <c r="Q185" s="156"/>
      <c r="R185" s="157"/>
      <c r="S185" s="158"/>
    </row>
    <row r="186" spans="1:19" ht="17.25" thickBot="1">
      <c r="A186" s="32"/>
      <c r="B186" s="33"/>
      <c r="C186" s="16"/>
      <c r="D186" s="15"/>
      <c r="E186" s="16" t="str">
        <f t="shared" si="94"/>
        <v/>
      </c>
      <c r="F186" s="19" t="str">
        <f>IF(ISNUMBER(D186), $B199 * E186, "")</f>
        <v/>
      </c>
      <c r="G186" s="15"/>
      <c r="H186" s="16" t="str">
        <f t="shared" si="95"/>
        <v/>
      </c>
      <c r="I186" s="19" t="str">
        <f>IF(ISNUMBER(G186), $B199 * H186, "")</f>
        <v/>
      </c>
      <c r="J186" s="15"/>
      <c r="K186" s="16" t="str">
        <f t="shared" si="96"/>
        <v/>
      </c>
      <c r="L186" s="19" t="str">
        <f>IF(ISNUMBER(J186), $B199 * K186, "")</f>
        <v/>
      </c>
      <c r="M186" s="15"/>
      <c r="N186" s="16" t="str">
        <f t="shared" si="97"/>
        <v/>
      </c>
      <c r="O186" s="19" t="str">
        <f>IF(ISNUMBER(M186), $B199 * N186, "")</f>
        <v/>
      </c>
      <c r="Q186" s="159"/>
      <c r="R186" s="160"/>
      <c r="S186" s="161"/>
    </row>
    <row r="187" spans="1:19" ht="17.25" thickBot="1">
      <c r="A187" s="32"/>
      <c r="B187" s="33"/>
      <c r="C187" s="16"/>
      <c r="D187" s="15"/>
      <c r="E187" s="16" t="str">
        <f t="shared" si="94"/>
        <v/>
      </c>
      <c r="F187" s="19" t="str">
        <f>IF(ISNUMBER(D187), $B199 * E187, "")</f>
        <v/>
      </c>
      <c r="G187" s="15"/>
      <c r="H187" s="16" t="str">
        <f t="shared" si="95"/>
        <v/>
      </c>
      <c r="I187" s="19" t="str">
        <f>IF(ISNUMBER(G187), $B199 * H187, "")</f>
        <v/>
      </c>
      <c r="J187" s="15"/>
      <c r="K187" s="16" t="str">
        <f t="shared" si="96"/>
        <v/>
      </c>
      <c r="L187" s="19" t="str">
        <f>IF(ISNUMBER(J187), $B199 * K187, "")</f>
        <v/>
      </c>
      <c r="M187" s="15"/>
      <c r="N187" s="16" t="str">
        <f t="shared" si="97"/>
        <v/>
      </c>
      <c r="O187" s="19" t="str">
        <f>IF(ISNUMBER(M187), $B199 * N187, "")</f>
        <v/>
      </c>
    </row>
    <row r="188" spans="1:19" ht="17.25" thickBot="1">
      <c r="A188" s="34"/>
      <c r="B188" s="35"/>
      <c r="C188" s="22"/>
      <c r="D188" s="21"/>
      <c r="E188" s="22" t="str">
        <f t="shared" si="94"/>
        <v/>
      </c>
      <c r="F188" s="19" t="str">
        <f>IF(ISNUMBER(D188), $B199 * E188, "")</f>
        <v/>
      </c>
      <c r="G188" s="21"/>
      <c r="H188" s="22" t="str">
        <f t="shared" si="95"/>
        <v/>
      </c>
      <c r="I188" s="19" t="str">
        <f>IF(ISNUMBER(G188), $B199 * H188, "")</f>
        <v/>
      </c>
      <c r="J188" s="21"/>
      <c r="K188" s="22" t="str">
        <f t="shared" si="96"/>
        <v/>
      </c>
      <c r="L188" s="19" t="str">
        <f>IF(ISNUMBER(J188), $B199 * K188, "")</f>
        <v/>
      </c>
      <c r="M188" s="21"/>
      <c r="N188" s="22" t="str">
        <f t="shared" si="97"/>
        <v/>
      </c>
      <c r="O188" s="19" t="str">
        <f>IF(ISNUMBER(M188), $B199 * N188, "")</f>
        <v/>
      </c>
      <c r="Q188" s="129"/>
      <c r="R188" s="130"/>
      <c r="S188" s="131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$B209 * E189, "")</f>
        <v/>
      </c>
      <c r="G189" s="13"/>
      <c r="H189" s="14" t="str">
        <f>IF(ISNUMBER(G189), (G189 - $B189) / $B189, "")</f>
        <v/>
      </c>
      <c r="I189" s="17" t="str">
        <f>IF(ISNUMBER(G189), $B209 * H189, "")</f>
        <v/>
      </c>
      <c r="J189" s="13"/>
      <c r="K189" s="14" t="str">
        <f>IF(ISNUMBER(J189), (J189 - $B189) / $B189, "")</f>
        <v/>
      </c>
      <c r="L189" s="17" t="str">
        <f>IF(ISNUMBER(J189), $B209 * K189, "")</f>
        <v/>
      </c>
      <c r="M189" s="13"/>
      <c r="N189" s="14" t="str">
        <f>IF(ISNUMBER(M189), (M189 - $B189) / $B189, "")</f>
        <v/>
      </c>
      <c r="O189" s="17" t="str">
        <f>IF(ISNUMBER(M189), $B209 * N189, "")</f>
        <v/>
      </c>
      <c r="Q189" s="132"/>
      <c r="R189" s="133"/>
      <c r="S189" s="134"/>
    </row>
    <row r="190" spans="1:19" ht="17.25" thickBot="1">
      <c r="A190" s="32"/>
      <c r="B190" s="33"/>
      <c r="C190" s="16"/>
      <c r="D190" s="15"/>
      <c r="E190" s="16" t="str">
        <f t="shared" ref="E190:E193" si="98">IF(ISNUMBER(D190), (D190 - $B190) / $B190, "")</f>
        <v/>
      </c>
      <c r="F190" s="19" t="str">
        <f>IF(ISNUMBER(D190), $B209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$B209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$B209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$B209 * N190, "")</f>
        <v/>
      </c>
      <c r="Q190" s="135"/>
      <c r="R190" s="136"/>
      <c r="S190" s="137"/>
    </row>
    <row r="191" spans="1:19" ht="17.25" thickBot="1">
      <c r="A191" s="32"/>
      <c r="B191" s="33"/>
      <c r="C191" s="16"/>
      <c r="D191" s="15"/>
      <c r="E191" s="16" t="str">
        <f t="shared" si="98"/>
        <v/>
      </c>
      <c r="F191" s="19" t="str">
        <f>IF(ISNUMBER(D191), $B209 * E191, "")</f>
        <v/>
      </c>
      <c r="G191" s="15"/>
      <c r="H191" s="16" t="str">
        <f t="shared" si="99"/>
        <v/>
      </c>
      <c r="I191" s="19" t="str">
        <f>IF(ISNUMBER(G191), $B209 * H191, "")</f>
        <v/>
      </c>
      <c r="J191" s="15"/>
      <c r="K191" s="16" t="str">
        <f t="shared" si="100"/>
        <v/>
      </c>
      <c r="L191" s="19" t="str">
        <f>IF(ISNUMBER(J191), $B209 * K191, "")</f>
        <v/>
      </c>
      <c r="M191" s="15"/>
      <c r="N191" s="16" t="str">
        <f t="shared" si="101"/>
        <v/>
      </c>
      <c r="O191" s="19" t="str">
        <f>IF(ISNUMBER(M191), $B209 * N191, "")</f>
        <v/>
      </c>
      <c r="Q191" s="166"/>
      <c r="R191" s="166"/>
      <c r="S191" s="166"/>
    </row>
    <row r="192" spans="1:19" ht="17.25" thickBot="1">
      <c r="A192" s="32"/>
      <c r="B192" s="33"/>
      <c r="C192" s="16"/>
      <c r="D192" s="15"/>
      <c r="E192" s="16" t="str">
        <f t="shared" si="98"/>
        <v/>
      </c>
      <c r="F192" s="19" t="str">
        <f>IF(ISNUMBER(D192), $B209 * E192, "")</f>
        <v/>
      </c>
      <c r="G192" s="15"/>
      <c r="H192" s="16" t="str">
        <f t="shared" si="99"/>
        <v/>
      </c>
      <c r="I192" s="19" t="str">
        <f>IF(ISNUMBER(G192), $B209 * H192, "")</f>
        <v/>
      </c>
      <c r="J192" s="15"/>
      <c r="K192" s="16" t="str">
        <f t="shared" si="100"/>
        <v/>
      </c>
      <c r="L192" s="19" t="str">
        <f>IF(ISNUMBER(J192), $B209 * K192, "")</f>
        <v/>
      </c>
      <c r="M192" s="15"/>
      <c r="N192" s="16" t="str">
        <f t="shared" si="101"/>
        <v/>
      </c>
      <c r="O192" s="19" t="str">
        <f>IF(ISNUMBER(M192), $B209 * N192, "")</f>
        <v/>
      </c>
      <c r="Q192" s="163"/>
      <c r="R192" s="163"/>
      <c r="S192" s="163"/>
    </row>
    <row r="193" spans="1:19" ht="17.25" thickBot="1">
      <c r="A193" s="34"/>
      <c r="B193" s="35"/>
      <c r="C193" s="22"/>
      <c r="D193" s="21"/>
      <c r="E193" s="22" t="str">
        <f t="shared" si="98"/>
        <v/>
      </c>
      <c r="F193" s="23" t="str">
        <f>IF(ISNUMBER(D193), $B209 * E193, "")</f>
        <v/>
      </c>
      <c r="G193" s="21"/>
      <c r="H193" s="22" t="str">
        <f t="shared" si="99"/>
        <v/>
      </c>
      <c r="I193" s="23" t="str">
        <f>IF(ISNUMBER(G193), $B209 * H193, "")</f>
        <v/>
      </c>
      <c r="J193" s="21"/>
      <c r="K193" s="22" t="str">
        <f t="shared" si="100"/>
        <v/>
      </c>
      <c r="L193" s="23" t="str">
        <f>IF(ISNUMBER(J193), $B209 * K193, "")</f>
        <v/>
      </c>
      <c r="M193" s="21"/>
      <c r="N193" s="22" t="str">
        <f t="shared" si="101"/>
        <v/>
      </c>
      <c r="O193" s="23" t="str">
        <f>IF(ISNUMBER(M193), $B209 * N193, "")</f>
        <v/>
      </c>
      <c r="Q193" s="163"/>
      <c r="R193" s="163"/>
      <c r="S193" s="163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$B209 * E194, "")</f>
        <v/>
      </c>
      <c r="G194" s="15"/>
      <c r="H194" s="37" t="str">
        <f>IF(ISNUMBER(G194), (G194 - $B194) / $B194, "")</f>
        <v/>
      </c>
      <c r="I194" s="19" t="str">
        <f>IF(ISNUMBER(G194), $B209 * H194, "")</f>
        <v/>
      </c>
      <c r="J194" s="15"/>
      <c r="K194" s="37" t="str">
        <f>IF(ISNUMBER(J194), (J194 - $B194) / $B194, "")</f>
        <v/>
      </c>
      <c r="L194" s="19" t="str">
        <f>IF(ISNUMBER(J194), $B209 * K194, "")</f>
        <v/>
      </c>
      <c r="M194" s="15"/>
      <c r="N194" s="37" t="str">
        <f>IF(ISNUMBER(M194), (M194 - $B194) / $B194, "")</f>
        <v/>
      </c>
      <c r="O194" s="19" t="str">
        <f>IF(ISNUMBER(M194), $B209 * N194, "")</f>
        <v/>
      </c>
      <c r="Q194" s="164"/>
      <c r="R194" s="164"/>
      <c r="S194" s="164"/>
    </row>
    <row r="195" spans="1:19" ht="17.25" thickBot="1">
      <c r="A195" s="32"/>
      <c r="B195" s="33"/>
      <c r="C195" s="16"/>
      <c r="D195" s="15"/>
      <c r="E195" s="16" t="str">
        <f t="shared" ref="E195:E198" si="102">IF(ISNUMBER(D195), (D195 - $B195) / $B195, "")</f>
        <v/>
      </c>
      <c r="F195" s="19" t="str">
        <f>IF(ISNUMBER(D195), $B209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$B209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$B209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$B209 * N195, "")</f>
        <v/>
      </c>
      <c r="Q195" s="164"/>
      <c r="R195" s="164"/>
      <c r="S195" s="164"/>
    </row>
    <row r="196" spans="1:19" ht="17.25" thickBot="1">
      <c r="A196" s="32"/>
      <c r="B196" s="33"/>
      <c r="C196" s="16"/>
      <c r="D196" s="15"/>
      <c r="E196" s="16" t="str">
        <f t="shared" si="102"/>
        <v/>
      </c>
      <c r="F196" s="19" t="str">
        <f>IF(ISNUMBER(D196), $B209 * E196, "")</f>
        <v/>
      </c>
      <c r="G196" s="15"/>
      <c r="H196" s="16" t="str">
        <f t="shared" si="103"/>
        <v/>
      </c>
      <c r="I196" s="19" t="str">
        <f>IF(ISNUMBER(G196), $B209 * H196, "")</f>
        <v/>
      </c>
      <c r="J196" s="15"/>
      <c r="K196" s="16" t="str">
        <f t="shared" si="104"/>
        <v/>
      </c>
      <c r="L196" s="19" t="str">
        <f>IF(ISNUMBER(J196), $B209 * K196, "")</f>
        <v/>
      </c>
      <c r="M196" s="15"/>
      <c r="N196" s="16" t="str">
        <f t="shared" si="105"/>
        <v/>
      </c>
      <c r="O196" s="19" t="str">
        <f>IF(ISNUMBER(M196), $B209 * N196, "")</f>
        <v/>
      </c>
      <c r="Q196" s="165"/>
      <c r="R196" s="165"/>
      <c r="S196" s="165"/>
    </row>
    <row r="197" spans="1:19">
      <c r="A197" s="32"/>
      <c r="B197" s="33"/>
      <c r="C197" s="16"/>
      <c r="D197" s="15"/>
      <c r="E197" s="16" t="str">
        <f t="shared" si="102"/>
        <v/>
      </c>
      <c r="F197" s="19" t="str">
        <f>IF(ISNUMBER(D197), $B209 * E197, "")</f>
        <v/>
      </c>
      <c r="G197" s="15"/>
      <c r="H197" s="16" t="str">
        <f t="shared" si="103"/>
        <v/>
      </c>
      <c r="I197" s="19" t="str">
        <f>IF(ISNUMBER(G197), $B209 * H197, "")</f>
        <v/>
      </c>
      <c r="J197" s="15"/>
      <c r="K197" s="16" t="str">
        <f t="shared" si="104"/>
        <v/>
      </c>
      <c r="L197" s="19" t="str">
        <f>IF(ISNUMBER(J197), $B209 * K197, "")</f>
        <v/>
      </c>
      <c r="M197" s="15"/>
      <c r="N197" s="16" t="str">
        <f t="shared" si="105"/>
        <v/>
      </c>
      <c r="O197" s="19" t="str">
        <f>IF(ISNUMBER(M197), $B209 * N197, "")</f>
        <v/>
      </c>
      <c r="Q197" s="153"/>
      <c r="R197" s="154"/>
      <c r="S197" s="155"/>
    </row>
    <row r="198" spans="1:19" ht="17.25" thickBot="1">
      <c r="A198" s="34"/>
      <c r="B198" s="35"/>
      <c r="C198" s="22"/>
      <c r="D198" s="21"/>
      <c r="E198" s="22" t="str">
        <f t="shared" si="102"/>
        <v/>
      </c>
      <c r="F198" s="19" t="str">
        <f>IF(ISNUMBER(D198), $B209 * E198, "")</f>
        <v/>
      </c>
      <c r="G198" s="21"/>
      <c r="H198" s="22" t="str">
        <f t="shared" si="103"/>
        <v/>
      </c>
      <c r="I198" s="19" t="str">
        <f>IF(ISNUMBER(G198), $B209 * H198, "")</f>
        <v/>
      </c>
      <c r="J198" s="21"/>
      <c r="K198" s="22" t="str">
        <f t="shared" si="104"/>
        <v/>
      </c>
      <c r="L198" s="19" t="str">
        <f>IF(ISNUMBER(J198), $B209 * K198, "")</f>
        <v/>
      </c>
      <c r="M198" s="21"/>
      <c r="N198" s="22" t="str">
        <f t="shared" si="105"/>
        <v/>
      </c>
      <c r="O198" s="19" t="str">
        <f>IF(ISNUMBER(M198), $B209 * N198, "")</f>
        <v/>
      </c>
      <c r="Q198" s="156"/>
      <c r="R198" s="157"/>
      <c r="S198" s="158"/>
    </row>
    <row r="199" spans="1:19" ht="17.25" thickBot="1">
      <c r="A199" s="27" t="s">
        <v>42</v>
      </c>
      <c r="B199" s="168">
        <v>100000</v>
      </c>
      <c r="C199" s="169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59"/>
      <c r="R199" s="160"/>
      <c r="S199" s="161"/>
    </row>
  </sheetData>
  <mergeCells count="238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62:S64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49:S51"/>
    <mergeCell ref="Q53:S55"/>
    <mergeCell ref="S56:S58"/>
    <mergeCell ref="S59:S6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227" priority="97">
      <formula>$E$37&gt;0</formula>
    </cfRule>
    <cfRule type="expression" dxfId="226" priority="98">
      <formula>$E$37&lt;0</formula>
    </cfRule>
  </conditionalFormatting>
  <conditionalFormatting sqref="G15:I16 H37:I37">
    <cfRule type="expression" dxfId="225" priority="95">
      <formula>$H$37&gt;0</formula>
    </cfRule>
    <cfRule type="expression" dxfId="224" priority="96">
      <formula>$H$37&lt;0</formula>
    </cfRule>
  </conditionalFormatting>
  <conditionalFormatting sqref="J15:L16 K37:L37">
    <cfRule type="expression" dxfId="223" priority="93">
      <formula>$K$37&gt;0</formula>
    </cfRule>
    <cfRule type="expression" dxfId="222" priority="94">
      <formula>$K$37&lt;0</formula>
    </cfRule>
  </conditionalFormatting>
  <conditionalFormatting sqref="M15:O16 N37:O37">
    <cfRule type="expression" dxfId="221" priority="91">
      <formula>$N$37&gt;0</formula>
    </cfRule>
    <cfRule type="expression" dxfId="220" priority="92">
      <formula>$N$37&lt;0</formula>
    </cfRule>
  </conditionalFormatting>
  <conditionalFormatting sqref="A44:O63 A17:O36">
    <cfRule type="expression" dxfId="219" priority="99">
      <formula>AND($N17 &gt; 0, ISNUMBER($N17))</formula>
    </cfRule>
    <cfRule type="expression" dxfId="218" priority="100">
      <formula>AND($N17 &lt; 0, ISNUMBER($N17))</formula>
    </cfRule>
    <cfRule type="expression" dxfId="217" priority="101">
      <formula>AND($K17 &gt; 0, ISNUMBER($K17))</formula>
    </cfRule>
    <cfRule type="expression" dxfId="216" priority="102">
      <formula>AND($K17 &lt; 0, ISNUMBER($K17))</formula>
    </cfRule>
    <cfRule type="expression" dxfId="215" priority="103">
      <formula>AND($H17 &gt; 0, ISNUMBER($H17))</formula>
    </cfRule>
    <cfRule type="expression" dxfId="214" priority="104">
      <formula>AND($H17 &lt; 0, ISNUMBER($H17))</formula>
    </cfRule>
    <cfRule type="expression" dxfId="213" priority="105">
      <formula>AND($E17 &gt; 0, ISNUMBER($E17))</formula>
    </cfRule>
    <cfRule type="expression" dxfId="212" priority="106">
      <formula>AND($E17 &lt; 0, ISNUMBER($E17))</formula>
    </cfRule>
  </conditionalFormatting>
  <conditionalFormatting sqref="D42:F43 E64:F64">
    <cfRule type="expression" dxfId="211" priority="89">
      <formula>$E$64&gt;0</formula>
    </cfRule>
    <cfRule type="expression" dxfId="210" priority="90">
      <formula>$E$64&lt;0</formula>
    </cfRule>
  </conditionalFormatting>
  <conditionalFormatting sqref="G42:I43 H64:I64">
    <cfRule type="expression" dxfId="209" priority="87">
      <formula>$H$64&gt;0</formula>
    </cfRule>
    <cfRule type="expression" dxfId="208" priority="88">
      <formula>$H$64&lt;0</formula>
    </cfRule>
  </conditionalFormatting>
  <conditionalFormatting sqref="J42:L43 K64:L64">
    <cfRule type="expression" dxfId="207" priority="85">
      <formula>$K$64&gt;0</formula>
    </cfRule>
    <cfRule type="expression" dxfId="206" priority="86">
      <formula>$K$64&lt;0</formula>
    </cfRule>
  </conditionalFormatting>
  <conditionalFormatting sqref="M42:O43 N64:O64">
    <cfRule type="expression" dxfId="205" priority="83">
      <formula>$N$64&gt;0</formula>
    </cfRule>
    <cfRule type="expression" dxfId="204" priority="84">
      <formula>$N$64&lt;0</formula>
    </cfRule>
  </conditionalFormatting>
  <conditionalFormatting sqref="G2:I3">
    <cfRule type="expression" dxfId="203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73">
      <formula>AND($N71 &gt; 0, ISNUMBER($N71))</formula>
    </cfRule>
    <cfRule type="expression" dxfId="192" priority="74">
      <formula>AND($N71 &lt; 0, ISNUMBER($N71))</formula>
    </cfRule>
    <cfRule type="expression" dxfId="191" priority="75">
      <formula>AND($K71 &gt; 0, ISNUMBER($K71))</formula>
    </cfRule>
    <cfRule type="expression" dxfId="190" priority="76">
      <formula>AND($K71 &lt; 0, ISNUMBER($K71))</formula>
    </cfRule>
    <cfRule type="expression" dxfId="189" priority="77">
      <formula>AND($H71 &gt; 0, ISNUMBER($H71))</formula>
    </cfRule>
    <cfRule type="expression" dxfId="188" priority="78">
      <formula>AND($H71 &lt; 0, ISNUMBER($H71))</formula>
    </cfRule>
    <cfRule type="expression" dxfId="187" priority="79">
      <formula>AND($E71 &gt; 0, ISNUMBER($E71))</formula>
    </cfRule>
    <cfRule type="expression" dxfId="186" priority="80">
      <formula>AND($E71 &lt; 0, ISNUMBER($E71))</formula>
    </cfRule>
  </conditionalFormatting>
  <conditionalFormatting sqref="D69:F70 E91:F91">
    <cfRule type="expression" dxfId="185" priority="71">
      <formula>$E$64&gt;0</formula>
    </cfRule>
    <cfRule type="expression" dxfId="184" priority="72">
      <formula>$E$64&lt;0</formula>
    </cfRule>
  </conditionalFormatting>
  <conditionalFormatting sqref="G69:I70 H91:I91">
    <cfRule type="expression" dxfId="183" priority="69">
      <formula>$H$64&gt;0</formula>
    </cfRule>
    <cfRule type="expression" dxfId="182" priority="70">
      <formula>$H$64&lt;0</formula>
    </cfRule>
  </conditionalFormatting>
  <conditionalFormatting sqref="J69:L70 K91:L91">
    <cfRule type="expression" dxfId="181" priority="67">
      <formula>$K$64&gt;0</formula>
    </cfRule>
    <cfRule type="expression" dxfId="180" priority="68">
      <formula>$K$64&lt;0</formula>
    </cfRule>
  </conditionalFormatting>
  <conditionalFormatting sqref="M69:O70 N91:O91">
    <cfRule type="expression" dxfId="179" priority="65">
      <formula>$N$64&gt;0</formula>
    </cfRule>
    <cfRule type="expression" dxfId="178" priority="66">
      <formula>$N$64&lt;0</formula>
    </cfRule>
  </conditionalFormatting>
  <conditionalFormatting sqref="A98:O117">
    <cfRule type="expression" dxfId="177" priority="57">
      <formula>AND($N98 &gt; 0, ISNUMBER($N98))</formula>
    </cfRule>
    <cfRule type="expression" dxfId="176" priority="58">
      <formula>AND($N98 &lt; 0, ISNUMBER($N98))</formula>
    </cfRule>
    <cfRule type="expression" dxfId="175" priority="59">
      <formula>AND($K98 &gt; 0, ISNUMBER($K98))</formula>
    </cfRule>
    <cfRule type="expression" dxfId="174" priority="60">
      <formula>AND($K98 &lt; 0, ISNUMBER($K98))</formula>
    </cfRule>
    <cfRule type="expression" dxfId="173" priority="61">
      <formula>AND($H98 &gt; 0, ISNUMBER($H98))</formula>
    </cfRule>
    <cfRule type="expression" dxfId="172" priority="62">
      <formula>AND($H98 &lt; 0, ISNUMBER($H98))</formula>
    </cfRule>
    <cfRule type="expression" dxfId="171" priority="63">
      <formula>AND($E98 &gt; 0, ISNUMBER($E98))</formula>
    </cfRule>
    <cfRule type="expression" dxfId="170" priority="64">
      <formula>AND($E98 &lt; 0, ISNUMBER($E98))</formula>
    </cfRule>
  </conditionalFormatting>
  <conditionalFormatting sqref="D96:F97 E118:F118">
    <cfRule type="expression" dxfId="169" priority="55">
      <formula>$E$64&gt;0</formula>
    </cfRule>
    <cfRule type="expression" dxfId="168" priority="56">
      <formula>$E$64&lt;0</formula>
    </cfRule>
  </conditionalFormatting>
  <conditionalFormatting sqref="G96:I97 H118:I118">
    <cfRule type="expression" dxfId="167" priority="53">
      <formula>$H$64&gt;0</formula>
    </cfRule>
    <cfRule type="expression" dxfId="166" priority="54">
      <formula>$H$64&lt;0</formula>
    </cfRule>
  </conditionalFormatting>
  <conditionalFormatting sqref="J96:L97 K118:L118">
    <cfRule type="expression" dxfId="165" priority="51">
      <formula>$K$64&gt;0</formula>
    </cfRule>
    <cfRule type="expression" dxfId="164" priority="52">
      <formula>$K$64&lt;0</formula>
    </cfRule>
  </conditionalFormatting>
  <conditionalFormatting sqref="M96:O97 N118:O118">
    <cfRule type="expression" dxfId="163" priority="49">
      <formula>$N$64&gt;0</formula>
    </cfRule>
    <cfRule type="expression" dxfId="162" priority="50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abSelected="1" topLeftCell="D55" workbookViewId="0">
      <selection activeCell="H73" sqref="H73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157</v>
      </c>
      <c r="B2" s="11" t="s">
        <v>158</v>
      </c>
      <c r="C2" s="101">
        <v>11500</v>
      </c>
      <c r="D2" s="98">
        <v>0.13636363639999999</v>
      </c>
      <c r="E2" s="99">
        <v>29253763.214394748</v>
      </c>
      <c r="F2" s="40"/>
      <c r="G2" s="59"/>
      <c r="H2" s="40"/>
      <c r="I2" s="40"/>
    </row>
    <row r="3" spans="1:18" ht="17.25" thickBot="1">
      <c r="A3" s="45" t="s">
        <v>147</v>
      </c>
      <c r="B3" s="11" t="s">
        <v>148</v>
      </c>
      <c r="C3" s="101">
        <v>201</v>
      </c>
      <c r="D3" s="98">
        <v>0.11049723760000001</v>
      </c>
      <c r="E3" s="99">
        <v>780842293.32345998</v>
      </c>
      <c r="F3" s="40"/>
      <c r="G3" s="182" t="s">
        <v>290</v>
      </c>
      <c r="H3" s="183" t="s">
        <v>297</v>
      </c>
      <c r="I3" s="183"/>
      <c r="K3" s="111" t="s">
        <v>34</v>
      </c>
      <c r="L3" s="125"/>
      <c r="M3" s="125"/>
      <c r="N3" s="112"/>
      <c r="O3" s="111" t="s">
        <v>292</v>
      </c>
      <c r="P3" s="125"/>
      <c r="Q3" s="125"/>
      <c r="R3" s="112"/>
    </row>
    <row r="4" spans="1:18" ht="17.25" thickBot="1">
      <c r="A4" s="45" t="s">
        <v>60</v>
      </c>
      <c r="B4" s="11" t="s">
        <v>61</v>
      </c>
      <c r="C4" s="101">
        <v>1700</v>
      </c>
      <c r="D4" s="98">
        <v>0.10389610389999999</v>
      </c>
      <c r="E4" s="99">
        <v>98761698.494783387</v>
      </c>
      <c r="F4" s="40"/>
      <c r="G4" s="174"/>
      <c r="H4" s="184"/>
      <c r="I4" s="184"/>
      <c r="K4" s="173" t="s">
        <v>55</v>
      </c>
      <c r="L4" s="170">
        <f ca="1">NOW()</f>
        <v>44315.141905208337</v>
      </c>
      <c r="M4" s="171"/>
      <c r="N4" s="172"/>
      <c r="O4" s="181" t="s">
        <v>55</v>
      </c>
      <c r="P4" s="170">
        <f ca="1">NOW()</f>
        <v>44315.141905208337</v>
      </c>
      <c r="Q4" s="171"/>
      <c r="R4" s="172"/>
    </row>
    <row r="5" spans="1:18" ht="17.25" thickBot="1">
      <c r="A5" s="45" t="s">
        <v>295</v>
      </c>
      <c r="B5" s="11" t="s">
        <v>296</v>
      </c>
      <c r="C5" s="101">
        <v>354</v>
      </c>
      <c r="D5" s="98">
        <v>9.9378882000000002E-2</v>
      </c>
      <c r="E5" s="99">
        <v>11597928062.077059</v>
      </c>
      <c r="F5" s="40"/>
      <c r="K5" s="174"/>
      <c r="L5" s="41" t="s">
        <v>58</v>
      </c>
      <c r="M5" s="79" t="s">
        <v>59</v>
      </c>
      <c r="N5" s="75" t="s">
        <v>294</v>
      </c>
      <c r="O5" s="174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241</v>
      </c>
      <c r="B6" s="11" t="s">
        <v>242</v>
      </c>
      <c r="C6" s="101">
        <v>6165</v>
      </c>
      <c r="D6" s="98">
        <v>7.5916230400000007E-2</v>
      </c>
      <c r="E6" s="99">
        <v>9427477.1736655999</v>
      </c>
      <c r="F6" s="40"/>
      <c r="G6" s="111" t="s">
        <v>52</v>
      </c>
      <c r="H6" s="125"/>
      <c r="I6" s="112"/>
      <c r="K6" s="60">
        <f ca="1">IFERROR(OFFSET(INDIRECT($H$3 &amp; "!A17"), 0, 0), "")</f>
        <v>0</v>
      </c>
      <c r="L6" s="43" t="str">
        <f t="shared" ref="L6:L24" ca="1" si="0">_xlfn.IFNA(VLOOKUP(K6, $B$2:$E$200, 2, FALSE), "")</f>
        <v/>
      </c>
      <c r="M6" s="82" t="str">
        <f t="shared" ref="M6:M25" ca="1" si="1">_xlfn.IFNA(VLOOKUP(K6, $B$2:$E$200, 3, FALSE), "")</f>
        <v/>
      </c>
      <c r="N6" s="91" t="str">
        <f ca="1">_xlfn.IFNA(VLOOKUP(K6, $B$2:$E$200, 4, FALSE), "")</f>
        <v/>
      </c>
      <c r="O6" s="51" t="str">
        <f>INDEX($A$2:$D$200, MATCH(LARGE($D$2:$D$200, 1), $D$2:$D$200, 0), 2)</f>
        <v>엑시인피니티</v>
      </c>
      <c r="P6" s="43">
        <f t="shared" ref="P6:P25" si="2">_xlfn.IFNA(VLOOKUP(O6, $B$2:$D$200, 2, FALSE), "")</f>
        <v>11500</v>
      </c>
      <c r="Q6" s="82">
        <f t="shared" ref="Q6:Q25" si="3">_xlfn.IFNA(VLOOKUP(O6, $B$2:$D$200, 3, FALSE), "")</f>
        <v>0.13636363639999999</v>
      </c>
      <c r="R6" s="91">
        <f>_xlfn.IFNA(VLOOKUP(O6, $B$2:$E$200, 4, FALSE), "")</f>
        <v>29253763.214394748</v>
      </c>
    </row>
    <row r="7" spans="1:18">
      <c r="A7" s="45" t="s">
        <v>115</v>
      </c>
      <c r="B7" s="11" t="s">
        <v>116</v>
      </c>
      <c r="C7" s="101">
        <v>677</v>
      </c>
      <c r="D7" s="98">
        <v>6.4465408799999999E-2</v>
      </c>
      <c r="E7" s="99">
        <v>200976941.93007734</v>
      </c>
      <c r="F7" s="40"/>
      <c r="G7" s="116" t="s">
        <v>36</v>
      </c>
      <c r="H7" s="117"/>
      <c r="I7" s="118"/>
      <c r="K7" s="61">
        <f ca="1">IFERROR(OFFSET(INDIRECT($H$3 &amp; "!A17"), 1, 0), "")</f>
        <v>0</v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52" t="str">
        <f>INDEX($A$2:$D$200, MATCH(LARGE($D$2:$D$200, 2), $D$2:$D$200, 0), 2)</f>
        <v>앵커</v>
      </c>
      <c r="P7" s="44">
        <f t="shared" si="2"/>
        <v>201</v>
      </c>
      <c r="Q7" s="83">
        <f t="shared" si="3"/>
        <v>0.11049723760000001</v>
      </c>
      <c r="R7" s="92">
        <f t="shared" ref="R7:R25" si="5">_xlfn.IFNA(VLOOKUP(O7, $B$2:$E$200, 4, FALSE), "")</f>
        <v>780842293.32345998</v>
      </c>
    </row>
    <row r="8" spans="1:18" ht="17.25" thickBot="1">
      <c r="A8" s="45" t="s">
        <v>169</v>
      </c>
      <c r="B8" s="11" t="s">
        <v>170</v>
      </c>
      <c r="C8" s="101">
        <v>537</v>
      </c>
      <c r="D8" s="98">
        <v>6.1264822099999998E-2</v>
      </c>
      <c r="E8" s="99">
        <v>264179217.09432912</v>
      </c>
      <c r="F8" s="40"/>
      <c r="G8" s="122"/>
      <c r="H8" s="123"/>
      <c r="I8" s="124"/>
      <c r="K8" s="61">
        <f ca="1">IFERROR(OFFSET(INDIRECT($H$3 &amp; "!A17"), 2, 0), "")</f>
        <v>0</v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52" t="str">
        <f>INDEX($A$2:$D$200, MATCH(LARGE($D$2:$D$200, 3), $D$2:$D$200, 0), 2)</f>
        <v>디센트럴랜드</v>
      </c>
      <c r="P8" s="44">
        <f t="shared" si="2"/>
        <v>1700</v>
      </c>
      <c r="Q8" s="83">
        <f t="shared" si="3"/>
        <v>0.10389610389999999</v>
      </c>
      <c r="R8" s="92">
        <f t="shared" si="5"/>
        <v>98761698.494783387</v>
      </c>
    </row>
    <row r="9" spans="1:18" ht="17.25" thickBot="1">
      <c r="A9" s="45" t="s">
        <v>255</v>
      </c>
      <c r="B9" s="11" t="s">
        <v>256</v>
      </c>
      <c r="C9" s="101">
        <v>278</v>
      </c>
      <c r="D9" s="98">
        <v>6.10687023E-2</v>
      </c>
      <c r="E9" s="99">
        <v>431486019.45561147</v>
      </c>
      <c r="F9" s="40"/>
      <c r="G9" s="9" t="s">
        <v>38</v>
      </c>
      <c r="H9" s="125" t="s">
        <v>37</v>
      </c>
      <c r="I9" s="112"/>
      <c r="K9" s="61">
        <f ca="1">IFERROR(OFFSET(INDIRECT($H$3 &amp; "!A17"), 3, 0), "")</f>
        <v>0</v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52" t="str">
        <f>INDEX($A$2:$D$200, MATCH(LARGE($D$2:$D$200, 4), $D$2:$D$200, 0), 2)</f>
        <v>도지코인</v>
      </c>
      <c r="P9" s="44">
        <f t="shared" si="2"/>
        <v>354</v>
      </c>
      <c r="Q9" s="83">
        <f t="shared" si="3"/>
        <v>9.9378882000000002E-2</v>
      </c>
      <c r="R9" s="92">
        <f t="shared" si="5"/>
        <v>11597928062.077059</v>
      </c>
    </row>
    <row r="10" spans="1:18">
      <c r="A10" s="45" t="s">
        <v>107</v>
      </c>
      <c r="B10" s="11" t="s">
        <v>108</v>
      </c>
      <c r="C10" s="101">
        <v>45840</v>
      </c>
      <c r="D10" s="98">
        <v>4.8250628900000002E-2</v>
      </c>
      <c r="E10" s="99">
        <v>4397946.2337376298</v>
      </c>
      <c r="F10" s="40"/>
      <c r="G10" s="175">
        <f>_xlfn.IFNA(VLOOKUP(G7, $B$2:$D$200, 3, FALSE), "-")</f>
        <v>-1.4529004E-2</v>
      </c>
      <c r="H10" s="177">
        <f>_xlfn.IFNA(VLOOKUP(G7, $B$2:$D$200, 2, FALSE), "-")</f>
        <v>63826000</v>
      </c>
      <c r="I10" s="178"/>
      <c r="K10" s="63">
        <f ca="1">IFERROR(OFFSET(INDIRECT($H$3 &amp; "!A17"), 4, 0), "")</f>
        <v>0</v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52" t="str">
        <f>INDEX($A$2:$D$200, MATCH(LARGE($D$2:$D$200, 5), $D$2:$D$200, 0), 2)</f>
        <v>리스크</v>
      </c>
      <c r="P10" s="44">
        <f t="shared" si="2"/>
        <v>6165</v>
      </c>
      <c r="Q10" s="83">
        <f t="shared" si="3"/>
        <v>7.5916230400000007E-2</v>
      </c>
      <c r="R10" s="96">
        <f t="shared" si="5"/>
        <v>9427477.1736655999</v>
      </c>
    </row>
    <row r="11" spans="1:18" ht="17.25" thickBot="1">
      <c r="A11" s="45" t="s">
        <v>281</v>
      </c>
      <c r="B11" s="11" t="s">
        <v>282</v>
      </c>
      <c r="C11" s="101">
        <v>183</v>
      </c>
      <c r="D11" s="98">
        <v>3.3898305099999998E-2</v>
      </c>
      <c r="E11" s="99">
        <v>188788416.4371089</v>
      </c>
      <c r="F11" s="40"/>
      <c r="G11" s="176"/>
      <c r="H11" s="179"/>
      <c r="I11" s="180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샌드박스</v>
      </c>
      <c r="P11" s="50">
        <f t="shared" si="2"/>
        <v>677</v>
      </c>
      <c r="Q11" s="86">
        <f t="shared" si="3"/>
        <v>6.4465408799999999E-2</v>
      </c>
      <c r="R11" s="105">
        <f t="shared" si="5"/>
        <v>200976941.93007734</v>
      </c>
    </row>
    <row r="12" spans="1:18" ht="17.25" thickBot="1">
      <c r="A12" s="45" t="s">
        <v>159</v>
      </c>
      <c r="B12" s="11" t="s">
        <v>160</v>
      </c>
      <c r="C12" s="101">
        <v>3160</v>
      </c>
      <c r="D12" s="98">
        <v>2.5974026000000001E-2</v>
      </c>
      <c r="E12" s="99">
        <v>22260754.722223219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엘프</v>
      </c>
      <c r="P12" s="44">
        <f t="shared" si="2"/>
        <v>537</v>
      </c>
      <c r="Q12" s="83">
        <f t="shared" si="3"/>
        <v>6.1264822099999998E-2</v>
      </c>
      <c r="R12" s="92">
        <f t="shared" si="5"/>
        <v>264179217.09432912</v>
      </c>
    </row>
    <row r="13" spans="1:18" ht="17.25" thickBot="1">
      <c r="A13" s="45" t="s">
        <v>95</v>
      </c>
      <c r="B13" s="11" t="s">
        <v>96</v>
      </c>
      <c r="C13" s="101">
        <v>3168000</v>
      </c>
      <c r="D13" s="98">
        <v>8.9171974999999997E-3</v>
      </c>
      <c r="E13" s="99">
        <v>136379.54778009001</v>
      </c>
      <c r="F13" s="40"/>
      <c r="G13" s="111" t="s">
        <v>70</v>
      </c>
      <c r="H13" s="125"/>
      <c r="I13" s="112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왁스</v>
      </c>
      <c r="P13" s="44">
        <f t="shared" si="2"/>
        <v>278</v>
      </c>
      <c r="Q13" s="83">
        <f t="shared" si="3"/>
        <v>6.10687023E-2</v>
      </c>
      <c r="R13" s="92">
        <f t="shared" si="5"/>
        <v>431486019.45561147</v>
      </c>
    </row>
    <row r="14" spans="1:18">
      <c r="A14" s="45" t="s">
        <v>87</v>
      </c>
      <c r="B14" s="11" t="s">
        <v>88</v>
      </c>
      <c r="C14" s="101">
        <v>615</v>
      </c>
      <c r="D14" s="98">
        <v>6.5466448000000002E-3</v>
      </c>
      <c r="E14" s="99">
        <v>664797392.03728294</v>
      </c>
      <c r="F14" s="40"/>
      <c r="G14" s="116" t="s">
        <v>36</v>
      </c>
      <c r="H14" s="117"/>
      <c r="I14" s="118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비트코인캐시에이비씨</v>
      </c>
      <c r="P14" s="44">
        <f t="shared" si="2"/>
        <v>45840</v>
      </c>
      <c r="Q14" s="83">
        <f t="shared" si="3"/>
        <v>4.8250628900000002E-2</v>
      </c>
      <c r="R14" s="92">
        <f t="shared" si="5"/>
        <v>4397946.2337376298</v>
      </c>
    </row>
    <row r="15" spans="1:18" ht="17.25" thickBot="1">
      <c r="A15" s="45" t="s">
        <v>149</v>
      </c>
      <c r="B15" s="11" t="s">
        <v>150</v>
      </c>
      <c r="C15" s="101">
        <v>4830</v>
      </c>
      <c r="D15" s="98">
        <v>-3.0959752E-3</v>
      </c>
      <c r="E15" s="99">
        <v>15554075.577692609</v>
      </c>
      <c r="F15" s="40"/>
      <c r="G15" s="122"/>
      <c r="H15" s="123"/>
      <c r="I15" s="124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이그니스</v>
      </c>
      <c r="P15" s="42">
        <f t="shared" si="2"/>
        <v>183</v>
      </c>
      <c r="Q15" s="85">
        <f t="shared" si="3"/>
        <v>3.3898305099999998E-2</v>
      </c>
      <c r="R15" s="93">
        <f t="shared" si="5"/>
        <v>188788416.4371089</v>
      </c>
    </row>
    <row r="16" spans="1:18" ht="17.25" thickBot="1">
      <c r="A16" s="45" t="s">
        <v>83</v>
      </c>
      <c r="B16" s="11" t="s">
        <v>84</v>
      </c>
      <c r="C16" s="101">
        <v>1530</v>
      </c>
      <c r="D16" s="98">
        <v>-3.2573290000000002E-3</v>
      </c>
      <c r="E16" s="99">
        <v>41381221.256873891</v>
      </c>
      <c r="F16" s="40"/>
      <c r="G16" s="9" t="s">
        <v>38</v>
      </c>
      <c r="H16" s="125" t="s">
        <v>37</v>
      </c>
      <c r="I16" s="112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엔진코인</v>
      </c>
      <c r="P16" s="43">
        <f t="shared" si="2"/>
        <v>3160</v>
      </c>
      <c r="Q16" s="82">
        <f t="shared" si="3"/>
        <v>2.5974026000000001E-2</v>
      </c>
      <c r="R16" s="91">
        <f t="shared" si="5"/>
        <v>22260754.722223219</v>
      </c>
    </row>
    <row r="17" spans="1:18">
      <c r="A17" s="45" t="s">
        <v>101</v>
      </c>
      <c r="B17" s="11" t="s">
        <v>102</v>
      </c>
      <c r="C17" s="101">
        <v>39620</v>
      </c>
      <c r="D17" s="98">
        <v>-6.5195586999999998E-3</v>
      </c>
      <c r="E17" s="99">
        <v>15711343.00838061</v>
      </c>
      <c r="F17" s="40"/>
      <c r="G17" s="175">
        <f>_xlfn.IFNA(VLOOKUP(G14, $B$2:$D$200, 3, FALSE), "-")</f>
        <v>-1.4529004E-2</v>
      </c>
      <c r="H17" s="177">
        <f>_xlfn.IFNA(VLOOKUP(G14, $B$2:$D$200, 2, FALSE), "-")</f>
        <v>63826000</v>
      </c>
      <c r="I17" s="178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이더리움</v>
      </c>
      <c r="P17" s="44">
        <f t="shared" si="2"/>
        <v>3168000</v>
      </c>
      <c r="Q17" s="83">
        <f t="shared" si="3"/>
        <v>8.9171974999999997E-3</v>
      </c>
      <c r="R17" s="92">
        <f t="shared" si="5"/>
        <v>136379.54778009001</v>
      </c>
    </row>
    <row r="18" spans="1:18" ht="17.25" thickBot="1">
      <c r="A18" s="45" t="s">
        <v>89</v>
      </c>
      <c r="B18" s="11" t="s">
        <v>90</v>
      </c>
      <c r="C18" s="101">
        <v>334950</v>
      </c>
      <c r="D18" s="98">
        <v>-8.1433224999999995E-3</v>
      </c>
      <c r="E18" s="99">
        <v>129176.43762909</v>
      </c>
      <c r="F18" s="40"/>
      <c r="G18" s="176"/>
      <c r="H18" s="179"/>
      <c r="I18" s="180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칠리즈</v>
      </c>
      <c r="P18" s="44">
        <f t="shared" si="2"/>
        <v>615</v>
      </c>
      <c r="Q18" s="83">
        <f t="shared" si="3"/>
        <v>6.5466448000000002E-3</v>
      </c>
      <c r="R18" s="92">
        <f t="shared" si="5"/>
        <v>664797392.03728294</v>
      </c>
    </row>
    <row r="19" spans="1:18" ht="17.25" thickBot="1">
      <c r="A19" s="45" t="s">
        <v>177</v>
      </c>
      <c r="B19" s="11" t="s">
        <v>178</v>
      </c>
      <c r="C19" s="101">
        <v>44430</v>
      </c>
      <c r="D19" s="98">
        <v>-8.2589285999999998E-3</v>
      </c>
      <c r="E19" s="99">
        <v>930311.51528107002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스와이프</v>
      </c>
      <c r="P19" s="44">
        <f t="shared" si="2"/>
        <v>4830</v>
      </c>
      <c r="Q19" s="83">
        <f t="shared" si="3"/>
        <v>-3.0959752E-3</v>
      </c>
      <c r="R19" s="92">
        <f t="shared" si="5"/>
        <v>15554075.577692609</v>
      </c>
    </row>
    <row r="20" spans="1:18" ht="17.25" thickBot="1">
      <c r="A20" s="45" t="s">
        <v>73</v>
      </c>
      <c r="B20" s="11" t="s">
        <v>74</v>
      </c>
      <c r="C20" s="101">
        <v>26850</v>
      </c>
      <c r="D20" s="98">
        <v>-1.1777696000000001E-2</v>
      </c>
      <c r="E20" s="99">
        <v>492082.64840752003</v>
      </c>
      <c r="F20" s="40"/>
      <c r="G20" s="111" t="s">
        <v>286</v>
      </c>
      <c r="H20" s="125"/>
      <c r="I20" s="112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에이다</v>
      </c>
      <c r="P20" s="44">
        <f t="shared" si="2"/>
        <v>1530</v>
      </c>
      <c r="Q20" s="83">
        <f t="shared" si="3"/>
        <v>-3.2573290000000002E-3</v>
      </c>
      <c r="R20" s="96">
        <f t="shared" si="5"/>
        <v>41381221.256873891</v>
      </c>
    </row>
    <row r="21" spans="1:18">
      <c r="A21" s="45" t="s">
        <v>48</v>
      </c>
      <c r="B21" s="11" t="s">
        <v>49</v>
      </c>
      <c r="C21" s="101">
        <v>63826000</v>
      </c>
      <c r="D21" s="98">
        <v>-1.4529004E-2</v>
      </c>
      <c r="E21" s="99">
        <v>7258.3773785800004</v>
      </c>
      <c r="F21" s="40"/>
      <c r="G21" s="116" t="s">
        <v>36</v>
      </c>
      <c r="H21" s="117"/>
      <c r="I21" s="118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이더리움클래식</v>
      </c>
      <c r="P21" s="50">
        <f t="shared" si="2"/>
        <v>39620</v>
      </c>
      <c r="Q21" s="86">
        <f t="shared" si="3"/>
        <v>-6.5195586999999998E-3</v>
      </c>
      <c r="R21" s="105">
        <f t="shared" si="5"/>
        <v>15711343.00838061</v>
      </c>
    </row>
    <row r="22" spans="1:18" ht="17.25" thickBot="1">
      <c r="A22" s="45" t="s">
        <v>77</v>
      </c>
      <c r="B22" s="11" t="s">
        <v>78</v>
      </c>
      <c r="C22" s="101">
        <v>1028500</v>
      </c>
      <c r="D22" s="98">
        <v>-1.86068702E-2</v>
      </c>
      <c r="E22" s="99">
        <v>122506.48329141999</v>
      </c>
      <c r="F22" s="40"/>
      <c r="G22" s="122"/>
      <c r="H22" s="123"/>
      <c r="I22" s="124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비트코인에스브이</v>
      </c>
      <c r="P22" s="44">
        <f t="shared" si="2"/>
        <v>334950</v>
      </c>
      <c r="Q22" s="83">
        <f t="shared" si="3"/>
        <v>-8.1433224999999995E-3</v>
      </c>
      <c r="R22" s="92">
        <f t="shared" si="5"/>
        <v>129176.43762909</v>
      </c>
    </row>
    <row r="23" spans="1:18" ht="17.25" thickBot="1">
      <c r="A23" s="45" t="s">
        <v>203</v>
      </c>
      <c r="B23" s="11" t="s">
        <v>204</v>
      </c>
      <c r="C23" s="101">
        <v>10160</v>
      </c>
      <c r="D23" s="98">
        <v>-2.4015369799999998E-2</v>
      </c>
      <c r="E23" s="99">
        <v>103910479.36308192</v>
      </c>
      <c r="F23" s="40"/>
      <c r="G23" s="9" t="s">
        <v>38</v>
      </c>
      <c r="H23" s="125" t="s">
        <v>37</v>
      </c>
      <c r="I23" s="112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어거</v>
      </c>
      <c r="P23" s="44">
        <f t="shared" si="2"/>
        <v>44430</v>
      </c>
      <c r="Q23" s="83">
        <f t="shared" si="3"/>
        <v>-8.2589285999999998E-3</v>
      </c>
      <c r="R23" s="92">
        <f t="shared" si="5"/>
        <v>930311.51528107002</v>
      </c>
    </row>
    <row r="24" spans="1:18">
      <c r="A24" s="45" t="s">
        <v>143</v>
      </c>
      <c r="B24" s="11" t="s">
        <v>144</v>
      </c>
      <c r="C24" s="101">
        <v>8695</v>
      </c>
      <c r="D24" s="98">
        <v>-2.6315789499999999E-2</v>
      </c>
      <c r="E24" s="99">
        <v>2091327.58986425</v>
      </c>
      <c r="F24" s="40"/>
      <c r="G24" s="175">
        <f>_xlfn.IFNA(VLOOKUP(G21, $B$2:$D$200, 3, FALSE), "-")</f>
        <v>-1.4529004E-2</v>
      </c>
      <c r="H24" s="177">
        <f>_xlfn.IFNA(VLOOKUP(G21, $B$2:$D$200, 2, FALSE), "-")</f>
        <v>63826000</v>
      </c>
      <c r="I24" s="178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코스모스</v>
      </c>
      <c r="P24" s="44">
        <f t="shared" si="2"/>
        <v>26850</v>
      </c>
      <c r="Q24" s="83">
        <f t="shared" si="3"/>
        <v>-1.1777696000000001E-2</v>
      </c>
      <c r="R24" s="92">
        <f t="shared" si="5"/>
        <v>492082.64840752003</v>
      </c>
    </row>
    <row r="25" spans="1:18" ht="17.25" thickBot="1">
      <c r="A25" s="45" t="s">
        <v>125</v>
      </c>
      <c r="B25" s="11" t="s">
        <v>126</v>
      </c>
      <c r="C25" s="101">
        <v>62.3</v>
      </c>
      <c r="D25" s="98">
        <v>-2.6562499999999999E-2</v>
      </c>
      <c r="E25" s="99">
        <v>594340992.78005278</v>
      </c>
      <c r="F25" s="40"/>
      <c r="G25" s="176"/>
      <c r="H25" s="179"/>
      <c r="I25" s="180"/>
      <c r="K25" s="62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비트코인</v>
      </c>
      <c r="P25" s="42">
        <f t="shared" si="2"/>
        <v>63826000</v>
      </c>
      <c r="Q25" s="85">
        <f t="shared" si="3"/>
        <v>-1.4529004E-2</v>
      </c>
      <c r="R25" s="93">
        <f t="shared" si="5"/>
        <v>7258.3773785800004</v>
      </c>
    </row>
    <row r="26" spans="1:18">
      <c r="A26" s="45" t="s">
        <v>109</v>
      </c>
      <c r="B26" s="11" t="s">
        <v>110</v>
      </c>
      <c r="C26" s="101">
        <v>2655</v>
      </c>
      <c r="D26" s="98">
        <v>-2.9250457000000001E-2</v>
      </c>
      <c r="E26" s="99">
        <v>3595921.34985046</v>
      </c>
      <c r="F26" s="40"/>
    </row>
    <row r="27" spans="1:18" ht="17.25" thickBot="1">
      <c r="A27" s="45" t="s">
        <v>113</v>
      </c>
      <c r="B27" s="11" t="s">
        <v>114</v>
      </c>
      <c r="C27" s="101">
        <v>12860</v>
      </c>
      <c r="D27" s="98">
        <v>-3.0165912499999999E-2</v>
      </c>
      <c r="E27" s="99">
        <v>1210351.4111402901</v>
      </c>
      <c r="F27" s="40"/>
    </row>
    <row r="28" spans="1:18" ht="17.25" thickBot="1">
      <c r="A28" s="45" t="s">
        <v>129</v>
      </c>
      <c r="B28" s="11" t="s">
        <v>130</v>
      </c>
      <c r="C28" s="101">
        <v>296500</v>
      </c>
      <c r="D28" s="98">
        <v>-3.0887399900000001E-2</v>
      </c>
      <c r="E28" s="99">
        <v>101869.54841338001</v>
      </c>
      <c r="F28" s="40"/>
      <c r="G28" s="111" t="s">
        <v>46</v>
      </c>
      <c r="H28" s="125"/>
      <c r="I28" s="125"/>
      <c r="J28" s="112"/>
      <c r="K28" s="111" t="s">
        <v>44</v>
      </c>
      <c r="L28" s="125"/>
      <c r="M28" s="125"/>
      <c r="N28" s="112"/>
      <c r="O28" s="111" t="s">
        <v>45</v>
      </c>
      <c r="P28" s="125"/>
      <c r="Q28" s="125"/>
      <c r="R28" s="112"/>
    </row>
    <row r="29" spans="1:18" ht="17.25" thickBot="1">
      <c r="A29" s="45" t="s">
        <v>79</v>
      </c>
      <c r="B29" s="11" t="s">
        <v>80</v>
      </c>
      <c r="C29" s="101">
        <v>1405</v>
      </c>
      <c r="D29" s="98">
        <v>-3.1034482799999999E-2</v>
      </c>
      <c r="E29" s="99">
        <v>8004094.9140556799</v>
      </c>
      <c r="F29" s="40"/>
      <c r="G29" s="173" t="s">
        <v>55</v>
      </c>
      <c r="H29" s="170">
        <f ca="1">NOW()</f>
        <v>44315.141905208337</v>
      </c>
      <c r="I29" s="171"/>
      <c r="J29" s="172"/>
      <c r="K29" s="181" t="s">
        <v>55</v>
      </c>
      <c r="L29" s="170">
        <f ca="1">NOW()</f>
        <v>44315.141905208337</v>
      </c>
      <c r="M29" s="171"/>
      <c r="N29" s="172"/>
      <c r="O29" s="181" t="s">
        <v>55</v>
      </c>
      <c r="P29" s="170">
        <f ca="1">NOW()</f>
        <v>44315.141905208337</v>
      </c>
      <c r="Q29" s="171"/>
      <c r="R29" s="172"/>
    </row>
    <row r="30" spans="1:18" ht="17.25" thickBot="1">
      <c r="A30" s="45" t="s">
        <v>93</v>
      </c>
      <c r="B30" s="11" t="s">
        <v>94</v>
      </c>
      <c r="C30" s="101">
        <v>105800</v>
      </c>
      <c r="D30" s="98">
        <v>-3.1578947400000001E-2</v>
      </c>
      <c r="E30" s="99">
        <v>3070755.5733588301</v>
      </c>
      <c r="F30" s="40"/>
      <c r="G30" s="174"/>
      <c r="H30" s="41" t="s">
        <v>58</v>
      </c>
      <c r="I30" s="79" t="s">
        <v>59</v>
      </c>
      <c r="J30" s="75" t="s">
        <v>294</v>
      </c>
      <c r="K30" s="174"/>
      <c r="L30" s="41" t="s">
        <v>58</v>
      </c>
      <c r="M30" s="79" t="s">
        <v>59</v>
      </c>
      <c r="N30" s="75" t="s">
        <v>294</v>
      </c>
      <c r="O30" s="174"/>
      <c r="P30" s="41" t="s">
        <v>58</v>
      </c>
      <c r="Q30" s="79" t="s">
        <v>59</v>
      </c>
      <c r="R30" s="75" t="s">
        <v>294</v>
      </c>
    </row>
    <row r="31" spans="1:18">
      <c r="A31" s="45" t="s">
        <v>50</v>
      </c>
      <c r="B31" s="11" t="s">
        <v>51</v>
      </c>
      <c r="C31" s="101">
        <v>581</v>
      </c>
      <c r="D31" s="98">
        <v>-3.1666666699999999E-2</v>
      </c>
      <c r="E31" s="99">
        <v>75214715.445857465</v>
      </c>
      <c r="F31" s="40"/>
      <c r="G31" s="60" t="str">
        <f ca="1">IFERROR(OFFSET(INDIRECT($H$3 &amp; "!A98"), 0, 0), "")</f>
        <v>엑시인피니티</v>
      </c>
      <c r="H31" s="43">
        <f t="shared" ref="H31:H50" ca="1" si="7">_xlfn.IFNA(VLOOKUP(G31, $B$2:$D$200, 2, FALSE), "")</f>
        <v>11500</v>
      </c>
      <c r="I31" s="82">
        <f t="shared" ref="I31:I50" ca="1" si="8">_xlfn.IFNA(VLOOKUP(G31, $B$2:$D$200, 3, FALSE), "")</f>
        <v>0.13636363639999999</v>
      </c>
      <c r="J31" s="91">
        <f ca="1">_xlfn.IFNA(VLOOKUP(G31, $B$2:$E$200, 4, FALSE), "")</f>
        <v>29253763.214394748</v>
      </c>
      <c r="K31" s="60" t="str">
        <f ca="1">IFERROR(OFFSET(INDIRECT($H$3 &amp; "!A44"), 0, 0), "")</f>
        <v>스톰엑스</v>
      </c>
      <c r="L31" s="43">
        <f t="shared" ref="L31:L50" ca="1" si="9">_xlfn.IFNA(VLOOKUP(K31, $B$2:$D$200, 2, FALSE), "")</f>
        <v>62.3</v>
      </c>
      <c r="M31" s="82">
        <f t="shared" ref="M31:M50" ca="1" si="10">_xlfn.IFNA(VLOOKUP(K31, $B$2:$D$200, 3, FALSE), "")</f>
        <v>-2.6562499999999999E-2</v>
      </c>
      <c r="N31" s="91">
        <f ca="1">_xlfn.IFNA(VLOOKUP(K31, $B$2:$E$200, 4, FALSE), "")</f>
        <v>594340992.78005278</v>
      </c>
      <c r="O31" s="60" t="str">
        <f ca="1">IFERROR(OFFSET(INDIRECT($H$3 &amp; "!A71"), 0, 0), "")</f>
        <v>앵커</v>
      </c>
      <c r="P31" s="43">
        <f t="shared" ref="P31:P50" ca="1" si="11">_xlfn.IFNA(VLOOKUP(O31, $B$2:$D$200, 2, FALSE), "")</f>
        <v>201</v>
      </c>
      <c r="Q31" s="82">
        <f t="shared" ref="Q31:Q50" ca="1" si="12">_xlfn.IFNA(VLOOKUP(O31, $B$2:$D$200, 3, FALSE), "")</f>
        <v>0.11049723760000001</v>
      </c>
      <c r="R31" s="91">
        <f ca="1">_xlfn.IFNA(VLOOKUP(O31, $B$2:$E$200, 4, FALSE), "")</f>
        <v>780842293.32345998</v>
      </c>
    </row>
    <row r="32" spans="1:18">
      <c r="A32" s="45" t="s">
        <v>103</v>
      </c>
      <c r="B32" s="11" t="s">
        <v>104</v>
      </c>
      <c r="C32" s="101">
        <v>2000</v>
      </c>
      <c r="D32" s="98">
        <v>-3.3816425099999999E-2</v>
      </c>
      <c r="E32" s="99">
        <v>16189376.092401329</v>
      </c>
      <c r="F32" s="40"/>
      <c r="G32" s="61" t="str">
        <f ca="1">IFERROR(OFFSET(INDIRECT($H$3 &amp; "!A98"), 1, 0), "")</f>
        <v>앵커</v>
      </c>
      <c r="H32" s="44">
        <f t="shared" ca="1" si="7"/>
        <v>201</v>
      </c>
      <c r="I32" s="83">
        <f t="shared" ca="1" si="8"/>
        <v>0.11049723760000001</v>
      </c>
      <c r="J32" s="92">
        <f t="shared" ref="J32:J50" ca="1" si="13">_xlfn.IFNA(VLOOKUP(G32, $B$2:$E$200, 4, FALSE), "")</f>
        <v>780842293.32345998</v>
      </c>
      <c r="K32" s="61" t="str">
        <f ca="1">IFERROR(OFFSET(INDIRECT($H$3 &amp; "!A44"), 1, 0), "")</f>
        <v>비트토렌트</v>
      </c>
      <c r="L32" s="44">
        <f t="shared" ca="1" si="9"/>
        <v>8.1999999999999993</v>
      </c>
      <c r="M32" s="83">
        <f t="shared" ca="1" si="10"/>
        <v>-5.7471264399999999E-2</v>
      </c>
      <c r="N32" s="92">
        <f t="shared" ref="N32:N50" ca="1" si="14">_xlfn.IFNA(VLOOKUP(K32, $B$2:$E$200, 4, FALSE), "")</f>
        <v>82690412401.563492</v>
      </c>
      <c r="O32" s="61" t="str">
        <f ca="1">IFERROR(OFFSET(INDIRECT($H$3 &amp; "!A71"), 1, 0), "")</f>
        <v>도지코인</v>
      </c>
      <c r="P32" s="44">
        <f t="shared" ca="1" si="11"/>
        <v>354</v>
      </c>
      <c r="Q32" s="83">
        <f t="shared" ca="1" si="12"/>
        <v>9.9378882000000002E-2</v>
      </c>
      <c r="R32" s="92">
        <f t="shared" ref="R32:R50" ca="1" si="15">_xlfn.IFNA(VLOOKUP(O32, $B$2:$E$200, 4, FALSE), "")</f>
        <v>11597928062.077059</v>
      </c>
    </row>
    <row r="33" spans="1:18">
      <c r="A33" s="45" t="s">
        <v>75</v>
      </c>
      <c r="B33" s="11" t="s">
        <v>76</v>
      </c>
      <c r="C33" s="101">
        <v>41760</v>
      </c>
      <c r="D33" s="98">
        <v>-3.5343035299999999E-2</v>
      </c>
      <c r="E33" s="99">
        <v>930603.66547229001</v>
      </c>
      <c r="F33" s="40"/>
      <c r="G33" s="61" t="str">
        <f ca="1">IFERROR(OFFSET(INDIRECT($H$3 &amp; "!A98"), 2, 0), "")</f>
        <v>도지코인</v>
      </c>
      <c r="H33" s="44">
        <f t="shared" ca="1" si="7"/>
        <v>354</v>
      </c>
      <c r="I33" s="83">
        <f t="shared" ca="1" si="8"/>
        <v>9.9378882000000002E-2</v>
      </c>
      <c r="J33" s="92">
        <f t="shared" ca="1" si="13"/>
        <v>11597928062.077059</v>
      </c>
      <c r="K33" s="61" t="str">
        <f ca="1">IFERROR(OFFSET(INDIRECT($H$3 &amp; "!A44"), 2, 0), "")</f>
        <v>아이오에스티</v>
      </c>
      <c r="L33" s="44">
        <f t="shared" ca="1" si="9"/>
        <v>70.099999999999994</v>
      </c>
      <c r="M33" s="83">
        <f t="shared" ca="1" si="10"/>
        <v>-6.1579651899999997E-2</v>
      </c>
      <c r="N33" s="92">
        <f t="shared" ca="1" si="14"/>
        <v>458072216.41881424</v>
      </c>
      <c r="O33" s="61" t="str">
        <f ca="1">IFERROR(OFFSET(INDIRECT($H$3 &amp; "!A71"), 2, 0), "")</f>
        <v>왁스</v>
      </c>
      <c r="P33" s="44">
        <f t="shared" ca="1" si="11"/>
        <v>278</v>
      </c>
      <c r="Q33" s="83">
        <f t="shared" ca="1" si="12"/>
        <v>6.10687023E-2</v>
      </c>
      <c r="R33" s="92">
        <f t="shared" ca="1" si="15"/>
        <v>431486019.45561147</v>
      </c>
    </row>
    <row r="34" spans="1:18">
      <c r="A34" s="45" t="s">
        <v>85</v>
      </c>
      <c r="B34" s="11" t="s">
        <v>86</v>
      </c>
      <c r="C34" s="101">
        <v>6860</v>
      </c>
      <c r="D34" s="98">
        <v>-3.8542396600000001E-2</v>
      </c>
      <c r="E34" s="99">
        <v>21163305.66550833</v>
      </c>
      <c r="F34" s="40"/>
      <c r="G34" s="61" t="str">
        <f ca="1">IFERROR(OFFSET(INDIRECT($H$3 &amp; "!A98"), 3, 0), "")</f>
        <v>디센트럴랜드</v>
      </c>
      <c r="H34" s="44">
        <f t="shared" ca="1" si="7"/>
        <v>1700</v>
      </c>
      <c r="I34" s="83">
        <f t="shared" ca="1" si="8"/>
        <v>0.10389610389999999</v>
      </c>
      <c r="J34" s="92">
        <f t="shared" ca="1" si="13"/>
        <v>98761698.494783387</v>
      </c>
      <c r="K34" s="61" t="str">
        <f ca="1">IFERROR(OFFSET(INDIRECT($H$3 &amp; "!A44"), 3, 0), "")</f>
        <v>시아코인</v>
      </c>
      <c r="L34" s="44">
        <f t="shared" ca="1" si="9"/>
        <v>45.2</v>
      </c>
      <c r="M34" s="83">
        <f t="shared" ca="1" si="10"/>
        <v>-6.8041237099999999E-2</v>
      </c>
      <c r="N34" s="92">
        <f t="shared" ca="1" si="14"/>
        <v>2390022988.0265765</v>
      </c>
      <c r="O34" s="61" t="str">
        <f ca="1">IFERROR(OFFSET(INDIRECT($H$3 &amp; "!A71"), 3, 0), "")</f>
        <v>샌드박스</v>
      </c>
      <c r="P34" s="44">
        <f t="shared" ca="1" si="11"/>
        <v>677</v>
      </c>
      <c r="Q34" s="83">
        <f t="shared" ca="1" si="12"/>
        <v>6.4465408799999999E-2</v>
      </c>
      <c r="R34" s="92">
        <f t="shared" ca="1" si="15"/>
        <v>200976941.93007734</v>
      </c>
    </row>
    <row r="35" spans="1:18">
      <c r="A35" s="45" t="s">
        <v>137</v>
      </c>
      <c r="B35" s="11" t="s">
        <v>138</v>
      </c>
      <c r="C35" s="101">
        <v>39300</v>
      </c>
      <c r="D35" s="98">
        <v>-3.9119804399999999E-2</v>
      </c>
      <c r="E35" s="99">
        <v>864277.86075144995</v>
      </c>
      <c r="F35" s="40"/>
      <c r="G35" s="63" t="str">
        <f ca="1">IFERROR(OFFSET(INDIRECT($H$3 &amp; "!A98"), 4, 0), "")</f>
        <v>리스크</v>
      </c>
      <c r="H35" s="49">
        <f t="shared" ca="1" si="7"/>
        <v>6165</v>
      </c>
      <c r="I35" s="84">
        <f t="shared" ca="1" si="8"/>
        <v>7.5916230400000007E-2</v>
      </c>
      <c r="J35" s="96">
        <f t="shared" ca="1" si="13"/>
        <v>9427477.1736655999</v>
      </c>
      <c r="K35" s="63" t="str">
        <f ca="1">IFERROR(OFFSET(INDIRECT($H$3 &amp; "!A44"), 4, 0), "")</f>
        <v>에브리피디아</v>
      </c>
      <c r="L35" s="49">
        <f t="shared" ca="1" si="9"/>
        <v>24.9</v>
      </c>
      <c r="M35" s="84">
        <f t="shared" ca="1" si="10"/>
        <v>-9.1240875900000004E-2</v>
      </c>
      <c r="N35" s="96">
        <f t="shared" ca="1" si="14"/>
        <v>807540678.06478262</v>
      </c>
      <c r="O35" s="63" t="str">
        <f ca="1">IFERROR(OFFSET(INDIRECT($H$3 &amp; "!A71"), 4, 0), "")</f>
        <v>엘프</v>
      </c>
      <c r="P35" s="49">
        <f t="shared" ca="1" si="11"/>
        <v>537</v>
      </c>
      <c r="Q35" s="84">
        <f t="shared" ca="1" si="12"/>
        <v>6.1264822099999998E-2</v>
      </c>
      <c r="R35" s="96">
        <f t="shared" ca="1" si="15"/>
        <v>264179217.09432912</v>
      </c>
    </row>
    <row r="36" spans="1:18">
      <c r="A36" s="45" t="s">
        <v>155</v>
      </c>
      <c r="B36" s="11" t="s">
        <v>156</v>
      </c>
      <c r="C36" s="101">
        <v>143</v>
      </c>
      <c r="D36" s="98">
        <v>-4.0268456399999999E-2</v>
      </c>
      <c r="E36" s="99">
        <v>634863057.50252295</v>
      </c>
      <c r="F36" s="40"/>
      <c r="G36" s="61" t="str">
        <f ca="1">IFERROR(OFFSET(INDIRECT($H$3 &amp; "!A98"), 5, 0), "")</f>
        <v>왁스</v>
      </c>
      <c r="H36" s="44">
        <f t="shared" ca="1" si="7"/>
        <v>278</v>
      </c>
      <c r="I36" s="83">
        <f t="shared" ca="1" si="8"/>
        <v>6.10687023E-2</v>
      </c>
      <c r="J36" s="105">
        <f t="shared" ca="1" si="13"/>
        <v>431486019.45561147</v>
      </c>
      <c r="K36" s="61" t="str">
        <f ca="1">IFERROR(OFFSET(INDIRECT($H$3 &amp; "!A44"), 5, 0), "")</f>
        <v>썬더토큰</v>
      </c>
      <c r="L36" s="44">
        <f t="shared" ca="1" si="9"/>
        <v>21</v>
      </c>
      <c r="M36" s="83">
        <f t="shared" ca="1" si="10"/>
        <v>-9.0909090900000003E-2</v>
      </c>
      <c r="N36" s="105">
        <f t="shared" ca="1" si="14"/>
        <v>1118684169.9017005</v>
      </c>
      <c r="O36" s="61" t="str">
        <f ca="1">IFERROR(OFFSET(INDIRECT($H$3 &amp; "!A71"), 5, 0), "")</f>
        <v>이그니스</v>
      </c>
      <c r="P36" s="44">
        <f t="shared" ca="1" si="11"/>
        <v>183</v>
      </c>
      <c r="Q36" s="83">
        <f t="shared" ca="1" si="12"/>
        <v>3.3898305099999998E-2</v>
      </c>
      <c r="R36" s="105">
        <f t="shared" ca="1" si="15"/>
        <v>188788416.4371089</v>
      </c>
    </row>
    <row r="37" spans="1:18">
      <c r="A37" s="45" t="s">
        <v>205</v>
      </c>
      <c r="B37" s="11" t="s">
        <v>206</v>
      </c>
      <c r="C37" s="101">
        <v>37720</v>
      </c>
      <c r="D37" s="98">
        <v>-4.2396547299999997E-2</v>
      </c>
      <c r="E37" s="99">
        <v>1713250.41007059</v>
      </c>
      <c r="F37" s="40"/>
      <c r="G37" s="61" t="str">
        <f ca="1">IFERROR(OFFSET(INDIRECT($H$3 &amp; "!A98"), 6, 0), "")</f>
        <v>샌드박스</v>
      </c>
      <c r="H37" s="44">
        <f t="shared" ca="1" si="7"/>
        <v>677</v>
      </c>
      <c r="I37" s="83">
        <f t="shared" ca="1" si="8"/>
        <v>6.4465408799999999E-2</v>
      </c>
      <c r="J37" s="92">
        <f t="shared" ca="1" si="13"/>
        <v>200976941.93007734</v>
      </c>
      <c r="K37" s="61" t="str">
        <f ca="1">IFERROR(OFFSET(INDIRECT($H$3 &amp; "!A44"), 6, 0), "")</f>
        <v>쿼크체인</v>
      </c>
      <c r="L37" s="44">
        <f t="shared" ca="1" si="9"/>
        <v>33.700000000000003</v>
      </c>
      <c r="M37" s="83">
        <f t="shared" ca="1" si="10"/>
        <v>-9.1644204899999998E-2</v>
      </c>
      <c r="N37" s="92">
        <f t="shared" ca="1" si="14"/>
        <v>391419597.63015407</v>
      </c>
      <c r="O37" s="61" t="str">
        <f ca="1">IFERROR(OFFSET(INDIRECT($H$3 &amp; "!A71"), 6, 0), "")</f>
        <v>칠리즈</v>
      </c>
      <c r="P37" s="44">
        <f t="shared" ca="1" si="11"/>
        <v>615</v>
      </c>
      <c r="Q37" s="83">
        <f t="shared" ca="1" si="12"/>
        <v>6.5466448000000002E-3</v>
      </c>
      <c r="R37" s="92">
        <f t="shared" ca="1" si="15"/>
        <v>664797392.03728294</v>
      </c>
    </row>
    <row r="38" spans="1:18">
      <c r="A38" s="45" t="s">
        <v>97</v>
      </c>
      <c r="B38" s="11" t="s">
        <v>98</v>
      </c>
      <c r="C38" s="101">
        <v>6125</v>
      </c>
      <c r="D38" s="98">
        <v>-4.296875E-2</v>
      </c>
      <c r="E38" s="99">
        <v>3109867.3695317102</v>
      </c>
      <c r="F38" s="40"/>
      <c r="G38" s="61" t="str">
        <f ca="1">IFERROR(OFFSET(INDIRECT($H$3 &amp; "!A98"), 7, 0), "")</f>
        <v>엘프</v>
      </c>
      <c r="H38" s="44">
        <f t="shared" ca="1" si="7"/>
        <v>537</v>
      </c>
      <c r="I38" s="83">
        <f t="shared" ca="1" si="8"/>
        <v>6.1264822099999998E-2</v>
      </c>
      <c r="J38" s="92">
        <f t="shared" ca="1" si="13"/>
        <v>264179217.09432912</v>
      </c>
      <c r="K38" s="61" t="str">
        <f ca="1">IFERROR(OFFSET(INDIRECT($H$3 &amp; "!A44"), 7, 0), "")</f>
        <v>아하토큰</v>
      </c>
      <c r="L38" s="44">
        <f t="shared" ca="1" si="9"/>
        <v>19.899999999999999</v>
      </c>
      <c r="M38" s="83">
        <f t="shared" ca="1" si="10"/>
        <v>-9.5454545500000001E-2</v>
      </c>
      <c r="N38" s="92">
        <f t="shared" ca="1" si="14"/>
        <v>794523935.16090953</v>
      </c>
      <c r="O38" s="61" t="str">
        <f ca="1">IFERROR(OFFSET(INDIRECT($H$3 &amp; "!A71"), 7, 0), "")</f>
        <v>크립토닷컴체인</v>
      </c>
      <c r="P38" s="44">
        <f t="shared" ca="1" si="11"/>
        <v>218</v>
      </c>
      <c r="Q38" s="83">
        <f t="shared" ca="1" si="12"/>
        <v>-4.3859649100000002E-2</v>
      </c>
      <c r="R38" s="92">
        <f t="shared" ca="1" si="15"/>
        <v>318690936.0744431</v>
      </c>
    </row>
    <row r="39" spans="1:18">
      <c r="A39" s="45" t="s">
        <v>62</v>
      </c>
      <c r="B39" s="11" t="s">
        <v>63</v>
      </c>
      <c r="C39" s="101">
        <v>106000</v>
      </c>
      <c r="D39" s="98">
        <v>-4.37528191E-2</v>
      </c>
      <c r="E39" s="99">
        <v>1795390.2309540701</v>
      </c>
      <c r="F39" s="40"/>
      <c r="G39" s="61" t="str">
        <f ca="1">IFERROR(OFFSET(INDIRECT($H$3 &amp; "!A98"), 8, 0), "")</f>
        <v>비트코인캐시에이비씨</v>
      </c>
      <c r="H39" s="44">
        <f t="shared" ca="1" si="7"/>
        <v>45840</v>
      </c>
      <c r="I39" s="83">
        <f t="shared" ca="1" si="8"/>
        <v>4.8250628900000002E-2</v>
      </c>
      <c r="J39" s="92">
        <f t="shared" ca="1" si="13"/>
        <v>4397946.2337376298</v>
      </c>
      <c r="K39" s="61" t="str">
        <f ca="1">IFERROR(OFFSET(INDIRECT($H$3 &amp; "!A44"), 8, 0), "")</f>
        <v>엠블</v>
      </c>
      <c r="L39" s="44">
        <f t="shared" ca="1" si="9"/>
        <v>30.7</v>
      </c>
      <c r="M39" s="83">
        <f t="shared" ca="1" si="10"/>
        <v>-9.7058823500000002E-2</v>
      </c>
      <c r="N39" s="92">
        <f t="shared" ca="1" si="14"/>
        <v>2377246707.0334959</v>
      </c>
      <c r="O39" s="61" t="str">
        <f ca="1">IFERROR(OFFSET(INDIRECT($H$3 &amp; "!A71"), 8, 0), "")</f>
        <v>트론</v>
      </c>
      <c r="P39" s="44">
        <f t="shared" ca="1" si="11"/>
        <v>143</v>
      </c>
      <c r="Q39" s="83">
        <f t="shared" ca="1" si="12"/>
        <v>-4.0268456399999999E-2</v>
      </c>
      <c r="R39" s="92">
        <f t="shared" ca="1" si="15"/>
        <v>634863057.50252295</v>
      </c>
    </row>
    <row r="40" spans="1:18" ht="17.25" thickBot="1">
      <c r="A40" s="45" t="s">
        <v>119</v>
      </c>
      <c r="B40" s="11" t="s">
        <v>120</v>
      </c>
      <c r="C40" s="101">
        <v>218</v>
      </c>
      <c r="D40" s="98">
        <v>-4.3859649100000002E-2</v>
      </c>
      <c r="E40" s="99">
        <v>318690936.0744431</v>
      </c>
      <c r="F40" s="40"/>
      <c r="G40" s="62" t="str">
        <f ca="1">IFERROR(OFFSET(INDIRECT($H$3 &amp; "!A98"), 9, 0), "")</f>
        <v>이그니스</v>
      </c>
      <c r="H40" s="42">
        <f t="shared" ca="1" si="7"/>
        <v>183</v>
      </c>
      <c r="I40" s="85">
        <f t="shared" ca="1" si="8"/>
        <v>3.3898305099999998E-2</v>
      </c>
      <c r="J40" s="93">
        <f t="shared" ca="1" si="13"/>
        <v>188788416.4371089</v>
      </c>
      <c r="K40" s="62" t="str">
        <f ca="1">IFERROR(OFFSET(INDIRECT($H$3 &amp; "!A44"), 9, 0), "")</f>
        <v>람다</v>
      </c>
      <c r="L40" s="42">
        <f t="shared" ca="1" si="9"/>
        <v>94</v>
      </c>
      <c r="M40" s="85">
        <f t="shared" ca="1" si="10"/>
        <v>-9.6153846200000004E-2</v>
      </c>
      <c r="N40" s="93">
        <f t="shared" ca="1" si="14"/>
        <v>190813111.2739895</v>
      </c>
      <c r="O40" s="62" t="str">
        <f ca="1">IFERROR(OFFSET(INDIRECT($H$3 &amp; "!A71"), 9, 0), "")</f>
        <v>스텔라루멘</v>
      </c>
      <c r="P40" s="42">
        <f t="shared" ca="1" si="11"/>
        <v>581</v>
      </c>
      <c r="Q40" s="85">
        <f t="shared" ca="1" si="12"/>
        <v>-3.1666666699999999E-2</v>
      </c>
      <c r="R40" s="93">
        <f t="shared" ca="1" si="15"/>
        <v>75214715.445857465</v>
      </c>
    </row>
    <row r="41" spans="1:18">
      <c r="A41" s="45" t="s">
        <v>269</v>
      </c>
      <c r="B41" s="11" t="s">
        <v>270</v>
      </c>
      <c r="C41" s="101">
        <v>510</v>
      </c>
      <c r="D41" s="98">
        <v>-4.4943820199999998E-2</v>
      </c>
      <c r="E41" s="99">
        <v>87634368.141181424</v>
      </c>
      <c r="F41" s="40"/>
      <c r="G41" s="64" t="str">
        <f ca="1">IFERROR(OFFSET(INDIRECT($H$3 &amp; "!A98"), 10, 0), "")</f>
        <v>엔진코인</v>
      </c>
      <c r="H41" s="43">
        <f t="shared" ca="1" si="7"/>
        <v>3160</v>
      </c>
      <c r="I41" s="82">
        <f t="shared" ca="1" si="8"/>
        <v>2.5974026000000001E-2</v>
      </c>
      <c r="J41" s="91">
        <f t="shared" ca="1" si="13"/>
        <v>22260754.722223219</v>
      </c>
      <c r="K41" s="60" t="str">
        <f ca="1">IFERROR(OFFSET(INDIRECT($H$3 &amp; "!A44"), 10, 0), "")</f>
        <v>메인프레임</v>
      </c>
      <c r="L41" s="43">
        <f t="shared" ca="1" si="9"/>
        <v>19.2</v>
      </c>
      <c r="M41" s="82">
        <f t="shared" ca="1" si="10"/>
        <v>-9.0047393399999995E-2</v>
      </c>
      <c r="N41" s="91">
        <f t="shared" ca="1" si="14"/>
        <v>779244552.23641825</v>
      </c>
      <c r="O41" s="60" t="str">
        <f ca="1">IFERROR(OFFSET(INDIRECT($H$3 &amp; "!A71"), 10, 0), "")</f>
        <v>골렘</v>
      </c>
      <c r="P41" s="43">
        <f t="shared" ca="1" si="11"/>
        <v>510</v>
      </c>
      <c r="Q41" s="82">
        <f t="shared" ca="1" si="12"/>
        <v>-4.4943820199999998E-2</v>
      </c>
      <c r="R41" s="91">
        <f t="shared" ca="1" si="15"/>
        <v>87634368.141181424</v>
      </c>
    </row>
    <row r="42" spans="1:18">
      <c r="A42" s="45" t="s">
        <v>91</v>
      </c>
      <c r="B42" s="11" t="s">
        <v>92</v>
      </c>
      <c r="C42" s="101">
        <v>1575</v>
      </c>
      <c r="D42" s="98">
        <v>-4.5454545499999999E-2</v>
      </c>
      <c r="E42" s="99">
        <v>1066279321.9634527</v>
      </c>
      <c r="F42" s="40"/>
      <c r="G42" s="61" t="str">
        <f ca="1">IFERROR(OFFSET(INDIRECT($H$3 &amp; "!A98"), 11, 0), "")</f>
        <v>이더리움</v>
      </c>
      <c r="H42" s="44">
        <f t="shared" ca="1" si="7"/>
        <v>3168000</v>
      </c>
      <c r="I42" s="83">
        <f t="shared" ca="1" si="8"/>
        <v>8.9171974999999997E-3</v>
      </c>
      <c r="J42" s="92">
        <f t="shared" ca="1" si="13"/>
        <v>136379.54778009001</v>
      </c>
      <c r="K42" s="61" t="str">
        <f ca="1">IFERROR(OFFSET(INDIRECT($H$3 &amp; "!A44"), 11, 0), "")</f>
        <v>옵저버</v>
      </c>
      <c r="L42" s="44">
        <f t="shared" ca="1" si="9"/>
        <v>31.4</v>
      </c>
      <c r="M42" s="83">
        <f t="shared" ca="1" si="10"/>
        <v>-9.7701149400000006E-2</v>
      </c>
      <c r="N42" s="92">
        <f t="shared" ca="1" si="14"/>
        <v>1282034998.8472047</v>
      </c>
      <c r="O42" s="61" t="str">
        <f ca="1">IFERROR(OFFSET(INDIRECT($H$3 &amp; "!A71"), 11, 0), "")</f>
        <v>비체인</v>
      </c>
      <c r="P42" s="44">
        <f t="shared" ca="1" si="11"/>
        <v>233</v>
      </c>
      <c r="Q42" s="83">
        <f t="shared" ca="1" si="12"/>
        <v>-4.89795918E-2</v>
      </c>
      <c r="R42" s="92">
        <f t="shared" ca="1" si="15"/>
        <v>1817489680.9442196</v>
      </c>
    </row>
    <row r="43" spans="1:18">
      <c r="A43" s="45" t="s">
        <v>131</v>
      </c>
      <c r="B43" s="11" t="s">
        <v>132</v>
      </c>
      <c r="C43" s="101">
        <v>233</v>
      </c>
      <c r="D43" s="98">
        <v>-4.89795918E-2</v>
      </c>
      <c r="E43" s="99">
        <v>1817489680.9442196</v>
      </c>
      <c r="F43" s="40"/>
      <c r="G43" s="61" t="str">
        <f ca="1">IFERROR(OFFSET(INDIRECT($H$3 &amp; "!A98"), 12, 0), "")</f>
        <v>칠리즈</v>
      </c>
      <c r="H43" s="44">
        <f t="shared" ca="1" si="7"/>
        <v>615</v>
      </c>
      <c r="I43" s="83">
        <f t="shared" ca="1" si="8"/>
        <v>6.5466448000000002E-3</v>
      </c>
      <c r="J43" s="92">
        <f t="shared" ca="1" si="13"/>
        <v>664797392.03728294</v>
      </c>
      <c r="K43" s="61" t="str">
        <f ca="1">IFERROR(OFFSET(INDIRECT($H$3 &amp; "!A44"), 12, 0), "")</f>
        <v>무비블록</v>
      </c>
      <c r="L43" s="44">
        <f t="shared" ca="1" si="9"/>
        <v>19.5</v>
      </c>
      <c r="M43" s="83">
        <f t="shared" ca="1" si="10"/>
        <v>-0.10138248850000001</v>
      </c>
      <c r="N43" s="92">
        <f t="shared" ca="1" si="14"/>
        <v>2891841592.9502096</v>
      </c>
      <c r="O43" s="61" t="str">
        <f ca="1">IFERROR(OFFSET(INDIRECT($H$3 &amp; "!A71"), 12, 0), "")</f>
        <v>쎄타퓨엘</v>
      </c>
      <c r="P43" s="44">
        <f t="shared" ca="1" si="11"/>
        <v>357</v>
      </c>
      <c r="Q43" s="83">
        <f t="shared" ca="1" si="12"/>
        <v>-5.5555555600000001E-2</v>
      </c>
      <c r="R43" s="92">
        <f t="shared" ca="1" si="15"/>
        <v>59227653.155480348</v>
      </c>
    </row>
    <row r="44" spans="1:18">
      <c r="A44" s="45" t="s">
        <v>179</v>
      </c>
      <c r="B44" s="11" t="s">
        <v>180</v>
      </c>
      <c r="C44" s="101">
        <v>4450</v>
      </c>
      <c r="D44" s="98">
        <v>-4.9145299099999998E-2</v>
      </c>
      <c r="E44" s="99">
        <v>25074915.12657968</v>
      </c>
      <c r="F44" s="40"/>
      <c r="G44" s="61" t="str">
        <f ca="1">IFERROR(OFFSET(INDIRECT($H$3 &amp; "!A98"), 13, 0), "")</f>
        <v>에이다</v>
      </c>
      <c r="H44" s="44">
        <f t="shared" ca="1" si="7"/>
        <v>1530</v>
      </c>
      <c r="I44" s="83">
        <f t="shared" ca="1" si="8"/>
        <v>-3.2573290000000002E-3</v>
      </c>
      <c r="J44" s="92">
        <f t="shared" ca="1" si="13"/>
        <v>41381221.256873891</v>
      </c>
      <c r="K44" s="61" t="str">
        <f ca="1">IFERROR(OFFSET(INDIRECT($H$3 &amp; "!A44"), 13, 0), "")</f>
        <v>캐리프로토콜</v>
      </c>
      <c r="L44" s="44">
        <f t="shared" ca="1" si="9"/>
        <v>21.8</v>
      </c>
      <c r="M44" s="83">
        <f t="shared" ca="1" si="10"/>
        <v>-0.10655737699999999</v>
      </c>
      <c r="N44" s="92">
        <f t="shared" ca="1" si="14"/>
        <v>2087368334.8944275</v>
      </c>
      <c r="O44" s="61" t="str">
        <f ca="1">IFERROR(OFFSET(INDIRECT($H$3 &amp; "!A71"), 13, 0), "")</f>
        <v>저스트</v>
      </c>
      <c r="P44" s="44">
        <f t="shared" ca="1" si="11"/>
        <v>143</v>
      </c>
      <c r="Q44" s="83">
        <f t="shared" ca="1" si="12"/>
        <v>-5.9210526300000003E-2</v>
      </c>
      <c r="R44" s="92">
        <f t="shared" ca="1" si="15"/>
        <v>103536074.4714999</v>
      </c>
    </row>
    <row r="45" spans="1:18">
      <c r="A45" s="45" t="s">
        <v>117</v>
      </c>
      <c r="B45" s="11" t="s">
        <v>118</v>
      </c>
      <c r="C45" s="101">
        <v>5955</v>
      </c>
      <c r="D45" s="98">
        <v>-5.0239234399999999E-2</v>
      </c>
      <c r="E45" s="99">
        <v>1800739.1728276</v>
      </c>
      <c r="F45" s="40"/>
      <c r="G45" s="63" t="str">
        <f ca="1">IFERROR(OFFSET(INDIRECT($H$3 &amp; "!A98"), 14, 0), "")</f>
        <v>스와이프</v>
      </c>
      <c r="H45" s="49">
        <f t="shared" ca="1" si="7"/>
        <v>4830</v>
      </c>
      <c r="I45" s="84">
        <f t="shared" ca="1" si="8"/>
        <v>-3.0959752E-3</v>
      </c>
      <c r="J45" s="96">
        <f t="shared" ca="1" si="13"/>
        <v>15554075.577692609</v>
      </c>
      <c r="K45" s="63" t="str">
        <f ca="1">IFERROR(OFFSET(INDIRECT($H$3 &amp; "!A44"), 14, 0), "")</f>
        <v>리퍼리움</v>
      </c>
      <c r="L45" s="49">
        <f t="shared" ca="1" si="9"/>
        <v>24.3</v>
      </c>
      <c r="M45" s="84">
        <f t="shared" ca="1" si="10"/>
        <v>-0.1033210332</v>
      </c>
      <c r="N45" s="96">
        <f t="shared" ca="1" si="14"/>
        <v>1352073197.925812</v>
      </c>
      <c r="O45" s="63" t="str">
        <f ca="1">IFERROR(OFFSET(INDIRECT($H$3 &amp; "!A71"), 14, 0), "")</f>
        <v>넴</v>
      </c>
      <c r="P45" s="49">
        <f t="shared" ca="1" si="11"/>
        <v>384</v>
      </c>
      <c r="Q45" s="84">
        <f t="shared" ca="1" si="12"/>
        <v>-6.1124694399999999E-2</v>
      </c>
      <c r="R45" s="96">
        <f t="shared" ca="1" si="15"/>
        <v>269273167.77909499</v>
      </c>
    </row>
    <row r="46" spans="1:18">
      <c r="A46" s="45" t="s">
        <v>141</v>
      </c>
      <c r="B46" s="11" t="s">
        <v>142</v>
      </c>
      <c r="C46" s="101">
        <v>357</v>
      </c>
      <c r="D46" s="98">
        <v>-5.5555555600000001E-2</v>
      </c>
      <c r="E46" s="99">
        <v>59227653.155480348</v>
      </c>
      <c r="F46" s="40"/>
      <c r="G46" s="61" t="str">
        <f ca="1">IFERROR(OFFSET(INDIRECT($H$3 &amp; "!A98"), 15, 0), "")</f>
        <v>이더리움클래식</v>
      </c>
      <c r="H46" s="44">
        <f t="shared" ca="1" si="7"/>
        <v>39620</v>
      </c>
      <c r="I46" s="83">
        <f t="shared" ca="1" si="8"/>
        <v>-6.5195586999999998E-3</v>
      </c>
      <c r="J46" s="105">
        <f t="shared" ca="1" si="13"/>
        <v>15711343.00838061</v>
      </c>
      <c r="K46" s="61" t="str">
        <f ca="1">IFERROR(OFFSET(INDIRECT($H$3 &amp; "!A44"), 15, 0), "")</f>
        <v>에스티피</v>
      </c>
      <c r="L46" s="44">
        <f t="shared" ca="1" si="9"/>
        <v>93.5</v>
      </c>
      <c r="M46" s="83">
        <f t="shared" ca="1" si="10"/>
        <v>-0.1009615385</v>
      </c>
      <c r="N46" s="105">
        <f t="shared" ca="1" si="14"/>
        <v>277496575.39103156</v>
      </c>
      <c r="O46" s="61" t="str">
        <f ca="1">IFERROR(OFFSET(INDIRECT($H$3 &amp; "!A71"), 15, 0), "")</f>
        <v>헤데라해시그래프</v>
      </c>
      <c r="P46" s="44">
        <f t="shared" ca="1" si="11"/>
        <v>333</v>
      </c>
      <c r="Q46" s="83">
        <f t="shared" ca="1" si="12"/>
        <v>-6.9832402200000004E-2</v>
      </c>
      <c r="R46" s="105">
        <f t="shared" ca="1" si="15"/>
        <v>33736436.004993148</v>
      </c>
    </row>
    <row r="47" spans="1:18">
      <c r="A47" s="45" t="s">
        <v>175</v>
      </c>
      <c r="B47" s="11" t="s">
        <v>176</v>
      </c>
      <c r="C47" s="101">
        <v>2495</v>
      </c>
      <c r="D47" s="98">
        <v>-5.6710774999999998E-2</v>
      </c>
      <c r="E47" s="99">
        <v>20371702.737609688</v>
      </c>
      <c r="F47" s="40"/>
      <c r="G47" s="61" t="str">
        <f ca="1">IFERROR(OFFSET(INDIRECT($H$3 &amp; "!A98"), 16, 0), "")</f>
        <v>비트코인에스브이</v>
      </c>
      <c r="H47" s="44">
        <f t="shared" ca="1" si="7"/>
        <v>334950</v>
      </c>
      <c r="I47" s="83">
        <f t="shared" ca="1" si="8"/>
        <v>-8.1433224999999995E-3</v>
      </c>
      <c r="J47" s="92">
        <f t="shared" ca="1" si="13"/>
        <v>129176.43762909</v>
      </c>
      <c r="K47" s="61" t="str">
        <f ca="1">IFERROR(OFFSET(INDIRECT($H$3 &amp; "!A44"), 16, 0), "")</f>
        <v>엔도르</v>
      </c>
      <c r="L47" s="44">
        <f t="shared" ca="1" si="9"/>
        <v>73.3</v>
      </c>
      <c r="M47" s="83">
        <f t="shared" ca="1" si="10"/>
        <v>-0.10391198040000001</v>
      </c>
      <c r="N47" s="92">
        <f t="shared" ca="1" si="14"/>
        <v>429913392.6255855</v>
      </c>
      <c r="O47" s="61" t="str">
        <f ca="1">IFERROR(OFFSET(INDIRECT($H$3 &amp; "!A71"), 16, 0), "")</f>
        <v>스테이터스네트워크토큰</v>
      </c>
      <c r="P47" s="44">
        <f t="shared" ca="1" si="11"/>
        <v>186</v>
      </c>
      <c r="Q47" s="83">
        <f t="shared" ca="1" si="12"/>
        <v>-7.4626865700000003E-2</v>
      </c>
      <c r="R47" s="92">
        <f t="shared" ca="1" si="15"/>
        <v>427963017.46679014</v>
      </c>
    </row>
    <row r="48" spans="1:18">
      <c r="A48" s="45" t="s">
        <v>99</v>
      </c>
      <c r="B48" s="11" t="s">
        <v>100</v>
      </c>
      <c r="C48" s="101">
        <v>8.1999999999999993</v>
      </c>
      <c r="D48" s="98">
        <v>-5.7471264399999999E-2</v>
      </c>
      <c r="E48" s="99">
        <v>82690412401.563492</v>
      </c>
      <c r="F48" s="40"/>
      <c r="G48" s="61" t="str">
        <f ca="1">IFERROR(OFFSET(INDIRECT($H$3 &amp; "!A98"), 17, 0), "")</f>
        <v>코스모스</v>
      </c>
      <c r="H48" s="44">
        <f t="shared" ca="1" si="7"/>
        <v>26850</v>
      </c>
      <c r="I48" s="83">
        <f t="shared" ca="1" si="8"/>
        <v>-1.1777696000000001E-2</v>
      </c>
      <c r="J48" s="92">
        <f t="shared" ca="1" si="13"/>
        <v>492082.64840752003</v>
      </c>
      <c r="K48" s="61" t="str">
        <f ca="1">IFERROR(OFFSET(INDIRECT($H$3 &amp; "!A44"), 17, 0), "")</f>
        <v>퀴즈톡</v>
      </c>
      <c r="L48" s="44">
        <f t="shared" ca="1" si="9"/>
        <v>85.4</v>
      </c>
      <c r="M48" s="83">
        <f t="shared" ca="1" si="10"/>
        <v>-0.1057591623</v>
      </c>
      <c r="N48" s="92">
        <f t="shared" ca="1" si="14"/>
        <v>221604469.44575566</v>
      </c>
      <c r="O48" s="61" t="str">
        <f ca="1">IFERROR(OFFSET(INDIRECT($H$3 &amp; "!A71"), 17, 0), "")</f>
        <v>시빅</v>
      </c>
      <c r="P48" s="44">
        <f t="shared" ca="1" si="11"/>
        <v>599</v>
      </c>
      <c r="Q48" s="83">
        <f t="shared" ca="1" si="12"/>
        <v>-7.4188562599999994E-2</v>
      </c>
      <c r="R48" s="92">
        <f t="shared" ca="1" si="15"/>
        <v>17638568.15955833</v>
      </c>
    </row>
    <row r="49" spans="1:18">
      <c r="A49" s="45" t="s">
        <v>187</v>
      </c>
      <c r="B49" s="11" t="s">
        <v>188</v>
      </c>
      <c r="C49" s="101">
        <v>16560</v>
      </c>
      <c r="D49" s="98">
        <v>-5.7484348300000002E-2</v>
      </c>
      <c r="E49" s="99">
        <v>9296069.3417893797</v>
      </c>
      <c r="F49" s="40"/>
      <c r="G49" s="61" t="str">
        <f ca="1">IFERROR(OFFSET(INDIRECT($H$3 &amp; "!A98"), 18, 0), "")</f>
        <v>어거</v>
      </c>
      <c r="H49" s="44">
        <f t="shared" ca="1" si="7"/>
        <v>44430</v>
      </c>
      <c r="I49" s="83">
        <f t="shared" ca="1" si="8"/>
        <v>-8.2589285999999998E-3</v>
      </c>
      <c r="J49" s="92">
        <f t="shared" ca="1" si="13"/>
        <v>930311.51528107002</v>
      </c>
      <c r="K49" s="61" t="str">
        <f ca="1">IFERROR(OFFSET(INDIRECT($H$3 &amp; "!A44"), 18, 0), "")</f>
        <v>트웰브쉽스</v>
      </c>
      <c r="L49" s="44">
        <f t="shared" ca="1" si="9"/>
        <v>28.8</v>
      </c>
      <c r="M49" s="83">
        <f t="shared" ca="1" si="10"/>
        <v>-0.10559006210000001</v>
      </c>
      <c r="N49" s="92">
        <f t="shared" ca="1" si="14"/>
        <v>1284464747.6885076</v>
      </c>
      <c r="O49" s="61" t="str">
        <f ca="1">IFERROR(OFFSET(INDIRECT($H$3 &amp; "!A71"), 18, 0), "")</f>
        <v>메디블록</v>
      </c>
      <c r="P49" s="44">
        <f t="shared" ca="1" si="11"/>
        <v>145</v>
      </c>
      <c r="Q49" s="83">
        <f t="shared" ca="1" si="12"/>
        <v>-7.6433121000000007E-2</v>
      </c>
      <c r="R49" s="92">
        <f t="shared" ca="1" si="15"/>
        <v>1573019241.8329396</v>
      </c>
    </row>
    <row r="50" spans="1:18" ht="17.25" thickBot="1">
      <c r="A50" s="45" t="s">
        <v>277</v>
      </c>
      <c r="B50" s="11" t="s">
        <v>278</v>
      </c>
      <c r="C50" s="101">
        <v>143</v>
      </c>
      <c r="D50" s="98">
        <v>-5.9210526300000003E-2</v>
      </c>
      <c r="E50" s="99">
        <v>103536074.4714999</v>
      </c>
      <c r="F50" s="40"/>
      <c r="G50" s="62" t="str">
        <f ca="1">IFERROR(OFFSET(INDIRECT($H$3 &amp; "!A98"), 19, 0), "")</f>
        <v>비트코인</v>
      </c>
      <c r="H50" s="42">
        <f t="shared" ca="1" si="7"/>
        <v>63826000</v>
      </c>
      <c r="I50" s="85">
        <f t="shared" ca="1" si="8"/>
        <v>-1.4529004E-2</v>
      </c>
      <c r="J50" s="93">
        <f t="shared" ca="1" si="13"/>
        <v>7258.3773785800004</v>
      </c>
      <c r="K50" s="62">
        <f ca="1">IFERROR(OFFSET(INDIRECT($H$3 &amp; "!A44"), 19, 0), "")</f>
        <v>0</v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>파워렛저</v>
      </c>
      <c r="P50" s="42">
        <f t="shared" ca="1" si="11"/>
        <v>472</v>
      </c>
      <c r="Q50" s="85">
        <f t="shared" ca="1" si="12"/>
        <v>-7.2691552100000001E-2</v>
      </c>
      <c r="R50" s="93">
        <f t="shared" ca="1" si="15"/>
        <v>41820709.879148908</v>
      </c>
    </row>
    <row r="51" spans="1:18">
      <c r="A51" s="45" t="s">
        <v>56</v>
      </c>
      <c r="B51" s="11" t="s">
        <v>57</v>
      </c>
      <c r="C51" s="101">
        <v>384</v>
      </c>
      <c r="D51" s="98">
        <v>-6.1124694399999999E-2</v>
      </c>
      <c r="E51" s="99">
        <v>269273167.77909499</v>
      </c>
      <c r="F51" s="40"/>
    </row>
    <row r="52" spans="1:18" ht="17.25" thickBot="1">
      <c r="A52" s="45" t="s">
        <v>64</v>
      </c>
      <c r="B52" s="11" t="s">
        <v>65</v>
      </c>
      <c r="C52" s="101">
        <v>70.099999999999994</v>
      </c>
      <c r="D52" s="98">
        <v>-6.1579651899999997E-2</v>
      </c>
      <c r="E52" s="99">
        <v>458072216.41881424</v>
      </c>
      <c r="F52" s="40"/>
    </row>
    <row r="53" spans="1:18" ht="17.25" thickBot="1">
      <c r="A53" s="45" t="s">
        <v>139</v>
      </c>
      <c r="B53" s="11" t="s">
        <v>140</v>
      </c>
      <c r="C53" s="101">
        <v>3565</v>
      </c>
      <c r="D53" s="98">
        <v>-6.1842105299999998E-2</v>
      </c>
      <c r="E53" s="99">
        <v>2242594.04703181</v>
      </c>
      <c r="F53" s="40"/>
      <c r="G53" s="111" t="s">
        <v>285</v>
      </c>
      <c r="H53" s="125"/>
      <c r="I53" s="125"/>
      <c r="J53" s="112"/>
      <c r="K53" s="111" t="s">
        <v>288</v>
      </c>
      <c r="L53" s="125"/>
      <c r="M53" s="125"/>
      <c r="N53" s="112"/>
      <c r="O53" s="111" t="s">
        <v>289</v>
      </c>
      <c r="P53" s="125"/>
      <c r="Q53" s="125"/>
      <c r="R53" s="112"/>
    </row>
    <row r="54" spans="1:18" ht="17.25" thickBot="1">
      <c r="A54" s="45" t="s">
        <v>183</v>
      </c>
      <c r="B54" s="11" t="s">
        <v>184</v>
      </c>
      <c r="C54" s="101">
        <v>2505</v>
      </c>
      <c r="D54" s="98">
        <v>-6.5298507500000005E-2</v>
      </c>
      <c r="E54" s="99">
        <v>3288187.2758448902</v>
      </c>
      <c r="F54" s="40"/>
      <c r="G54" s="173" t="s">
        <v>55</v>
      </c>
      <c r="H54" s="170">
        <f ca="1">NOW()</f>
        <v>44315.141905208337</v>
      </c>
      <c r="I54" s="171"/>
      <c r="J54" s="172"/>
      <c r="K54" s="181" t="s">
        <v>55</v>
      </c>
      <c r="L54" s="170">
        <f ca="1">NOW()</f>
        <v>44315.141905208337</v>
      </c>
      <c r="M54" s="171"/>
      <c r="N54" s="172"/>
      <c r="O54" s="181" t="s">
        <v>55</v>
      </c>
      <c r="P54" s="170">
        <f ca="1">NOW()</f>
        <v>44315.141905208337</v>
      </c>
      <c r="Q54" s="171"/>
      <c r="R54" s="172"/>
    </row>
    <row r="55" spans="1:18" ht="17.25" thickBot="1">
      <c r="A55" s="45" t="s">
        <v>151</v>
      </c>
      <c r="B55" s="11" t="s">
        <v>152</v>
      </c>
      <c r="C55" s="101">
        <v>45.2</v>
      </c>
      <c r="D55" s="98">
        <v>-6.8041237099999999E-2</v>
      </c>
      <c r="E55" s="99">
        <v>2390022988.0265765</v>
      </c>
      <c r="F55" s="40"/>
      <c r="G55" s="174"/>
      <c r="H55" s="41" t="s">
        <v>58</v>
      </c>
      <c r="I55" s="79" t="s">
        <v>59</v>
      </c>
      <c r="J55" s="75" t="s">
        <v>294</v>
      </c>
      <c r="K55" s="174"/>
      <c r="L55" s="41" t="s">
        <v>58</v>
      </c>
      <c r="M55" s="79" t="s">
        <v>59</v>
      </c>
      <c r="N55" s="75" t="s">
        <v>294</v>
      </c>
      <c r="O55" s="174"/>
      <c r="P55" s="41" t="s">
        <v>58</v>
      </c>
      <c r="Q55" s="79" t="s">
        <v>59</v>
      </c>
      <c r="R55" s="75" t="s">
        <v>294</v>
      </c>
    </row>
    <row r="56" spans="1:18">
      <c r="A56" s="45" t="s">
        <v>105</v>
      </c>
      <c r="B56" s="11" t="s">
        <v>106</v>
      </c>
      <c r="C56" s="101">
        <v>2005</v>
      </c>
      <c r="D56" s="98">
        <v>-6.9605568399999998E-2</v>
      </c>
      <c r="E56" s="99">
        <v>7643936.52665269</v>
      </c>
      <c r="F56" s="40"/>
      <c r="G56" s="60" t="str">
        <f ca="1">IFERROR(OFFSET(INDIRECT($H$3 &amp; "!A179"), 0, 0), "")</f>
        <v>오브스</v>
      </c>
      <c r="H56" s="43">
        <f t="shared" ref="H56:H65" ca="1" si="16">_xlfn.IFNA(VLOOKUP(G56, $B$2:$D$200, 2, FALSE), "")</f>
        <v>149</v>
      </c>
      <c r="I56" s="82">
        <f t="shared" ref="I56:I65" ca="1" si="17">_xlfn.IFNA(VLOOKUP(G56, $B$2:$D$200, 3, FALSE), "")</f>
        <v>-0.10240963860000001</v>
      </c>
      <c r="J56" s="91">
        <f ca="1">_xlfn.IFNA(VLOOKUP(G56, $B$2:$E$200, 4, FALSE), "")</f>
        <v>225220114.63966697</v>
      </c>
      <c r="K56" s="60" t="str">
        <f ca="1">IFERROR(OFFSET(INDIRECT($H$3 &amp; "!A125"), 0, 0), "")</f>
        <v>스톰엑스</v>
      </c>
      <c r="L56" s="43">
        <f t="shared" ref="L56:L75" ca="1" si="18">_xlfn.IFNA(VLOOKUP(K56, $B$2:$D$200, 2, FALSE), "")</f>
        <v>62.3</v>
      </c>
      <c r="M56" s="82">
        <f t="shared" ref="M56:M75" ca="1" si="19">_xlfn.IFNA(VLOOKUP(K56, $B$2:$D$200, 3, FALSE), "")</f>
        <v>-2.6562499999999999E-2</v>
      </c>
      <c r="N56" s="91">
        <f ca="1">_xlfn.IFNA(VLOOKUP(K56, $B$2:$E$200, 4, FALSE), "")</f>
        <v>594340992.78005278</v>
      </c>
      <c r="O56" s="60" t="str">
        <f ca="1">IFERROR(OFFSET(INDIRECT($H$3 &amp; "!A152"), 0, 0), "")</f>
        <v>피르마체인</v>
      </c>
      <c r="P56" s="43">
        <f t="shared" ref="P56:P75" ca="1" si="20">_xlfn.IFNA(VLOOKUP(O56, $B$2:$D$200, 2, FALSE), "")</f>
        <v>203</v>
      </c>
      <c r="Q56" s="82">
        <f t="shared" ref="Q56:Q75" ca="1" si="21">_xlfn.IFNA(VLOOKUP(O56, $B$2:$D$200, 3, FALSE), "")</f>
        <v>-8.55855856E-2</v>
      </c>
      <c r="R56" s="91">
        <f ca="1">_xlfn.IFNA(VLOOKUP(O56, $B$2:$E$200, 4, FALSE), "")</f>
        <v>71562342.135791183</v>
      </c>
    </row>
    <row r="57" spans="1:18">
      <c r="A57" s="45" t="s">
        <v>53</v>
      </c>
      <c r="B57" s="11" t="s">
        <v>54</v>
      </c>
      <c r="C57" s="101">
        <v>333</v>
      </c>
      <c r="D57" s="98">
        <v>-6.9832402200000004E-2</v>
      </c>
      <c r="E57" s="99">
        <v>33736436.004993148</v>
      </c>
      <c r="F57" s="40"/>
      <c r="G57" s="61" t="str">
        <f ca="1">IFERROR(OFFSET(INDIRECT($H$3 &amp; "!A179"), 1, 0), "")</f>
        <v>캐리프로토콜</v>
      </c>
      <c r="H57" s="44">
        <f t="shared" ca="1" si="16"/>
        <v>21.8</v>
      </c>
      <c r="I57" s="83">
        <f t="shared" ca="1" si="17"/>
        <v>-0.10655737699999999</v>
      </c>
      <c r="J57" s="92">
        <f t="shared" ref="J57:J75" ca="1" si="22">_xlfn.IFNA(VLOOKUP(G57, $B$2:$E$200, 4, FALSE), "")</f>
        <v>2087368334.8944275</v>
      </c>
      <c r="K57" s="61" t="str">
        <f ca="1">IFERROR(OFFSET(INDIRECT($H$3 &amp; "!A125"), 1, 0), "")</f>
        <v>비트토렌트</v>
      </c>
      <c r="L57" s="44">
        <f t="shared" ca="1" si="18"/>
        <v>8.1999999999999993</v>
      </c>
      <c r="M57" s="83">
        <f t="shared" ca="1" si="19"/>
        <v>-5.7471264399999999E-2</v>
      </c>
      <c r="N57" s="92">
        <f t="shared" ref="N57:N75" ca="1" si="23">_xlfn.IFNA(VLOOKUP(K57, $B$2:$E$200, 4, FALSE), "")</f>
        <v>82690412401.563492</v>
      </c>
      <c r="O57" s="61" t="str">
        <f ca="1">IFERROR(OFFSET(INDIRECT($H$3 &amp; "!A152"), 1, 0), "")</f>
        <v>아더</v>
      </c>
      <c r="P57" s="44">
        <f t="shared" ca="1" si="20"/>
        <v>430</v>
      </c>
      <c r="Q57" s="83">
        <f t="shared" ca="1" si="21"/>
        <v>-8.1196581200000006E-2</v>
      </c>
      <c r="R57" s="92">
        <f t="shared" ref="R57:R75" ca="1" si="24">_xlfn.IFNA(VLOOKUP(O57, $B$2:$E$200, 4, FALSE), "")</f>
        <v>83289007.853898406</v>
      </c>
    </row>
    <row r="58" spans="1:18">
      <c r="A58" s="45" t="s">
        <v>181</v>
      </c>
      <c r="B58" s="11" t="s">
        <v>182</v>
      </c>
      <c r="C58" s="101">
        <v>472</v>
      </c>
      <c r="D58" s="98">
        <v>-7.2691552100000001E-2</v>
      </c>
      <c r="E58" s="99">
        <v>41820709.879148908</v>
      </c>
      <c r="F58" s="40"/>
      <c r="G58" s="61" t="str">
        <f ca="1">IFERROR(OFFSET(INDIRECT($H$3 &amp; "!A179"), 2, 0), "")</f>
        <v>마로</v>
      </c>
      <c r="H58" s="44">
        <f t="shared" ca="1" si="16"/>
        <v>506</v>
      </c>
      <c r="I58" s="83">
        <f t="shared" ca="1" si="17"/>
        <v>-0.1012433393</v>
      </c>
      <c r="J58" s="92">
        <f t="shared" ca="1" si="22"/>
        <v>149943027.36163732</v>
      </c>
      <c r="K58" s="61" t="str">
        <f ca="1">IFERROR(OFFSET(INDIRECT($H$3 &amp; "!A125"), 2, 0), "")</f>
        <v>아이오에스티</v>
      </c>
      <c r="L58" s="44">
        <f t="shared" ca="1" si="18"/>
        <v>70.099999999999994</v>
      </c>
      <c r="M58" s="83">
        <f t="shared" ca="1" si="19"/>
        <v>-6.1579651899999997E-2</v>
      </c>
      <c r="N58" s="92">
        <f t="shared" ca="1" si="23"/>
        <v>458072216.41881424</v>
      </c>
      <c r="O58" s="61" t="str">
        <f ca="1">IFERROR(OFFSET(INDIRECT($H$3 &amp; "!A152"), 2, 0), "")</f>
        <v>아인스타이늄</v>
      </c>
      <c r="P58" s="44">
        <f t="shared" ca="1" si="20"/>
        <v>574</v>
      </c>
      <c r="Q58" s="83">
        <f t="shared" ca="1" si="21"/>
        <v>-8.0128205100000002E-2</v>
      </c>
      <c r="R58" s="92">
        <f t="shared" ca="1" si="24"/>
        <v>137632228.66362166</v>
      </c>
    </row>
    <row r="59" spans="1:18">
      <c r="A59" s="45" t="s">
        <v>161</v>
      </c>
      <c r="B59" s="11" t="s">
        <v>162</v>
      </c>
      <c r="C59" s="101">
        <v>1975</v>
      </c>
      <c r="D59" s="98">
        <v>-7.2769953100000007E-2</v>
      </c>
      <c r="E59" s="99">
        <v>15348895.794229619</v>
      </c>
      <c r="F59" s="40"/>
      <c r="G59" s="61" t="str">
        <f ca="1">IFERROR(OFFSET(INDIRECT($H$3 &amp; "!A179"), 3, 0), "")</f>
        <v>리퍼리움</v>
      </c>
      <c r="H59" s="44">
        <f t="shared" ca="1" si="16"/>
        <v>24.3</v>
      </c>
      <c r="I59" s="83">
        <f t="shared" ca="1" si="17"/>
        <v>-0.1033210332</v>
      </c>
      <c r="J59" s="92">
        <f t="shared" ca="1" si="22"/>
        <v>1352073197.925812</v>
      </c>
      <c r="K59" s="61" t="str">
        <f ca="1">IFERROR(OFFSET(INDIRECT($H$3 &amp; "!A125"), 3, 0), "")</f>
        <v>시아코인</v>
      </c>
      <c r="L59" s="44">
        <f t="shared" ca="1" si="18"/>
        <v>45.2</v>
      </c>
      <c r="M59" s="83">
        <f t="shared" ca="1" si="19"/>
        <v>-6.8041237099999999E-2</v>
      </c>
      <c r="N59" s="92">
        <f t="shared" ca="1" si="23"/>
        <v>2390022988.0265765</v>
      </c>
      <c r="O59" s="61" t="str">
        <f ca="1">IFERROR(OFFSET(INDIRECT($H$3 &amp; "!A152"), 3, 0), "")</f>
        <v>센티넬프로토콜</v>
      </c>
      <c r="P59" s="44">
        <f t="shared" ca="1" si="20"/>
        <v>176</v>
      </c>
      <c r="Q59" s="83">
        <f t="shared" ca="1" si="21"/>
        <v>-8.3333333300000006E-2</v>
      </c>
      <c r="R59" s="92">
        <f t="shared" ca="1" si="24"/>
        <v>113309534.23031881</v>
      </c>
    </row>
    <row r="60" spans="1:18">
      <c r="A60" s="45" t="s">
        <v>127</v>
      </c>
      <c r="B60" s="11" t="s">
        <v>128</v>
      </c>
      <c r="C60" s="101">
        <v>599</v>
      </c>
      <c r="D60" s="98">
        <v>-7.4188562599999994E-2</v>
      </c>
      <c r="E60" s="99">
        <v>17638568.15955833</v>
      </c>
      <c r="F60" s="40"/>
      <c r="G60" s="61" t="str">
        <f ca="1">IFERROR(OFFSET(INDIRECT($H$3 &amp; "!A179"), 4, 0), "")</f>
        <v>질리카</v>
      </c>
      <c r="H60" s="44">
        <f t="shared" ca="1" si="16"/>
        <v>226</v>
      </c>
      <c r="I60" s="83">
        <f t="shared" ca="1" si="17"/>
        <v>-9.9601593599999996E-2</v>
      </c>
      <c r="J60" s="96">
        <f t="shared" ca="1" si="22"/>
        <v>237598812.24015525</v>
      </c>
      <c r="K60" s="63" t="str">
        <f ca="1">IFERROR(OFFSET(INDIRECT($H$3 &amp; "!A125"), 4, 0), "")</f>
        <v>에브리피디아</v>
      </c>
      <c r="L60" s="49">
        <f t="shared" ca="1" si="18"/>
        <v>24.9</v>
      </c>
      <c r="M60" s="84">
        <f t="shared" ca="1" si="19"/>
        <v>-9.1240875900000004E-2</v>
      </c>
      <c r="N60" s="96">
        <f t="shared" ca="1" si="23"/>
        <v>807540678.06478262</v>
      </c>
      <c r="O60" s="63" t="str">
        <f ca="1">IFERROR(OFFSET(INDIRECT($H$3 &amp; "!A152"), 4, 0), "")</f>
        <v>엘비알와이크레딧</v>
      </c>
      <c r="P60" s="49">
        <f t="shared" ca="1" si="20"/>
        <v>215</v>
      </c>
      <c r="Q60" s="84">
        <f t="shared" ca="1" si="21"/>
        <v>-8.8983050800000005E-2</v>
      </c>
      <c r="R60" s="96">
        <f t="shared" ca="1" si="24"/>
        <v>38699926.863834463</v>
      </c>
    </row>
    <row r="61" spans="1:18">
      <c r="A61" s="45" t="s">
        <v>167</v>
      </c>
      <c r="B61" s="11" t="s">
        <v>168</v>
      </c>
      <c r="C61" s="101">
        <v>186</v>
      </c>
      <c r="D61" s="98">
        <v>-7.4626865700000003E-2</v>
      </c>
      <c r="E61" s="99">
        <v>427963017.46679014</v>
      </c>
      <c r="F61" s="40"/>
      <c r="G61" s="65" t="str">
        <f ca="1">IFERROR(OFFSET(INDIRECT($H$3 &amp; "!A179"), 5, 0), "")</f>
        <v>에스티피</v>
      </c>
      <c r="H61" s="50">
        <f t="shared" ca="1" si="16"/>
        <v>93.5</v>
      </c>
      <c r="I61" s="86">
        <f t="shared" ca="1" si="17"/>
        <v>-0.1009615385</v>
      </c>
      <c r="J61" s="105">
        <f t="shared" ca="1" si="22"/>
        <v>277496575.39103156</v>
      </c>
      <c r="K61" s="61" t="str">
        <f ca="1">IFERROR(OFFSET(INDIRECT($H$3 &amp; "!A125"), 5, 0), "")</f>
        <v>썬더토큰</v>
      </c>
      <c r="L61" s="44">
        <f t="shared" ca="1" si="18"/>
        <v>21</v>
      </c>
      <c r="M61" s="83">
        <f t="shared" ca="1" si="19"/>
        <v>-9.0909090900000003E-2</v>
      </c>
      <c r="N61" s="105">
        <f t="shared" ca="1" si="23"/>
        <v>1118684169.9017005</v>
      </c>
      <c r="O61" s="61" t="str">
        <f ca="1">IFERROR(OFFSET(INDIRECT($H$3 &amp; "!A152"), 5, 0), "")</f>
        <v>폴리매쓰</v>
      </c>
      <c r="P61" s="44">
        <f t="shared" ca="1" si="20"/>
        <v>438</v>
      </c>
      <c r="Q61" s="83">
        <f t="shared" ca="1" si="21"/>
        <v>-8.5594989600000004E-2</v>
      </c>
      <c r="R61" s="105">
        <f t="shared" ca="1" si="24"/>
        <v>74186719.764929131</v>
      </c>
    </row>
    <row r="62" spans="1:18">
      <c r="A62" s="45" t="s">
        <v>165</v>
      </c>
      <c r="B62" s="11" t="s">
        <v>166</v>
      </c>
      <c r="C62" s="101">
        <v>2280</v>
      </c>
      <c r="D62" s="98">
        <v>-7.5050709899999998E-2</v>
      </c>
      <c r="E62" s="99">
        <v>10293979.21911253</v>
      </c>
      <c r="F62" s="40"/>
      <c r="G62" s="61" t="str">
        <f ca="1">IFERROR(OFFSET(INDIRECT($H$3 &amp; "!A179"), 6, 0), "")</f>
        <v>엔도르</v>
      </c>
      <c r="H62" s="44">
        <f t="shared" ca="1" si="16"/>
        <v>73.3</v>
      </c>
      <c r="I62" s="83">
        <f t="shared" ca="1" si="17"/>
        <v>-0.10391198040000001</v>
      </c>
      <c r="J62" s="92">
        <f t="shared" ca="1" si="22"/>
        <v>429913392.6255855</v>
      </c>
      <c r="K62" s="61" t="str">
        <f ca="1">IFERROR(OFFSET(INDIRECT($H$3 &amp; "!A125"), 6, 0), "")</f>
        <v>쿼크체인</v>
      </c>
      <c r="L62" s="44">
        <f t="shared" ca="1" si="18"/>
        <v>33.700000000000003</v>
      </c>
      <c r="M62" s="83">
        <f t="shared" ca="1" si="19"/>
        <v>-9.1644204899999998E-2</v>
      </c>
      <c r="N62" s="92">
        <f t="shared" ca="1" si="23"/>
        <v>391419597.63015407</v>
      </c>
      <c r="O62" s="61" t="str">
        <f ca="1">IFERROR(OFFSET(INDIRECT($H$3 &amp; "!A152"), 6, 0), "")</f>
        <v>휴먼스케이프</v>
      </c>
      <c r="P62" s="44">
        <f t="shared" ca="1" si="20"/>
        <v>178</v>
      </c>
      <c r="Q62" s="83">
        <f t="shared" ca="1" si="21"/>
        <v>-9.1836734700000006E-2</v>
      </c>
      <c r="R62" s="92">
        <f t="shared" ca="1" si="24"/>
        <v>178007926.70885068</v>
      </c>
    </row>
    <row r="63" spans="1:18">
      <c r="A63" s="45" t="s">
        <v>211</v>
      </c>
      <c r="B63" s="11" t="s">
        <v>212</v>
      </c>
      <c r="C63" s="101">
        <v>145</v>
      </c>
      <c r="D63" s="98">
        <v>-7.6433121000000007E-2</v>
      </c>
      <c r="E63" s="99">
        <v>1573019241.8329396</v>
      </c>
      <c r="F63" s="40"/>
      <c r="G63" s="61" t="str">
        <f ca="1">IFERROR(OFFSET(INDIRECT($H$3 &amp; "!A179"), 7, 0), "")</f>
        <v>헌트</v>
      </c>
      <c r="H63" s="44">
        <f t="shared" ca="1" si="16"/>
        <v>439</v>
      </c>
      <c r="I63" s="83">
        <f t="shared" ca="1" si="17"/>
        <v>-0.1004098361</v>
      </c>
      <c r="J63" s="92">
        <f t="shared" ca="1" si="22"/>
        <v>51075434.68255271</v>
      </c>
      <c r="K63" s="61" t="str">
        <f ca="1">IFERROR(OFFSET(INDIRECT($H$3 &amp; "!A125"), 7, 0), "")</f>
        <v>아하토큰</v>
      </c>
      <c r="L63" s="44">
        <f t="shared" ca="1" si="18"/>
        <v>19.899999999999999</v>
      </c>
      <c r="M63" s="83">
        <f t="shared" ca="1" si="19"/>
        <v>-9.5454545500000001E-2</v>
      </c>
      <c r="N63" s="92">
        <f t="shared" ca="1" si="23"/>
        <v>794523935.16090953</v>
      </c>
      <c r="O63" s="61" t="str">
        <f ca="1">IFERROR(OFFSET(INDIRECT($H$3 &amp; "!A152"), 7, 0), "")</f>
        <v>솔브케어</v>
      </c>
      <c r="P63" s="44">
        <f t="shared" ca="1" si="20"/>
        <v>306</v>
      </c>
      <c r="Q63" s="83">
        <f t="shared" ca="1" si="21"/>
        <v>-9.1988130599999995E-2</v>
      </c>
      <c r="R63" s="92">
        <f t="shared" ca="1" si="24"/>
        <v>47950003.764904208</v>
      </c>
    </row>
    <row r="64" spans="1:18">
      <c r="A64" s="45" t="s">
        <v>275</v>
      </c>
      <c r="B64" s="11" t="s">
        <v>276</v>
      </c>
      <c r="C64" s="101">
        <v>4025</v>
      </c>
      <c r="D64" s="98">
        <v>-7.7892325299999995E-2</v>
      </c>
      <c r="E64" s="99">
        <v>3227172.6164111202</v>
      </c>
      <c r="F64" s="40"/>
      <c r="G64" s="61" t="str">
        <f ca="1">IFERROR(OFFSET(INDIRECT($H$3 &amp; "!A179"), 8, 0), "")</f>
        <v>퀴즈톡</v>
      </c>
      <c r="H64" s="44">
        <f t="shared" ca="1" si="16"/>
        <v>85.4</v>
      </c>
      <c r="I64" s="83">
        <f t="shared" ca="1" si="17"/>
        <v>-0.1057591623</v>
      </c>
      <c r="J64" s="92">
        <f t="shared" ca="1" si="22"/>
        <v>221604469.44575566</v>
      </c>
      <c r="K64" s="61" t="str">
        <f ca="1">IFERROR(OFFSET(INDIRECT($H$3 &amp; "!A125"), 8, 0), "")</f>
        <v>엠블</v>
      </c>
      <c r="L64" s="44">
        <f t="shared" ca="1" si="18"/>
        <v>30.7</v>
      </c>
      <c r="M64" s="83">
        <f t="shared" ca="1" si="19"/>
        <v>-9.7058823500000002E-2</v>
      </c>
      <c r="N64" s="92">
        <f t="shared" ca="1" si="23"/>
        <v>2377246707.0334959</v>
      </c>
      <c r="O64" s="61" t="str">
        <f ca="1">IFERROR(OFFSET(INDIRECT($H$3 &amp; "!A152"), 8, 0), "")</f>
        <v>아르고</v>
      </c>
      <c r="P64" s="44">
        <f t="shared" ca="1" si="20"/>
        <v>400</v>
      </c>
      <c r="Q64" s="83">
        <f t="shared" ca="1" si="21"/>
        <v>-0.1011235955</v>
      </c>
      <c r="R64" s="92">
        <f t="shared" ca="1" si="24"/>
        <v>56885646.21335528</v>
      </c>
    </row>
    <row r="65" spans="1:18" ht="17.25" thickBot="1">
      <c r="A65" s="45" t="s">
        <v>271</v>
      </c>
      <c r="B65" s="11" t="s">
        <v>272</v>
      </c>
      <c r="C65" s="101">
        <v>2300</v>
      </c>
      <c r="D65" s="98">
        <v>-7.81563126E-2</v>
      </c>
      <c r="E65" s="99">
        <v>7680690.9406590303</v>
      </c>
      <c r="F65" s="40"/>
      <c r="G65" s="62" t="str">
        <f ca="1">IFERROR(OFFSET(INDIRECT($H$3 &amp; "!A179"), 9, 0), "")</f>
        <v>메타디움</v>
      </c>
      <c r="H65" s="42">
        <f t="shared" ca="1" si="16"/>
        <v>206</v>
      </c>
      <c r="I65" s="85">
        <f t="shared" ca="1" si="17"/>
        <v>-0.1004366812</v>
      </c>
      <c r="J65" s="93">
        <f t="shared" ca="1" si="22"/>
        <v>259576948.43269348</v>
      </c>
      <c r="K65" s="62" t="str">
        <f ca="1">IFERROR(OFFSET(INDIRECT($H$3 &amp; "!A125"), 9, 0), "")</f>
        <v>람다</v>
      </c>
      <c r="L65" s="42">
        <f t="shared" ca="1" si="18"/>
        <v>94</v>
      </c>
      <c r="M65" s="85">
        <f t="shared" ca="1" si="19"/>
        <v>-9.6153846200000004E-2</v>
      </c>
      <c r="N65" s="93">
        <f t="shared" ca="1" si="23"/>
        <v>190813111.2739895</v>
      </c>
      <c r="O65" s="62" t="str">
        <f ca="1">IFERROR(OFFSET(INDIRECT($H$3 &amp; "!A152"), 9, 0), "")</f>
        <v>오브스</v>
      </c>
      <c r="P65" s="42">
        <f t="shared" ca="1" si="20"/>
        <v>149</v>
      </c>
      <c r="Q65" s="85">
        <f t="shared" ca="1" si="21"/>
        <v>-0.10240963860000001</v>
      </c>
      <c r="R65" s="93">
        <f t="shared" ca="1" si="24"/>
        <v>225220114.63966697</v>
      </c>
    </row>
    <row r="66" spans="1:18">
      <c r="A66" s="45" t="s">
        <v>251</v>
      </c>
      <c r="B66" s="11" t="s">
        <v>252</v>
      </c>
      <c r="C66" s="101">
        <v>574</v>
      </c>
      <c r="D66" s="98">
        <v>-8.0128205100000002E-2</v>
      </c>
      <c r="E66" s="99">
        <v>137632228.66362166</v>
      </c>
      <c r="F66" s="40"/>
      <c r="G66" s="61" t="str">
        <f ca="1">IFERROR(OFFSET(INDIRECT($H$3 &amp; "!A179"), 10, 0), "")</f>
        <v>트웰브쉽스</v>
      </c>
      <c r="H66" s="43">
        <f t="shared" ref="H66:H75" ca="1" si="25">_xlfn.IFNA(VLOOKUP(G66, $B$2:$D$200, 2, FALSE), "")</f>
        <v>28.8</v>
      </c>
      <c r="I66" s="82">
        <f t="shared" ref="I66:I75" ca="1" si="26">_xlfn.IFNA(VLOOKUP(G66, $B$2:$D$200, 3, FALSE), "")</f>
        <v>-0.10559006210000001</v>
      </c>
      <c r="J66" s="91">
        <f t="shared" ca="1" si="22"/>
        <v>1284464747.6885076</v>
      </c>
      <c r="K66" s="60" t="str">
        <f ca="1">IFERROR(OFFSET(INDIRECT($H$3 &amp; "!A125"), 10, 0), "")</f>
        <v>메인프레임</v>
      </c>
      <c r="L66" s="43">
        <f t="shared" ca="1" si="18"/>
        <v>19.2</v>
      </c>
      <c r="M66" s="82">
        <f t="shared" ca="1" si="19"/>
        <v>-9.0047393399999995E-2</v>
      </c>
      <c r="N66" s="91">
        <f t="shared" ca="1" si="23"/>
        <v>779244552.23641825</v>
      </c>
      <c r="O66" s="60" t="str">
        <f ca="1">IFERROR(OFFSET(INDIRECT($H$3 &amp; "!A152"), 10, 0), "")</f>
        <v>마로</v>
      </c>
      <c r="P66" s="43">
        <f t="shared" ca="1" si="20"/>
        <v>506</v>
      </c>
      <c r="Q66" s="82">
        <f t="shared" ca="1" si="21"/>
        <v>-0.1012433393</v>
      </c>
      <c r="R66" s="91">
        <f t="shared" ca="1" si="24"/>
        <v>149943027.36163732</v>
      </c>
    </row>
    <row r="67" spans="1:18">
      <c r="A67" s="45" t="s">
        <v>68</v>
      </c>
      <c r="B67" s="11" t="s">
        <v>69</v>
      </c>
      <c r="C67" s="101">
        <v>11240</v>
      </c>
      <c r="D67" s="98">
        <v>-8.0196399299999999E-2</v>
      </c>
      <c r="E67" s="99">
        <v>5228275.5090841101</v>
      </c>
      <c r="F67" s="40"/>
      <c r="G67" s="61" t="str">
        <f ca="1">IFERROR(OFFSET(INDIRECT($H$3 &amp; "!A179"), 11, 0), "")</f>
        <v>디카르고</v>
      </c>
      <c r="H67" s="44">
        <f t="shared" ca="1" si="25"/>
        <v>268</v>
      </c>
      <c r="I67" s="83">
        <f t="shared" ca="1" si="26"/>
        <v>-0.1096345515</v>
      </c>
      <c r="J67" s="92">
        <f t="shared" ca="1" si="22"/>
        <v>201706291.54499364</v>
      </c>
      <c r="K67" s="61" t="str">
        <f ca="1">IFERROR(OFFSET(INDIRECT($H$3 &amp; "!A125"), 11, 0), "")</f>
        <v>옵저버</v>
      </c>
      <c r="L67" s="44">
        <f t="shared" ca="1" si="18"/>
        <v>31.4</v>
      </c>
      <c r="M67" s="83">
        <f t="shared" ca="1" si="19"/>
        <v>-9.7701149400000006E-2</v>
      </c>
      <c r="N67" s="92">
        <f t="shared" ca="1" si="23"/>
        <v>1282034998.8472047</v>
      </c>
      <c r="O67" s="61" t="str">
        <f ca="1">IFERROR(OFFSET(INDIRECT($H$3 &amp; "!A152"), 11, 0), "")</f>
        <v>질리카</v>
      </c>
      <c r="P67" s="44">
        <f t="shared" ca="1" si="20"/>
        <v>226</v>
      </c>
      <c r="Q67" s="83">
        <f t="shared" ca="1" si="21"/>
        <v>-9.9601593599999996E-2</v>
      </c>
      <c r="R67" s="92">
        <f t="shared" ca="1" si="24"/>
        <v>237598812.24015525</v>
      </c>
    </row>
    <row r="68" spans="1:18">
      <c r="A68" s="45" t="s">
        <v>173</v>
      </c>
      <c r="B68" s="11" t="s">
        <v>174</v>
      </c>
      <c r="C68" s="101">
        <v>285</v>
      </c>
      <c r="D68" s="98">
        <v>-8.0645161300000004E-2</v>
      </c>
      <c r="E68" s="99">
        <v>87756751.267127335</v>
      </c>
      <c r="F68" s="40"/>
      <c r="G68" s="61" t="str">
        <f ca="1">IFERROR(OFFSET(INDIRECT($H$3 &amp; "!A179"), 12, 0), "")</f>
        <v>애드엑스</v>
      </c>
      <c r="H68" s="44">
        <f t="shared" ca="1" si="25"/>
        <v>1510</v>
      </c>
      <c r="I68" s="83">
        <f t="shared" ca="1" si="26"/>
        <v>-0.10650887570000001</v>
      </c>
      <c r="J68" s="92">
        <f t="shared" ca="1" si="22"/>
        <v>6526458.2801283104</v>
      </c>
      <c r="K68" s="61" t="str">
        <f ca="1">IFERROR(OFFSET(INDIRECT($H$3 &amp; "!A125"), 12, 0), "")</f>
        <v>무비블록</v>
      </c>
      <c r="L68" s="44">
        <f t="shared" ca="1" si="18"/>
        <v>19.5</v>
      </c>
      <c r="M68" s="83">
        <f t="shared" ca="1" si="19"/>
        <v>-0.10138248850000001</v>
      </c>
      <c r="N68" s="92">
        <f t="shared" ca="1" si="23"/>
        <v>2891841592.9502096</v>
      </c>
      <c r="O68" s="61" t="str">
        <f ca="1">IFERROR(OFFSET(INDIRECT($H$3 &amp; "!A152"), 12, 0), "")</f>
        <v>헌트</v>
      </c>
      <c r="P68" s="44">
        <f t="shared" ca="1" si="20"/>
        <v>439</v>
      </c>
      <c r="Q68" s="83">
        <f t="shared" ca="1" si="21"/>
        <v>-0.1004098361</v>
      </c>
      <c r="R68" s="92">
        <f t="shared" ca="1" si="24"/>
        <v>51075434.68255271</v>
      </c>
    </row>
    <row r="69" spans="1:18">
      <c r="A69" s="45" t="s">
        <v>283</v>
      </c>
      <c r="B69" s="11" t="s">
        <v>284</v>
      </c>
      <c r="C69" s="101">
        <v>430</v>
      </c>
      <c r="D69" s="98">
        <v>-8.1196581200000006E-2</v>
      </c>
      <c r="E69" s="99">
        <v>83289007.853898406</v>
      </c>
      <c r="F69" s="40"/>
      <c r="G69" s="61" t="str">
        <f ca="1">IFERROR(OFFSET(INDIRECT($H$3 &amp; "!A179"), 13, 0), "")</f>
        <v>플레이댑</v>
      </c>
      <c r="H69" s="44">
        <f t="shared" ca="1" si="25"/>
        <v>518</v>
      </c>
      <c r="I69" s="83">
        <f t="shared" ca="1" si="26"/>
        <v>-0.1053540587</v>
      </c>
      <c r="J69" s="92">
        <f t="shared" ca="1" si="22"/>
        <v>33187438.907981802</v>
      </c>
      <c r="K69" s="61" t="str">
        <f ca="1">IFERROR(OFFSET(INDIRECT($H$3 &amp; "!A125"), 13, 0), "")</f>
        <v>캐리프로토콜</v>
      </c>
      <c r="L69" s="44">
        <f t="shared" ca="1" si="18"/>
        <v>21.8</v>
      </c>
      <c r="M69" s="83">
        <f t="shared" ca="1" si="19"/>
        <v>-0.10655737699999999</v>
      </c>
      <c r="N69" s="92">
        <f t="shared" ca="1" si="23"/>
        <v>2087368334.8944275</v>
      </c>
      <c r="O69" s="61" t="str">
        <f ca="1">IFERROR(OFFSET(INDIRECT($H$3 &amp; "!A152"), 13, 0), "")</f>
        <v>메타디움</v>
      </c>
      <c r="P69" s="44">
        <f t="shared" ca="1" si="20"/>
        <v>206</v>
      </c>
      <c r="Q69" s="83">
        <f t="shared" ca="1" si="21"/>
        <v>-0.1004366812</v>
      </c>
      <c r="R69" s="92">
        <f t="shared" ca="1" si="24"/>
        <v>259576948.43269348</v>
      </c>
    </row>
    <row r="70" spans="1:18">
      <c r="A70" s="45" t="s">
        <v>231</v>
      </c>
      <c r="B70" s="11" t="s">
        <v>232</v>
      </c>
      <c r="C70" s="101">
        <v>176</v>
      </c>
      <c r="D70" s="98">
        <v>-8.3333333300000006E-2</v>
      </c>
      <c r="E70" s="99">
        <v>113309534.23031881</v>
      </c>
      <c r="F70" s="40"/>
      <c r="G70" s="61" t="str">
        <f ca="1">IFERROR(OFFSET(INDIRECT($H$3 &amp; "!A179"), 14, 0), "")</f>
        <v>픽셀</v>
      </c>
      <c r="H70" s="44">
        <f t="shared" ca="1" si="25"/>
        <v>116</v>
      </c>
      <c r="I70" s="83">
        <f t="shared" ca="1" si="26"/>
        <v>-0.1076923077</v>
      </c>
      <c r="J70" s="96">
        <f t="shared" ca="1" si="22"/>
        <v>430610735.80161971</v>
      </c>
      <c r="K70" s="63" t="str">
        <f ca="1">IFERROR(OFFSET(INDIRECT($H$3 &amp; "!A125"), 14, 0), "")</f>
        <v>리퍼리움</v>
      </c>
      <c r="L70" s="49">
        <f t="shared" ca="1" si="18"/>
        <v>24.3</v>
      </c>
      <c r="M70" s="84">
        <f t="shared" ca="1" si="19"/>
        <v>-0.1033210332</v>
      </c>
      <c r="N70" s="96">
        <f t="shared" ca="1" si="23"/>
        <v>1352073197.925812</v>
      </c>
      <c r="O70" s="63" t="str">
        <f ca="1">IFERROR(OFFSET(INDIRECT($H$3 &amp; "!A152"), 14, 0), "")</f>
        <v>디카르고</v>
      </c>
      <c r="P70" s="49">
        <f t="shared" ca="1" si="20"/>
        <v>268</v>
      </c>
      <c r="Q70" s="84">
        <f t="shared" ca="1" si="21"/>
        <v>-0.1096345515</v>
      </c>
      <c r="R70" s="96">
        <f t="shared" ca="1" si="24"/>
        <v>201706291.54499364</v>
      </c>
    </row>
    <row r="71" spans="1:18">
      <c r="A71" s="45" t="s">
        <v>263</v>
      </c>
      <c r="B71" s="11" t="s">
        <v>264</v>
      </c>
      <c r="C71" s="101">
        <v>163</v>
      </c>
      <c r="D71" s="98">
        <v>-8.42696629E-2</v>
      </c>
      <c r="E71" s="99">
        <v>64322709.877151102</v>
      </c>
      <c r="F71" s="40"/>
      <c r="G71" s="65" t="str">
        <f ca="1">IFERROR(OFFSET(INDIRECT($H$3 &amp; "!A179"), 15, 0), "")</f>
        <v>썸씽</v>
      </c>
      <c r="H71" s="50">
        <f t="shared" ca="1" si="25"/>
        <v>129</v>
      </c>
      <c r="I71" s="86">
        <f t="shared" ca="1" si="26"/>
        <v>-0.1103448276</v>
      </c>
      <c r="J71" s="105">
        <f t="shared" ca="1" si="22"/>
        <v>303262925.61247736</v>
      </c>
      <c r="K71" s="61" t="str">
        <f ca="1">IFERROR(OFFSET(INDIRECT($H$3 &amp; "!A125"), 15, 0), "")</f>
        <v>에스티피</v>
      </c>
      <c r="L71" s="44">
        <f t="shared" ca="1" si="18"/>
        <v>93.5</v>
      </c>
      <c r="M71" s="83">
        <f t="shared" ca="1" si="19"/>
        <v>-0.1009615385</v>
      </c>
      <c r="N71" s="105">
        <f t="shared" ca="1" si="23"/>
        <v>277496575.39103156</v>
      </c>
      <c r="O71" s="61" t="str">
        <f ca="1">IFERROR(OFFSET(INDIRECT($H$3 &amp; "!A152"), 15, 0), "")</f>
        <v>플레이댑</v>
      </c>
      <c r="P71" s="44">
        <f t="shared" ca="1" si="20"/>
        <v>518</v>
      </c>
      <c r="Q71" s="83">
        <f t="shared" ca="1" si="21"/>
        <v>-0.1053540587</v>
      </c>
      <c r="R71" s="105">
        <f t="shared" ca="1" si="24"/>
        <v>33187438.907981802</v>
      </c>
    </row>
    <row r="72" spans="1:18">
      <c r="A72" s="45" t="s">
        <v>247</v>
      </c>
      <c r="B72" s="11" t="s">
        <v>248</v>
      </c>
      <c r="C72" s="101">
        <v>2995</v>
      </c>
      <c r="D72" s="98">
        <v>-8.5496183200000006E-2</v>
      </c>
      <c r="E72" s="99">
        <v>5023368.5091529004</v>
      </c>
      <c r="F72" s="40"/>
      <c r="G72" s="61" t="str">
        <f ca="1">IFERROR(OFFSET(INDIRECT($H$3 &amp; "!A179"), 16, 0), "")</f>
        <v>디마켓</v>
      </c>
      <c r="H72" s="44">
        <f t="shared" ca="1" si="25"/>
        <v>1370</v>
      </c>
      <c r="I72" s="83">
        <f t="shared" ca="1" si="26"/>
        <v>-0.1103896104</v>
      </c>
      <c r="J72" s="92">
        <f t="shared" ca="1" si="22"/>
        <v>12100229.33439251</v>
      </c>
      <c r="K72" s="61" t="str">
        <f ca="1">IFERROR(OFFSET(INDIRECT($H$3 &amp; "!A125"), 16, 0), "")</f>
        <v>엔도르</v>
      </c>
      <c r="L72" s="44">
        <f t="shared" ca="1" si="18"/>
        <v>73.3</v>
      </c>
      <c r="M72" s="83">
        <f t="shared" ca="1" si="19"/>
        <v>-0.10391198040000001</v>
      </c>
      <c r="N72" s="92">
        <f t="shared" ca="1" si="23"/>
        <v>429913392.6255855</v>
      </c>
      <c r="O72" s="61" t="str">
        <f ca="1">IFERROR(OFFSET(INDIRECT($H$3 &amp; "!A152"), 16, 0), "")</f>
        <v>픽셀</v>
      </c>
      <c r="P72" s="44">
        <f t="shared" ca="1" si="20"/>
        <v>116</v>
      </c>
      <c r="Q72" s="83">
        <f t="shared" ca="1" si="21"/>
        <v>-0.1076923077</v>
      </c>
      <c r="R72" s="92">
        <f t="shared" ca="1" si="24"/>
        <v>430610735.80161971</v>
      </c>
    </row>
    <row r="73" spans="1:18">
      <c r="A73" s="45" t="s">
        <v>209</v>
      </c>
      <c r="B73" s="11" t="s">
        <v>210</v>
      </c>
      <c r="C73" s="101">
        <v>203</v>
      </c>
      <c r="D73" s="98">
        <v>-8.55855856E-2</v>
      </c>
      <c r="E73" s="99">
        <v>71562342.135791183</v>
      </c>
      <c r="F73" s="40"/>
      <c r="G73" s="61" t="str">
        <f ca="1">IFERROR(OFFSET(INDIRECT($H$3 &amp; "!A179"), 17, 0), "")</f>
        <v>모스코인</v>
      </c>
      <c r="H73" s="44">
        <f t="shared" ca="1" si="25"/>
        <v>207</v>
      </c>
      <c r="I73" s="83">
        <f t="shared" ca="1" si="26"/>
        <v>-0.1153846154</v>
      </c>
      <c r="J73" s="92">
        <f t="shared" ca="1" si="22"/>
        <v>153073724.57146943</v>
      </c>
      <c r="K73" s="61" t="str">
        <f ca="1">IFERROR(OFFSET(INDIRECT($H$3 &amp; "!A125"), 17, 0), "")</f>
        <v>퀴즈톡</v>
      </c>
      <c r="L73" s="44">
        <f t="shared" ca="1" si="18"/>
        <v>85.4</v>
      </c>
      <c r="M73" s="83">
        <f t="shared" ca="1" si="19"/>
        <v>-0.1057591623</v>
      </c>
      <c r="N73" s="92">
        <f t="shared" ca="1" si="23"/>
        <v>221604469.44575566</v>
      </c>
      <c r="O73" s="61" t="str">
        <f ca="1">IFERROR(OFFSET(INDIRECT($H$3 &amp; "!A152"), 17, 0), "")</f>
        <v>썸씽</v>
      </c>
      <c r="P73" s="44">
        <f t="shared" ca="1" si="20"/>
        <v>129</v>
      </c>
      <c r="Q73" s="83">
        <f t="shared" ca="1" si="21"/>
        <v>-0.1103448276</v>
      </c>
      <c r="R73" s="92">
        <f t="shared" ca="1" si="24"/>
        <v>303262925.61247736</v>
      </c>
    </row>
    <row r="74" spans="1:18">
      <c r="A74" s="45" t="s">
        <v>215</v>
      </c>
      <c r="B74" s="11" t="s">
        <v>216</v>
      </c>
      <c r="C74" s="101">
        <v>438</v>
      </c>
      <c r="D74" s="98">
        <v>-8.5594989600000004E-2</v>
      </c>
      <c r="E74" s="99">
        <v>74186719.764929131</v>
      </c>
      <c r="F74" s="40"/>
      <c r="G74" s="61" t="str">
        <f ca="1">IFERROR(OFFSET(INDIRECT($H$3 &amp; "!A179"), 18, 0), "")</f>
        <v>코박토큰</v>
      </c>
      <c r="H74" s="44">
        <f t="shared" ca="1" si="25"/>
        <v>9105</v>
      </c>
      <c r="I74" s="83">
        <f t="shared" ca="1" si="26"/>
        <v>-0.1142996109</v>
      </c>
      <c r="J74" s="92">
        <f t="shared" ca="1" si="22"/>
        <v>8338714.2550131604</v>
      </c>
      <c r="K74" s="61" t="str">
        <f ca="1">IFERROR(OFFSET(INDIRECT($H$3 &amp; "!A125"), 18, 0), "")</f>
        <v>트웰브쉽스</v>
      </c>
      <c r="L74" s="44">
        <f t="shared" ca="1" si="18"/>
        <v>28.8</v>
      </c>
      <c r="M74" s="83">
        <f t="shared" ca="1" si="19"/>
        <v>-0.10559006210000001</v>
      </c>
      <c r="N74" s="92">
        <f t="shared" ca="1" si="23"/>
        <v>1284464747.6885076</v>
      </c>
      <c r="O74" s="61" t="str">
        <f ca="1">IFERROR(OFFSET(INDIRECT($H$3 &amp; "!A152"), 18, 0), "")</f>
        <v>모스코인</v>
      </c>
      <c r="P74" s="44">
        <f t="shared" ca="1" si="20"/>
        <v>207</v>
      </c>
      <c r="Q74" s="83">
        <f t="shared" ca="1" si="21"/>
        <v>-0.1153846154</v>
      </c>
      <c r="R74" s="92">
        <f t="shared" ca="1" si="24"/>
        <v>153073724.57146943</v>
      </c>
    </row>
    <row r="75" spans="1:18" ht="17.25" thickBot="1">
      <c r="A75" s="45" t="s">
        <v>145</v>
      </c>
      <c r="B75" s="11" t="s">
        <v>146</v>
      </c>
      <c r="C75" s="101">
        <v>16870</v>
      </c>
      <c r="D75" s="98">
        <v>-8.6132177700000007E-2</v>
      </c>
      <c r="E75" s="99">
        <v>1993401.18134843</v>
      </c>
      <c r="F75" s="40"/>
      <c r="G75" s="62" t="str">
        <f ca="1">IFERROR(OFFSET(INDIRECT($H$3 &amp; "!A179"), 19, 0), "")</f>
        <v>하이브</v>
      </c>
      <c r="H75" s="42">
        <f t="shared" ca="1" si="25"/>
        <v>747</v>
      </c>
      <c r="I75" s="85">
        <f t="shared" ca="1" si="26"/>
        <v>-0.1211764706</v>
      </c>
      <c r="J75" s="93">
        <f t="shared" ca="1" si="22"/>
        <v>101034949.51475091</v>
      </c>
      <c r="K75" s="62">
        <f ca="1">IFERROR(OFFSET(INDIRECT($H$3 &amp; "!A125"), 19, 0), "")</f>
        <v>0</v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>하이브</v>
      </c>
      <c r="P75" s="42">
        <f t="shared" ca="1" si="20"/>
        <v>747</v>
      </c>
      <c r="Q75" s="85">
        <f t="shared" ca="1" si="21"/>
        <v>-0.1211764706</v>
      </c>
      <c r="R75" s="93">
        <f t="shared" ca="1" si="24"/>
        <v>101034949.51475091</v>
      </c>
    </row>
    <row r="76" spans="1:18">
      <c r="A76" s="45" t="s">
        <v>261</v>
      </c>
      <c r="B76" s="11" t="s">
        <v>262</v>
      </c>
      <c r="C76" s="101">
        <v>1000</v>
      </c>
      <c r="D76" s="98">
        <v>-8.6757990899999998E-2</v>
      </c>
      <c r="E76" s="99">
        <v>28927098.1599508</v>
      </c>
      <c r="F76" s="40"/>
      <c r="G76" s="40"/>
      <c r="H76" s="40"/>
      <c r="I76" s="40"/>
    </row>
    <row r="77" spans="1:18">
      <c r="A77" s="45" t="s">
        <v>191</v>
      </c>
      <c r="B77" s="11" t="s">
        <v>192</v>
      </c>
      <c r="C77" s="101">
        <v>1040</v>
      </c>
      <c r="D77" s="98">
        <v>-8.7719298200000004E-2</v>
      </c>
      <c r="E77" s="99">
        <v>9531524.0607061293</v>
      </c>
      <c r="F77" s="40"/>
      <c r="G77" s="40"/>
      <c r="H77" s="40"/>
      <c r="I77" s="40"/>
    </row>
    <row r="78" spans="1:18">
      <c r="A78" s="45" t="s">
        <v>163</v>
      </c>
      <c r="B78" s="11" t="s">
        <v>164</v>
      </c>
      <c r="C78" s="101">
        <v>22140</v>
      </c>
      <c r="D78" s="98">
        <v>-8.8138385499999999E-2</v>
      </c>
      <c r="E78" s="99">
        <v>1231674.39053681</v>
      </c>
      <c r="F78" s="40"/>
      <c r="G78" s="40"/>
      <c r="H78" s="40"/>
      <c r="I78" s="40"/>
    </row>
    <row r="79" spans="1:18">
      <c r="A79" s="45" t="s">
        <v>123</v>
      </c>
      <c r="B79" s="11" t="s">
        <v>124</v>
      </c>
      <c r="C79" s="101">
        <v>7350</v>
      </c>
      <c r="D79" s="98">
        <v>-8.8654680700000002E-2</v>
      </c>
      <c r="E79" s="99">
        <v>1928903.3959742701</v>
      </c>
      <c r="F79" s="40"/>
      <c r="G79" s="40"/>
      <c r="H79" s="40"/>
      <c r="I79" s="40"/>
    </row>
    <row r="80" spans="1:18">
      <c r="A80" s="45" t="s">
        <v>249</v>
      </c>
      <c r="B80" s="11" t="s">
        <v>250</v>
      </c>
      <c r="C80" s="101">
        <v>215</v>
      </c>
      <c r="D80" s="98">
        <v>-8.8983050800000005E-2</v>
      </c>
      <c r="E80" s="99">
        <v>38699926.863834463</v>
      </c>
      <c r="F80" s="40"/>
      <c r="G80" s="40"/>
      <c r="H80" s="40"/>
      <c r="I80" s="40"/>
    </row>
    <row r="81" spans="1:9">
      <c r="A81" s="45" t="s">
        <v>243</v>
      </c>
      <c r="B81" s="11" t="s">
        <v>244</v>
      </c>
      <c r="C81" s="101">
        <v>3805</v>
      </c>
      <c r="D81" s="98">
        <v>-8.9712918700000005E-2</v>
      </c>
      <c r="E81" s="99">
        <v>16727005.577003449</v>
      </c>
      <c r="F81" s="40"/>
      <c r="G81" s="40"/>
      <c r="H81" s="40"/>
      <c r="I81" s="40"/>
    </row>
    <row r="82" spans="1:9">
      <c r="A82" s="45" t="s">
        <v>219</v>
      </c>
      <c r="B82" s="11" t="s">
        <v>220</v>
      </c>
      <c r="C82" s="101">
        <v>19.2</v>
      </c>
      <c r="D82" s="98">
        <v>-9.0047393399999995E-2</v>
      </c>
      <c r="E82" s="99">
        <v>779244552.23641825</v>
      </c>
      <c r="F82" s="40"/>
      <c r="G82" s="40"/>
      <c r="H82" s="40"/>
      <c r="I82" s="40"/>
    </row>
    <row r="83" spans="1:9">
      <c r="A83" s="45" t="s">
        <v>195</v>
      </c>
      <c r="B83" s="11" t="s">
        <v>196</v>
      </c>
      <c r="C83" s="101">
        <v>21</v>
      </c>
      <c r="D83" s="98">
        <v>-9.0909090900000003E-2</v>
      </c>
      <c r="E83" s="99">
        <v>1118684169.9017005</v>
      </c>
      <c r="F83" s="40"/>
      <c r="G83" s="40"/>
      <c r="H83" s="40"/>
      <c r="I83" s="40"/>
    </row>
    <row r="84" spans="1:9">
      <c r="A84" s="45" t="s">
        <v>185</v>
      </c>
      <c r="B84" s="11" t="s">
        <v>186</v>
      </c>
      <c r="C84" s="101">
        <v>24.9</v>
      </c>
      <c r="D84" s="98">
        <v>-9.1240875900000004E-2</v>
      </c>
      <c r="E84" s="99">
        <v>807540678.06478262</v>
      </c>
      <c r="F84" s="40"/>
      <c r="G84" s="40"/>
      <c r="H84" s="40"/>
      <c r="I84" s="40"/>
    </row>
    <row r="85" spans="1:9">
      <c r="A85" s="45" t="s">
        <v>71</v>
      </c>
      <c r="B85" s="11" t="s">
        <v>72</v>
      </c>
      <c r="C85" s="101">
        <v>33.700000000000003</v>
      </c>
      <c r="D85" s="98">
        <v>-9.1644204899999998E-2</v>
      </c>
      <c r="E85" s="99">
        <v>391419597.63015407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178</v>
      </c>
      <c r="D86" s="98">
        <v>-9.1836734700000006E-2</v>
      </c>
      <c r="E86" s="99">
        <v>178007926.70885068</v>
      </c>
      <c r="F86" s="40"/>
      <c r="G86" s="40"/>
      <c r="H86" s="40"/>
      <c r="I86" s="40"/>
    </row>
    <row r="87" spans="1:9">
      <c r="A87" s="45" t="s">
        <v>237</v>
      </c>
      <c r="B87" s="11" t="s">
        <v>238</v>
      </c>
      <c r="C87" s="101">
        <v>306</v>
      </c>
      <c r="D87" s="98">
        <v>-9.1988130599999995E-2</v>
      </c>
      <c r="E87" s="99">
        <v>47950003.764904208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14070</v>
      </c>
      <c r="D88" s="98">
        <v>-9.22580645E-2</v>
      </c>
      <c r="E88" s="99">
        <v>2622734.7110561398</v>
      </c>
      <c r="F88" s="40"/>
      <c r="G88" s="40"/>
      <c r="H88" s="40"/>
      <c r="I88" s="40"/>
    </row>
    <row r="89" spans="1:9">
      <c r="A89" s="45" t="s">
        <v>221</v>
      </c>
      <c r="B89" s="11" t="s">
        <v>222</v>
      </c>
      <c r="C89" s="101">
        <v>19.899999999999999</v>
      </c>
      <c r="D89" s="98">
        <v>-9.5454545500000001E-2</v>
      </c>
      <c r="E89" s="99">
        <v>794523935.16090953</v>
      </c>
      <c r="F89" s="40"/>
      <c r="G89" s="40"/>
      <c r="H89" s="40"/>
      <c r="I89" s="40"/>
    </row>
    <row r="90" spans="1:9">
      <c r="A90" s="45" t="s">
        <v>223</v>
      </c>
      <c r="B90" s="11" t="s">
        <v>224</v>
      </c>
      <c r="C90" s="101">
        <v>2225</v>
      </c>
      <c r="D90" s="98">
        <v>-9.5528455299999995E-2</v>
      </c>
      <c r="E90" s="99">
        <v>48498181.075264163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94</v>
      </c>
      <c r="D91" s="98">
        <v>-9.6153846200000004E-2</v>
      </c>
      <c r="E91" s="99">
        <v>190813111.2739895</v>
      </c>
      <c r="F91" s="40"/>
      <c r="G91" s="40"/>
      <c r="H91" s="40"/>
      <c r="I91" s="40"/>
    </row>
    <row r="92" spans="1:9">
      <c r="A92" s="45" t="s">
        <v>197</v>
      </c>
      <c r="B92" s="11" t="s">
        <v>198</v>
      </c>
      <c r="C92" s="101">
        <v>30.7</v>
      </c>
      <c r="D92" s="98">
        <v>-9.7058823500000002E-2</v>
      </c>
      <c r="E92" s="99">
        <v>2377246707.0334959</v>
      </c>
      <c r="F92" s="40"/>
      <c r="G92" s="40"/>
      <c r="H92" s="40"/>
      <c r="I92" s="40"/>
    </row>
    <row r="93" spans="1:9">
      <c r="A93" s="45" t="s">
        <v>273</v>
      </c>
      <c r="B93" s="11" t="s">
        <v>274</v>
      </c>
      <c r="C93" s="101">
        <v>8985</v>
      </c>
      <c r="D93" s="98">
        <v>-9.7438473100000006E-2</v>
      </c>
      <c r="E93" s="99">
        <v>1747904.27722277</v>
      </c>
      <c r="F93" s="40"/>
      <c r="G93" s="40"/>
      <c r="H93" s="40"/>
      <c r="I93" s="40"/>
    </row>
    <row r="94" spans="1:9">
      <c r="A94" s="45" t="s">
        <v>217</v>
      </c>
      <c r="B94" s="11" t="s">
        <v>218</v>
      </c>
      <c r="C94" s="101">
        <v>31.4</v>
      </c>
      <c r="D94" s="98">
        <v>-9.7701149400000006E-2</v>
      </c>
      <c r="E94" s="99">
        <v>1282034998.8472047</v>
      </c>
      <c r="F94" s="40"/>
      <c r="G94" s="40"/>
      <c r="H94" s="40"/>
      <c r="I94" s="40"/>
    </row>
    <row r="95" spans="1:9">
      <c r="A95" s="45" t="s">
        <v>189</v>
      </c>
      <c r="B95" s="11" t="s">
        <v>190</v>
      </c>
      <c r="C95" s="101">
        <v>74410</v>
      </c>
      <c r="D95" s="98">
        <v>-9.8060606100000003E-2</v>
      </c>
      <c r="E95" s="99">
        <v>1510245.60066078</v>
      </c>
      <c r="F95" s="40"/>
      <c r="G95" s="40"/>
      <c r="H95" s="40"/>
      <c r="I95" s="40"/>
    </row>
    <row r="96" spans="1:9">
      <c r="A96" s="45" t="s">
        <v>135</v>
      </c>
      <c r="B96" s="11" t="s">
        <v>136</v>
      </c>
      <c r="C96" s="101">
        <v>226</v>
      </c>
      <c r="D96" s="98">
        <v>-9.9601593599999996E-2</v>
      </c>
      <c r="E96" s="99">
        <v>237598812.24015525</v>
      </c>
      <c r="F96" s="40"/>
      <c r="G96" s="40"/>
      <c r="H96" s="40"/>
      <c r="I96" s="40"/>
    </row>
    <row r="97" spans="1:9">
      <c r="A97" s="45" t="s">
        <v>279</v>
      </c>
      <c r="B97" s="11" t="s">
        <v>280</v>
      </c>
      <c r="C97" s="101">
        <v>1570</v>
      </c>
      <c r="D97" s="98">
        <v>-0.100286533</v>
      </c>
      <c r="E97" s="99">
        <v>15990296.33996734</v>
      </c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1">
        <v>439</v>
      </c>
      <c r="D98" s="98">
        <v>-0.1004098361</v>
      </c>
      <c r="E98" s="99">
        <v>51075434.68255271</v>
      </c>
      <c r="F98" s="40"/>
      <c r="G98" s="40"/>
      <c r="H98" s="40"/>
      <c r="I98" s="40"/>
    </row>
    <row r="99" spans="1:9">
      <c r="A99" s="45" t="s">
        <v>201</v>
      </c>
      <c r="B99" s="11" t="s">
        <v>202</v>
      </c>
      <c r="C99" s="101">
        <v>206</v>
      </c>
      <c r="D99" s="98">
        <v>-0.1004366812</v>
      </c>
      <c r="E99" s="99">
        <v>259576948.43269348</v>
      </c>
      <c r="F99" s="40"/>
      <c r="G99" s="40"/>
      <c r="H99" s="40"/>
      <c r="I99" s="40"/>
    </row>
    <row r="100" spans="1:9">
      <c r="A100" s="45" t="s">
        <v>265</v>
      </c>
      <c r="B100" s="11" t="s">
        <v>266</v>
      </c>
      <c r="C100" s="101">
        <v>93.5</v>
      </c>
      <c r="D100" s="98">
        <v>-0.1009615385</v>
      </c>
      <c r="E100" s="99">
        <v>277496575.39103156</v>
      </c>
      <c r="F100" s="40"/>
      <c r="G100" s="40"/>
      <c r="H100" s="40"/>
      <c r="I100" s="40"/>
    </row>
    <row r="101" spans="1:9">
      <c r="A101" s="45" t="s">
        <v>199</v>
      </c>
      <c r="B101" s="11" t="s">
        <v>200</v>
      </c>
      <c r="C101" s="101">
        <v>400</v>
      </c>
      <c r="D101" s="98">
        <v>-0.1011235955</v>
      </c>
      <c r="E101" s="99">
        <v>56885646.21335528</v>
      </c>
      <c r="F101" s="40"/>
      <c r="G101" s="40"/>
      <c r="H101" s="40"/>
      <c r="I101" s="40"/>
    </row>
    <row r="102" spans="1:9">
      <c r="A102" s="45" t="s">
        <v>207</v>
      </c>
      <c r="B102" s="11" t="s">
        <v>208</v>
      </c>
      <c r="C102" s="101">
        <v>506</v>
      </c>
      <c r="D102" s="98">
        <v>-0.1012433393</v>
      </c>
      <c r="E102" s="99">
        <v>149943027.36163732</v>
      </c>
      <c r="F102" s="40"/>
      <c r="G102" s="40"/>
      <c r="H102" s="40"/>
      <c r="I102" s="40"/>
    </row>
    <row r="103" spans="1:9">
      <c r="A103" s="45" t="s">
        <v>227</v>
      </c>
      <c r="B103" s="11" t="s">
        <v>228</v>
      </c>
      <c r="C103" s="101">
        <v>19.5</v>
      </c>
      <c r="D103" s="98">
        <v>-0.10138248850000001</v>
      </c>
      <c r="E103" s="99">
        <v>2891841592.9502096</v>
      </c>
      <c r="F103" s="40"/>
      <c r="G103" s="40"/>
      <c r="H103" s="40"/>
      <c r="I103" s="40"/>
    </row>
    <row r="104" spans="1:9">
      <c r="A104" s="45" t="s">
        <v>133</v>
      </c>
      <c r="B104" s="11" t="s">
        <v>134</v>
      </c>
      <c r="C104" s="101">
        <v>149</v>
      </c>
      <c r="D104" s="98">
        <v>-0.10240963860000001</v>
      </c>
      <c r="E104" s="99">
        <v>225220114.63966697</v>
      </c>
      <c r="F104" s="40"/>
      <c r="G104" s="40"/>
      <c r="H104" s="40"/>
      <c r="I104" s="40"/>
    </row>
    <row r="105" spans="1:9">
      <c r="A105" s="45" t="s">
        <v>213</v>
      </c>
      <c r="B105" s="11" t="s">
        <v>214</v>
      </c>
      <c r="C105" s="101">
        <v>24.3</v>
      </c>
      <c r="D105" s="98">
        <v>-0.1033210332</v>
      </c>
      <c r="E105" s="99">
        <v>1352073197.925812</v>
      </c>
      <c r="F105" s="40"/>
      <c r="G105" s="40"/>
      <c r="H105" s="40"/>
      <c r="I105" s="40"/>
    </row>
    <row r="106" spans="1:9">
      <c r="A106" s="45" t="s">
        <v>235</v>
      </c>
      <c r="B106" s="11" t="s">
        <v>236</v>
      </c>
      <c r="C106" s="101">
        <v>73.3</v>
      </c>
      <c r="D106" s="98">
        <v>-0.10391198040000001</v>
      </c>
      <c r="E106" s="99">
        <v>429913392.6255855</v>
      </c>
      <c r="F106" s="40"/>
      <c r="G106" s="40"/>
      <c r="H106" s="40"/>
      <c r="I106" s="40"/>
    </row>
    <row r="107" spans="1:9">
      <c r="A107" s="45" t="s">
        <v>225</v>
      </c>
      <c r="B107" s="11" t="s">
        <v>226</v>
      </c>
      <c r="C107" s="101">
        <v>518</v>
      </c>
      <c r="D107" s="98">
        <v>-0.1053540587</v>
      </c>
      <c r="E107" s="99">
        <v>33187438.907981802</v>
      </c>
      <c r="F107" s="40"/>
      <c r="G107" s="40"/>
      <c r="H107" s="40"/>
      <c r="I107" s="40"/>
    </row>
    <row r="108" spans="1:9">
      <c r="A108" s="45" t="s">
        <v>171</v>
      </c>
      <c r="B108" s="11" t="s">
        <v>172</v>
      </c>
      <c r="C108" s="101">
        <v>28.8</v>
      </c>
      <c r="D108" s="98">
        <v>-0.10559006210000001</v>
      </c>
      <c r="E108" s="99">
        <v>1284464747.6885076</v>
      </c>
      <c r="F108" s="40"/>
      <c r="G108" s="40"/>
      <c r="H108" s="40"/>
      <c r="I108" s="40"/>
    </row>
    <row r="109" spans="1:9">
      <c r="A109" s="45" t="s">
        <v>253</v>
      </c>
      <c r="B109" s="11" t="s">
        <v>254</v>
      </c>
      <c r="C109" s="101">
        <v>85.4</v>
      </c>
      <c r="D109" s="98">
        <v>-0.1057591623</v>
      </c>
      <c r="E109" s="46">
        <v>221604469.44575566</v>
      </c>
    </row>
    <row r="110" spans="1:9">
      <c r="A110" s="45" t="s">
        <v>81</v>
      </c>
      <c r="B110" s="11" t="s">
        <v>82</v>
      </c>
      <c r="C110" s="101">
        <v>1510</v>
      </c>
      <c r="D110" s="98">
        <v>-0.10650887570000001</v>
      </c>
      <c r="E110" s="46">
        <v>6526458.2801283104</v>
      </c>
    </row>
    <row r="111" spans="1:9">
      <c r="A111" s="45" t="s">
        <v>153</v>
      </c>
      <c r="B111" s="11" t="s">
        <v>154</v>
      </c>
      <c r="C111" s="101">
        <v>21.8</v>
      </c>
      <c r="D111" s="98">
        <v>-0.10655737699999999</v>
      </c>
      <c r="E111" s="46">
        <v>2087368334.8944275</v>
      </c>
    </row>
    <row r="112" spans="1:9">
      <c r="A112" s="45" t="s">
        <v>121</v>
      </c>
      <c r="B112" s="11" t="s">
        <v>122</v>
      </c>
      <c r="C112" s="101">
        <v>116</v>
      </c>
      <c r="D112" s="98">
        <v>-0.1076923077</v>
      </c>
      <c r="E112" s="46">
        <v>430610735.80161971</v>
      </c>
    </row>
    <row r="113" spans="1:5">
      <c r="A113" s="45" t="s">
        <v>111</v>
      </c>
      <c r="B113" s="11" t="s">
        <v>112</v>
      </c>
      <c r="C113" s="101">
        <v>268</v>
      </c>
      <c r="D113" s="98">
        <v>-0.1096345515</v>
      </c>
      <c r="E113" s="46">
        <v>201706291.54499364</v>
      </c>
    </row>
    <row r="114" spans="1:5">
      <c r="A114" s="45" t="s">
        <v>259</v>
      </c>
      <c r="B114" s="11" t="s">
        <v>260</v>
      </c>
      <c r="C114" s="101">
        <v>129</v>
      </c>
      <c r="D114" s="98">
        <v>-0.1103448276</v>
      </c>
      <c r="E114" s="46">
        <v>303262925.61247736</v>
      </c>
    </row>
    <row r="115" spans="1:5">
      <c r="A115" s="45" t="s">
        <v>233</v>
      </c>
      <c r="B115" s="11" t="s">
        <v>234</v>
      </c>
      <c r="C115" s="101">
        <v>1370</v>
      </c>
      <c r="D115" s="98">
        <v>-0.1103896104</v>
      </c>
      <c r="E115" s="46">
        <v>12100229.33439251</v>
      </c>
    </row>
    <row r="116" spans="1:5">
      <c r="A116" s="45" t="s">
        <v>66</v>
      </c>
      <c r="B116" s="11" t="s">
        <v>67</v>
      </c>
      <c r="C116" s="101">
        <v>9105</v>
      </c>
      <c r="D116" s="98">
        <v>-0.1142996109</v>
      </c>
      <c r="E116" s="46">
        <v>8338714.2550131604</v>
      </c>
    </row>
    <row r="117" spans="1:5">
      <c r="A117" s="45" t="s">
        <v>239</v>
      </c>
      <c r="B117" s="11" t="s">
        <v>240</v>
      </c>
      <c r="C117" s="101">
        <v>207</v>
      </c>
      <c r="D117" s="98">
        <v>-0.1153846154</v>
      </c>
      <c r="E117" s="46">
        <v>153073724.57146943</v>
      </c>
    </row>
    <row r="118" spans="1:5">
      <c r="A118" s="45" t="s">
        <v>257</v>
      </c>
      <c r="B118" s="11" t="s">
        <v>258</v>
      </c>
      <c r="C118" s="101">
        <v>747</v>
      </c>
      <c r="D118" s="98">
        <v>-0.1211764706</v>
      </c>
      <c r="E118" s="46">
        <v>101034949.51475091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P4:R4"/>
    <mergeCell ref="O3:R3"/>
    <mergeCell ref="L4:N4"/>
    <mergeCell ref="K3:N3"/>
    <mergeCell ref="H16:I16"/>
    <mergeCell ref="K4:K5"/>
    <mergeCell ref="O4:O5"/>
    <mergeCell ref="G3:G4"/>
    <mergeCell ref="H3:I4"/>
    <mergeCell ref="G29:G30"/>
    <mergeCell ref="K29:K30"/>
    <mergeCell ref="O29:O30"/>
    <mergeCell ref="O28:R28"/>
    <mergeCell ref="L29:N29"/>
    <mergeCell ref="G20:I20"/>
    <mergeCell ref="G21:I22"/>
    <mergeCell ref="H23:I23"/>
    <mergeCell ref="G24:G25"/>
    <mergeCell ref="H24:I25"/>
    <mergeCell ref="G6:I6"/>
    <mergeCell ref="H9:I9"/>
    <mergeCell ref="G10:G11"/>
    <mergeCell ref="H10:I11"/>
    <mergeCell ref="G13:I13"/>
    <mergeCell ref="G7:I8"/>
    <mergeCell ref="G14:I15"/>
    <mergeCell ref="K28:N28"/>
    <mergeCell ref="H29:J29"/>
    <mergeCell ref="G28:J28"/>
    <mergeCell ref="P54:R54"/>
    <mergeCell ref="O53:R53"/>
    <mergeCell ref="L54:N54"/>
    <mergeCell ref="K53:N53"/>
    <mergeCell ref="H54:J54"/>
    <mergeCell ref="G53:J53"/>
    <mergeCell ref="G54:G55"/>
    <mergeCell ref="P29:R29"/>
    <mergeCell ref="G17:G18"/>
    <mergeCell ref="H17:I18"/>
    <mergeCell ref="K54:K55"/>
    <mergeCell ref="O54:O5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9525</xdr:rowOff>
                  </from>
                  <to>
                    <xdr:col>22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11</xdr:row>
                    <xdr:rowOff>19050</xdr:rowOff>
                  </from>
                  <to>
                    <xdr:col>22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49" workbookViewId="0">
      <selection activeCell="H73" sqref="H73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157</v>
      </c>
      <c r="B2" s="11" t="s">
        <v>158</v>
      </c>
      <c r="C2" s="101">
        <v>11500</v>
      </c>
      <c r="D2" s="98">
        <v>0.13636363639999999</v>
      </c>
      <c r="E2" s="99">
        <v>29253763.214394748</v>
      </c>
      <c r="F2" s="40"/>
      <c r="G2" s="59"/>
      <c r="H2" s="40"/>
      <c r="I2" s="40"/>
    </row>
    <row r="3" spans="1:18" ht="17.25" thickBot="1">
      <c r="A3" s="45" t="s">
        <v>147</v>
      </c>
      <c r="B3" s="11" t="s">
        <v>148</v>
      </c>
      <c r="C3" s="101">
        <v>201</v>
      </c>
      <c r="D3" s="98">
        <v>0.11049723760000001</v>
      </c>
      <c r="E3" s="99">
        <v>780842293.32345998</v>
      </c>
      <c r="F3" s="40"/>
      <c r="G3" s="182" t="s">
        <v>290</v>
      </c>
      <c r="H3" s="183" t="s">
        <v>297</v>
      </c>
      <c r="I3" s="183"/>
      <c r="K3" s="111" t="s">
        <v>34</v>
      </c>
      <c r="L3" s="125"/>
      <c r="M3" s="125"/>
      <c r="N3" s="112"/>
      <c r="O3" s="111" t="s">
        <v>291</v>
      </c>
      <c r="P3" s="125"/>
      <c r="Q3" s="125"/>
      <c r="R3" s="112"/>
    </row>
    <row r="4" spans="1:18" ht="17.25" thickBot="1">
      <c r="A4" s="45" t="s">
        <v>60</v>
      </c>
      <c r="B4" s="11" t="s">
        <v>61</v>
      </c>
      <c r="C4" s="101">
        <v>1700</v>
      </c>
      <c r="D4" s="98">
        <v>0.10389610389999999</v>
      </c>
      <c r="E4" s="99">
        <v>98761698.494783387</v>
      </c>
      <c r="F4" s="40"/>
      <c r="G4" s="174"/>
      <c r="H4" s="184"/>
      <c r="I4" s="184"/>
      <c r="K4" s="173" t="s">
        <v>55</v>
      </c>
      <c r="L4" s="170">
        <f ca="1">NOW()</f>
        <v>44315.141905208337</v>
      </c>
      <c r="M4" s="171"/>
      <c r="N4" s="172"/>
      <c r="O4" s="181" t="s">
        <v>55</v>
      </c>
      <c r="P4" s="170">
        <f ca="1">NOW()</f>
        <v>44315.141905208337</v>
      </c>
      <c r="Q4" s="171"/>
      <c r="R4" s="172"/>
    </row>
    <row r="5" spans="1:18" ht="17.25" thickBot="1">
      <c r="A5" s="45" t="s">
        <v>295</v>
      </c>
      <c r="B5" s="11" t="s">
        <v>296</v>
      </c>
      <c r="C5" s="101">
        <v>354</v>
      </c>
      <c r="D5" s="98">
        <v>9.9378882000000002E-2</v>
      </c>
      <c r="E5" s="99">
        <v>11597928062.077059</v>
      </c>
      <c r="F5" s="40"/>
      <c r="K5" s="174"/>
      <c r="L5" s="56" t="s">
        <v>58</v>
      </c>
      <c r="M5" s="79" t="s">
        <v>59</v>
      </c>
      <c r="N5" s="75" t="s">
        <v>294</v>
      </c>
      <c r="O5" s="124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241</v>
      </c>
      <c r="B6" s="11" t="s">
        <v>242</v>
      </c>
      <c r="C6" s="101">
        <v>6165</v>
      </c>
      <c r="D6" s="98">
        <v>7.5916230400000007E-2</v>
      </c>
      <c r="E6" s="99">
        <v>9427477.1736655999</v>
      </c>
      <c r="F6" s="40"/>
      <c r="G6" s="111" t="s">
        <v>52</v>
      </c>
      <c r="H6" s="125"/>
      <c r="I6" s="112"/>
      <c r="K6" s="60">
        <f ca="1">IFERROR(OFFSET(INDIRECT($H$3 &amp; "!A17"), 0, 0), "")</f>
        <v>0</v>
      </c>
      <c r="L6" s="43" t="str">
        <f t="shared" ref="L6:L25" ca="1" si="0">_xlfn.IFNA(VLOOKUP(K6, $B$2:$D$200, 2, FALSE), "")</f>
        <v/>
      </c>
      <c r="M6" s="82" t="str">
        <f t="shared" ref="M6:M25" ca="1" si="1">_xlfn.IFNA(VLOOKUP(K6, $B$2:$D$200, 3, FALSE), "")</f>
        <v/>
      </c>
      <c r="N6" s="91" t="str">
        <f ca="1">_xlfn.IFNA(VLOOKUP(K6, $B$2:$E$200, 4, FALSE), "")</f>
        <v/>
      </c>
      <c r="O6" s="78" t="s">
        <v>158</v>
      </c>
      <c r="P6" s="43">
        <f t="shared" ref="P6:P25" si="2">_xlfn.IFNA(VLOOKUP(O6, $B$2:$D$200, 2, FALSE), "")</f>
        <v>11500</v>
      </c>
      <c r="Q6" s="82">
        <f t="shared" ref="Q6:Q25" si="3">_xlfn.IFNA(VLOOKUP(O6, $B$2:$D$200, 3, FALSE), "")</f>
        <v>0.13636363639999999</v>
      </c>
      <c r="R6" s="91">
        <f>_xlfn.IFNA(VLOOKUP(O6, $B$2:$E$200, 4, FALSE), "")</f>
        <v>29253763.214394748</v>
      </c>
    </row>
    <row r="7" spans="1:18">
      <c r="A7" s="45" t="s">
        <v>115</v>
      </c>
      <c r="B7" s="11" t="s">
        <v>116</v>
      </c>
      <c r="C7" s="101">
        <v>677</v>
      </c>
      <c r="D7" s="98">
        <v>6.4465408799999999E-2</v>
      </c>
      <c r="E7" s="99">
        <v>200976941.93007734</v>
      </c>
      <c r="F7" s="40"/>
      <c r="G7" s="116" t="s">
        <v>36</v>
      </c>
      <c r="H7" s="117"/>
      <c r="I7" s="118"/>
      <c r="K7" s="61">
        <f ca="1">IFERROR(OFFSET(INDIRECT($H$3 &amp; "!A17"), 1, 0), "")</f>
        <v>0</v>
      </c>
      <c r="L7" s="44" t="str">
        <f t="shared" ca="1" si="0"/>
        <v/>
      </c>
      <c r="M7" s="83" t="str">
        <f t="shared" ca="1" si="1"/>
        <v/>
      </c>
      <c r="N7" s="92" t="str">
        <f t="shared" ref="N7:N25" ca="1" si="4">_xlfn.IFNA(VLOOKUP(K7, $B$2:$E$200, 4, FALSE), "")</f>
        <v/>
      </c>
      <c r="O7" s="94" t="s">
        <v>148</v>
      </c>
      <c r="P7" s="44">
        <f t="shared" si="2"/>
        <v>201</v>
      </c>
      <c r="Q7" s="83">
        <f t="shared" si="3"/>
        <v>0.11049723760000001</v>
      </c>
      <c r="R7" s="92">
        <f t="shared" ref="R7:R25" si="5">_xlfn.IFNA(VLOOKUP(O7, $B$2:$E$200, 4, FALSE), "")</f>
        <v>780842293.32345998</v>
      </c>
    </row>
    <row r="8" spans="1:18" ht="17.25" thickBot="1">
      <c r="A8" s="45" t="s">
        <v>169</v>
      </c>
      <c r="B8" s="11" t="s">
        <v>170</v>
      </c>
      <c r="C8" s="101">
        <v>537</v>
      </c>
      <c r="D8" s="98">
        <v>6.1264822099999998E-2</v>
      </c>
      <c r="E8" s="99">
        <v>264179217.09432912</v>
      </c>
      <c r="F8" s="40"/>
      <c r="G8" s="122"/>
      <c r="H8" s="123"/>
      <c r="I8" s="124"/>
      <c r="K8" s="61">
        <f ca="1">IFERROR(OFFSET(INDIRECT($H$3 &amp; "!A17"), 2, 0), "")</f>
        <v>0</v>
      </c>
      <c r="L8" s="44" t="str">
        <f t="shared" ca="1" si="0"/>
        <v/>
      </c>
      <c r="M8" s="83" t="str">
        <f t="shared" ca="1" si="1"/>
        <v/>
      </c>
      <c r="N8" s="92" t="str">
        <f t="shared" ca="1" si="4"/>
        <v/>
      </c>
      <c r="O8" s="94" t="s">
        <v>61</v>
      </c>
      <c r="P8" s="44">
        <f t="shared" si="2"/>
        <v>1700</v>
      </c>
      <c r="Q8" s="83">
        <f t="shared" si="3"/>
        <v>0.10389610389999999</v>
      </c>
      <c r="R8" s="92">
        <f t="shared" si="5"/>
        <v>98761698.494783387</v>
      </c>
    </row>
    <row r="9" spans="1:18" ht="17.25" thickBot="1">
      <c r="A9" s="45" t="s">
        <v>255</v>
      </c>
      <c r="B9" s="11" t="s">
        <v>256</v>
      </c>
      <c r="C9" s="101">
        <v>278</v>
      </c>
      <c r="D9" s="98">
        <v>6.10687023E-2</v>
      </c>
      <c r="E9" s="99">
        <v>431486019.45561147</v>
      </c>
      <c r="F9" s="40"/>
      <c r="G9" s="55" t="s">
        <v>38</v>
      </c>
      <c r="H9" s="125" t="s">
        <v>37</v>
      </c>
      <c r="I9" s="112"/>
      <c r="K9" s="61">
        <f ca="1">IFERROR(OFFSET(INDIRECT($H$3 &amp; "!A17"), 3, 0), "")</f>
        <v>0</v>
      </c>
      <c r="L9" s="44" t="str">
        <f t="shared" ca="1" si="0"/>
        <v/>
      </c>
      <c r="M9" s="83" t="str">
        <f t="shared" ca="1" si="1"/>
        <v/>
      </c>
      <c r="N9" s="92" t="str">
        <f t="shared" ca="1" si="4"/>
        <v/>
      </c>
      <c r="O9" s="94" t="s">
        <v>296</v>
      </c>
      <c r="P9" s="44">
        <f t="shared" si="2"/>
        <v>354</v>
      </c>
      <c r="Q9" s="83">
        <f t="shared" si="3"/>
        <v>9.9378882000000002E-2</v>
      </c>
      <c r="R9" s="92">
        <f t="shared" si="5"/>
        <v>11597928062.077059</v>
      </c>
    </row>
    <row r="10" spans="1:18">
      <c r="A10" s="45" t="s">
        <v>107</v>
      </c>
      <c r="B10" s="11" t="s">
        <v>108</v>
      </c>
      <c r="C10" s="101">
        <v>45840</v>
      </c>
      <c r="D10" s="98">
        <v>4.8250628900000002E-2</v>
      </c>
      <c r="E10" s="99">
        <v>4397946.2337376298</v>
      </c>
      <c r="F10" s="40"/>
      <c r="G10" s="175">
        <f>_xlfn.IFNA(VLOOKUP(G7, $B$2:$D$200, 3, FALSE), "-")</f>
        <v>-1.4529004E-2</v>
      </c>
      <c r="H10" s="177">
        <f>_xlfn.IFNA(VLOOKUP(G7, $B$2:$D$200, 2, FALSE), "-")</f>
        <v>63826000</v>
      </c>
      <c r="I10" s="178"/>
      <c r="K10" s="63">
        <f ca="1">IFERROR(OFFSET(INDIRECT($H$3 &amp; "!A17"), 4, 0), "")</f>
        <v>0</v>
      </c>
      <c r="L10" s="49" t="str">
        <f t="shared" ca="1" si="0"/>
        <v/>
      </c>
      <c r="M10" s="84" t="str">
        <f t="shared" ca="1" si="1"/>
        <v/>
      </c>
      <c r="N10" s="96" t="str">
        <f t="shared" ca="1" si="4"/>
        <v/>
      </c>
      <c r="O10" s="94" t="s">
        <v>242</v>
      </c>
      <c r="P10" s="44">
        <f t="shared" si="2"/>
        <v>6165</v>
      </c>
      <c r="Q10" s="83">
        <f t="shared" si="3"/>
        <v>7.5916230400000007E-2</v>
      </c>
      <c r="R10" s="96">
        <f t="shared" si="5"/>
        <v>9427477.1736655999</v>
      </c>
    </row>
    <row r="11" spans="1:18" ht="17.25" thickBot="1">
      <c r="A11" s="45" t="s">
        <v>281</v>
      </c>
      <c r="B11" s="11" t="s">
        <v>282</v>
      </c>
      <c r="C11" s="101">
        <v>183</v>
      </c>
      <c r="D11" s="98">
        <v>3.3898305099999998E-2</v>
      </c>
      <c r="E11" s="99">
        <v>188788416.4371089</v>
      </c>
      <c r="F11" s="40"/>
      <c r="G11" s="176"/>
      <c r="H11" s="179"/>
      <c r="I11" s="180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116</v>
      </c>
      <c r="P11" s="50">
        <f t="shared" si="2"/>
        <v>677</v>
      </c>
      <c r="Q11" s="86">
        <f t="shared" si="3"/>
        <v>6.4465408799999999E-2</v>
      </c>
      <c r="R11" s="105">
        <f t="shared" si="5"/>
        <v>200976941.93007734</v>
      </c>
    </row>
    <row r="12" spans="1:18" ht="17.25" thickBot="1">
      <c r="A12" s="45" t="s">
        <v>159</v>
      </c>
      <c r="B12" s="11" t="s">
        <v>160</v>
      </c>
      <c r="C12" s="101">
        <v>3160</v>
      </c>
      <c r="D12" s="98">
        <v>2.5974026000000001E-2</v>
      </c>
      <c r="E12" s="99">
        <v>22260754.722223219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170</v>
      </c>
      <c r="P12" s="44">
        <f t="shared" si="2"/>
        <v>537</v>
      </c>
      <c r="Q12" s="83">
        <f t="shared" si="3"/>
        <v>6.1264822099999998E-2</v>
      </c>
      <c r="R12" s="92">
        <f t="shared" si="5"/>
        <v>264179217.09432912</v>
      </c>
    </row>
    <row r="13" spans="1:18" ht="17.25" thickBot="1">
      <c r="A13" s="45" t="s">
        <v>95</v>
      </c>
      <c r="B13" s="11" t="s">
        <v>96</v>
      </c>
      <c r="C13" s="101">
        <v>3168000</v>
      </c>
      <c r="D13" s="98">
        <v>8.9171974999999997E-3</v>
      </c>
      <c r="E13" s="99">
        <v>136379.54778009001</v>
      </c>
      <c r="F13" s="40"/>
      <c r="G13" s="111" t="s">
        <v>70</v>
      </c>
      <c r="H13" s="125"/>
      <c r="I13" s="112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256</v>
      </c>
      <c r="P13" s="44">
        <f t="shared" si="2"/>
        <v>278</v>
      </c>
      <c r="Q13" s="83">
        <f t="shared" si="3"/>
        <v>6.10687023E-2</v>
      </c>
      <c r="R13" s="92">
        <f t="shared" si="5"/>
        <v>431486019.45561147</v>
      </c>
    </row>
    <row r="14" spans="1:18">
      <c r="A14" s="45" t="s">
        <v>87</v>
      </c>
      <c r="B14" s="11" t="s">
        <v>88</v>
      </c>
      <c r="C14" s="101">
        <v>615</v>
      </c>
      <c r="D14" s="98">
        <v>6.5466448000000002E-3</v>
      </c>
      <c r="E14" s="99">
        <v>664797392.03728294</v>
      </c>
      <c r="F14" s="40"/>
      <c r="G14" s="116" t="s">
        <v>36</v>
      </c>
      <c r="H14" s="117"/>
      <c r="I14" s="118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108</v>
      </c>
      <c r="P14" s="44">
        <f t="shared" si="2"/>
        <v>45840</v>
      </c>
      <c r="Q14" s="83">
        <f t="shared" si="3"/>
        <v>4.8250628900000002E-2</v>
      </c>
      <c r="R14" s="92">
        <f t="shared" si="5"/>
        <v>4397946.2337376298</v>
      </c>
    </row>
    <row r="15" spans="1:18" ht="17.25" thickBot="1">
      <c r="A15" s="45" t="s">
        <v>149</v>
      </c>
      <c r="B15" s="11" t="s">
        <v>150</v>
      </c>
      <c r="C15" s="101">
        <v>4830</v>
      </c>
      <c r="D15" s="98">
        <v>-3.0959752E-3</v>
      </c>
      <c r="E15" s="99">
        <v>15554075.577692609</v>
      </c>
      <c r="F15" s="40"/>
      <c r="G15" s="122"/>
      <c r="H15" s="123"/>
      <c r="I15" s="124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282</v>
      </c>
      <c r="P15" s="42">
        <f t="shared" si="2"/>
        <v>183</v>
      </c>
      <c r="Q15" s="85">
        <f t="shared" si="3"/>
        <v>3.3898305099999998E-2</v>
      </c>
      <c r="R15" s="93">
        <f t="shared" si="5"/>
        <v>188788416.4371089</v>
      </c>
    </row>
    <row r="16" spans="1:18" ht="17.25" thickBot="1">
      <c r="A16" s="45" t="s">
        <v>83</v>
      </c>
      <c r="B16" s="11" t="s">
        <v>84</v>
      </c>
      <c r="C16" s="101">
        <v>1530</v>
      </c>
      <c r="D16" s="98">
        <v>-3.2573290000000002E-3</v>
      </c>
      <c r="E16" s="99">
        <v>41381221.256873891</v>
      </c>
      <c r="F16" s="40"/>
      <c r="G16" s="55" t="s">
        <v>38</v>
      </c>
      <c r="H16" s="125" t="s">
        <v>37</v>
      </c>
      <c r="I16" s="112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160</v>
      </c>
      <c r="P16" s="43">
        <f t="shared" si="2"/>
        <v>3160</v>
      </c>
      <c r="Q16" s="82">
        <f t="shared" si="3"/>
        <v>2.5974026000000001E-2</v>
      </c>
      <c r="R16" s="91">
        <f t="shared" si="5"/>
        <v>22260754.722223219</v>
      </c>
    </row>
    <row r="17" spans="1:18">
      <c r="A17" s="45" t="s">
        <v>101</v>
      </c>
      <c r="B17" s="11" t="s">
        <v>102</v>
      </c>
      <c r="C17" s="101">
        <v>39620</v>
      </c>
      <c r="D17" s="98">
        <v>-6.5195586999999998E-3</v>
      </c>
      <c r="E17" s="99">
        <v>15711343.00838061</v>
      </c>
      <c r="F17" s="40"/>
      <c r="G17" s="175">
        <f>_xlfn.IFNA(VLOOKUP(G14, $B$2:$D$200, 3, FALSE), "-")</f>
        <v>-1.4529004E-2</v>
      </c>
      <c r="H17" s="177">
        <f>_xlfn.IFNA(VLOOKUP(G14, $B$2:$D$200, 2, FALSE), "-")</f>
        <v>63826000</v>
      </c>
      <c r="I17" s="178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96</v>
      </c>
      <c r="P17" s="44">
        <f t="shared" si="2"/>
        <v>3168000</v>
      </c>
      <c r="Q17" s="83">
        <f t="shared" si="3"/>
        <v>8.9171974999999997E-3</v>
      </c>
      <c r="R17" s="92">
        <f t="shared" si="5"/>
        <v>136379.54778009001</v>
      </c>
    </row>
    <row r="18" spans="1:18" ht="17.25" thickBot="1">
      <c r="A18" s="45" t="s">
        <v>89</v>
      </c>
      <c r="B18" s="11" t="s">
        <v>90</v>
      </c>
      <c r="C18" s="101">
        <v>334950</v>
      </c>
      <c r="D18" s="98">
        <v>-8.1433224999999995E-3</v>
      </c>
      <c r="E18" s="99">
        <v>129176.43762909</v>
      </c>
      <c r="F18" s="40"/>
      <c r="G18" s="176"/>
      <c r="H18" s="179"/>
      <c r="I18" s="180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88</v>
      </c>
      <c r="P18" s="44">
        <f t="shared" si="2"/>
        <v>615</v>
      </c>
      <c r="Q18" s="83">
        <f t="shared" si="3"/>
        <v>6.5466448000000002E-3</v>
      </c>
      <c r="R18" s="92">
        <f t="shared" si="5"/>
        <v>664797392.03728294</v>
      </c>
    </row>
    <row r="19" spans="1:18" ht="17.25" thickBot="1">
      <c r="A19" s="45" t="s">
        <v>177</v>
      </c>
      <c r="B19" s="11" t="s">
        <v>178</v>
      </c>
      <c r="C19" s="101">
        <v>44430</v>
      </c>
      <c r="D19" s="98">
        <v>-8.2589285999999998E-3</v>
      </c>
      <c r="E19" s="99">
        <v>930311.51528107002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150</v>
      </c>
      <c r="P19" s="44">
        <f t="shared" si="2"/>
        <v>4830</v>
      </c>
      <c r="Q19" s="83">
        <f t="shared" si="3"/>
        <v>-3.0959752E-3</v>
      </c>
      <c r="R19" s="92">
        <f t="shared" si="5"/>
        <v>15554075.577692609</v>
      </c>
    </row>
    <row r="20" spans="1:18" ht="17.25" thickBot="1">
      <c r="A20" s="45" t="s">
        <v>73</v>
      </c>
      <c r="B20" s="11" t="s">
        <v>74</v>
      </c>
      <c r="C20" s="101">
        <v>26850</v>
      </c>
      <c r="D20" s="98">
        <v>-1.1777696000000001E-2</v>
      </c>
      <c r="E20" s="99">
        <v>492082.64840752003</v>
      </c>
      <c r="F20" s="40"/>
      <c r="G20" s="111" t="s">
        <v>286</v>
      </c>
      <c r="H20" s="125"/>
      <c r="I20" s="112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84</v>
      </c>
      <c r="P20" s="44">
        <f t="shared" si="2"/>
        <v>1530</v>
      </c>
      <c r="Q20" s="83">
        <f t="shared" si="3"/>
        <v>-3.2573290000000002E-3</v>
      </c>
      <c r="R20" s="96">
        <f t="shared" si="5"/>
        <v>41381221.256873891</v>
      </c>
    </row>
    <row r="21" spans="1:18">
      <c r="A21" s="45" t="s">
        <v>48</v>
      </c>
      <c r="B21" s="11" t="s">
        <v>49</v>
      </c>
      <c r="C21" s="101">
        <v>63826000</v>
      </c>
      <c r="D21" s="98">
        <v>-1.4529004E-2</v>
      </c>
      <c r="E21" s="99">
        <v>7258.3773785800004</v>
      </c>
      <c r="F21" s="40"/>
      <c r="G21" s="116" t="s">
        <v>36</v>
      </c>
      <c r="H21" s="117"/>
      <c r="I21" s="118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102</v>
      </c>
      <c r="P21" s="50">
        <f t="shared" si="2"/>
        <v>39620</v>
      </c>
      <c r="Q21" s="86">
        <f t="shared" si="3"/>
        <v>-6.5195586999999998E-3</v>
      </c>
      <c r="R21" s="105">
        <f t="shared" si="5"/>
        <v>15711343.00838061</v>
      </c>
    </row>
    <row r="22" spans="1:18" ht="17.25" thickBot="1">
      <c r="A22" s="45" t="s">
        <v>77</v>
      </c>
      <c r="B22" s="11" t="s">
        <v>78</v>
      </c>
      <c r="C22" s="101">
        <v>1028500</v>
      </c>
      <c r="D22" s="98">
        <v>-1.86068702E-2</v>
      </c>
      <c r="E22" s="99">
        <v>122506.48329141999</v>
      </c>
      <c r="F22" s="40"/>
      <c r="G22" s="122"/>
      <c r="H22" s="123"/>
      <c r="I22" s="124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90</v>
      </c>
      <c r="P22" s="44">
        <f t="shared" si="2"/>
        <v>334950</v>
      </c>
      <c r="Q22" s="83">
        <f t="shared" si="3"/>
        <v>-8.1433224999999995E-3</v>
      </c>
      <c r="R22" s="92">
        <f t="shared" si="5"/>
        <v>129176.43762909</v>
      </c>
    </row>
    <row r="23" spans="1:18" ht="17.25" thickBot="1">
      <c r="A23" s="45" t="s">
        <v>203</v>
      </c>
      <c r="B23" s="11" t="s">
        <v>204</v>
      </c>
      <c r="C23" s="101">
        <v>10160</v>
      </c>
      <c r="D23" s="98">
        <v>-2.4015369799999998E-2</v>
      </c>
      <c r="E23" s="99">
        <v>103910479.36308192</v>
      </c>
      <c r="F23" s="40"/>
      <c r="G23" s="55" t="s">
        <v>38</v>
      </c>
      <c r="H23" s="125" t="s">
        <v>37</v>
      </c>
      <c r="I23" s="112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178</v>
      </c>
      <c r="P23" s="44">
        <f t="shared" si="2"/>
        <v>44430</v>
      </c>
      <c r="Q23" s="83">
        <f t="shared" si="3"/>
        <v>-8.2589285999999998E-3</v>
      </c>
      <c r="R23" s="92">
        <f t="shared" si="5"/>
        <v>930311.51528107002</v>
      </c>
    </row>
    <row r="24" spans="1:18">
      <c r="A24" s="45" t="s">
        <v>143</v>
      </c>
      <c r="B24" s="11" t="s">
        <v>144</v>
      </c>
      <c r="C24" s="101">
        <v>8695</v>
      </c>
      <c r="D24" s="98">
        <v>-2.6315789499999999E-2</v>
      </c>
      <c r="E24" s="99">
        <v>2091327.58986425</v>
      </c>
      <c r="F24" s="40"/>
      <c r="G24" s="175">
        <f>_xlfn.IFNA(VLOOKUP(G21, $B$2:$D$200, 3, FALSE), "-")</f>
        <v>-1.4529004E-2</v>
      </c>
      <c r="H24" s="177">
        <f>_xlfn.IFNA(VLOOKUP(G21, $B$2:$D$200, 2, FALSE), "-")</f>
        <v>63826000</v>
      </c>
      <c r="I24" s="178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74</v>
      </c>
      <c r="P24" s="44">
        <f t="shared" si="2"/>
        <v>26850</v>
      </c>
      <c r="Q24" s="83">
        <f t="shared" si="3"/>
        <v>-1.1777696000000001E-2</v>
      </c>
      <c r="R24" s="92">
        <f t="shared" si="5"/>
        <v>492082.64840752003</v>
      </c>
    </row>
    <row r="25" spans="1:18" ht="17.25" thickBot="1">
      <c r="A25" s="45" t="s">
        <v>125</v>
      </c>
      <c r="B25" s="11" t="s">
        <v>126</v>
      </c>
      <c r="C25" s="101">
        <v>62.3</v>
      </c>
      <c r="D25" s="98">
        <v>-2.6562499999999999E-2</v>
      </c>
      <c r="E25" s="99">
        <v>594340992.78005278</v>
      </c>
      <c r="F25" s="40"/>
      <c r="G25" s="176"/>
      <c r="H25" s="179"/>
      <c r="I25" s="180"/>
      <c r="K25" s="62">
        <f ca="1">IFERROR(OFFSET(INDIRECT($H$3 &amp; "!A17"), 19, 0), "")</f>
        <v>0</v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49</v>
      </c>
      <c r="P25" s="42">
        <f t="shared" si="2"/>
        <v>63826000</v>
      </c>
      <c r="Q25" s="85">
        <f t="shared" si="3"/>
        <v>-1.4529004E-2</v>
      </c>
      <c r="R25" s="93">
        <f t="shared" si="5"/>
        <v>7258.3773785800004</v>
      </c>
    </row>
    <row r="26" spans="1:18">
      <c r="A26" s="45" t="s">
        <v>109</v>
      </c>
      <c r="B26" s="11" t="s">
        <v>110</v>
      </c>
      <c r="C26" s="101">
        <v>2655</v>
      </c>
      <c r="D26" s="98">
        <v>-2.9250457000000001E-2</v>
      </c>
      <c r="E26" s="99">
        <v>3595921.34985046</v>
      </c>
      <c r="F26" s="40"/>
    </row>
    <row r="27" spans="1:18" ht="17.25" thickBot="1">
      <c r="A27" s="45" t="s">
        <v>113</v>
      </c>
      <c r="B27" s="11" t="s">
        <v>114</v>
      </c>
      <c r="C27" s="101">
        <v>12860</v>
      </c>
      <c r="D27" s="98">
        <v>-3.0165912499999999E-2</v>
      </c>
      <c r="E27" s="99">
        <v>1210351.4111402901</v>
      </c>
      <c r="F27" s="40"/>
    </row>
    <row r="28" spans="1:18" ht="17.25" thickBot="1">
      <c r="A28" s="45" t="s">
        <v>129</v>
      </c>
      <c r="B28" s="11" t="s">
        <v>130</v>
      </c>
      <c r="C28" s="101">
        <v>296500</v>
      </c>
      <c r="D28" s="98">
        <v>-3.0887399900000001E-2</v>
      </c>
      <c r="E28" s="99">
        <v>101869.54841338001</v>
      </c>
      <c r="F28" s="40"/>
      <c r="G28" s="111" t="s">
        <v>46</v>
      </c>
      <c r="H28" s="125"/>
      <c r="I28" s="125"/>
      <c r="J28" s="112"/>
      <c r="K28" s="111" t="s">
        <v>44</v>
      </c>
      <c r="L28" s="125"/>
      <c r="M28" s="125"/>
      <c r="N28" s="112"/>
      <c r="O28" s="111" t="s">
        <v>45</v>
      </c>
      <c r="P28" s="125"/>
      <c r="Q28" s="125"/>
      <c r="R28" s="112"/>
    </row>
    <row r="29" spans="1:18" ht="17.25" thickBot="1">
      <c r="A29" s="45" t="s">
        <v>79</v>
      </c>
      <c r="B29" s="11" t="s">
        <v>80</v>
      </c>
      <c r="C29" s="101">
        <v>1405</v>
      </c>
      <c r="D29" s="98">
        <v>-3.1034482799999999E-2</v>
      </c>
      <c r="E29" s="99">
        <v>8004094.9140556799</v>
      </c>
      <c r="F29" s="40"/>
      <c r="G29" s="173" t="s">
        <v>55</v>
      </c>
      <c r="H29" s="170">
        <f ca="1">NOW()</f>
        <v>44315.141905208337</v>
      </c>
      <c r="I29" s="171"/>
      <c r="J29" s="172"/>
      <c r="K29" s="181" t="s">
        <v>55</v>
      </c>
      <c r="L29" s="170">
        <f ca="1">NOW()</f>
        <v>44315.141905208337</v>
      </c>
      <c r="M29" s="171"/>
      <c r="N29" s="172"/>
      <c r="O29" s="181" t="s">
        <v>55</v>
      </c>
      <c r="P29" s="170">
        <f ca="1">NOW()</f>
        <v>44315.141905208337</v>
      </c>
      <c r="Q29" s="171"/>
      <c r="R29" s="172"/>
    </row>
    <row r="30" spans="1:18" ht="17.25" thickBot="1">
      <c r="A30" s="45" t="s">
        <v>93</v>
      </c>
      <c r="B30" s="11" t="s">
        <v>94</v>
      </c>
      <c r="C30" s="101">
        <v>105800</v>
      </c>
      <c r="D30" s="98">
        <v>-3.1578947400000001E-2</v>
      </c>
      <c r="E30" s="99">
        <v>3070755.5733588301</v>
      </c>
      <c r="F30" s="40"/>
      <c r="G30" s="174"/>
      <c r="H30" s="56" t="s">
        <v>58</v>
      </c>
      <c r="I30" s="79" t="s">
        <v>59</v>
      </c>
      <c r="J30" s="75" t="s">
        <v>294</v>
      </c>
      <c r="K30" s="124"/>
      <c r="L30" s="56" t="s">
        <v>58</v>
      </c>
      <c r="M30" s="79" t="s">
        <v>59</v>
      </c>
      <c r="N30" s="97" t="s">
        <v>294</v>
      </c>
      <c r="O30" s="124"/>
      <c r="P30" s="56" t="s">
        <v>58</v>
      </c>
      <c r="Q30" s="79" t="s">
        <v>59</v>
      </c>
      <c r="R30" s="97" t="s">
        <v>294</v>
      </c>
    </row>
    <row r="31" spans="1:18">
      <c r="A31" s="45" t="s">
        <v>50</v>
      </c>
      <c r="B31" s="11" t="s">
        <v>51</v>
      </c>
      <c r="C31" s="101">
        <v>581</v>
      </c>
      <c r="D31" s="98">
        <v>-3.1666666699999999E-2</v>
      </c>
      <c r="E31" s="99">
        <v>75214715.445857465</v>
      </c>
      <c r="F31" s="40"/>
      <c r="G31" s="57" t="s">
        <v>158</v>
      </c>
      <c r="H31" s="43">
        <f t="shared" ref="H31:H50" si="6">_xlfn.IFNA(VLOOKUP(G31, $B$2:$D$200, 2, FALSE), "")</f>
        <v>11500</v>
      </c>
      <c r="I31" s="82">
        <f t="shared" ref="I31:I50" si="7">_xlfn.IFNA(VLOOKUP(G31, $B$2:$D$200, 3, FALSE), "")</f>
        <v>0.13636363639999999</v>
      </c>
      <c r="J31" s="91">
        <f>_xlfn.IFNA(VLOOKUP(G31, $B$2:$E$200, 4, FALSE), "")</f>
        <v>29253763.214394748</v>
      </c>
      <c r="K31" s="87" t="s">
        <v>126</v>
      </c>
      <c r="L31" s="43">
        <f t="shared" ref="L31:L50" si="8">_xlfn.IFNA(VLOOKUP(K31, $B$2:$D$200, 2, FALSE), "")</f>
        <v>62.3</v>
      </c>
      <c r="M31" s="82">
        <f t="shared" ref="M31:M50" si="9">_xlfn.IFNA(VLOOKUP(K31, $B$2:$D$200, 3, FALSE), "")</f>
        <v>-2.6562499999999999E-2</v>
      </c>
      <c r="N31" s="91">
        <f>_xlfn.IFNA(VLOOKUP(K31, $B$2:$E$200, 4, FALSE), "")</f>
        <v>594340992.78005278</v>
      </c>
      <c r="O31" s="87" t="s">
        <v>148</v>
      </c>
      <c r="P31" s="43">
        <f t="shared" ref="P31:P50" si="10">_xlfn.IFNA(VLOOKUP(O31, $B$2:$D$200, 2, FALSE), "")</f>
        <v>201</v>
      </c>
      <c r="Q31" s="82">
        <f t="shared" ref="Q31:Q50" si="11">_xlfn.IFNA(VLOOKUP(O31, $B$2:$D$200, 3, FALSE), "")</f>
        <v>0.11049723760000001</v>
      </c>
      <c r="R31" s="91">
        <f>_xlfn.IFNA(VLOOKUP(O31, $B$2:$E$200, 4, FALSE), "")</f>
        <v>780842293.32345998</v>
      </c>
    </row>
    <row r="32" spans="1:18">
      <c r="A32" s="45" t="s">
        <v>103</v>
      </c>
      <c r="B32" s="11" t="s">
        <v>104</v>
      </c>
      <c r="C32" s="101">
        <v>2000</v>
      </c>
      <c r="D32" s="98">
        <v>-3.3816425099999999E-2</v>
      </c>
      <c r="E32" s="99">
        <v>16189376.092401329</v>
      </c>
      <c r="F32" s="40"/>
      <c r="G32" s="52" t="s">
        <v>148</v>
      </c>
      <c r="H32" s="44">
        <f t="shared" si="6"/>
        <v>201</v>
      </c>
      <c r="I32" s="83">
        <f t="shared" si="7"/>
        <v>0.11049723760000001</v>
      </c>
      <c r="J32" s="92">
        <f t="shared" ref="J32:J50" si="12">_xlfn.IFNA(VLOOKUP(G32, $B$2:$E$200, 4, FALSE), "")</f>
        <v>780842293.32345998</v>
      </c>
      <c r="K32" s="88" t="s">
        <v>100</v>
      </c>
      <c r="L32" s="44">
        <f t="shared" si="8"/>
        <v>8.1999999999999993</v>
      </c>
      <c r="M32" s="83">
        <f t="shared" si="9"/>
        <v>-5.7471264399999999E-2</v>
      </c>
      <c r="N32" s="92">
        <f t="shared" ref="N32:N50" si="13">_xlfn.IFNA(VLOOKUP(K32, $B$2:$E$200, 4, FALSE), "")</f>
        <v>82690412401.563492</v>
      </c>
      <c r="O32" s="88" t="s">
        <v>296</v>
      </c>
      <c r="P32" s="44">
        <f t="shared" si="10"/>
        <v>354</v>
      </c>
      <c r="Q32" s="83">
        <f t="shared" si="11"/>
        <v>9.9378882000000002E-2</v>
      </c>
      <c r="R32" s="92">
        <f t="shared" ref="R32:R50" si="14">_xlfn.IFNA(VLOOKUP(O32, $B$2:$E$200, 4, FALSE), "")</f>
        <v>11597928062.077059</v>
      </c>
    </row>
    <row r="33" spans="1:18">
      <c r="A33" s="45" t="s">
        <v>75</v>
      </c>
      <c r="B33" s="11" t="s">
        <v>76</v>
      </c>
      <c r="C33" s="101">
        <v>41760</v>
      </c>
      <c r="D33" s="98">
        <v>-3.5343035299999999E-2</v>
      </c>
      <c r="E33" s="99">
        <v>930603.66547229001</v>
      </c>
      <c r="F33" s="40"/>
      <c r="G33" s="52" t="s">
        <v>61</v>
      </c>
      <c r="H33" s="44">
        <f t="shared" si="6"/>
        <v>1700</v>
      </c>
      <c r="I33" s="83">
        <f t="shared" si="7"/>
        <v>0.10389610389999999</v>
      </c>
      <c r="J33" s="92">
        <f t="shared" si="12"/>
        <v>98761698.494783387</v>
      </c>
      <c r="K33" s="88" t="s">
        <v>65</v>
      </c>
      <c r="L33" s="44">
        <f t="shared" si="8"/>
        <v>70.099999999999994</v>
      </c>
      <c r="M33" s="83">
        <f t="shared" si="9"/>
        <v>-6.1579651899999997E-2</v>
      </c>
      <c r="N33" s="92">
        <f t="shared" si="13"/>
        <v>458072216.41881424</v>
      </c>
      <c r="O33" s="88" t="s">
        <v>116</v>
      </c>
      <c r="P33" s="44">
        <f t="shared" si="10"/>
        <v>677</v>
      </c>
      <c r="Q33" s="83">
        <f t="shared" si="11"/>
        <v>6.4465408799999999E-2</v>
      </c>
      <c r="R33" s="92">
        <f t="shared" si="14"/>
        <v>200976941.93007734</v>
      </c>
    </row>
    <row r="34" spans="1:18">
      <c r="A34" s="45" t="s">
        <v>85</v>
      </c>
      <c r="B34" s="11" t="s">
        <v>86</v>
      </c>
      <c r="C34" s="101">
        <v>6860</v>
      </c>
      <c r="D34" s="98">
        <v>-3.8542396600000001E-2</v>
      </c>
      <c r="E34" s="99">
        <v>21163305.66550833</v>
      </c>
      <c r="F34" s="40"/>
      <c r="G34" s="52" t="s">
        <v>296</v>
      </c>
      <c r="H34" s="44">
        <f t="shared" si="6"/>
        <v>354</v>
      </c>
      <c r="I34" s="83">
        <f t="shared" si="7"/>
        <v>9.9378882000000002E-2</v>
      </c>
      <c r="J34" s="92">
        <f t="shared" si="12"/>
        <v>11597928062.077059</v>
      </c>
      <c r="K34" s="88" t="s">
        <v>152</v>
      </c>
      <c r="L34" s="44">
        <f t="shared" si="8"/>
        <v>45.2</v>
      </c>
      <c r="M34" s="83">
        <f t="shared" si="9"/>
        <v>-6.8041237099999999E-2</v>
      </c>
      <c r="N34" s="92">
        <f t="shared" si="13"/>
        <v>2390022988.0265765</v>
      </c>
      <c r="O34" s="88" t="s">
        <v>170</v>
      </c>
      <c r="P34" s="44">
        <f t="shared" si="10"/>
        <v>537</v>
      </c>
      <c r="Q34" s="83">
        <f t="shared" si="11"/>
        <v>6.1264822099999998E-2</v>
      </c>
      <c r="R34" s="92">
        <f t="shared" si="14"/>
        <v>264179217.09432912</v>
      </c>
    </row>
    <row r="35" spans="1:18">
      <c r="A35" s="45" t="s">
        <v>137</v>
      </c>
      <c r="B35" s="11" t="s">
        <v>138</v>
      </c>
      <c r="C35" s="101">
        <v>39300</v>
      </c>
      <c r="D35" s="98">
        <v>-3.9119804399999999E-2</v>
      </c>
      <c r="E35" s="99">
        <v>864277.86075144995</v>
      </c>
      <c r="F35" s="40"/>
      <c r="G35" s="52" t="s">
        <v>242</v>
      </c>
      <c r="H35" s="49">
        <f t="shared" si="6"/>
        <v>6165</v>
      </c>
      <c r="I35" s="84">
        <f t="shared" si="7"/>
        <v>7.5916230400000007E-2</v>
      </c>
      <c r="J35" s="96">
        <f t="shared" si="12"/>
        <v>9427477.1736655999</v>
      </c>
      <c r="K35" s="89" t="s">
        <v>220</v>
      </c>
      <c r="L35" s="49">
        <f t="shared" si="8"/>
        <v>19.2</v>
      </c>
      <c r="M35" s="84">
        <f t="shared" si="9"/>
        <v>-9.0047393399999995E-2</v>
      </c>
      <c r="N35" s="96">
        <f t="shared" si="13"/>
        <v>779244552.23641825</v>
      </c>
      <c r="O35" s="89" t="s">
        <v>256</v>
      </c>
      <c r="P35" s="49">
        <f t="shared" si="10"/>
        <v>278</v>
      </c>
      <c r="Q35" s="84">
        <f t="shared" si="11"/>
        <v>6.10687023E-2</v>
      </c>
      <c r="R35" s="96">
        <f t="shared" si="14"/>
        <v>431486019.45561147</v>
      </c>
    </row>
    <row r="36" spans="1:18">
      <c r="A36" s="45" t="s">
        <v>155</v>
      </c>
      <c r="B36" s="11" t="s">
        <v>156</v>
      </c>
      <c r="C36" s="101">
        <v>143</v>
      </c>
      <c r="D36" s="98">
        <v>-4.0268456399999999E-2</v>
      </c>
      <c r="E36" s="99">
        <v>634863057.50252295</v>
      </c>
      <c r="F36" s="40"/>
      <c r="G36" s="54" t="s">
        <v>116</v>
      </c>
      <c r="H36" s="44">
        <f t="shared" si="6"/>
        <v>677</v>
      </c>
      <c r="I36" s="83">
        <f t="shared" si="7"/>
        <v>6.4465408799999999E-2</v>
      </c>
      <c r="J36" s="105">
        <f t="shared" si="12"/>
        <v>200976941.93007734</v>
      </c>
      <c r="K36" s="88" t="s">
        <v>196</v>
      </c>
      <c r="L36" s="44">
        <f t="shared" si="8"/>
        <v>21</v>
      </c>
      <c r="M36" s="83">
        <f t="shared" si="9"/>
        <v>-9.0909090900000003E-2</v>
      </c>
      <c r="N36" s="105">
        <f t="shared" si="13"/>
        <v>1118684169.9017005</v>
      </c>
      <c r="O36" s="88" t="s">
        <v>282</v>
      </c>
      <c r="P36" s="44">
        <f t="shared" si="10"/>
        <v>183</v>
      </c>
      <c r="Q36" s="83">
        <f t="shared" si="11"/>
        <v>3.3898305099999998E-2</v>
      </c>
      <c r="R36" s="105">
        <f t="shared" si="14"/>
        <v>188788416.4371089</v>
      </c>
    </row>
    <row r="37" spans="1:18">
      <c r="A37" s="45" t="s">
        <v>205</v>
      </c>
      <c r="B37" s="11" t="s">
        <v>206</v>
      </c>
      <c r="C37" s="101">
        <v>37720</v>
      </c>
      <c r="D37" s="98">
        <v>-4.2396547299999997E-2</v>
      </c>
      <c r="E37" s="99">
        <v>1713250.41007059</v>
      </c>
      <c r="F37" s="40"/>
      <c r="G37" s="52" t="s">
        <v>170</v>
      </c>
      <c r="H37" s="44">
        <f t="shared" si="6"/>
        <v>537</v>
      </c>
      <c r="I37" s="83">
        <f t="shared" si="7"/>
        <v>6.1264822099999998E-2</v>
      </c>
      <c r="J37" s="92">
        <f t="shared" si="12"/>
        <v>264179217.09432912</v>
      </c>
      <c r="K37" s="88" t="s">
        <v>186</v>
      </c>
      <c r="L37" s="44">
        <f t="shared" si="8"/>
        <v>24.9</v>
      </c>
      <c r="M37" s="83">
        <f t="shared" si="9"/>
        <v>-9.1240875900000004E-2</v>
      </c>
      <c r="N37" s="92">
        <f t="shared" si="13"/>
        <v>807540678.06478262</v>
      </c>
      <c r="O37" s="88" t="s">
        <v>88</v>
      </c>
      <c r="P37" s="44">
        <f t="shared" si="10"/>
        <v>615</v>
      </c>
      <c r="Q37" s="83">
        <f t="shared" si="11"/>
        <v>6.5466448000000002E-3</v>
      </c>
      <c r="R37" s="92">
        <f t="shared" si="14"/>
        <v>664797392.03728294</v>
      </c>
    </row>
    <row r="38" spans="1:18">
      <c r="A38" s="45" t="s">
        <v>97</v>
      </c>
      <c r="B38" s="11" t="s">
        <v>98</v>
      </c>
      <c r="C38" s="101">
        <v>6125</v>
      </c>
      <c r="D38" s="98">
        <v>-4.296875E-2</v>
      </c>
      <c r="E38" s="99">
        <v>3109867.3695317102</v>
      </c>
      <c r="F38" s="40"/>
      <c r="G38" s="52" t="s">
        <v>256</v>
      </c>
      <c r="H38" s="44">
        <f t="shared" si="6"/>
        <v>278</v>
      </c>
      <c r="I38" s="83">
        <f t="shared" si="7"/>
        <v>6.10687023E-2</v>
      </c>
      <c r="J38" s="92">
        <f t="shared" si="12"/>
        <v>431486019.45561147</v>
      </c>
      <c r="K38" s="88" t="s">
        <v>72</v>
      </c>
      <c r="L38" s="44">
        <f t="shared" si="8"/>
        <v>33.700000000000003</v>
      </c>
      <c r="M38" s="83">
        <f t="shared" si="9"/>
        <v>-9.1644204899999998E-2</v>
      </c>
      <c r="N38" s="92">
        <f t="shared" si="13"/>
        <v>391419597.63015407</v>
      </c>
      <c r="O38" s="88" t="s">
        <v>51</v>
      </c>
      <c r="P38" s="44">
        <f t="shared" si="10"/>
        <v>581</v>
      </c>
      <c r="Q38" s="83">
        <f t="shared" si="11"/>
        <v>-3.1666666699999999E-2</v>
      </c>
      <c r="R38" s="92">
        <f t="shared" si="14"/>
        <v>75214715.445857465</v>
      </c>
    </row>
    <row r="39" spans="1:18">
      <c r="A39" s="45" t="s">
        <v>62</v>
      </c>
      <c r="B39" s="11" t="s">
        <v>63</v>
      </c>
      <c r="C39" s="101">
        <v>106000</v>
      </c>
      <c r="D39" s="98">
        <v>-4.37528191E-2</v>
      </c>
      <c r="E39" s="99">
        <v>1795390.2309540701</v>
      </c>
      <c r="F39" s="40"/>
      <c r="G39" s="52" t="s">
        <v>108</v>
      </c>
      <c r="H39" s="44">
        <f t="shared" si="6"/>
        <v>45840</v>
      </c>
      <c r="I39" s="83">
        <f t="shared" si="7"/>
        <v>4.8250628900000002E-2</v>
      </c>
      <c r="J39" s="92">
        <f t="shared" si="12"/>
        <v>4397946.2337376298</v>
      </c>
      <c r="K39" s="88" t="s">
        <v>222</v>
      </c>
      <c r="L39" s="44">
        <f t="shared" si="8"/>
        <v>19.899999999999999</v>
      </c>
      <c r="M39" s="83">
        <f t="shared" si="9"/>
        <v>-9.5454545500000001E-2</v>
      </c>
      <c r="N39" s="92">
        <f t="shared" si="13"/>
        <v>794523935.16090953</v>
      </c>
      <c r="O39" s="88" t="s">
        <v>156</v>
      </c>
      <c r="P39" s="44">
        <f t="shared" si="10"/>
        <v>143</v>
      </c>
      <c r="Q39" s="83">
        <f t="shared" si="11"/>
        <v>-4.0268456399999999E-2</v>
      </c>
      <c r="R39" s="92">
        <f t="shared" si="14"/>
        <v>634863057.50252295</v>
      </c>
    </row>
    <row r="40" spans="1:18" ht="17.25" thickBot="1">
      <c r="A40" s="45" t="s">
        <v>119</v>
      </c>
      <c r="B40" s="11" t="s">
        <v>120</v>
      </c>
      <c r="C40" s="101">
        <v>218</v>
      </c>
      <c r="D40" s="98">
        <v>-4.3859649100000002E-2</v>
      </c>
      <c r="E40" s="99">
        <v>318690936.0744431</v>
      </c>
      <c r="F40" s="40"/>
      <c r="G40" s="58" t="s">
        <v>282</v>
      </c>
      <c r="H40" s="42">
        <f t="shared" si="6"/>
        <v>183</v>
      </c>
      <c r="I40" s="85">
        <f t="shared" si="7"/>
        <v>3.3898305099999998E-2</v>
      </c>
      <c r="J40" s="93">
        <f t="shared" si="12"/>
        <v>188788416.4371089</v>
      </c>
      <c r="K40" s="90" t="s">
        <v>268</v>
      </c>
      <c r="L40" s="42">
        <f t="shared" si="8"/>
        <v>94</v>
      </c>
      <c r="M40" s="85">
        <f t="shared" si="9"/>
        <v>-9.6153846200000004E-2</v>
      </c>
      <c r="N40" s="93">
        <f t="shared" si="13"/>
        <v>190813111.2739895</v>
      </c>
      <c r="O40" s="90" t="s">
        <v>120</v>
      </c>
      <c r="P40" s="42">
        <f t="shared" si="10"/>
        <v>218</v>
      </c>
      <c r="Q40" s="85">
        <f t="shared" si="11"/>
        <v>-4.3859649100000002E-2</v>
      </c>
      <c r="R40" s="93">
        <f t="shared" si="14"/>
        <v>318690936.0744431</v>
      </c>
    </row>
    <row r="41" spans="1:18">
      <c r="A41" s="45" t="s">
        <v>269</v>
      </c>
      <c r="B41" s="11" t="s">
        <v>270</v>
      </c>
      <c r="C41" s="101">
        <v>510</v>
      </c>
      <c r="D41" s="98">
        <v>-4.4943820199999998E-2</v>
      </c>
      <c r="E41" s="99">
        <v>87634368.141181424</v>
      </c>
      <c r="F41" s="40"/>
      <c r="G41" s="57" t="s">
        <v>160</v>
      </c>
      <c r="H41" s="43">
        <f t="shared" si="6"/>
        <v>3160</v>
      </c>
      <c r="I41" s="82">
        <f t="shared" si="7"/>
        <v>2.5974026000000001E-2</v>
      </c>
      <c r="J41" s="91">
        <f t="shared" si="12"/>
        <v>22260754.722223219</v>
      </c>
      <c r="K41" s="87" t="s">
        <v>198</v>
      </c>
      <c r="L41" s="43">
        <f t="shared" si="8"/>
        <v>30.7</v>
      </c>
      <c r="M41" s="82">
        <f t="shared" si="9"/>
        <v>-9.7058823500000002E-2</v>
      </c>
      <c r="N41" s="91">
        <f t="shared" si="13"/>
        <v>2377246707.0334959</v>
      </c>
      <c r="O41" s="87" t="s">
        <v>270</v>
      </c>
      <c r="P41" s="43">
        <f t="shared" si="10"/>
        <v>510</v>
      </c>
      <c r="Q41" s="82">
        <f t="shared" si="11"/>
        <v>-4.4943820199999998E-2</v>
      </c>
      <c r="R41" s="91">
        <f t="shared" si="14"/>
        <v>87634368.141181424</v>
      </c>
    </row>
    <row r="42" spans="1:18">
      <c r="A42" s="45" t="s">
        <v>91</v>
      </c>
      <c r="B42" s="11" t="s">
        <v>92</v>
      </c>
      <c r="C42" s="101">
        <v>1575</v>
      </c>
      <c r="D42" s="98">
        <v>-4.5454545499999999E-2</v>
      </c>
      <c r="E42" s="99">
        <v>1066279321.9634527</v>
      </c>
      <c r="F42" s="40"/>
      <c r="G42" s="52" t="s">
        <v>96</v>
      </c>
      <c r="H42" s="44">
        <f t="shared" si="6"/>
        <v>3168000</v>
      </c>
      <c r="I42" s="83">
        <f t="shared" si="7"/>
        <v>8.9171974999999997E-3</v>
      </c>
      <c r="J42" s="92">
        <f t="shared" si="12"/>
        <v>136379.54778009001</v>
      </c>
      <c r="K42" s="88" t="s">
        <v>218</v>
      </c>
      <c r="L42" s="44">
        <f t="shared" si="8"/>
        <v>31.4</v>
      </c>
      <c r="M42" s="83">
        <f t="shared" si="9"/>
        <v>-9.7701149400000006E-2</v>
      </c>
      <c r="N42" s="92">
        <f t="shared" si="13"/>
        <v>1282034998.8472047</v>
      </c>
      <c r="O42" s="88" t="s">
        <v>132</v>
      </c>
      <c r="P42" s="44">
        <f t="shared" si="10"/>
        <v>233</v>
      </c>
      <c r="Q42" s="83">
        <f t="shared" si="11"/>
        <v>-4.89795918E-2</v>
      </c>
      <c r="R42" s="92">
        <f t="shared" si="14"/>
        <v>1817489680.9442196</v>
      </c>
    </row>
    <row r="43" spans="1:18">
      <c r="A43" s="45" t="s">
        <v>131</v>
      </c>
      <c r="B43" s="11" t="s">
        <v>132</v>
      </c>
      <c r="C43" s="101">
        <v>233</v>
      </c>
      <c r="D43" s="98">
        <v>-4.89795918E-2</v>
      </c>
      <c r="E43" s="99">
        <v>1817489680.9442196</v>
      </c>
      <c r="F43" s="40"/>
      <c r="G43" s="52" t="s">
        <v>88</v>
      </c>
      <c r="H43" s="44">
        <f t="shared" si="6"/>
        <v>615</v>
      </c>
      <c r="I43" s="83">
        <f t="shared" si="7"/>
        <v>6.5466448000000002E-3</v>
      </c>
      <c r="J43" s="92">
        <f t="shared" si="12"/>
        <v>664797392.03728294</v>
      </c>
      <c r="K43" s="88" t="s">
        <v>266</v>
      </c>
      <c r="L43" s="44">
        <f t="shared" si="8"/>
        <v>93.5</v>
      </c>
      <c r="M43" s="83">
        <f t="shared" si="9"/>
        <v>-0.1009615385</v>
      </c>
      <c r="N43" s="92">
        <f t="shared" si="13"/>
        <v>277496575.39103156</v>
      </c>
      <c r="O43" s="88" t="s">
        <v>142</v>
      </c>
      <c r="P43" s="44">
        <f t="shared" si="10"/>
        <v>357</v>
      </c>
      <c r="Q43" s="83">
        <f t="shared" si="11"/>
        <v>-5.5555555600000001E-2</v>
      </c>
      <c r="R43" s="92">
        <f t="shared" si="14"/>
        <v>59227653.155480348</v>
      </c>
    </row>
    <row r="44" spans="1:18">
      <c r="A44" s="45" t="s">
        <v>179</v>
      </c>
      <c r="B44" s="11" t="s">
        <v>180</v>
      </c>
      <c r="C44" s="101">
        <v>4450</v>
      </c>
      <c r="D44" s="98">
        <v>-4.9145299099999998E-2</v>
      </c>
      <c r="E44" s="99">
        <v>25074915.12657968</v>
      </c>
      <c r="F44" s="40"/>
      <c r="G44" s="52" t="s">
        <v>150</v>
      </c>
      <c r="H44" s="44">
        <f t="shared" si="6"/>
        <v>4830</v>
      </c>
      <c r="I44" s="83">
        <f t="shared" si="7"/>
        <v>-3.0959752E-3</v>
      </c>
      <c r="J44" s="92">
        <f t="shared" si="12"/>
        <v>15554075.577692609</v>
      </c>
      <c r="K44" s="88" t="s">
        <v>228</v>
      </c>
      <c r="L44" s="44">
        <f t="shared" si="8"/>
        <v>19.5</v>
      </c>
      <c r="M44" s="83">
        <f t="shared" si="9"/>
        <v>-0.10138248850000001</v>
      </c>
      <c r="N44" s="92">
        <f t="shared" si="13"/>
        <v>2891841592.9502096</v>
      </c>
      <c r="O44" s="88" t="s">
        <v>278</v>
      </c>
      <c r="P44" s="44">
        <f t="shared" si="10"/>
        <v>143</v>
      </c>
      <c r="Q44" s="83">
        <f t="shared" si="11"/>
        <v>-5.9210526300000003E-2</v>
      </c>
      <c r="R44" s="92">
        <f t="shared" si="14"/>
        <v>103536074.4714999</v>
      </c>
    </row>
    <row r="45" spans="1:18">
      <c r="A45" s="45" t="s">
        <v>117</v>
      </c>
      <c r="B45" s="11" t="s">
        <v>118</v>
      </c>
      <c r="C45" s="101">
        <v>5955</v>
      </c>
      <c r="D45" s="98">
        <v>-5.0239234399999999E-2</v>
      </c>
      <c r="E45" s="99">
        <v>1800739.1728276</v>
      </c>
      <c r="F45" s="40"/>
      <c r="G45" s="52" t="s">
        <v>84</v>
      </c>
      <c r="H45" s="49">
        <f t="shared" si="6"/>
        <v>1530</v>
      </c>
      <c r="I45" s="84">
        <f t="shared" si="7"/>
        <v>-3.2573290000000002E-3</v>
      </c>
      <c r="J45" s="96">
        <f t="shared" si="12"/>
        <v>41381221.256873891</v>
      </c>
      <c r="K45" s="89" t="s">
        <v>214</v>
      </c>
      <c r="L45" s="49">
        <f t="shared" si="8"/>
        <v>24.3</v>
      </c>
      <c r="M45" s="84">
        <f t="shared" si="9"/>
        <v>-0.1033210332</v>
      </c>
      <c r="N45" s="96">
        <f t="shared" si="13"/>
        <v>1352073197.925812</v>
      </c>
      <c r="O45" s="89" t="s">
        <v>57</v>
      </c>
      <c r="P45" s="49">
        <f t="shared" si="10"/>
        <v>384</v>
      </c>
      <c r="Q45" s="84">
        <f t="shared" si="11"/>
        <v>-6.1124694399999999E-2</v>
      </c>
      <c r="R45" s="96">
        <f t="shared" si="14"/>
        <v>269273167.77909499</v>
      </c>
    </row>
    <row r="46" spans="1:18">
      <c r="A46" s="45" t="s">
        <v>141</v>
      </c>
      <c r="B46" s="11" t="s">
        <v>142</v>
      </c>
      <c r="C46" s="101">
        <v>357</v>
      </c>
      <c r="D46" s="98">
        <v>-5.5555555600000001E-2</v>
      </c>
      <c r="E46" s="99">
        <v>59227653.155480348</v>
      </c>
      <c r="F46" s="40"/>
      <c r="G46" s="54" t="s">
        <v>102</v>
      </c>
      <c r="H46" s="44">
        <f t="shared" si="6"/>
        <v>39620</v>
      </c>
      <c r="I46" s="83">
        <f t="shared" si="7"/>
        <v>-6.5195586999999998E-3</v>
      </c>
      <c r="J46" s="105">
        <f t="shared" si="12"/>
        <v>15711343.00838061</v>
      </c>
      <c r="K46" s="88" t="s">
        <v>236</v>
      </c>
      <c r="L46" s="44">
        <f t="shared" si="8"/>
        <v>73.3</v>
      </c>
      <c r="M46" s="83">
        <f t="shared" si="9"/>
        <v>-0.10391198040000001</v>
      </c>
      <c r="N46" s="105">
        <f t="shared" si="13"/>
        <v>429913392.6255855</v>
      </c>
      <c r="O46" s="88" t="s">
        <v>54</v>
      </c>
      <c r="P46" s="44">
        <f t="shared" si="10"/>
        <v>333</v>
      </c>
      <c r="Q46" s="83">
        <f t="shared" si="11"/>
        <v>-6.9832402200000004E-2</v>
      </c>
      <c r="R46" s="105">
        <f t="shared" si="14"/>
        <v>33736436.004993148</v>
      </c>
    </row>
    <row r="47" spans="1:18">
      <c r="A47" s="45" t="s">
        <v>175</v>
      </c>
      <c r="B47" s="11" t="s">
        <v>176</v>
      </c>
      <c r="C47" s="101">
        <v>2495</v>
      </c>
      <c r="D47" s="98">
        <v>-5.6710774999999998E-2</v>
      </c>
      <c r="E47" s="99">
        <v>20371702.737609688</v>
      </c>
      <c r="F47" s="40"/>
      <c r="G47" s="52" t="s">
        <v>90</v>
      </c>
      <c r="H47" s="44">
        <f t="shared" si="6"/>
        <v>334950</v>
      </c>
      <c r="I47" s="83">
        <f t="shared" si="7"/>
        <v>-8.1433224999999995E-3</v>
      </c>
      <c r="J47" s="92">
        <f t="shared" si="12"/>
        <v>129176.43762909</v>
      </c>
      <c r="K47" s="88" t="s">
        <v>172</v>
      </c>
      <c r="L47" s="44">
        <f t="shared" si="8"/>
        <v>28.8</v>
      </c>
      <c r="M47" s="83">
        <f t="shared" si="9"/>
        <v>-0.10559006210000001</v>
      </c>
      <c r="N47" s="92">
        <f t="shared" si="13"/>
        <v>1284464747.6885076</v>
      </c>
      <c r="O47" s="88" t="s">
        <v>182</v>
      </c>
      <c r="P47" s="44">
        <f t="shared" si="10"/>
        <v>472</v>
      </c>
      <c r="Q47" s="83">
        <f t="shared" si="11"/>
        <v>-7.2691552100000001E-2</v>
      </c>
      <c r="R47" s="92">
        <f t="shared" si="14"/>
        <v>41820709.879148908</v>
      </c>
    </row>
    <row r="48" spans="1:18">
      <c r="A48" s="45" t="s">
        <v>99</v>
      </c>
      <c r="B48" s="11" t="s">
        <v>100</v>
      </c>
      <c r="C48" s="101">
        <v>8.1999999999999993</v>
      </c>
      <c r="D48" s="98">
        <v>-5.7471264399999999E-2</v>
      </c>
      <c r="E48" s="99">
        <v>82690412401.563492</v>
      </c>
      <c r="F48" s="40"/>
      <c r="G48" s="52" t="s">
        <v>178</v>
      </c>
      <c r="H48" s="44">
        <f t="shared" si="6"/>
        <v>44430</v>
      </c>
      <c r="I48" s="83">
        <f t="shared" si="7"/>
        <v>-8.2589285999999998E-3</v>
      </c>
      <c r="J48" s="92">
        <f t="shared" si="12"/>
        <v>930311.51528107002</v>
      </c>
      <c r="K48" s="88" t="s">
        <v>254</v>
      </c>
      <c r="L48" s="44">
        <f t="shared" si="8"/>
        <v>85.4</v>
      </c>
      <c r="M48" s="83">
        <f t="shared" si="9"/>
        <v>-0.1057591623</v>
      </c>
      <c r="N48" s="92">
        <f t="shared" si="13"/>
        <v>221604469.44575566</v>
      </c>
      <c r="O48" s="88" t="s">
        <v>128</v>
      </c>
      <c r="P48" s="44">
        <f t="shared" si="10"/>
        <v>599</v>
      </c>
      <c r="Q48" s="83">
        <f t="shared" si="11"/>
        <v>-7.4188562599999994E-2</v>
      </c>
      <c r="R48" s="92">
        <f t="shared" si="14"/>
        <v>17638568.15955833</v>
      </c>
    </row>
    <row r="49" spans="1:18">
      <c r="A49" s="45" t="s">
        <v>187</v>
      </c>
      <c r="B49" s="11" t="s">
        <v>188</v>
      </c>
      <c r="C49" s="101">
        <v>16560</v>
      </c>
      <c r="D49" s="98">
        <v>-5.7484348300000002E-2</v>
      </c>
      <c r="E49" s="99">
        <v>9296069.3417893797</v>
      </c>
      <c r="F49" s="40"/>
      <c r="G49" s="52" t="s">
        <v>74</v>
      </c>
      <c r="H49" s="44">
        <f t="shared" si="6"/>
        <v>26850</v>
      </c>
      <c r="I49" s="83">
        <f t="shared" si="7"/>
        <v>-1.1777696000000001E-2</v>
      </c>
      <c r="J49" s="92">
        <f t="shared" si="12"/>
        <v>492082.64840752003</v>
      </c>
      <c r="K49" s="88" t="s">
        <v>154</v>
      </c>
      <c r="L49" s="44">
        <f t="shared" si="8"/>
        <v>21.8</v>
      </c>
      <c r="M49" s="83">
        <f t="shared" si="9"/>
        <v>-0.10655737699999999</v>
      </c>
      <c r="N49" s="92">
        <f t="shared" si="13"/>
        <v>2087368334.8944275</v>
      </c>
      <c r="O49" s="88" t="s">
        <v>168</v>
      </c>
      <c r="P49" s="44">
        <f t="shared" si="10"/>
        <v>186</v>
      </c>
      <c r="Q49" s="83">
        <f t="shared" si="11"/>
        <v>-7.4626865700000003E-2</v>
      </c>
      <c r="R49" s="92">
        <f t="shared" si="14"/>
        <v>427963017.46679014</v>
      </c>
    </row>
    <row r="50" spans="1:18" ht="17.25" thickBot="1">
      <c r="A50" s="45" t="s">
        <v>277</v>
      </c>
      <c r="B50" s="11" t="s">
        <v>278</v>
      </c>
      <c r="C50" s="101">
        <v>143</v>
      </c>
      <c r="D50" s="98">
        <v>-5.9210526300000003E-2</v>
      </c>
      <c r="E50" s="99">
        <v>103536074.4714999</v>
      </c>
      <c r="F50" s="40"/>
      <c r="G50" s="58" t="s">
        <v>49</v>
      </c>
      <c r="H50" s="42">
        <f t="shared" si="6"/>
        <v>63826000</v>
      </c>
      <c r="I50" s="85">
        <f t="shared" si="7"/>
        <v>-1.4529004E-2</v>
      </c>
      <c r="J50" s="93">
        <f t="shared" si="12"/>
        <v>7258.3773785800004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212</v>
      </c>
      <c r="P50" s="42">
        <f t="shared" si="10"/>
        <v>145</v>
      </c>
      <c r="Q50" s="85">
        <f t="shared" si="11"/>
        <v>-7.6433121000000007E-2</v>
      </c>
      <c r="R50" s="93">
        <f t="shared" si="14"/>
        <v>1573019241.8329396</v>
      </c>
    </row>
    <row r="51" spans="1:18">
      <c r="A51" s="45" t="s">
        <v>56</v>
      </c>
      <c r="B51" s="11" t="s">
        <v>57</v>
      </c>
      <c r="C51" s="101">
        <v>384</v>
      </c>
      <c r="D51" s="98">
        <v>-6.1124694399999999E-2</v>
      </c>
      <c r="E51" s="99">
        <v>269273167.77909499</v>
      </c>
      <c r="F51" s="40"/>
    </row>
    <row r="52" spans="1:18" ht="17.25" thickBot="1">
      <c r="A52" s="45" t="s">
        <v>64</v>
      </c>
      <c r="B52" s="11" t="s">
        <v>65</v>
      </c>
      <c r="C52" s="101">
        <v>70.099999999999994</v>
      </c>
      <c r="D52" s="98">
        <v>-6.1579651899999997E-2</v>
      </c>
      <c r="E52" s="99">
        <v>458072216.41881424</v>
      </c>
      <c r="F52" s="40"/>
    </row>
    <row r="53" spans="1:18" ht="17.25" thickBot="1">
      <c r="A53" s="45" t="s">
        <v>139</v>
      </c>
      <c r="B53" s="11" t="s">
        <v>140</v>
      </c>
      <c r="C53" s="101">
        <v>3565</v>
      </c>
      <c r="D53" s="98">
        <v>-6.1842105299999998E-2</v>
      </c>
      <c r="E53" s="99">
        <v>2242594.04703181</v>
      </c>
      <c r="F53" s="40"/>
      <c r="G53" s="111" t="s">
        <v>285</v>
      </c>
      <c r="H53" s="125"/>
      <c r="I53" s="125"/>
      <c r="J53" s="112"/>
      <c r="K53" s="111" t="s">
        <v>288</v>
      </c>
      <c r="L53" s="125"/>
      <c r="M53" s="125"/>
      <c r="N53" s="112"/>
      <c r="O53" s="111" t="s">
        <v>289</v>
      </c>
      <c r="P53" s="125"/>
      <c r="Q53" s="125"/>
      <c r="R53" s="112"/>
    </row>
    <row r="54" spans="1:18" ht="17.25" thickBot="1">
      <c r="A54" s="45" t="s">
        <v>183</v>
      </c>
      <c r="B54" s="11" t="s">
        <v>184</v>
      </c>
      <c r="C54" s="101">
        <v>2505</v>
      </c>
      <c r="D54" s="98">
        <v>-6.5298507500000005E-2</v>
      </c>
      <c r="E54" s="99">
        <v>3288187.2758448902</v>
      </c>
      <c r="F54" s="40"/>
      <c r="G54" s="173" t="s">
        <v>55</v>
      </c>
      <c r="H54" s="170">
        <f ca="1">NOW()</f>
        <v>44315.141905208337</v>
      </c>
      <c r="I54" s="171"/>
      <c r="J54" s="172"/>
      <c r="K54" s="181" t="s">
        <v>55</v>
      </c>
      <c r="L54" s="170">
        <f ca="1">NOW()</f>
        <v>44315.141905208337</v>
      </c>
      <c r="M54" s="171"/>
      <c r="N54" s="172"/>
      <c r="O54" s="181" t="s">
        <v>55</v>
      </c>
      <c r="P54" s="170">
        <f ca="1">NOW()</f>
        <v>44315.141905208337</v>
      </c>
      <c r="Q54" s="171"/>
      <c r="R54" s="172"/>
    </row>
    <row r="55" spans="1:18" ht="17.25" thickBot="1">
      <c r="A55" s="45" t="s">
        <v>151</v>
      </c>
      <c r="B55" s="11" t="s">
        <v>152</v>
      </c>
      <c r="C55" s="101">
        <v>45.2</v>
      </c>
      <c r="D55" s="98">
        <v>-6.8041237099999999E-2</v>
      </c>
      <c r="E55" s="99">
        <v>2390022988.0265765</v>
      </c>
      <c r="F55" s="40"/>
      <c r="G55" s="174"/>
      <c r="H55" s="56" t="s">
        <v>58</v>
      </c>
      <c r="I55" s="79" t="s">
        <v>59</v>
      </c>
      <c r="J55" s="75" t="s">
        <v>294</v>
      </c>
      <c r="K55" s="124"/>
      <c r="L55" s="56" t="s">
        <v>58</v>
      </c>
      <c r="M55" s="79" t="s">
        <v>59</v>
      </c>
      <c r="N55" s="75" t="s">
        <v>294</v>
      </c>
      <c r="O55" s="124"/>
      <c r="P55" s="56" t="s">
        <v>58</v>
      </c>
      <c r="Q55" s="79" t="s">
        <v>59</v>
      </c>
      <c r="R55" s="75" t="s">
        <v>294</v>
      </c>
    </row>
    <row r="56" spans="1:18">
      <c r="A56" s="45" t="s">
        <v>105</v>
      </c>
      <c r="B56" s="11" t="s">
        <v>106</v>
      </c>
      <c r="C56" s="101">
        <v>2005</v>
      </c>
      <c r="D56" s="98">
        <v>-6.9605568399999998E-2</v>
      </c>
      <c r="E56" s="99">
        <v>7643936.52665269</v>
      </c>
      <c r="F56" s="40"/>
      <c r="G56" s="60" t="s">
        <v>202</v>
      </c>
      <c r="H56" s="43">
        <f t="shared" ref="H56:H75" si="15">_xlfn.IFNA(VLOOKUP(G56, $B$2:$D$200, 2, FALSE), "")</f>
        <v>206</v>
      </c>
      <c r="I56" s="82">
        <f t="shared" ref="I56:I65" si="16">_xlfn.IFNA(VLOOKUP(G56, $B$2:$D$200, 3, FALSE), "")</f>
        <v>-0.1004366812</v>
      </c>
      <c r="J56" s="91">
        <f>_xlfn.IFNA(VLOOKUP(G56, $B$2:$E$200, 4, FALSE), "")</f>
        <v>259576948.43269348</v>
      </c>
      <c r="K56" s="87" t="s">
        <v>126</v>
      </c>
      <c r="L56" s="43">
        <f t="shared" ref="L56:L75" si="17">_xlfn.IFNA(VLOOKUP(K56, $B$2:$D$200, 2, FALSE), "")</f>
        <v>62.3</v>
      </c>
      <c r="M56" s="82">
        <f t="shared" ref="M56:M75" si="18">_xlfn.IFNA(VLOOKUP(K56, $B$2:$D$200, 3, FALSE), "")</f>
        <v>-2.6562499999999999E-2</v>
      </c>
      <c r="N56" s="91">
        <f>_xlfn.IFNA(VLOOKUP(K56, $B$2:$E$200, 4, FALSE), "")</f>
        <v>594340992.78005278</v>
      </c>
      <c r="O56" s="87" t="s">
        <v>284</v>
      </c>
      <c r="P56" s="43">
        <f t="shared" ref="P56:P75" si="19">_xlfn.IFNA(VLOOKUP(O56, $B$2:$D$200, 2, FALSE), "")</f>
        <v>430</v>
      </c>
      <c r="Q56" s="82">
        <f t="shared" ref="Q56:Q75" si="20">_xlfn.IFNA(VLOOKUP(O56, $B$2:$D$200, 3, FALSE), "")</f>
        <v>-8.1196581200000006E-2</v>
      </c>
      <c r="R56" s="91">
        <f>_xlfn.IFNA(VLOOKUP(O56, $B$2:$E$200, 4, FALSE), "")</f>
        <v>83289007.853898406</v>
      </c>
    </row>
    <row r="57" spans="1:18">
      <c r="A57" s="45" t="s">
        <v>53</v>
      </c>
      <c r="B57" s="11" t="s">
        <v>54</v>
      </c>
      <c r="C57" s="101">
        <v>333</v>
      </c>
      <c r="D57" s="98">
        <v>-6.9832402200000004E-2</v>
      </c>
      <c r="E57" s="99">
        <v>33736436.004993148</v>
      </c>
      <c r="F57" s="40"/>
      <c r="G57" s="61" t="s">
        <v>266</v>
      </c>
      <c r="H57" s="44">
        <f t="shared" si="15"/>
        <v>93.5</v>
      </c>
      <c r="I57" s="83">
        <f t="shared" si="16"/>
        <v>-0.1009615385</v>
      </c>
      <c r="J57" s="92">
        <f t="shared" ref="J57:J75" si="21">_xlfn.IFNA(VLOOKUP(G57, $B$2:$E$200, 4, FALSE), "")</f>
        <v>277496575.39103156</v>
      </c>
      <c r="K57" s="88" t="s">
        <v>100</v>
      </c>
      <c r="L57" s="44">
        <f t="shared" si="17"/>
        <v>8.1999999999999993</v>
      </c>
      <c r="M57" s="83">
        <f t="shared" si="18"/>
        <v>-5.7471264399999999E-2</v>
      </c>
      <c r="N57" s="92">
        <f t="shared" ref="N57:N75" si="22">_xlfn.IFNA(VLOOKUP(K57, $B$2:$E$200, 4, FALSE), "")</f>
        <v>82690412401.563492</v>
      </c>
      <c r="O57" s="88" t="s">
        <v>232</v>
      </c>
      <c r="P57" s="44">
        <f t="shared" si="19"/>
        <v>176</v>
      </c>
      <c r="Q57" s="83">
        <f t="shared" si="20"/>
        <v>-8.3333333300000006E-2</v>
      </c>
      <c r="R57" s="92">
        <f t="shared" ref="R57:R75" si="23">_xlfn.IFNA(VLOOKUP(O57, $B$2:$E$200, 4, FALSE), "")</f>
        <v>113309534.23031881</v>
      </c>
    </row>
    <row r="58" spans="1:18">
      <c r="A58" s="45" t="s">
        <v>181</v>
      </c>
      <c r="B58" s="11" t="s">
        <v>182</v>
      </c>
      <c r="C58" s="101">
        <v>472</v>
      </c>
      <c r="D58" s="98">
        <v>-7.2691552100000001E-2</v>
      </c>
      <c r="E58" s="99">
        <v>41820709.879148908</v>
      </c>
      <c r="F58" s="40"/>
      <c r="G58" s="61" t="s">
        <v>200</v>
      </c>
      <c r="H58" s="44">
        <f t="shared" si="15"/>
        <v>400</v>
      </c>
      <c r="I58" s="83">
        <f t="shared" si="16"/>
        <v>-0.1011235955</v>
      </c>
      <c r="J58" s="92">
        <f t="shared" si="21"/>
        <v>56885646.21335528</v>
      </c>
      <c r="K58" s="88" t="s">
        <v>65</v>
      </c>
      <c r="L58" s="44">
        <f t="shared" si="17"/>
        <v>70.099999999999994</v>
      </c>
      <c r="M58" s="83">
        <f t="shared" si="18"/>
        <v>-6.1579651899999997E-2</v>
      </c>
      <c r="N58" s="92">
        <f t="shared" si="22"/>
        <v>458072216.41881424</v>
      </c>
      <c r="O58" s="88" t="s">
        <v>264</v>
      </c>
      <c r="P58" s="44">
        <f t="shared" si="19"/>
        <v>163</v>
      </c>
      <c r="Q58" s="83">
        <f t="shared" si="20"/>
        <v>-8.42696629E-2</v>
      </c>
      <c r="R58" s="92">
        <f t="shared" si="23"/>
        <v>64322709.877151102</v>
      </c>
    </row>
    <row r="59" spans="1:18">
      <c r="A59" s="45" t="s">
        <v>161</v>
      </c>
      <c r="B59" s="11" t="s">
        <v>162</v>
      </c>
      <c r="C59" s="101">
        <v>1975</v>
      </c>
      <c r="D59" s="98">
        <v>-7.2769953100000007E-2</v>
      </c>
      <c r="E59" s="99">
        <v>15348895.794229619</v>
      </c>
      <c r="F59" s="40"/>
      <c r="G59" s="61" t="s">
        <v>208</v>
      </c>
      <c r="H59" s="44">
        <f t="shared" si="15"/>
        <v>506</v>
      </c>
      <c r="I59" s="83">
        <f t="shared" si="16"/>
        <v>-0.1012433393</v>
      </c>
      <c r="J59" s="92">
        <f t="shared" si="21"/>
        <v>149943027.36163732</v>
      </c>
      <c r="K59" s="88" t="s">
        <v>152</v>
      </c>
      <c r="L59" s="44">
        <f t="shared" si="17"/>
        <v>45.2</v>
      </c>
      <c r="M59" s="83">
        <f t="shared" si="18"/>
        <v>-6.8041237099999999E-2</v>
      </c>
      <c r="N59" s="92">
        <f t="shared" si="22"/>
        <v>2390022988.0265765</v>
      </c>
      <c r="O59" s="88" t="s">
        <v>210</v>
      </c>
      <c r="P59" s="44">
        <f t="shared" si="19"/>
        <v>203</v>
      </c>
      <c r="Q59" s="83">
        <f t="shared" si="20"/>
        <v>-8.55855856E-2</v>
      </c>
      <c r="R59" s="92">
        <f t="shared" si="23"/>
        <v>71562342.135791183</v>
      </c>
    </row>
    <row r="60" spans="1:18">
      <c r="A60" s="45" t="s">
        <v>127</v>
      </c>
      <c r="B60" s="11" t="s">
        <v>128</v>
      </c>
      <c r="C60" s="101">
        <v>599</v>
      </c>
      <c r="D60" s="98">
        <v>-7.4188562599999994E-2</v>
      </c>
      <c r="E60" s="99">
        <v>17638568.15955833</v>
      </c>
      <c r="F60" s="40"/>
      <c r="G60" s="61" t="s">
        <v>228</v>
      </c>
      <c r="H60" s="44">
        <f t="shared" si="15"/>
        <v>19.5</v>
      </c>
      <c r="I60" s="83">
        <f t="shared" si="16"/>
        <v>-0.10138248850000001</v>
      </c>
      <c r="J60" s="96">
        <f t="shared" si="21"/>
        <v>2891841592.9502096</v>
      </c>
      <c r="K60" s="89" t="s">
        <v>220</v>
      </c>
      <c r="L60" s="49">
        <f t="shared" si="17"/>
        <v>19.2</v>
      </c>
      <c r="M60" s="84">
        <f t="shared" si="18"/>
        <v>-9.0047393399999995E-2</v>
      </c>
      <c r="N60" s="96">
        <f t="shared" si="22"/>
        <v>779244552.23641825</v>
      </c>
      <c r="O60" s="89" t="s">
        <v>216</v>
      </c>
      <c r="P60" s="49">
        <f t="shared" si="19"/>
        <v>438</v>
      </c>
      <c r="Q60" s="84">
        <f t="shared" si="20"/>
        <v>-8.5594989600000004E-2</v>
      </c>
      <c r="R60" s="96">
        <f t="shared" si="23"/>
        <v>74186719.764929131</v>
      </c>
    </row>
    <row r="61" spans="1:18">
      <c r="A61" s="45" t="s">
        <v>167</v>
      </c>
      <c r="B61" s="11" t="s">
        <v>168</v>
      </c>
      <c r="C61" s="101">
        <v>186</v>
      </c>
      <c r="D61" s="98">
        <v>-7.4626865700000003E-2</v>
      </c>
      <c r="E61" s="99">
        <v>427963017.46679014</v>
      </c>
      <c r="F61" s="40"/>
      <c r="G61" s="65" t="s">
        <v>134</v>
      </c>
      <c r="H61" s="50">
        <f t="shared" si="15"/>
        <v>149</v>
      </c>
      <c r="I61" s="86">
        <f t="shared" si="16"/>
        <v>-0.10240963860000001</v>
      </c>
      <c r="J61" s="105">
        <f t="shared" si="21"/>
        <v>225220114.63966697</v>
      </c>
      <c r="K61" s="88" t="s">
        <v>196</v>
      </c>
      <c r="L61" s="44">
        <f t="shared" si="17"/>
        <v>21</v>
      </c>
      <c r="M61" s="83">
        <f t="shared" si="18"/>
        <v>-9.0909090900000003E-2</v>
      </c>
      <c r="N61" s="105">
        <f t="shared" si="22"/>
        <v>1118684169.9017005</v>
      </c>
      <c r="O61" s="88" t="s">
        <v>250</v>
      </c>
      <c r="P61" s="44">
        <f t="shared" si="19"/>
        <v>215</v>
      </c>
      <c r="Q61" s="83">
        <f t="shared" si="20"/>
        <v>-8.8983050800000005E-2</v>
      </c>
      <c r="R61" s="105">
        <f t="shared" si="23"/>
        <v>38699926.863834463</v>
      </c>
    </row>
    <row r="62" spans="1:18">
      <c r="A62" s="45" t="s">
        <v>165</v>
      </c>
      <c r="B62" s="11" t="s">
        <v>166</v>
      </c>
      <c r="C62" s="101">
        <v>2280</v>
      </c>
      <c r="D62" s="98">
        <v>-7.5050709899999998E-2</v>
      </c>
      <c r="E62" s="99">
        <v>10293979.21911253</v>
      </c>
      <c r="F62" s="40"/>
      <c r="G62" s="61" t="s">
        <v>214</v>
      </c>
      <c r="H62" s="44">
        <f t="shared" si="15"/>
        <v>24.3</v>
      </c>
      <c r="I62" s="83">
        <f t="shared" si="16"/>
        <v>-0.1033210332</v>
      </c>
      <c r="J62" s="92">
        <f t="shared" si="21"/>
        <v>1352073197.925812</v>
      </c>
      <c r="K62" s="88" t="s">
        <v>186</v>
      </c>
      <c r="L62" s="44">
        <f t="shared" si="17"/>
        <v>24.9</v>
      </c>
      <c r="M62" s="83">
        <f t="shared" si="18"/>
        <v>-9.1240875900000004E-2</v>
      </c>
      <c r="N62" s="92">
        <f t="shared" si="22"/>
        <v>807540678.06478262</v>
      </c>
      <c r="O62" s="88" t="s">
        <v>230</v>
      </c>
      <c r="P62" s="44">
        <f t="shared" si="19"/>
        <v>178</v>
      </c>
      <c r="Q62" s="83">
        <f t="shared" si="20"/>
        <v>-9.1836734700000006E-2</v>
      </c>
      <c r="R62" s="92">
        <f t="shared" si="23"/>
        <v>178007926.70885068</v>
      </c>
    </row>
    <row r="63" spans="1:18">
      <c r="A63" s="45" t="s">
        <v>211</v>
      </c>
      <c r="B63" s="11" t="s">
        <v>212</v>
      </c>
      <c r="C63" s="101">
        <v>145</v>
      </c>
      <c r="D63" s="98">
        <v>-7.6433121000000007E-2</v>
      </c>
      <c r="E63" s="99">
        <v>1573019241.8329396</v>
      </c>
      <c r="F63" s="40"/>
      <c r="G63" s="61" t="s">
        <v>236</v>
      </c>
      <c r="H63" s="44">
        <f t="shared" si="15"/>
        <v>73.3</v>
      </c>
      <c r="I63" s="83">
        <f t="shared" si="16"/>
        <v>-0.10391198040000001</v>
      </c>
      <c r="J63" s="92">
        <f t="shared" si="21"/>
        <v>429913392.6255855</v>
      </c>
      <c r="K63" s="88" t="s">
        <v>72</v>
      </c>
      <c r="L63" s="44">
        <f t="shared" si="17"/>
        <v>33.700000000000003</v>
      </c>
      <c r="M63" s="83">
        <f t="shared" si="18"/>
        <v>-9.1644204899999998E-2</v>
      </c>
      <c r="N63" s="92">
        <f t="shared" si="22"/>
        <v>391419597.63015407</v>
      </c>
      <c r="O63" s="88" t="s">
        <v>238</v>
      </c>
      <c r="P63" s="44">
        <f t="shared" si="19"/>
        <v>306</v>
      </c>
      <c r="Q63" s="83">
        <f t="shared" si="20"/>
        <v>-9.1988130599999995E-2</v>
      </c>
      <c r="R63" s="92">
        <f t="shared" si="23"/>
        <v>47950003.764904208</v>
      </c>
    </row>
    <row r="64" spans="1:18">
      <c r="A64" s="45" t="s">
        <v>275</v>
      </c>
      <c r="B64" s="11" t="s">
        <v>276</v>
      </c>
      <c r="C64" s="101">
        <v>4025</v>
      </c>
      <c r="D64" s="98">
        <v>-7.7892325299999995E-2</v>
      </c>
      <c r="E64" s="99">
        <v>3227172.6164111202</v>
      </c>
      <c r="F64" s="40"/>
      <c r="G64" s="61" t="s">
        <v>226</v>
      </c>
      <c r="H64" s="44">
        <f t="shared" si="15"/>
        <v>518</v>
      </c>
      <c r="I64" s="83">
        <f t="shared" si="16"/>
        <v>-0.1053540587</v>
      </c>
      <c r="J64" s="92">
        <f t="shared" si="21"/>
        <v>33187438.907981802</v>
      </c>
      <c r="K64" s="88" t="s">
        <v>222</v>
      </c>
      <c r="L64" s="44">
        <f t="shared" si="17"/>
        <v>19.899999999999999</v>
      </c>
      <c r="M64" s="83">
        <f t="shared" si="18"/>
        <v>-9.5454545500000001E-2</v>
      </c>
      <c r="N64" s="92">
        <f t="shared" si="22"/>
        <v>794523935.16090953</v>
      </c>
      <c r="O64" s="88" t="s">
        <v>136</v>
      </c>
      <c r="P64" s="44">
        <f t="shared" si="19"/>
        <v>226</v>
      </c>
      <c r="Q64" s="83">
        <f t="shared" si="20"/>
        <v>-9.9601593599999996E-2</v>
      </c>
      <c r="R64" s="92">
        <f t="shared" si="23"/>
        <v>237598812.24015525</v>
      </c>
    </row>
    <row r="65" spans="1:18" ht="17.25" thickBot="1">
      <c r="A65" s="45" t="s">
        <v>271</v>
      </c>
      <c r="B65" s="11" t="s">
        <v>272</v>
      </c>
      <c r="C65" s="101">
        <v>2300</v>
      </c>
      <c r="D65" s="98">
        <v>-7.81563126E-2</v>
      </c>
      <c r="E65" s="99">
        <v>7680690.9406590303</v>
      </c>
      <c r="F65" s="40"/>
      <c r="G65" s="62" t="s">
        <v>172</v>
      </c>
      <c r="H65" s="42">
        <f t="shared" si="15"/>
        <v>28.8</v>
      </c>
      <c r="I65" s="85">
        <f t="shared" si="16"/>
        <v>-0.10559006210000001</v>
      </c>
      <c r="J65" s="93">
        <f t="shared" si="21"/>
        <v>1284464747.6885076</v>
      </c>
      <c r="K65" s="90" t="s">
        <v>268</v>
      </c>
      <c r="L65" s="42">
        <f t="shared" si="17"/>
        <v>94</v>
      </c>
      <c r="M65" s="85">
        <f t="shared" si="18"/>
        <v>-9.6153846200000004E-2</v>
      </c>
      <c r="N65" s="93">
        <f t="shared" si="22"/>
        <v>190813111.2739895</v>
      </c>
      <c r="O65" s="90" t="s">
        <v>246</v>
      </c>
      <c r="P65" s="42">
        <f t="shared" si="19"/>
        <v>439</v>
      </c>
      <c r="Q65" s="85">
        <f t="shared" si="20"/>
        <v>-0.1004098361</v>
      </c>
      <c r="R65" s="93">
        <f t="shared" si="23"/>
        <v>51075434.68255271</v>
      </c>
    </row>
    <row r="66" spans="1:18">
      <c r="A66" s="45" t="s">
        <v>251</v>
      </c>
      <c r="B66" s="11" t="s">
        <v>252</v>
      </c>
      <c r="C66" s="101">
        <v>574</v>
      </c>
      <c r="D66" s="98">
        <v>-8.0128205100000002E-2</v>
      </c>
      <c r="E66" s="99">
        <v>137632228.66362166</v>
      </c>
      <c r="F66" s="40"/>
      <c r="G66" s="61" t="s">
        <v>254</v>
      </c>
      <c r="H66" s="43">
        <f t="shared" si="15"/>
        <v>85.4</v>
      </c>
      <c r="I66" s="82">
        <f t="shared" ref="I66:I75" si="24">_xlfn.IFNA(VLOOKUP(G66, $B$2:$D$200, 3, FALSE), "")</f>
        <v>-0.1057591623</v>
      </c>
      <c r="J66" s="91">
        <f t="shared" si="21"/>
        <v>221604469.44575566</v>
      </c>
      <c r="K66" s="87" t="s">
        <v>198</v>
      </c>
      <c r="L66" s="43">
        <f t="shared" si="17"/>
        <v>30.7</v>
      </c>
      <c r="M66" s="82">
        <f t="shared" si="18"/>
        <v>-9.7058823500000002E-2</v>
      </c>
      <c r="N66" s="91">
        <f t="shared" si="22"/>
        <v>2377246707.0334959</v>
      </c>
      <c r="O66" s="87" t="s">
        <v>202</v>
      </c>
      <c r="P66" s="43">
        <f t="shared" si="19"/>
        <v>206</v>
      </c>
      <c r="Q66" s="82">
        <f t="shared" si="20"/>
        <v>-0.1004366812</v>
      </c>
      <c r="R66" s="91">
        <f t="shared" si="23"/>
        <v>259576948.43269348</v>
      </c>
    </row>
    <row r="67" spans="1:18">
      <c r="A67" s="45" t="s">
        <v>68</v>
      </c>
      <c r="B67" s="11" t="s">
        <v>69</v>
      </c>
      <c r="C67" s="101">
        <v>11240</v>
      </c>
      <c r="D67" s="98">
        <v>-8.0196399299999999E-2</v>
      </c>
      <c r="E67" s="99">
        <v>5228275.5090841101</v>
      </c>
      <c r="F67" s="40"/>
      <c r="G67" s="61" t="s">
        <v>82</v>
      </c>
      <c r="H67" s="44">
        <f t="shared" si="15"/>
        <v>1510</v>
      </c>
      <c r="I67" s="83">
        <f t="shared" si="24"/>
        <v>-0.10650887570000001</v>
      </c>
      <c r="J67" s="92">
        <f t="shared" si="21"/>
        <v>6526458.2801283104</v>
      </c>
      <c r="K67" s="88" t="s">
        <v>218</v>
      </c>
      <c r="L67" s="44">
        <f t="shared" si="17"/>
        <v>31.4</v>
      </c>
      <c r="M67" s="83">
        <f t="shared" si="18"/>
        <v>-9.7701149400000006E-2</v>
      </c>
      <c r="N67" s="92">
        <f t="shared" si="22"/>
        <v>1282034998.8472047</v>
      </c>
      <c r="O67" s="88" t="s">
        <v>200</v>
      </c>
      <c r="P67" s="44">
        <f t="shared" si="19"/>
        <v>400</v>
      </c>
      <c r="Q67" s="83">
        <f t="shared" si="20"/>
        <v>-0.1011235955</v>
      </c>
      <c r="R67" s="92">
        <f t="shared" si="23"/>
        <v>56885646.21335528</v>
      </c>
    </row>
    <row r="68" spans="1:18">
      <c r="A68" s="45" t="s">
        <v>173</v>
      </c>
      <c r="B68" s="11" t="s">
        <v>174</v>
      </c>
      <c r="C68" s="101">
        <v>285</v>
      </c>
      <c r="D68" s="98">
        <v>-8.0645161300000004E-2</v>
      </c>
      <c r="E68" s="99">
        <v>87756751.267127335</v>
      </c>
      <c r="F68" s="40"/>
      <c r="G68" s="61" t="s">
        <v>154</v>
      </c>
      <c r="H68" s="44">
        <f t="shared" si="15"/>
        <v>21.8</v>
      </c>
      <c r="I68" s="83">
        <f t="shared" si="24"/>
        <v>-0.10655737699999999</v>
      </c>
      <c r="J68" s="92">
        <f t="shared" si="21"/>
        <v>2087368334.8944275</v>
      </c>
      <c r="K68" s="88" t="s">
        <v>266</v>
      </c>
      <c r="L68" s="44">
        <f t="shared" si="17"/>
        <v>93.5</v>
      </c>
      <c r="M68" s="83">
        <f t="shared" si="18"/>
        <v>-0.1009615385</v>
      </c>
      <c r="N68" s="92">
        <f t="shared" si="22"/>
        <v>277496575.39103156</v>
      </c>
      <c r="O68" s="88" t="s">
        <v>208</v>
      </c>
      <c r="P68" s="44">
        <f t="shared" si="19"/>
        <v>506</v>
      </c>
      <c r="Q68" s="83">
        <f t="shared" si="20"/>
        <v>-0.1012433393</v>
      </c>
      <c r="R68" s="92">
        <f t="shared" si="23"/>
        <v>149943027.36163732</v>
      </c>
    </row>
    <row r="69" spans="1:18">
      <c r="A69" s="45" t="s">
        <v>283</v>
      </c>
      <c r="B69" s="11" t="s">
        <v>284</v>
      </c>
      <c r="C69" s="101">
        <v>430</v>
      </c>
      <c r="D69" s="98">
        <v>-8.1196581200000006E-2</v>
      </c>
      <c r="E69" s="99">
        <v>83289007.853898406</v>
      </c>
      <c r="F69" s="40"/>
      <c r="G69" s="61" t="s">
        <v>122</v>
      </c>
      <c r="H69" s="44">
        <f t="shared" si="15"/>
        <v>116</v>
      </c>
      <c r="I69" s="83">
        <f t="shared" si="24"/>
        <v>-0.1076923077</v>
      </c>
      <c r="J69" s="92">
        <f t="shared" si="21"/>
        <v>430610735.80161971</v>
      </c>
      <c r="K69" s="88" t="s">
        <v>228</v>
      </c>
      <c r="L69" s="44">
        <f t="shared" si="17"/>
        <v>19.5</v>
      </c>
      <c r="M69" s="83">
        <f t="shared" si="18"/>
        <v>-0.10138248850000001</v>
      </c>
      <c r="N69" s="92">
        <f t="shared" si="22"/>
        <v>2891841592.9502096</v>
      </c>
      <c r="O69" s="88" t="s">
        <v>134</v>
      </c>
      <c r="P69" s="44">
        <f t="shared" si="19"/>
        <v>149</v>
      </c>
      <c r="Q69" s="83">
        <f t="shared" si="20"/>
        <v>-0.10240963860000001</v>
      </c>
      <c r="R69" s="92">
        <f t="shared" si="23"/>
        <v>225220114.63966697</v>
      </c>
    </row>
    <row r="70" spans="1:18">
      <c r="A70" s="45" t="s">
        <v>231</v>
      </c>
      <c r="B70" s="11" t="s">
        <v>232</v>
      </c>
      <c r="C70" s="101">
        <v>176</v>
      </c>
      <c r="D70" s="98">
        <v>-8.3333333300000006E-2</v>
      </c>
      <c r="E70" s="99">
        <v>113309534.23031881</v>
      </c>
      <c r="F70" s="40"/>
      <c r="G70" s="61" t="s">
        <v>112</v>
      </c>
      <c r="H70" s="44">
        <f t="shared" si="15"/>
        <v>268</v>
      </c>
      <c r="I70" s="83">
        <f t="shared" si="24"/>
        <v>-0.1096345515</v>
      </c>
      <c r="J70" s="96">
        <f t="shared" si="21"/>
        <v>201706291.54499364</v>
      </c>
      <c r="K70" s="89" t="s">
        <v>214</v>
      </c>
      <c r="L70" s="49">
        <f t="shared" si="17"/>
        <v>24.3</v>
      </c>
      <c r="M70" s="84">
        <f t="shared" si="18"/>
        <v>-0.1033210332</v>
      </c>
      <c r="N70" s="96">
        <f t="shared" si="22"/>
        <v>1352073197.925812</v>
      </c>
      <c r="O70" s="89" t="s">
        <v>226</v>
      </c>
      <c r="P70" s="49">
        <f t="shared" si="19"/>
        <v>518</v>
      </c>
      <c r="Q70" s="84">
        <f t="shared" si="20"/>
        <v>-0.1053540587</v>
      </c>
      <c r="R70" s="96">
        <f t="shared" si="23"/>
        <v>33187438.907981802</v>
      </c>
    </row>
    <row r="71" spans="1:18">
      <c r="A71" s="45" t="s">
        <v>263</v>
      </c>
      <c r="B71" s="11" t="s">
        <v>264</v>
      </c>
      <c r="C71" s="101">
        <v>163</v>
      </c>
      <c r="D71" s="98">
        <v>-8.42696629E-2</v>
      </c>
      <c r="E71" s="99">
        <v>64322709.877151102</v>
      </c>
      <c r="F71" s="40"/>
      <c r="G71" s="65" t="s">
        <v>260</v>
      </c>
      <c r="H71" s="50">
        <f t="shared" si="15"/>
        <v>129</v>
      </c>
      <c r="I71" s="86">
        <f t="shared" si="24"/>
        <v>-0.1103448276</v>
      </c>
      <c r="J71" s="105">
        <f t="shared" si="21"/>
        <v>303262925.61247736</v>
      </c>
      <c r="K71" s="88" t="s">
        <v>236</v>
      </c>
      <c r="L71" s="44">
        <f t="shared" si="17"/>
        <v>73.3</v>
      </c>
      <c r="M71" s="83">
        <f t="shared" si="18"/>
        <v>-0.10391198040000001</v>
      </c>
      <c r="N71" s="105">
        <f t="shared" si="22"/>
        <v>429913392.6255855</v>
      </c>
      <c r="O71" s="88" t="s">
        <v>122</v>
      </c>
      <c r="P71" s="44">
        <f t="shared" si="19"/>
        <v>116</v>
      </c>
      <c r="Q71" s="83">
        <f t="shared" si="20"/>
        <v>-0.1076923077</v>
      </c>
      <c r="R71" s="105">
        <f t="shared" si="23"/>
        <v>430610735.80161971</v>
      </c>
    </row>
    <row r="72" spans="1:18">
      <c r="A72" s="45" t="s">
        <v>247</v>
      </c>
      <c r="B72" s="11" t="s">
        <v>248</v>
      </c>
      <c r="C72" s="101">
        <v>2995</v>
      </c>
      <c r="D72" s="98">
        <v>-8.5496183200000006E-2</v>
      </c>
      <c r="E72" s="99">
        <v>5023368.5091529004</v>
      </c>
      <c r="F72" s="40"/>
      <c r="G72" s="61" t="s">
        <v>234</v>
      </c>
      <c r="H72" s="44">
        <f t="shared" si="15"/>
        <v>1370</v>
      </c>
      <c r="I72" s="83">
        <f t="shared" si="24"/>
        <v>-0.1103896104</v>
      </c>
      <c r="J72" s="92">
        <f t="shared" si="21"/>
        <v>12100229.33439251</v>
      </c>
      <c r="K72" s="88" t="s">
        <v>172</v>
      </c>
      <c r="L72" s="44">
        <f t="shared" si="17"/>
        <v>28.8</v>
      </c>
      <c r="M72" s="83">
        <f t="shared" si="18"/>
        <v>-0.10559006210000001</v>
      </c>
      <c r="N72" s="92">
        <f t="shared" si="22"/>
        <v>1284464747.6885076</v>
      </c>
      <c r="O72" s="88" t="s">
        <v>112</v>
      </c>
      <c r="P72" s="44">
        <f t="shared" si="19"/>
        <v>268</v>
      </c>
      <c r="Q72" s="83">
        <f t="shared" si="20"/>
        <v>-0.1096345515</v>
      </c>
      <c r="R72" s="92">
        <f t="shared" si="23"/>
        <v>201706291.54499364</v>
      </c>
    </row>
    <row r="73" spans="1:18">
      <c r="A73" s="45" t="s">
        <v>209</v>
      </c>
      <c r="B73" s="11" t="s">
        <v>210</v>
      </c>
      <c r="C73" s="101">
        <v>203</v>
      </c>
      <c r="D73" s="98">
        <v>-8.55855856E-2</v>
      </c>
      <c r="E73" s="99">
        <v>71562342.135791183</v>
      </c>
      <c r="F73" s="40"/>
      <c r="G73" s="61" t="s">
        <v>67</v>
      </c>
      <c r="H73" s="44">
        <f t="shared" si="15"/>
        <v>9105</v>
      </c>
      <c r="I73" s="83">
        <f t="shared" si="24"/>
        <v>-0.1142996109</v>
      </c>
      <c r="J73" s="92">
        <f t="shared" si="21"/>
        <v>8338714.2550131604</v>
      </c>
      <c r="K73" s="88" t="s">
        <v>254</v>
      </c>
      <c r="L73" s="44">
        <f t="shared" si="17"/>
        <v>85.4</v>
      </c>
      <c r="M73" s="83">
        <f t="shared" si="18"/>
        <v>-0.1057591623</v>
      </c>
      <c r="N73" s="92">
        <f t="shared" si="22"/>
        <v>221604469.44575566</v>
      </c>
      <c r="O73" s="88" t="s">
        <v>260</v>
      </c>
      <c r="P73" s="44">
        <f t="shared" si="19"/>
        <v>129</v>
      </c>
      <c r="Q73" s="83">
        <f t="shared" si="20"/>
        <v>-0.1103448276</v>
      </c>
      <c r="R73" s="92">
        <f t="shared" si="23"/>
        <v>303262925.61247736</v>
      </c>
    </row>
    <row r="74" spans="1:18">
      <c r="A74" s="45" t="s">
        <v>215</v>
      </c>
      <c r="B74" s="11" t="s">
        <v>216</v>
      </c>
      <c r="C74" s="101">
        <v>438</v>
      </c>
      <c r="D74" s="98">
        <v>-8.5594989600000004E-2</v>
      </c>
      <c r="E74" s="99">
        <v>74186719.764929131</v>
      </c>
      <c r="F74" s="40"/>
      <c r="G74" s="61" t="s">
        <v>240</v>
      </c>
      <c r="H74" s="44">
        <f t="shared" si="15"/>
        <v>207</v>
      </c>
      <c r="I74" s="83">
        <f t="shared" si="24"/>
        <v>-0.1153846154</v>
      </c>
      <c r="J74" s="92">
        <f t="shared" si="21"/>
        <v>153073724.57146943</v>
      </c>
      <c r="K74" s="88" t="s">
        <v>154</v>
      </c>
      <c r="L74" s="44">
        <f t="shared" si="17"/>
        <v>21.8</v>
      </c>
      <c r="M74" s="83">
        <f t="shared" si="18"/>
        <v>-0.10655737699999999</v>
      </c>
      <c r="N74" s="92">
        <f t="shared" si="22"/>
        <v>2087368334.8944275</v>
      </c>
      <c r="O74" s="88" t="s">
        <v>240</v>
      </c>
      <c r="P74" s="44">
        <f t="shared" si="19"/>
        <v>207</v>
      </c>
      <c r="Q74" s="83">
        <f t="shared" si="20"/>
        <v>-0.1153846154</v>
      </c>
      <c r="R74" s="92">
        <f t="shared" si="23"/>
        <v>153073724.57146943</v>
      </c>
    </row>
    <row r="75" spans="1:18" ht="17.25" thickBot="1">
      <c r="A75" s="45" t="s">
        <v>145</v>
      </c>
      <c r="B75" s="11" t="s">
        <v>146</v>
      </c>
      <c r="C75" s="101">
        <v>16870</v>
      </c>
      <c r="D75" s="98">
        <v>-8.6132177700000007E-2</v>
      </c>
      <c r="E75" s="99">
        <v>1993401.18134843</v>
      </c>
      <c r="F75" s="40"/>
      <c r="G75" s="62" t="s">
        <v>258</v>
      </c>
      <c r="H75" s="42">
        <f t="shared" si="15"/>
        <v>747</v>
      </c>
      <c r="I75" s="85">
        <f t="shared" si="24"/>
        <v>-0.1211764706</v>
      </c>
      <c r="J75" s="93">
        <f t="shared" si="21"/>
        <v>101034949.51475091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258</v>
      </c>
      <c r="P75" s="42">
        <f t="shared" si="19"/>
        <v>747</v>
      </c>
      <c r="Q75" s="85">
        <f t="shared" si="20"/>
        <v>-0.1211764706</v>
      </c>
      <c r="R75" s="93">
        <f t="shared" si="23"/>
        <v>101034949.51475091</v>
      </c>
    </row>
    <row r="76" spans="1:18">
      <c r="A76" s="45" t="s">
        <v>261</v>
      </c>
      <c r="B76" s="11" t="s">
        <v>262</v>
      </c>
      <c r="C76" s="101">
        <v>1000</v>
      </c>
      <c r="D76" s="98">
        <v>-8.6757990899999998E-2</v>
      </c>
      <c r="E76" s="99">
        <v>28927098.1599508</v>
      </c>
      <c r="F76" s="40"/>
      <c r="G76" s="40"/>
      <c r="H76" s="40"/>
      <c r="I76" s="40"/>
    </row>
    <row r="77" spans="1:18">
      <c r="A77" s="45" t="s">
        <v>191</v>
      </c>
      <c r="B77" s="11" t="s">
        <v>192</v>
      </c>
      <c r="C77" s="101">
        <v>1040</v>
      </c>
      <c r="D77" s="98">
        <v>-8.7719298200000004E-2</v>
      </c>
      <c r="E77" s="99">
        <v>9531524.0607061293</v>
      </c>
      <c r="F77" s="40"/>
      <c r="G77" s="40"/>
      <c r="H77" s="40"/>
      <c r="I77" s="40"/>
    </row>
    <row r="78" spans="1:18">
      <c r="A78" s="45" t="s">
        <v>163</v>
      </c>
      <c r="B78" s="11" t="s">
        <v>164</v>
      </c>
      <c r="C78" s="101">
        <v>22140</v>
      </c>
      <c r="D78" s="98">
        <v>-8.8138385499999999E-2</v>
      </c>
      <c r="E78" s="99">
        <v>1231674.39053681</v>
      </c>
      <c r="F78" s="40"/>
      <c r="G78" s="40"/>
      <c r="H78" s="40"/>
      <c r="I78" s="40"/>
    </row>
    <row r="79" spans="1:18">
      <c r="A79" s="45" t="s">
        <v>123</v>
      </c>
      <c r="B79" s="11" t="s">
        <v>124</v>
      </c>
      <c r="C79" s="101">
        <v>7350</v>
      </c>
      <c r="D79" s="98">
        <v>-8.8654680700000002E-2</v>
      </c>
      <c r="E79" s="99">
        <v>1928903.3959742701</v>
      </c>
      <c r="F79" s="40"/>
      <c r="G79" s="40"/>
      <c r="H79" s="40"/>
      <c r="I79" s="40"/>
    </row>
    <row r="80" spans="1:18">
      <c r="A80" s="45" t="s">
        <v>249</v>
      </c>
      <c r="B80" s="11" t="s">
        <v>250</v>
      </c>
      <c r="C80" s="101">
        <v>215</v>
      </c>
      <c r="D80" s="98">
        <v>-8.8983050800000005E-2</v>
      </c>
      <c r="E80" s="99">
        <v>38699926.863834463</v>
      </c>
      <c r="F80" s="40"/>
      <c r="G80" s="40"/>
      <c r="H80" s="40"/>
      <c r="I80" s="40"/>
    </row>
    <row r="81" spans="1:9">
      <c r="A81" s="45" t="s">
        <v>243</v>
      </c>
      <c r="B81" s="11" t="s">
        <v>244</v>
      </c>
      <c r="C81" s="101">
        <v>3805</v>
      </c>
      <c r="D81" s="98">
        <v>-8.9712918700000005E-2</v>
      </c>
      <c r="E81" s="99">
        <v>16727005.577003449</v>
      </c>
      <c r="F81" s="40"/>
      <c r="G81" s="40"/>
      <c r="H81" s="40"/>
      <c r="I81" s="40"/>
    </row>
    <row r="82" spans="1:9">
      <c r="A82" s="45" t="s">
        <v>219</v>
      </c>
      <c r="B82" s="11" t="s">
        <v>220</v>
      </c>
      <c r="C82" s="101">
        <v>19.2</v>
      </c>
      <c r="D82" s="98">
        <v>-9.0047393399999995E-2</v>
      </c>
      <c r="E82" s="99">
        <v>779244552.23641825</v>
      </c>
      <c r="F82" s="40"/>
      <c r="G82" s="40"/>
      <c r="H82" s="40"/>
      <c r="I82" s="40"/>
    </row>
    <row r="83" spans="1:9">
      <c r="A83" s="45" t="s">
        <v>195</v>
      </c>
      <c r="B83" s="11" t="s">
        <v>196</v>
      </c>
      <c r="C83" s="101">
        <v>21</v>
      </c>
      <c r="D83" s="98">
        <v>-9.0909090900000003E-2</v>
      </c>
      <c r="E83" s="99">
        <v>1118684169.9017005</v>
      </c>
      <c r="F83" s="40"/>
      <c r="G83" s="40"/>
      <c r="H83" s="40"/>
      <c r="I83" s="40"/>
    </row>
    <row r="84" spans="1:9">
      <c r="A84" s="45" t="s">
        <v>185</v>
      </c>
      <c r="B84" s="11" t="s">
        <v>186</v>
      </c>
      <c r="C84" s="101">
        <v>24.9</v>
      </c>
      <c r="D84" s="98">
        <v>-9.1240875900000004E-2</v>
      </c>
      <c r="E84" s="99">
        <v>807540678.06478262</v>
      </c>
      <c r="F84" s="40"/>
      <c r="G84" s="40"/>
      <c r="H84" s="40"/>
      <c r="I84" s="40"/>
    </row>
    <row r="85" spans="1:9">
      <c r="A85" s="45" t="s">
        <v>71</v>
      </c>
      <c r="B85" s="11" t="s">
        <v>72</v>
      </c>
      <c r="C85" s="101">
        <v>33.700000000000003</v>
      </c>
      <c r="D85" s="98">
        <v>-9.1644204899999998E-2</v>
      </c>
      <c r="E85" s="99">
        <v>391419597.63015407</v>
      </c>
      <c r="F85" s="40"/>
      <c r="G85" s="40"/>
      <c r="H85" s="40"/>
      <c r="I85" s="40"/>
    </row>
    <row r="86" spans="1:9">
      <c r="A86" s="45" t="s">
        <v>229</v>
      </c>
      <c r="B86" s="11" t="s">
        <v>230</v>
      </c>
      <c r="C86" s="101">
        <v>178</v>
      </c>
      <c r="D86" s="98">
        <v>-9.1836734700000006E-2</v>
      </c>
      <c r="E86" s="99">
        <v>178007926.70885068</v>
      </c>
      <c r="F86" s="40"/>
      <c r="G86" s="40"/>
      <c r="H86" s="40"/>
      <c r="I86" s="40"/>
    </row>
    <row r="87" spans="1:9">
      <c r="A87" s="45" t="s">
        <v>237</v>
      </c>
      <c r="B87" s="11" t="s">
        <v>238</v>
      </c>
      <c r="C87" s="101">
        <v>306</v>
      </c>
      <c r="D87" s="98">
        <v>-9.1988130599999995E-2</v>
      </c>
      <c r="E87" s="99">
        <v>47950003.764904208</v>
      </c>
      <c r="F87" s="40"/>
      <c r="G87" s="40"/>
      <c r="H87" s="40"/>
      <c r="I87" s="40"/>
    </row>
    <row r="88" spans="1:9">
      <c r="A88" s="45" t="s">
        <v>193</v>
      </c>
      <c r="B88" s="11" t="s">
        <v>194</v>
      </c>
      <c r="C88" s="101">
        <v>14070</v>
      </c>
      <c r="D88" s="98">
        <v>-9.22580645E-2</v>
      </c>
      <c r="E88" s="99">
        <v>2622734.7110561398</v>
      </c>
      <c r="F88" s="40"/>
      <c r="G88" s="40"/>
      <c r="H88" s="40"/>
      <c r="I88" s="40"/>
    </row>
    <row r="89" spans="1:9">
      <c r="A89" s="45" t="s">
        <v>221</v>
      </c>
      <c r="B89" s="11" t="s">
        <v>222</v>
      </c>
      <c r="C89" s="101">
        <v>19.899999999999999</v>
      </c>
      <c r="D89" s="98">
        <v>-9.5454545500000001E-2</v>
      </c>
      <c r="E89" s="99">
        <v>794523935.16090953</v>
      </c>
      <c r="F89" s="40"/>
      <c r="G89" s="40"/>
      <c r="H89" s="40"/>
      <c r="I89" s="40"/>
    </row>
    <row r="90" spans="1:9">
      <c r="A90" s="45" t="s">
        <v>223</v>
      </c>
      <c r="B90" s="11" t="s">
        <v>224</v>
      </c>
      <c r="C90" s="101">
        <v>2225</v>
      </c>
      <c r="D90" s="98">
        <v>-9.5528455299999995E-2</v>
      </c>
      <c r="E90" s="99">
        <v>48498181.075264163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94</v>
      </c>
      <c r="D91" s="98">
        <v>-9.6153846200000004E-2</v>
      </c>
      <c r="E91" s="99">
        <v>190813111.2739895</v>
      </c>
      <c r="F91" s="40"/>
      <c r="G91" s="40"/>
      <c r="H91" s="40"/>
      <c r="I91" s="40"/>
    </row>
    <row r="92" spans="1:9">
      <c r="A92" s="45" t="s">
        <v>197</v>
      </c>
      <c r="B92" s="11" t="s">
        <v>198</v>
      </c>
      <c r="C92" s="101">
        <v>30.7</v>
      </c>
      <c r="D92" s="98">
        <v>-9.7058823500000002E-2</v>
      </c>
      <c r="E92" s="99">
        <v>2377246707.0334959</v>
      </c>
      <c r="F92" s="40"/>
      <c r="G92" s="40"/>
      <c r="H92" s="40"/>
      <c r="I92" s="40"/>
    </row>
    <row r="93" spans="1:9">
      <c r="A93" s="45" t="s">
        <v>273</v>
      </c>
      <c r="B93" s="11" t="s">
        <v>274</v>
      </c>
      <c r="C93" s="101">
        <v>8985</v>
      </c>
      <c r="D93" s="98">
        <v>-9.7438473100000006E-2</v>
      </c>
      <c r="E93" s="99">
        <v>1747904.27722277</v>
      </c>
      <c r="F93" s="40"/>
      <c r="G93" s="40"/>
      <c r="H93" s="40"/>
      <c r="I93" s="40"/>
    </row>
    <row r="94" spans="1:9">
      <c r="A94" s="45" t="s">
        <v>217</v>
      </c>
      <c r="B94" s="11" t="s">
        <v>218</v>
      </c>
      <c r="C94" s="101">
        <v>31.4</v>
      </c>
      <c r="D94" s="98">
        <v>-9.7701149400000006E-2</v>
      </c>
      <c r="E94" s="99">
        <v>1282034998.8472047</v>
      </c>
      <c r="F94" s="40"/>
      <c r="G94" s="40"/>
      <c r="H94" s="40"/>
      <c r="I94" s="40"/>
    </row>
    <row r="95" spans="1:9">
      <c r="A95" s="45" t="s">
        <v>189</v>
      </c>
      <c r="B95" s="11" t="s">
        <v>190</v>
      </c>
      <c r="C95" s="101">
        <v>74410</v>
      </c>
      <c r="D95" s="98">
        <v>-9.8060606100000003E-2</v>
      </c>
      <c r="E95" s="99">
        <v>1510245.60066078</v>
      </c>
      <c r="F95" s="40"/>
      <c r="G95" s="40"/>
      <c r="H95" s="40"/>
      <c r="I95" s="40"/>
    </row>
    <row r="96" spans="1:9">
      <c r="A96" s="45" t="s">
        <v>135</v>
      </c>
      <c r="B96" s="11" t="s">
        <v>136</v>
      </c>
      <c r="C96" s="101">
        <v>226</v>
      </c>
      <c r="D96" s="98">
        <v>-9.9601593599999996E-2</v>
      </c>
      <c r="E96" s="99">
        <v>237598812.24015525</v>
      </c>
      <c r="F96" s="40"/>
      <c r="G96" s="40"/>
      <c r="H96" s="40"/>
      <c r="I96" s="40"/>
    </row>
    <row r="97" spans="1:9">
      <c r="A97" s="45" t="s">
        <v>279</v>
      </c>
      <c r="B97" s="11" t="s">
        <v>280</v>
      </c>
      <c r="C97" s="101">
        <v>1570</v>
      </c>
      <c r="D97" s="98">
        <v>-0.100286533</v>
      </c>
      <c r="E97" s="99">
        <v>15990296.33996734</v>
      </c>
      <c r="F97" s="40"/>
      <c r="G97" s="40"/>
      <c r="H97" s="40"/>
      <c r="I97" s="40"/>
    </row>
    <row r="98" spans="1:9">
      <c r="A98" s="45" t="s">
        <v>245</v>
      </c>
      <c r="B98" s="11" t="s">
        <v>246</v>
      </c>
      <c r="C98" s="101">
        <v>439</v>
      </c>
      <c r="D98" s="98">
        <v>-0.1004098361</v>
      </c>
      <c r="E98" s="99">
        <v>51075434.68255271</v>
      </c>
      <c r="F98" s="40"/>
      <c r="G98" s="40"/>
      <c r="H98" s="40"/>
      <c r="I98" s="40"/>
    </row>
    <row r="99" spans="1:9">
      <c r="A99" s="45" t="s">
        <v>201</v>
      </c>
      <c r="B99" s="11" t="s">
        <v>202</v>
      </c>
      <c r="C99" s="101">
        <v>206</v>
      </c>
      <c r="D99" s="98">
        <v>-0.1004366812</v>
      </c>
      <c r="E99" s="99">
        <v>259576948.43269348</v>
      </c>
      <c r="F99" s="40"/>
      <c r="G99" s="40"/>
      <c r="H99" s="40"/>
      <c r="I99" s="40"/>
    </row>
    <row r="100" spans="1:9">
      <c r="A100" s="45" t="s">
        <v>265</v>
      </c>
      <c r="B100" s="11" t="s">
        <v>266</v>
      </c>
      <c r="C100" s="101">
        <v>93.5</v>
      </c>
      <c r="D100" s="98">
        <v>-0.1009615385</v>
      </c>
      <c r="E100" s="99">
        <v>277496575.39103156</v>
      </c>
      <c r="F100" s="40"/>
      <c r="G100" s="40"/>
      <c r="H100" s="40"/>
      <c r="I100" s="40"/>
    </row>
    <row r="101" spans="1:9">
      <c r="A101" s="45" t="s">
        <v>199</v>
      </c>
      <c r="B101" s="11" t="s">
        <v>200</v>
      </c>
      <c r="C101" s="101">
        <v>400</v>
      </c>
      <c r="D101" s="98">
        <v>-0.1011235955</v>
      </c>
      <c r="E101" s="99">
        <v>56885646.21335528</v>
      </c>
      <c r="F101" s="40"/>
      <c r="G101" s="40"/>
      <c r="H101" s="40"/>
      <c r="I101" s="40"/>
    </row>
    <row r="102" spans="1:9">
      <c r="A102" s="45" t="s">
        <v>207</v>
      </c>
      <c r="B102" s="11" t="s">
        <v>208</v>
      </c>
      <c r="C102" s="101">
        <v>506</v>
      </c>
      <c r="D102" s="98">
        <v>-0.1012433393</v>
      </c>
      <c r="E102" s="99">
        <v>149943027.36163732</v>
      </c>
      <c r="F102" s="40"/>
      <c r="G102" s="40"/>
      <c r="H102" s="40"/>
      <c r="I102" s="40"/>
    </row>
    <row r="103" spans="1:9">
      <c r="A103" s="45" t="s">
        <v>227</v>
      </c>
      <c r="B103" s="11" t="s">
        <v>228</v>
      </c>
      <c r="C103" s="101">
        <v>19.5</v>
      </c>
      <c r="D103" s="98">
        <v>-0.10138248850000001</v>
      </c>
      <c r="E103" s="99">
        <v>2891841592.9502096</v>
      </c>
      <c r="F103" s="40"/>
      <c r="G103" s="40"/>
      <c r="H103" s="40"/>
      <c r="I103" s="40"/>
    </row>
    <row r="104" spans="1:9">
      <c r="A104" s="45" t="s">
        <v>133</v>
      </c>
      <c r="B104" s="11" t="s">
        <v>134</v>
      </c>
      <c r="C104" s="101">
        <v>149</v>
      </c>
      <c r="D104" s="98">
        <v>-0.10240963860000001</v>
      </c>
      <c r="E104" s="99">
        <v>225220114.63966697</v>
      </c>
      <c r="F104" s="40"/>
      <c r="G104" s="40"/>
      <c r="H104" s="40"/>
      <c r="I104" s="40"/>
    </row>
    <row r="105" spans="1:9">
      <c r="A105" s="45" t="s">
        <v>213</v>
      </c>
      <c r="B105" s="11" t="s">
        <v>214</v>
      </c>
      <c r="C105" s="101">
        <v>24.3</v>
      </c>
      <c r="D105" s="98">
        <v>-0.1033210332</v>
      </c>
      <c r="E105" s="99">
        <v>1352073197.925812</v>
      </c>
      <c r="F105" s="40"/>
      <c r="G105" s="40"/>
      <c r="H105" s="40"/>
      <c r="I105" s="40"/>
    </row>
    <row r="106" spans="1:9">
      <c r="A106" s="45" t="s">
        <v>235</v>
      </c>
      <c r="B106" s="11" t="s">
        <v>236</v>
      </c>
      <c r="C106" s="101">
        <v>73.3</v>
      </c>
      <c r="D106" s="98">
        <v>-0.10391198040000001</v>
      </c>
      <c r="E106" s="99">
        <v>429913392.6255855</v>
      </c>
      <c r="F106" s="40"/>
      <c r="G106" s="40"/>
      <c r="H106" s="40"/>
      <c r="I106" s="40"/>
    </row>
    <row r="107" spans="1:9">
      <c r="A107" s="45" t="s">
        <v>225</v>
      </c>
      <c r="B107" s="11" t="s">
        <v>226</v>
      </c>
      <c r="C107" s="101">
        <v>518</v>
      </c>
      <c r="D107" s="98">
        <v>-0.1053540587</v>
      </c>
      <c r="E107" s="99">
        <v>33187438.907981802</v>
      </c>
      <c r="F107" s="40"/>
      <c r="G107" s="40"/>
      <c r="H107" s="40"/>
      <c r="I107" s="40"/>
    </row>
    <row r="108" spans="1:9">
      <c r="A108" s="45" t="s">
        <v>171</v>
      </c>
      <c r="B108" s="11" t="s">
        <v>172</v>
      </c>
      <c r="C108" s="101">
        <v>28.8</v>
      </c>
      <c r="D108" s="98">
        <v>-0.10559006210000001</v>
      </c>
      <c r="E108" s="99">
        <v>1284464747.6885076</v>
      </c>
      <c r="F108" s="40"/>
      <c r="G108" s="40"/>
      <c r="H108" s="40"/>
      <c r="I108" s="40"/>
    </row>
    <row r="109" spans="1:9">
      <c r="A109" s="45" t="s">
        <v>253</v>
      </c>
      <c r="B109" s="11" t="s">
        <v>254</v>
      </c>
      <c r="C109" s="101">
        <v>85.4</v>
      </c>
      <c r="D109" s="98">
        <v>-0.1057591623</v>
      </c>
      <c r="E109" s="46">
        <v>221604469.44575566</v>
      </c>
    </row>
    <row r="110" spans="1:9">
      <c r="A110" s="45" t="s">
        <v>81</v>
      </c>
      <c r="B110" s="11" t="s">
        <v>82</v>
      </c>
      <c r="C110" s="101">
        <v>1510</v>
      </c>
      <c r="D110" s="98">
        <v>-0.10650887570000001</v>
      </c>
      <c r="E110" s="46">
        <v>6526458.2801283104</v>
      </c>
    </row>
    <row r="111" spans="1:9">
      <c r="A111" s="45" t="s">
        <v>153</v>
      </c>
      <c r="B111" s="11" t="s">
        <v>154</v>
      </c>
      <c r="C111" s="101">
        <v>21.8</v>
      </c>
      <c r="D111" s="98">
        <v>-0.10655737699999999</v>
      </c>
      <c r="E111" s="46">
        <v>2087368334.8944275</v>
      </c>
    </row>
    <row r="112" spans="1:9">
      <c r="A112" s="45" t="s">
        <v>121</v>
      </c>
      <c r="B112" s="11" t="s">
        <v>122</v>
      </c>
      <c r="C112" s="101">
        <v>116</v>
      </c>
      <c r="D112" s="98">
        <v>-0.1076923077</v>
      </c>
      <c r="E112" s="46">
        <v>430610735.80161971</v>
      </c>
    </row>
    <row r="113" spans="1:5">
      <c r="A113" s="45" t="s">
        <v>111</v>
      </c>
      <c r="B113" s="11" t="s">
        <v>112</v>
      </c>
      <c r="C113" s="101">
        <v>268</v>
      </c>
      <c r="D113" s="98">
        <v>-0.1096345515</v>
      </c>
      <c r="E113" s="46">
        <v>201706291.54499364</v>
      </c>
    </row>
    <row r="114" spans="1:5">
      <c r="A114" s="45" t="s">
        <v>259</v>
      </c>
      <c r="B114" s="11" t="s">
        <v>260</v>
      </c>
      <c r="C114" s="101">
        <v>129</v>
      </c>
      <c r="D114" s="98">
        <v>-0.1103448276</v>
      </c>
      <c r="E114" s="46">
        <v>303262925.61247736</v>
      </c>
    </row>
    <row r="115" spans="1:5">
      <c r="A115" s="45" t="s">
        <v>233</v>
      </c>
      <c r="B115" s="11" t="s">
        <v>234</v>
      </c>
      <c r="C115" s="101">
        <v>1370</v>
      </c>
      <c r="D115" s="98">
        <v>-0.1103896104</v>
      </c>
      <c r="E115" s="46">
        <v>12100229.33439251</v>
      </c>
    </row>
    <row r="116" spans="1:5">
      <c r="A116" s="45" t="s">
        <v>66</v>
      </c>
      <c r="B116" s="11" t="s">
        <v>67</v>
      </c>
      <c r="C116" s="101">
        <v>9105</v>
      </c>
      <c r="D116" s="98">
        <v>-0.1142996109</v>
      </c>
      <c r="E116" s="46">
        <v>8338714.2550131604</v>
      </c>
    </row>
    <row r="117" spans="1:5">
      <c r="A117" s="45" t="s">
        <v>239</v>
      </c>
      <c r="B117" s="11" t="s">
        <v>240</v>
      </c>
      <c r="C117" s="101">
        <v>207</v>
      </c>
      <c r="D117" s="98">
        <v>-0.1153846154</v>
      </c>
      <c r="E117" s="46">
        <v>153073724.57146943</v>
      </c>
    </row>
    <row r="118" spans="1:5">
      <c r="A118" s="45" t="s">
        <v>257</v>
      </c>
      <c r="B118" s="11" t="s">
        <v>258</v>
      </c>
      <c r="C118" s="101">
        <v>747</v>
      </c>
      <c r="D118" s="98">
        <v>-0.1211764706</v>
      </c>
      <c r="E118" s="46">
        <v>101034949.51475091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9525</xdr:rowOff>
                  </from>
                  <to>
                    <xdr:col>22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11</xdr:row>
                    <xdr:rowOff>19050</xdr:rowOff>
                  </from>
                  <to>
                    <xdr:col>22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E32EA-7AF6-47AA-A100-784F6C0532C8}">
  <sheetPr codeName="Sheet6"/>
  <dimension ref="A1:S199"/>
  <sheetViews>
    <sheetView topLeftCell="A174" zoomScaleNormal="100" workbookViewId="0">
      <selection activeCell="D189" sqref="D18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11" t="s">
        <v>0</v>
      </c>
      <c r="B1" s="125"/>
      <c r="C1" s="125"/>
      <c r="D1" s="125"/>
      <c r="E1" s="125"/>
      <c r="F1" s="112"/>
      <c r="G1" s="126">
        <v>44315</v>
      </c>
      <c r="H1" s="127"/>
      <c r="I1" s="128"/>
      <c r="J1" s="111" t="s">
        <v>1</v>
      </c>
      <c r="K1" s="125"/>
      <c r="L1" s="125"/>
      <c r="M1" s="125"/>
      <c r="N1" s="125"/>
      <c r="O1" s="112"/>
      <c r="Q1" s="111" t="s">
        <v>2</v>
      </c>
      <c r="R1" s="112"/>
    </row>
    <row r="2" spans="1:19" ht="17.25" customHeight="1">
      <c r="A2" s="1" t="s">
        <v>3</v>
      </c>
      <c r="B2" s="113" t="s">
        <v>4</v>
      </c>
      <c r="C2" s="114"/>
      <c r="D2" s="114"/>
      <c r="E2" s="114"/>
      <c r="F2" s="115"/>
      <c r="G2" s="116" t="s">
        <v>46</v>
      </c>
      <c r="H2" s="117"/>
      <c r="I2" s="118"/>
      <c r="J2" s="1" t="s">
        <v>3</v>
      </c>
      <c r="K2" s="113" t="s">
        <v>5</v>
      </c>
      <c r="L2" s="114"/>
      <c r="M2" s="114"/>
      <c r="N2" s="114"/>
      <c r="O2" s="115"/>
      <c r="Q2" s="2" t="s">
        <v>6</v>
      </c>
      <c r="R2" s="3">
        <v>0.375</v>
      </c>
    </row>
    <row r="3" spans="1:19" ht="17.25" customHeight="1" thickBot="1">
      <c r="A3" s="4" t="s">
        <v>7</v>
      </c>
      <c r="B3" s="119" t="s">
        <v>8</v>
      </c>
      <c r="C3" s="120"/>
      <c r="D3" s="120"/>
      <c r="E3" s="120"/>
      <c r="F3" s="121"/>
      <c r="G3" s="12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2,226 KRW (0.11%)</v>
      </c>
      <c r="H3" s="123"/>
      <c r="I3" s="124"/>
      <c r="J3" s="4" t="s">
        <v>7</v>
      </c>
      <c r="K3" s="119" t="s">
        <v>9</v>
      </c>
      <c r="L3" s="120"/>
      <c r="M3" s="120"/>
      <c r="N3" s="120"/>
      <c r="O3" s="12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19" t="s">
        <v>12</v>
      </c>
      <c r="C4" s="120"/>
      <c r="D4" s="120"/>
      <c r="E4" s="120"/>
      <c r="F4" s="121"/>
      <c r="G4" s="116" t="s">
        <v>44</v>
      </c>
      <c r="H4" s="117"/>
      <c r="I4" s="118"/>
      <c r="J4" s="4" t="s">
        <v>11</v>
      </c>
      <c r="K4" s="119" t="s">
        <v>13</v>
      </c>
      <c r="L4" s="120"/>
      <c r="M4" s="120"/>
      <c r="N4" s="120"/>
      <c r="O4" s="121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19" t="s">
        <v>16</v>
      </c>
      <c r="C5" s="120"/>
      <c r="D5" s="120"/>
      <c r="E5" s="120"/>
      <c r="F5" s="121"/>
      <c r="G5" s="12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2,577 KRW (0.14%)</v>
      </c>
      <c r="H5" s="123"/>
      <c r="I5" s="124"/>
      <c r="J5" s="4" t="s">
        <v>15</v>
      </c>
      <c r="K5" s="119" t="s">
        <v>17</v>
      </c>
      <c r="L5" s="120"/>
      <c r="M5" s="120"/>
      <c r="N5" s="120"/>
      <c r="O5" s="121"/>
    </row>
    <row r="6" spans="1:19">
      <c r="A6" s="4" t="s">
        <v>18</v>
      </c>
      <c r="B6" s="119" t="s">
        <v>19</v>
      </c>
      <c r="C6" s="120"/>
      <c r="D6" s="120"/>
      <c r="E6" s="120"/>
      <c r="F6" s="121"/>
      <c r="G6" s="116" t="s">
        <v>45</v>
      </c>
      <c r="H6" s="117"/>
      <c r="I6" s="118"/>
      <c r="J6" s="4" t="s">
        <v>18</v>
      </c>
      <c r="K6" s="119" t="s">
        <v>20</v>
      </c>
      <c r="L6" s="120"/>
      <c r="M6" s="120"/>
      <c r="N6" s="120"/>
      <c r="O6" s="121"/>
    </row>
    <row r="7" spans="1:19" ht="17.25" thickBot="1">
      <c r="A7" s="4" t="s">
        <v>21</v>
      </c>
      <c r="B7" s="119" t="s">
        <v>22</v>
      </c>
      <c r="C7" s="120"/>
      <c r="D7" s="120"/>
      <c r="E7" s="120"/>
      <c r="F7" s="121"/>
      <c r="G7" s="12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3,365 KRW (0.17%)</v>
      </c>
      <c r="H7" s="123"/>
      <c r="I7" s="124"/>
      <c r="J7" s="4" t="s">
        <v>21</v>
      </c>
      <c r="K7" s="119" t="s">
        <v>23</v>
      </c>
      <c r="L7" s="120"/>
      <c r="M7" s="120"/>
      <c r="N7" s="120"/>
      <c r="O7" s="121"/>
    </row>
    <row r="8" spans="1:19" ht="17.25" thickBot="1">
      <c r="A8" s="4" t="s">
        <v>24</v>
      </c>
      <c r="B8" s="119" t="s">
        <v>25</v>
      </c>
      <c r="C8" s="120"/>
      <c r="D8" s="120"/>
      <c r="E8" s="120"/>
      <c r="F8" s="121"/>
      <c r="G8" s="116" t="s">
        <v>285</v>
      </c>
      <c r="H8" s="117"/>
      <c r="I8" s="118"/>
      <c r="J8" s="4" t="s">
        <v>24</v>
      </c>
      <c r="K8" s="119" t="s">
        <v>26</v>
      </c>
      <c r="L8" s="120"/>
      <c r="M8" s="120"/>
      <c r="N8" s="120"/>
      <c r="O8" s="121"/>
      <c r="Q8" s="111" t="s">
        <v>27</v>
      </c>
      <c r="R8" s="112"/>
    </row>
    <row r="9" spans="1:19" ht="17.25" thickBot="1">
      <c r="A9" s="4" t="s">
        <v>28</v>
      </c>
      <c r="B9" s="119"/>
      <c r="C9" s="120"/>
      <c r="D9" s="120"/>
      <c r="E9" s="120"/>
      <c r="F9" s="121"/>
      <c r="G9" s="12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1,336 KRW (0.13%)</v>
      </c>
      <c r="H9" s="123"/>
      <c r="I9" s="124"/>
      <c r="J9" s="4" t="s">
        <v>28</v>
      </c>
      <c r="K9" s="119" t="s">
        <v>293</v>
      </c>
      <c r="L9" s="120"/>
      <c r="M9" s="120"/>
      <c r="N9" s="120"/>
      <c r="O9" s="121"/>
      <c r="Q9" s="2" t="s">
        <v>29</v>
      </c>
      <c r="R9" s="6">
        <v>10</v>
      </c>
    </row>
    <row r="10" spans="1:19">
      <c r="A10" s="4" t="s">
        <v>30</v>
      </c>
      <c r="B10" s="119"/>
      <c r="C10" s="120"/>
      <c r="D10" s="120"/>
      <c r="E10" s="120"/>
      <c r="F10" s="121"/>
      <c r="G10" s="116" t="s">
        <v>47</v>
      </c>
      <c r="H10" s="117"/>
      <c r="I10" s="118"/>
      <c r="J10" s="4" t="s">
        <v>30</v>
      </c>
      <c r="K10" s="119"/>
      <c r="L10" s="120"/>
      <c r="M10" s="120"/>
      <c r="N10" s="120"/>
      <c r="O10" s="121"/>
      <c r="Q10" s="2" t="s">
        <v>31</v>
      </c>
      <c r="R10" s="6">
        <v>100</v>
      </c>
    </row>
    <row r="11" spans="1:19" ht="17.25" thickBot="1">
      <c r="A11" s="7" t="s">
        <v>32</v>
      </c>
      <c r="B11" s="150"/>
      <c r="C11" s="151"/>
      <c r="D11" s="151"/>
      <c r="E11" s="151"/>
      <c r="F11" s="152"/>
      <c r="G11" s="12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23"/>
      <c r="I11" s="124"/>
      <c r="J11" s="7" t="s">
        <v>32</v>
      </c>
      <c r="K11" s="150"/>
      <c r="L11" s="151"/>
      <c r="M11" s="151"/>
      <c r="N11" s="151"/>
      <c r="O11" s="152"/>
      <c r="Q11" s="71" t="s">
        <v>33</v>
      </c>
      <c r="R11" s="8">
        <v>1000</v>
      </c>
    </row>
    <row r="12" spans="1:19" ht="17.25" thickBot="1"/>
    <row r="13" spans="1:19" ht="17.25" customHeight="1" thickBot="1">
      <c r="A13" s="111" t="s">
        <v>34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12"/>
      <c r="Q13" s="129"/>
      <c r="R13" s="130"/>
      <c r="S13" s="131"/>
    </row>
    <row r="14" spans="1:19" ht="17.25" customHeight="1" thickBot="1">
      <c r="A14" s="110" t="s">
        <v>35</v>
      </c>
      <c r="B14" s="111" t="s">
        <v>36</v>
      </c>
      <c r="C14" s="112"/>
      <c r="D14" s="111" t="s">
        <v>37</v>
      </c>
      <c r="E14" s="125"/>
      <c r="F14" s="112"/>
      <c r="G14" s="138">
        <f>_xlfn.IFNA(VLOOKUP(B14, 현재가테이블!$B$2:$D$200, 2, FALSE), "-")</f>
        <v>63826000</v>
      </c>
      <c r="H14" s="139"/>
      <c r="I14" s="140"/>
      <c r="J14" s="111" t="s">
        <v>38</v>
      </c>
      <c r="K14" s="125"/>
      <c r="L14" s="112"/>
      <c r="M14" s="141">
        <f>_xlfn.IFNA(VLOOKUP(B14, 현재가테이블!$B$2:$D$200, 3, FALSE), "-")</f>
        <v>-1.4529004E-2</v>
      </c>
      <c r="N14" s="142"/>
      <c r="O14" s="143"/>
      <c r="Q14" s="132"/>
      <c r="R14" s="133"/>
      <c r="S14" s="134"/>
    </row>
    <row r="15" spans="1:19" ht="17.25" customHeight="1" thickBot="1">
      <c r="A15" s="144" t="s">
        <v>39</v>
      </c>
      <c r="B15" s="145" t="str">
        <f>TEXT($G$1, "[$-ko-KR]yyyy-mm-dd(ddd) ") &amp; "오전 00:00"</f>
        <v>2021-04-29(목) 오전 00:00</v>
      </c>
      <c r="C15" s="146"/>
      <c r="D15" s="147" t="str">
        <f>TEXT($G$1, "[$-ko-KR]yyyy-mm-dd(ddd) ") &amp; "오후 14:00"</f>
        <v>2021-04-29(목) 오후 14:00</v>
      </c>
      <c r="E15" s="148"/>
      <c r="F15" s="149"/>
      <c r="G15" s="147" t="str">
        <f>TEXT($G$1, "[$-ko-KR]yyyy-mm-dd(ddd) ") &amp; "오후 19:00"</f>
        <v>2021-04-29(목) 오후 19:00</v>
      </c>
      <c r="H15" s="148"/>
      <c r="I15" s="149"/>
      <c r="J15" s="147" t="str">
        <f>TEXT($G$1, "[$-ko-KR]yyyy-mm-dd(ddd) ") &amp; "오후 21:00"</f>
        <v>2021-04-29(목) 오후 21:00</v>
      </c>
      <c r="K15" s="148"/>
      <c r="L15" s="149"/>
      <c r="M15" s="147" t="str">
        <f>TEXT($G$1+1, "[$-ko-KR]yyyy-mm-dd(ddd) ") &amp; "오전 00:00"</f>
        <v>2021-04-30(금) 오전 00:00</v>
      </c>
      <c r="N15" s="148"/>
      <c r="O15" s="149"/>
      <c r="Q15" s="135"/>
      <c r="R15" s="136"/>
      <c r="S15" s="137"/>
    </row>
    <row r="16" spans="1:19" ht="17.25" customHeight="1" thickBot="1">
      <c r="A16" s="14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66"/>
      <c r="R16" s="166"/>
      <c r="S16" s="166"/>
    </row>
    <row r="17" spans="1:19" ht="17.25" customHeight="1" thickBot="1">
      <c r="A17" s="12"/>
      <c r="B17" s="13" t="str">
        <f t="shared" ref="B17:B36" si="0">IF(NOT(_xlfn.IFNA(VLOOKUP($A17, $A$40:$O$66, 2, FALSE), "")=0), _xlfn.IFNA(VLOOKUP($A17, $A$40:$O$66, 2, FALSE), ""), "")</f>
        <v/>
      </c>
      <c r="C17" s="14" t="str">
        <f t="shared" ref="C17:C36" si="1">IF(NOT(_xlfn.IFNA(VLOOKUP($A17, $A$40:$O$66, 3, FALSE), "")=0), _xlfn.IFNA(VLOOKUP($A17, $A$40:$O$66, 3, FALSE), ""), "")</f>
        <v/>
      </c>
      <c r="D17" s="13" t="str">
        <f t="shared" ref="D17:D36" si="2">IF(NOT(_xlfn.IFNA(VLOOKUP($A17, $A$40:$O$66, 4, FALSE), "")=0), _xlfn.IFNA(VLOOKUP($A17, $A$40:$O$66, 4, FALSE), ""), "")</f>
        <v/>
      </c>
      <c r="E17" s="14" t="str">
        <f t="shared" ref="E17:E36" si="3">IF(NOT(_xlfn.IFNA(VLOOKUP($A17, $A$40:$O$66, 5, FALSE), "")=0), _xlfn.IFNA(VLOOKUP($A17, $A$40:$O$66, 5, FALSE), ""), "")</f>
        <v/>
      </c>
      <c r="F17" s="17" t="str">
        <f>IF(ISNUMBER(D17), $B37 * E17, "")</f>
        <v/>
      </c>
      <c r="G17" s="15" t="str">
        <f t="shared" ref="G17:G36" si="4">IF(NOT(_xlfn.IFNA(VLOOKUP($A17, $A$40:$O$66, 7, FALSE), "")=0), _xlfn.IFNA(VLOOKUP($A17, $A$40:$O$66, 7, FALSE), ""), "")</f>
        <v/>
      </c>
      <c r="H17" s="16" t="str">
        <f t="shared" ref="H17:H36" si="5">IF(NOT(_xlfn.IFNA(VLOOKUP($A17, $A$40:$O$66, 8, FALSE), "")=0), _xlfn.IFNA(VLOOKUP($A17, $A$40:$O$66, 8, FALSE), ""), "")</f>
        <v/>
      </c>
      <c r="I17" s="17" t="str">
        <f>IF(ISNUMBER(G17), $B37 * H17, "")</f>
        <v/>
      </c>
      <c r="J17" s="13" t="str">
        <f t="shared" ref="J17:J36" si="6">IF(NOT(_xlfn.IFNA(VLOOKUP($A17, $A$40:$O$66, 10, FALSE), "")=0), _xlfn.IFNA(VLOOKUP($A17, $A$40:$O$66, 10, FALSE), ""), "")</f>
        <v/>
      </c>
      <c r="K17" s="14" t="str">
        <f t="shared" ref="K17:K36" si="7">IF(NOT(_xlfn.IFNA(VLOOKUP($A17, $A$40:$O$66, 11, FALSE), "")=0), _xlfn.IFNA(VLOOKUP($A17, $A$40:$O$66, 11, FALSE), ""), "")</f>
        <v/>
      </c>
      <c r="L17" s="17" t="str">
        <f>IF(ISNUMBER(J17), $B37 * K17, "")</f>
        <v/>
      </c>
      <c r="M17" s="13" t="str">
        <f t="shared" ref="M17:M36" si="8">IF(NOT(_xlfn.IFNA(VLOOKUP($A17, $A$40:$O$66, 13, FALSE), "")=0), _xlfn.IFNA(VLOOKUP($A17, $A$40:$O$66, 13, FALSE), ""), "")</f>
        <v/>
      </c>
      <c r="N17" s="14" t="str">
        <f t="shared" ref="N17:N36" si="9">IF(NOT(_xlfn.IFNA(VLOOKUP($A17, $A$40:$O$66, 14, FALSE), "")=0), _xlfn.IFNA(VLOOKUP($A17, $A$40:$O$66, 14, FALSE), ""), "")</f>
        <v/>
      </c>
      <c r="O17" s="17" t="str">
        <f>IF(ISNUMBER(M17), $B37 * N17, "")</f>
        <v/>
      </c>
      <c r="Q17" s="163"/>
      <c r="R17" s="163"/>
      <c r="S17" s="163"/>
    </row>
    <row r="18" spans="1:19" ht="17.25" customHeight="1" thickBot="1">
      <c r="A18" s="18"/>
      <c r="B18" s="15" t="str">
        <f t="shared" si="0"/>
        <v/>
      </c>
      <c r="C18" s="16" t="str">
        <f t="shared" si="1"/>
        <v/>
      </c>
      <c r="D18" s="15" t="str">
        <f t="shared" si="2"/>
        <v/>
      </c>
      <c r="E18" s="16" t="str">
        <f t="shared" si="3"/>
        <v/>
      </c>
      <c r="F18" s="19" t="str">
        <f>IF(ISNUMBER(D18), $B37 * E18, "")</f>
        <v/>
      </c>
      <c r="G18" s="15" t="str">
        <f t="shared" si="4"/>
        <v/>
      </c>
      <c r="H18" s="16" t="str">
        <f t="shared" si="5"/>
        <v/>
      </c>
      <c r="I18" s="19" t="str">
        <f>IF(ISNUMBER(G18), $B37 * H18, "")</f>
        <v/>
      </c>
      <c r="J18" s="15" t="str">
        <f t="shared" si="6"/>
        <v/>
      </c>
      <c r="K18" s="16" t="str">
        <f t="shared" si="7"/>
        <v/>
      </c>
      <c r="L18" s="19" t="str">
        <f>IF(ISNUMBER(J18), $B37 * K18, "")</f>
        <v/>
      </c>
      <c r="M18" s="15" t="str">
        <f t="shared" si="8"/>
        <v/>
      </c>
      <c r="N18" s="16" t="str">
        <f t="shared" si="9"/>
        <v/>
      </c>
      <c r="O18" s="19" t="str">
        <f>IF(ISNUMBER(M18), $B37 * N18, "")</f>
        <v/>
      </c>
      <c r="Q18" s="163"/>
      <c r="R18" s="163"/>
      <c r="S18" s="163"/>
    </row>
    <row r="19" spans="1:19" ht="17.25" customHeight="1" thickBot="1">
      <c r="A19" s="18"/>
      <c r="B19" s="15" t="str">
        <f t="shared" si="0"/>
        <v/>
      </c>
      <c r="C19" s="16" t="str">
        <f t="shared" si="1"/>
        <v/>
      </c>
      <c r="D19" s="15" t="str">
        <f t="shared" si="2"/>
        <v/>
      </c>
      <c r="E19" s="16" t="str">
        <f t="shared" si="3"/>
        <v/>
      </c>
      <c r="F19" s="19" t="str">
        <f>IF(ISNUMBER(D19), $B37 * E19, "")</f>
        <v/>
      </c>
      <c r="G19" s="15" t="str">
        <f t="shared" si="4"/>
        <v/>
      </c>
      <c r="H19" s="16" t="str">
        <f t="shared" si="5"/>
        <v/>
      </c>
      <c r="I19" s="19" t="str">
        <f>IF(ISNUMBER(G19), $B37 * H19, "")</f>
        <v/>
      </c>
      <c r="J19" s="15" t="str">
        <f t="shared" si="6"/>
        <v/>
      </c>
      <c r="K19" s="16" t="str">
        <f t="shared" si="7"/>
        <v/>
      </c>
      <c r="L19" s="19" t="str">
        <f>IF(ISNUMBER(J19), $B37 * K19, "")</f>
        <v/>
      </c>
      <c r="M19" s="15" t="str">
        <f t="shared" si="8"/>
        <v/>
      </c>
      <c r="N19" s="16" t="str">
        <f t="shared" si="9"/>
        <v/>
      </c>
      <c r="O19" s="19" t="str">
        <f>IF(ISNUMBER(M19), $B37 * N19, "")</f>
        <v/>
      </c>
      <c r="Q19" s="164"/>
      <c r="R19" s="164"/>
      <c r="S19" s="164"/>
    </row>
    <row r="20" spans="1:19" ht="17.25" customHeight="1" thickBot="1">
      <c r="A20" s="18"/>
      <c r="B20" s="15" t="str">
        <f t="shared" si="0"/>
        <v/>
      </c>
      <c r="C20" s="16" t="str">
        <f t="shared" si="1"/>
        <v/>
      </c>
      <c r="D20" s="15" t="str">
        <f t="shared" si="2"/>
        <v/>
      </c>
      <c r="E20" s="16" t="str">
        <f t="shared" si="3"/>
        <v/>
      </c>
      <c r="F20" s="19" t="str">
        <f>IF(ISNUMBER(D20), $B37 * E20, "")</f>
        <v/>
      </c>
      <c r="G20" s="15" t="str">
        <f t="shared" si="4"/>
        <v/>
      </c>
      <c r="H20" s="16" t="str">
        <f t="shared" si="5"/>
        <v/>
      </c>
      <c r="I20" s="19" t="str">
        <f>IF(ISNUMBER(G20), $B37 * H20, "")</f>
        <v/>
      </c>
      <c r="J20" s="15" t="str">
        <f t="shared" si="6"/>
        <v/>
      </c>
      <c r="K20" s="16" t="str">
        <f t="shared" si="7"/>
        <v/>
      </c>
      <c r="L20" s="19" t="str">
        <f>IF(ISNUMBER(J20), $B37 * K20, "")</f>
        <v/>
      </c>
      <c r="M20" s="15" t="str">
        <f t="shared" si="8"/>
        <v/>
      </c>
      <c r="N20" s="16" t="str">
        <f t="shared" si="9"/>
        <v/>
      </c>
      <c r="O20" s="19" t="str">
        <f>IF(ISNUMBER(M20), $B37 * N20, "")</f>
        <v/>
      </c>
      <c r="Q20" s="164"/>
      <c r="R20" s="164"/>
      <c r="S20" s="164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>IF(ISNUMBER(D21), $B37 * E21, "")</f>
        <v/>
      </c>
      <c r="G21" s="21" t="str">
        <f t="shared" si="4"/>
        <v/>
      </c>
      <c r="H21" s="22" t="str">
        <f t="shared" si="5"/>
        <v/>
      </c>
      <c r="I21" s="23" t="str">
        <f>IF(ISNUMBER(G21), $B37 * H21, "")</f>
        <v/>
      </c>
      <c r="J21" s="21" t="str">
        <f t="shared" si="6"/>
        <v/>
      </c>
      <c r="K21" s="22" t="str">
        <f t="shared" si="7"/>
        <v/>
      </c>
      <c r="L21" s="23" t="str">
        <f>IF(ISNUMBER(J21), $B37 * K21, "")</f>
        <v/>
      </c>
      <c r="M21" s="21" t="str">
        <f t="shared" si="8"/>
        <v/>
      </c>
      <c r="N21" s="22" t="str">
        <f t="shared" si="9"/>
        <v/>
      </c>
      <c r="O21" s="23" t="str">
        <f>IF(ISNUMBER(M21), $B37 * N21, "")</f>
        <v/>
      </c>
      <c r="Q21" s="165"/>
      <c r="R21" s="165"/>
      <c r="S21" s="165"/>
    </row>
    <row r="22" spans="1:19" ht="17.25" customHeight="1">
      <c r="A22" s="18"/>
      <c r="B22" s="15" t="str">
        <f t="shared" si="0"/>
        <v/>
      </c>
      <c r="C22" s="16" t="str">
        <f t="shared" si="1"/>
        <v/>
      </c>
      <c r="D22" s="15" t="str">
        <f t="shared" si="2"/>
        <v/>
      </c>
      <c r="E22" s="16" t="str">
        <f t="shared" si="3"/>
        <v/>
      </c>
      <c r="F22" s="19" t="str">
        <f>IF(ISNUMBER(D22), $B37 * E22, "")</f>
        <v/>
      </c>
      <c r="G22" s="15" t="str">
        <f t="shared" si="4"/>
        <v/>
      </c>
      <c r="H22" s="16" t="str">
        <f t="shared" si="5"/>
        <v/>
      </c>
      <c r="I22" s="19" t="str">
        <f>IF(ISNUMBER(G22), $B37 * H22, "")</f>
        <v/>
      </c>
      <c r="J22" s="15" t="str">
        <f t="shared" si="6"/>
        <v/>
      </c>
      <c r="K22" s="16" t="str">
        <f t="shared" si="7"/>
        <v/>
      </c>
      <c r="L22" s="19" t="str">
        <f>IF(ISNUMBER(J22), $B37 * K22, "")</f>
        <v/>
      </c>
      <c r="M22" s="15" t="str">
        <f t="shared" si="8"/>
        <v/>
      </c>
      <c r="N22" s="16" t="str">
        <f t="shared" si="9"/>
        <v/>
      </c>
      <c r="O22" s="19" t="str">
        <f>IF(ISNUMBER(M22), $B37 * N22, "")</f>
        <v/>
      </c>
      <c r="Q22" s="153"/>
      <c r="R22" s="154"/>
      <c r="S22" s="155"/>
    </row>
    <row r="23" spans="1:19" ht="17.25" customHeight="1">
      <c r="A23" s="18"/>
      <c r="B23" s="15" t="str">
        <f t="shared" si="0"/>
        <v/>
      </c>
      <c r="C23" s="16" t="str">
        <f t="shared" si="1"/>
        <v/>
      </c>
      <c r="D23" s="15" t="str">
        <f t="shared" si="2"/>
        <v/>
      </c>
      <c r="E23" s="16" t="str">
        <f t="shared" si="3"/>
        <v/>
      </c>
      <c r="F23" s="19" t="str">
        <f>IF(ISNUMBER(D23), $B37 * E23, "")</f>
        <v/>
      </c>
      <c r="G23" s="15" t="str">
        <f t="shared" si="4"/>
        <v/>
      </c>
      <c r="H23" s="16" t="str">
        <f t="shared" si="5"/>
        <v/>
      </c>
      <c r="I23" s="19" t="str">
        <f>IF(ISNUMBER(G23), $B37 * H23, "")</f>
        <v/>
      </c>
      <c r="J23" s="15" t="str">
        <f t="shared" si="6"/>
        <v/>
      </c>
      <c r="K23" s="16" t="str">
        <f t="shared" si="7"/>
        <v/>
      </c>
      <c r="L23" s="19" t="str">
        <f>IF(ISNUMBER(J23), $B37 * K23, "")</f>
        <v/>
      </c>
      <c r="M23" s="15" t="str">
        <f t="shared" si="8"/>
        <v/>
      </c>
      <c r="N23" s="16" t="str">
        <f t="shared" si="9"/>
        <v/>
      </c>
      <c r="O23" s="19" t="str">
        <f>IF(ISNUMBER(M23), $B37 * N23, "")</f>
        <v/>
      </c>
      <c r="Q23" s="156"/>
      <c r="R23" s="157"/>
      <c r="S23" s="158"/>
    </row>
    <row r="24" spans="1:19" ht="17.25" customHeight="1" thickBot="1">
      <c r="A24" s="18"/>
      <c r="B24" s="15" t="str">
        <f t="shared" si="0"/>
        <v/>
      </c>
      <c r="C24" s="16" t="str">
        <f t="shared" si="1"/>
        <v/>
      </c>
      <c r="D24" s="15" t="str">
        <f t="shared" si="2"/>
        <v/>
      </c>
      <c r="E24" s="16" t="str">
        <f t="shared" si="3"/>
        <v/>
      </c>
      <c r="F24" s="19" t="str">
        <f>IF(ISNUMBER(D24), $B37 * E24, "")</f>
        <v/>
      </c>
      <c r="G24" s="15" t="str">
        <f t="shared" si="4"/>
        <v/>
      </c>
      <c r="H24" s="16" t="str">
        <f t="shared" si="5"/>
        <v/>
      </c>
      <c r="I24" s="19" t="str">
        <f>IF(ISNUMBER(G24), $B37 * H24, "")</f>
        <v/>
      </c>
      <c r="J24" s="15" t="str">
        <f t="shared" si="6"/>
        <v/>
      </c>
      <c r="K24" s="16" t="str">
        <f t="shared" si="7"/>
        <v/>
      </c>
      <c r="L24" s="19" t="str">
        <f>IF(ISNUMBER(J24), $B37 * K24, "")</f>
        <v/>
      </c>
      <c r="M24" s="15" t="str">
        <f t="shared" si="8"/>
        <v/>
      </c>
      <c r="N24" s="16" t="str">
        <f t="shared" si="9"/>
        <v/>
      </c>
      <c r="O24" s="19" t="str">
        <f>IF(ISNUMBER(M24), $B37 * N24, "")</f>
        <v/>
      </c>
      <c r="Q24" s="159"/>
      <c r="R24" s="160"/>
      <c r="S24" s="161"/>
    </row>
    <row r="25" spans="1:19" ht="17.25" customHeight="1" thickBot="1">
      <c r="A25" s="18"/>
      <c r="B25" s="15" t="str">
        <f t="shared" si="0"/>
        <v/>
      </c>
      <c r="C25" s="16" t="str">
        <f t="shared" si="1"/>
        <v/>
      </c>
      <c r="D25" s="15" t="str">
        <f t="shared" si="2"/>
        <v/>
      </c>
      <c r="E25" s="16" t="str">
        <f t="shared" si="3"/>
        <v/>
      </c>
      <c r="F25" s="19" t="str">
        <f>IF(ISNUMBER(D25), $B37 * E25, "")</f>
        <v/>
      </c>
      <c r="G25" s="15" t="str">
        <f t="shared" si="4"/>
        <v/>
      </c>
      <c r="H25" s="16" t="str">
        <f t="shared" si="5"/>
        <v/>
      </c>
      <c r="I25" s="19" t="str">
        <f>IF(ISNUMBER(G25), $B37 * H25, "")</f>
        <v/>
      </c>
      <c r="J25" s="15" t="str">
        <f t="shared" si="6"/>
        <v/>
      </c>
      <c r="K25" s="16" t="str">
        <f t="shared" si="7"/>
        <v/>
      </c>
      <c r="L25" s="19" t="str">
        <f>IF(ISNUMBER(J25), $B37 * K25, "")</f>
        <v/>
      </c>
      <c r="M25" s="15" t="str">
        <f t="shared" si="8"/>
        <v/>
      </c>
      <c r="N25" s="16" t="str">
        <f t="shared" si="9"/>
        <v/>
      </c>
      <c r="O25" s="19" t="str">
        <f>IF(ISNUMBER(M25), $B37 * N25, "")</f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9" t="str">
        <f>IF(ISNUMBER(D26), $B37 * E26, "")</f>
        <v/>
      </c>
      <c r="G26" s="25" t="str">
        <f t="shared" si="4"/>
        <v/>
      </c>
      <c r="H26" s="26" t="str">
        <f t="shared" si="5"/>
        <v/>
      </c>
      <c r="I26" s="19" t="str">
        <f>IF(ISNUMBER(G26), $B37 * H26, "")</f>
        <v/>
      </c>
      <c r="J26" s="25" t="str">
        <f t="shared" si="6"/>
        <v/>
      </c>
      <c r="K26" s="26" t="str">
        <f t="shared" si="7"/>
        <v/>
      </c>
      <c r="L26" s="19" t="str">
        <f>IF(ISNUMBER(J26), $B37 * K26, "")</f>
        <v/>
      </c>
      <c r="M26" s="25" t="str">
        <f t="shared" si="8"/>
        <v/>
      </c>
      <c r="N26" s="26" t="str">
        <f t="shared" si="9"/>
        <v/>
      </c>
      <c r="O26" s="19" t="str">
        <f>IF(ISNUMBER(M26), $B37 * N26, "")</f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>IF(ISNUMBER(D27), $B37 * E27, "")</f>
        <v/>
      </c>
      <c r="G27" s="15" t="str">
        <f t="shared" si="4"/>
        <v/>
      </c>
      <c r="H27" s="16" t="str">
        <f t="shared" si="5"/>
        <v/>
      </c>
      <c r="I27" s="17" t="str">
        <f>IF(ISNUMBER(G27), $B37 * H27, "")</f>
        <v/>
      </c>
      <c r="J27" s="13" t="str">
        <f t="shared" si="6"/>
        <v/>
      </c>
      <c r="K27" s="14" t="str">
        <f t="shared" si="7"/>
        <v/>
      </c>
      <c r="L27" s="17" t="str">
        <f>IF(ISNUMBER(J27), $B37 * K27, "")</f>
        <v/>
      </c>
      <c r="M27" s="13" t="str">
        <f t="shared" si="8"/>
        <v/>
      </c>
      <c r="N27" s="14" t="str">
        <f t="shared" si="9"/>
        <v/>
      </c>
      <c r="O27" s="17" t="str">
        <f>IF(ISNUMBER(M27), $B37 * N27, "")</f>
        <v/>
      </c>
      <c r="Q27" s="132"/>
      <c r="R27" s="133"/>
      <c r="S27" s="134"/>
    </row>
    <row r="28" spans="1:19" ht="17.25" customHeight="1" thickBot="1">
      <c r="A28" s="18"/>
      <c r="B28" s="15" t="str">
        <f t="shared" si="0"/>
        <v/>
      </c>
      <c r="C28" s="16" t="str">
        <f t="shared" si="1"/>
        <v/>
      </c>
      <c r="D28" s="15" t="str">
        <f t="shared" si="2"/>
        <v/>
      </c>
      <c r="E28" s="16" t="str">
        <f t="shared" si="3"/>
        <v/>
      </c>
      <c r="F28" s="19" t="str">
        <f>IF(ISNUMBER(D28), $B37 * E28, "")</f>
        <v/>
      </c>
      <c r="G28" s="15" t="str">
        <f t="shared" si="4"/>
        <v/>
      </c>
      <c r="H28" s="16" t="str">
        <f t="shared" si="5"/>
        <v/>
      </c>
      <c r="I28" s="19" t="str">
        <f>IF(ISNUMBER(G28), $B37 * H28, "")</f>
        <v/>
      </c>
      <c r="J28" s="15" t="str">
        <f t="shared" si="6"/>
        <v/>
      </c>
      <c r="K28" s="16" t="str">
        <f t="shared" si="7"/>
        <v/>
      </c>
      <c r="L28" s="19" t="str">
        <f>IF(ISNUMBER(J28), $B37 * K28, "")</f>
        <v/>
      </c>
      <c r="M28" s="15" t="str">
        <f t="shared" si="8"/>
        <v/>
      </c>
      <c r="N28" s="16" t="str">
        <f t="shared" si="9"/>
        <v/>
      </c>
      <c r="O28" s="19" t="str">
        <f>IF(ISNUMBER(M28), $B37 * N28, "")</f>
        <v/>
      </c>
      <c r="Q28" s="135"/>
      <c r="R28" s="136"/>
      <c r="S28" s="137"/>
    </row>
    <row r="29" spans="1:19" ht="17.25" customHeight="1" thickBot="1">
      <c r="A29" s="18"/>
      <c r="B29" s="15" t="str">
        <f t="shared" si="0"/>
        <v/>
      </c>
      <c r="C29" s="16" t="str">
        <f t="shared" si="1"/>
        <v/>
      </c>
      <c r="D29" s="15" t="str">
        <f t="shared" si="2"/>
        <v/>
      </c>
      <c r="E29" s="16" t="str">
        <f t="shared" si="3"/>
        <v/>
      </c>
      <c r="F29" s="19" t="str">
        <f>IF(ISNUMBER(D29), $B37 * E29, "")</f>
        <v/>
      </c>
      <c r="G29" s="15" t="str">
        <f t="shared" si="4"/>
        <v/>
      </c>
      <c r="H29" s="16" t="str">
        <f t="shared" si="5"/>
        <v/>
      </c>
      <c r="I29" s="19" t="str">
        <f>IF(ISNUMBER(G29), $B37 * H29, "")</f>
        <v/>
      </c>
      <c r="J29" s="15" t="str">
        <f t="shared" si="6"/>
        <v/>
      </c>
      <c r="K29" s="16" t="str">
        <f t="shared" si="7"/>
        <v/>
      </c>
      <c r="L29" s="19" t="str">
        <f>IF(ISNUMBER(J29), $B37 * K29, "")</f>
        <v/>
      </c>
      <c r="M29" s="15" t="str">
        <f t="shared" si="8"/>
        <v/>
      </c>
      <c r="N29" s="16" t="str">
        <f t="shared" si="9"/>
        <v/>
      </c>
      <c r="O29" s="19" t="str">
        <f>IF(ISNUMBER(M29), $B37 * N29, "")</f>
        <v/>
      </c>
      <c r="Q29" s="162"/>
      <c r="R29" s="162"/>
      <c r="S29" s="162"/>
    </row>
    <row r="30" spans="1:19" ht="17.25" customHeight="1" thickBot="1">
      <c r="A30" s="18"/>
      <c r="B30" s="15" t="str">
        <f t="shared" si="0"/>
        <v/>
      </c>
      <c r="C30" s="16" t="str">
        <f t="shared" si="1"/>
        <v/>
      </c>
      <c r="D30" s="15" t="str">
        <f t="shared" si="2"/>
        <v/>
      </c>
      <c r="E30" s="16" t="str">
        <f t="shared" si="3"/>
        <v/>
      </c>
      <c r="F30" s="19" t="str">
        <f>IF(ISNUMBER(D30), $B37 * E30, "")</f>
        <v/>
      </c>
      <c r="G30" s="15" t="str">
        <f t="shared" si="4"/>
        <v/>
      </c>
      <c r="H30" s="16" t="str">
        <f t="shared" si="5"/>
        <v/>
      </c>
      <c r="I30" s="19" t="str">
        <f>IF(ISNUMBER(G30), $B37 * H30, "")</f>
        <v/>
      </c>
      <c r="J30" s="15" t="str">
        <f t="shared" si="6"/>
        <v/>
      </c>
      <c r="K30" s="16" t="str">
        <f t="shared" si="7"/>
        <v/>
      </c>
      <c r="L30" s="19" t="str">
        <f>IF(ISNUMBER(J30), $B37 * K30, "")</f>
        <v/>
      </c>
      <c r="M30" s="15" t="str">
        <f t="shared" si="8"/>
        <v/>
      </c>
      <c r="N30" s="16" t="str">
        <f t="shared" si="9"/>
        <v/>
      </c>
      <c r="O30" s="19" t="str">
        <f>IF(ISNUMBER(M30), $B37 * N30, "")</f>
        <v/>
      </c>
      <c r="Q30" s="163"/>
      <c r="R30" s="163"/>
      <c r="S30" s="163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>IF(ISNUMBER(D31), $B37 * E31, "")</f>
        <v/>
      </c>
      <c r="G31" s="21" t="str">
        <f t="shared" si="4"/>
        <v/>
      </c>
      <c r="H31" s="22" t="str">
        <f t="shared" si="5"/>
        <v/>
      </c>
      <c r="I31" s="23" t="str">
        <f>IF(ISNUMBER(G31), $B37 * H31, "")</f>
        <v/>
      </c>
      <c r="J31" s="21" t="str">
        <f t="shared" si="6"/>
        <v/>
      </c>
      <c r="K31" s="22" t="str">
        <f t="shared" si="7"/>
        <v/>
      </c>
      <c r="L31" s="23" t="str">
        <f>IF(ISNUMBER(J31), $B37 * K31, "")</f>
        <v/>
      </c>
      <c r="M31" s="21" t="str">
        <f t="shared" si="8"/>
        <v/>
      </c>
      <c r="N31" s="22" t="str">
        <f t="shared" si="9"/>
        <v/>
      </c>
      <c r="O31" s="23" t="str">
        <f>IF(ISNUMBER(M31), $B37 * N31, "")</f>
        <v/>
      </c>
      <c r="Q31" s="163"/>
      <c r="R31" s="163"/>
      <c r="S31" s="163"/>
    </row>
    <row r="32" spans="1:19" ht="17.25" customHeight="1" thickBot="1">
      <c r="A32" s="18"/>
      <c r="B32" s="15" t="str">
        <f t="shared" si="0"/>
        <v/>
      </c>
      <c r="C32" s="16" t="str">
        <f t="shared" si="1"/>
        <v/>
      </c>
      <c r="D32" s="15" t="str">
        <f t="shared" si="2"/>
        <v/>
      </c>
      <c r="E32" s="16" t="str">
        <f t="shared" si="3"/>
        <v/>
      </c>
      <c r="F32" s="19" t="str">
        <f>IF(ISNUMBER(D32), $B37 * E32, "")</f>
        <v/>
      </c>
      <c r="G32" s="15" t="str">
        <f t="shared" si="4"/>
        <v/>
      </c>
      <c r="H32" s="16" t="str">
        <f t="shared" si="5"/>
        <v/>
      </c>
      <c r="I32" s="19" t="str">
        <f>IF(ISNUMBER(G32), $B37 * H32, "")</f>
        <v/>
      </c>
      <c r="J32" s="15" t="str">
        <f t="shared" si="6"/>
        <v/>
      </c>
      <c r="K32" s="16" t="str">
        <f t="shared" si="7"/>
        <v/>
      </c>
      <c r="L32" s="19" t="str">
        <f>IF(ISNUMBER(J32), $B37 * K32, "")</f>
        <v/>
      </c>
      <c r="M32" s="15" t="str">
        <f t="shared" si="8"/>
        <v/>
      </c>
      <c r="N32" s="16" t="str">
        <f t="shared" si="9"/>
        <v/>
      </c>
      <c r="O32" s="19" t="str">
        <f>IF(ISNUMBER(M32), $B37 * N32, "")</f>
        <v/>
      </c>
      <c r="Q32" s="164"/>
      <c r="R32" s="164"/>
      <c r="S32" s="164"/>
    </row>
    <row r="33" spans="1:19" ht="17.25" customHeight="1" thickBot="1">
      <c r="A33" s="18"/>
      <c r="B33" s="15" t="str">
        <f t="shared" si="0"/>
        <v/>
      </c>
      <c r="C33" s="16" t="str">
        <f t="shared" si="1"/>
        <v/>
      </c>
      <c r="D33" s="15" t="str">
        <f t="shared" si="2"/>
        <v/>
      </c>
      <c r="E33" s="16" t="str">
        <f t="shared" si="3"/>
        <v/>
      </c>
      <c r="F33" s="19" t="str">
        <f>IF(ISNUMBER(D33), $B37 * E33, "")</f>
        <v/>
      </c>
      <c r="G33" s="15" t="str">
        <f t="shared" si="4"/>
        <v/>
      </c>
      <c r="H33" s="16" t="str">
        <f t="shared" si="5"/>
        <v/>
      </c>
      <c r="I33" s="19" t="str">
        <f>IF(ISNUMBER(G33), $B37 * H33, "")</f>
        <v/>
      </c>
      <c r="J33" s="15" t="str">
        <f t="shared" si="6"/>
        <v/>
      </c>
      <c r="K33" s="16" t="str">
        <f t="shared" si="7"/>
        <v/>
      </c>
      <c r="L33" s="19" t="str">
        <f>IF(ISNUMBER(J33), $B37 * K33, "")</f>
        <v/>
      </c>
      <c r="M33" s="15" t="str">
        <f t="shared" si="8"/>
        <v/>
      </c>
      <c r="N33" s="16" t="str">
        <f t="shared" si="9"/>
        <v/>
      </c>
      <c r="O33" s="19" t="str">
        <f>IF(ISNUMBER(M33), $B37 * N33, "")</f>
        <v/>
      </c>
      <c r="Q33" s="164"/>
      <c r="R33" s="164"/>
      <c r="S33" s="164"/>
    </row>
    <row r="34" spans="1:19" ht="17.25" customHeight="1" thickBot="1">
      <c r="A34" s="18"/>
      <c r="B34" s="15" t="str">
        <f t="shared" si="0"/>
        <v/>
      </c>
      <c r="C34" s="16" t="str">
        <f t="shared" si="1"/>
        <v/>
      </c>
      <c r="D34" s="15" t="str">
        <f t="shared" si="2"/>
        <v/>
      </c>
      <c r="E34" s="16" t="str">
        <f t="shared" si="3"/>
        <v/>
      </c>
      <c r="F34" s="19" t="str">
        <f>IF(ISNUMBER(D34), $B37 * E34, "")</f>
        <v/>
      </c>
      <c r="G34" s="15" t="str">
        <f t="shared" si="4"/>
        <v/>
      </c>
      <c r="H34" s="16" t="str">
        <f t="shared" si="5"/>
        <v/>
      </c>
      <c r="I34" s="19" t="str">
        <f>IF(ISNUMBER(G34), $B37 * H34, "")</f>
        <v/>
      </c>
      <c r="J34" s="15" t="str">
        <f t="shared" si="6"/>
        <v/>
      </c>
      <c r="K34" s="16" t="str">
        <f t="shared" si="7"/>
        <v/>
      </c>
      <c r="L34" s="19" t="str">
        <f>IF(ISNUMBER(J34), $B37 * K34, "")</f>
        <v/>
      </c>
      <c r="M34" s="15" t="str">
        <f t="shared" si="8"/>
        <v/>
      </c>
      <c r="N34" s="16" t="str">
        <f t="shared" si="9"/>
        <v/>
      </c>
      <c r="O34" s="19" t="str">
        <f>IF(ISNUMBER(M34), $B37 * N34, "")</f>
        <v/>
      </c>
      <c r="Q34" s="165"/>
      <c r="R34" s="165"/>
      <c r="S34" s="165"/>
    </row>
    <row r="35" spans="1:19" ht="17.25" customHeight="1">
      <c r="A35" s="18"/>
      <c r="B35" s="15" t="str">
        <f t="shared" si="0"/>
        <v/>
      </c>
      <c r="C35" s="16" t="str">
        <f t="shared" si="1"/>
        <v/>
      </c>
      <c r="D35" s="15" t="str">
        <f t="shared" si="2"/>
        <v/>
      </c>
      <c r="E35" s="16" t="str">
        <f t="shared" si="3"/>
        <v/>
      </c>
      <c r="F35" s="19" t="str">
        <f>IF(ISNUMBER(D35), $B37 * E35, "")</f>
        <v/>
      </c>
      <c r="G35" s="15" t="str">
        <f t="shared" si="4"/>
        <v/>
      </c>
      <c r="H35" s="16" t="str">
        <f t="shared" si="5"/>
        <v/>
      </c>
      <c r="I35" s="19" t="str">
        <f>IF(ISNUMBER(G35), $B37 * H35, "")</f>
        <v/>
      </c>
      <c r="J35" s="15" t="str">
        <f t="shared" si="6"/>
        <v/>
      </c>
      <c r="K35" s="16" t="str">
        <f t="shared" si="7"/>
        <v/>
      </c>
      <c r="L35" s="19" t="str">
        <f>IF(ISNUMBER(J35), $B37 * K35, "")</f>
        <v/>
      </c>
      <c r="M35" s="15" t="str">
        <f t="shared" si="8"/>
        <v/>
      </c>
      <c r="N35" s="16" t="str">
        <f t="shared" si="9"/>
        <v/>
      </c>
      <c r="O35" s="19" t="str">
        <f>IF(ISNUMBER(M35), $B37 * N35, "")</f>
        <v/>
      </c>
      <c r="Q35" s="153"/>
      <c r="R35" s="154"/>
      <c r="S35" s="155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9" t="str">
        <f>IF(ISNUMBER(D36), $B37 * E36, "")</f>
        <v/>
      </c>
      <c r="G36" s="25" t="str">
        <f t="shared" si="4"/>
        <v/>
      </c>
      <c r="H36" s="26" t="str">
        <f t="shared" si="5"/>
        <v/>
      </c>
      <c r="I36" s="19" t="str">
        <f>IF(ISNUMBER(G36), $B37 * H36, "")</f>
        <v/>
      </c>
      <c r="J36" s="25" t="str">
        <f t="shared" si="6"/>
        <v/>
      </c>
      <c r="K36" s="26" t="str">
        <f t="shared" si="7"/>
        <v/>
      </c>
      <c r="L36" s="19" t="str">
        <f>IF(ISNUMBER(J36), $B37 * K36, "")</f>
        <v/>
      </c>
      <c r="M36" s="25" t="str">
        <f t="shared" si="8"/>
        <v/>
      </c>
      <c r="N36" s="26" t="str">
        <f t="shared" si="9"/>
        <v/>
      </c>
      <c r="O36" s="19" t="str">
        <f>IF(ISNUMBER(M36), $B37 * N36, "")</f>
        <v/>
      </c>
      <c r="Q36" s="156"/>
      <c r="R36" s="157"/>
      <c r="S36" s="158"/>
    </row>
    <row r="37" spans="1:19" ht="17.25" customHeight="1" thickBot="1">
      <c r="A37" s="27" t="s">
        <v>42</v>
      </c>
      <c r="B37" s="168">
        <v>100000</v>
      </c>
      <c r="C37" s="169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59"/>
      <c r="R37" s="160"/>
      <c r="S37" s="161"/>
    </row>
    <row r="38" spans="1:19" ht="17.25" customHeight="1"/>
    <row r="39" spans="1:19" ht="17.25" customHeight="1" thickBot="1"/>
    <row r="40" spans="1:19" ht="17.25" customHeight="1" thickBot="1">
      <c r="A40" s="111" t="s">
        <v>44</v>
      </c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12"/>
      <c r="Q40" s="129"/>
      <c r="R40" s="130"/>
      <c r="S40" s="131"/>
    </row>
    <row r="41" spans="1:19" ht="17.25" customHeight="1" thickBot="1">
      <c r="A41" s="110" t="s">
        <v>35</v>
      </c>
      <c r="B41" s="111" t="s">
        <v>36</v>
      </c>
      <c r="C41" s="112"/>
      <c r="D41" s="111" t="s">
        <v>37</v>
      </c>
      <c r="E41" s="125"/>
      <c r="F41" s="112"/>
      <c r="G41" s="138">
        <f>_xlfn.IFNA(VLOOKUP(B41, 현재가테이블!$B$2:$D$200, 2, FALSE), "-")</f>
        <v>63826000</v>
      </c>
      <c r="H41" s="139"/>
      <c r="I41" s="140"/>
      <c r="J41" s="111" t="s">
        <v>38</v>
      </c>
      <c r="K41" s="125"/>
      <c r="L41" s="112"/>
      <c r="M41" s="141">
        <f>_xlfn.IFNA(VLOOKUP(B41, 현재가테이블!$B$2:$D$200, 3, FALSE), "-")</f>
        <v>-1.4529004E-2</v>
      </c>
      <c r="N41" s="142"/>
      <c r="O41" s="143"/>
      <c r="Q41" s="132"/>
      <c r="R41" s="133"/>
      <c r="S41" s="134"/>
    </row>
    <row r="42" spans="1:19" ht="17.25" customHeight="1" thickBot="1">
      <c r="A42" s="144" t="s">
        <v>39</v>
      </c>
      <c r="B42" s="145" t="str">
        <f>TEXT($G$1, "[$-ko-KR]yyyy-mm-dd(ddd) ") &amp; "오전 00:00"</f>
        <v>2021-04-29(목) 오전 00:00</v>
      </c>
      <c r="C42" s="146"/>
      <c r="D42" s="147" t="str">
        <f>TEXT($G$1, "[$-ko-KR]yyyy-mm-dd(ddd) ") &amp; "오후 14:00"</f>
        <v>2021-04-29(목) 오후 14:00</v>
      </c>
      <c r="E42" s="148"/>
      <c r="F42" s="149"/>
      <c r="G42" s="147" t="str">
        <f>TEXT($G$1, "[$-ko-KR]yyyy-mm-dd(ddd) ") &amp; "오후 19:00"</f>
        <v>2021-04-29(목) 오후 19:00</v>
      </c>
      <c r="H42" s="148"/>
      <c r="I42" s="149"/>
      <c r="J42" s="167" t="str">
        <f>TEXT($G$1, "[$-ko-KR]yyyy-mm-dd(ddd) ") &amp; "오후 21:00"</f>
        <v>2021-04-29(목) 오후 21:00</v>
      </c>
      <c r="K42" s="167"/>
      <c r="L42" s="167"/>
      <c r="M42" s="147" t="str">
        <f>TEXT($G$1+1, "[$-ko-KR]yyyy-mm-dd(ddd) ") &amp; "오전 00:00"</f>
        <v>2021-04-30(금) 오전 00:00</v>
      </c>
      <c r="N42" s="148"/>
      <c r="O42" s="149"/>
      <c r="Q42" s="135"/>
      <c r="R42" s="136"/>
      <c r="S42" s="137"/>
    </row>
    <row r="43" spans="1:19" ht="17.25" customHeight="1" thickBot="1">
      <c r="A43" s="144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66"/>
      <c r="R43" s="166"/>
      <c r="S43" s="166"/>
    </row>
    <row r="44" spans="1:19" ht="17.25" customHeight="1" thickBot="1">
      <c r="A44" s="30" t="s">
        <v>126</v>
      </c>
      <c r="B44" s="31">
        <v>62.2</v>
      </c>
      <c r="C44" s="14">
        <v>-2.8125000000000001E-2</v>
      </c>
      <c r="D44" s="13">
        <v>62.3</v>
      </c>
      <c r="E44" s="14">
        <f>IF(ISNUMBER(D44), (D44 - $B44) / $B44, "")</f>
        <v>1.6077170418005516E-3</v>
      </c>
      <c r="F44" s="17">
        <f>IF(ISNUMBER(D44), $B64 * E44, "")</f>
        <v>160.77170418005517</v>
      </c>
      <c r="G44" s="13">
        <v>62.3</v>
      </c>
      <c r="H44" s="14">
        <f>IF(ISNUMBER(G44), (G44 - $B44) / $B44, "")</f>
        <v>1.6077170418005516E-3</v>
      </c>
      <c r="I44" s="17">
        <f>IF(ISNUMBER(G44), $B64 * H44, "")</f>
        <v>160.77170418005517</v>
      </c>
      <c r="J44" s="13">
        <v>62.2</v>
      </c>
      <c r="K44" s="14">
        <f>IF(ISNUMBER(J44), (J44 - $B44) / $B44, "")</f>
        <v>0</v>
      </c>
      <c r="L44" s="17">
        <f>IF(ISNUMBER(J44), $B64 * K44, "")</f>
        <v>0</v>
      </c>
      <c r="M44" s="13">
        <v>62.2</v>
      </c>
      <c r="N44" s="14">
        <f>IF(ISNUMBER(M44), (M44 - $B44) / $B44, "")</f>
        <v>0</v>
      </c>
      <c r="O44" s="17">
        <f>IF(ISNUMBER(M44), $B64 * N44, "")</f>
        <v>0</v>
      </c>
      <c r="Q44" s="163"/>
      <c r="R44" s="163"/>
      <c r="S44" s="163"/>
    </row>
    <row r="45" spans="1:19" ht="17.25" customHeight="1" thickBot="1">
      <c r="A45" s="32" t="s">
        <v>100</v>
      </c>
      <c r="B45" s="33">
        <v>8.19</v>
      </c>
      <c r="C45" s="16">
        <v>-5.8620689699999999E-2</v>
      </c>
      <c r="D45" s="15">
        <v>8.1999999999999993</v>
      </c>
      <c r="E45" s="16">
        <f t="shared" ref="E45:E48" si="10">IF(ISNUMBER(D45), (D45 - $B45) / $B45, "")</f>
        <v>1.221001221001195E-3</v>
      </c>
      <c r="F45" s="19">
        <f>IF(ISNUMBER(D45), $B64 * E45, "")</f>
        <v>122.10012210011949</v>
      </c>
      <c r="G45" s="15">
        <v>8.1999999999999993</v>
      </c>
      <c r="H45" s="16">
        <f t="shared" ref="H45:H48" si="11">IF(ISNUMBER(G45), (G45 - $B45) / $B45, "")</f>
        <v>1.221001221001195E-3</v>
      </c>
      <c r="I45" s="19">
        <f>IF(ISNUMBER(G45), $B64 * H45, "")</f>
        <v>122.10012210011949</v>
      </c>
      <c r="J45" s="15">
        <v>8.19</v>
      </c>
      <c r="K45" s="16">
        <f t="shared" ref="K45:K48" si="12">IF(ISNUMBER(J45), (J45 - $B45) / $B45, "")</f>
        <v>0</v>
      </c>
      <c r="L45" s="19">
        <f>IF(ISNUMBER(J45), $B64 * K45, "")</f>
        <v>0</v>
      </c>
      <c r="M45" s="15">
        <v>8.19</v>
      </c>
      <c r="N45" s="16">
        <f t="shared" ref="N45:N48" si="13">IF(ISNUMBER(M45), (M45 - $B45) / $B45, "")</f>
        <v>0</v>
      </c>
      <c r="O45" s="19">
        <f>IF(ISNUMBER(M45), $B64 * N45, "")</f>
        <v>0</v>
      </c>
      <c r="Q45" s="163"/>
      <c r="R45" s="163"/>
      <c r="S45" s="163"/>
    </row>
    <row r="46" spans="1:19" ht="17.25" customHeight="1" thickBot="1">
      <c r="A46" s="32" t="s">
        <v>65</v>
      </c>
      <c r="B46" s="33">
        <v>69.7</v>
      </c>
      <c r="C46" s="16">
        <v>-6.69344043E-2</v>
      </c>
      <c r="D46" s="15">
        <v>70.099999999999994</v>
      </c>
      <c r="E46" s="16">
        <f t="shared" si="10"/>
        <v>5.7388809182208241E-3</v>
      </c>
      <c r="F46" s="19">
        <f>IF(ISNUMBER(D46), $B64 * E46, "")</f>
        <v>573.8880918220824</v>
      </c>
      <c r="G46" s="15">
        <v>70.099999999999994</v>
      </c>
      <c r="H46" s="16">
        <f t="shared" si="11"/>
        <v>5.7388809182208241E-3</v>
      </c>
      <c r="I46" s="19">
        <f>IF(ISNUMBER(G46), $B64 * H46, "")</f>
        <v>573.8880918220824</v>
      </c>
      <c r="J46" s="15">
        <v>69.7</v>
      </c>
      <c r="K46" s="16">
        <f t="shared" si="12"/>
        <v>0</v>
      </c>
      <c r="L46" s="19">
        <f>IF(ISNUMBER(J46), $B64 * K46, "")</f>
        <v>0</v>
      </c>
      <c r="M46" s="15">
        <v>69.7</v>
      </c>
      <c r="N46" s="16">
        <f t="shared" si="13"/>
        <v>0</v>
      </c>
      <c r="O46" s="19">
        <f>IF(ISNUMBER(M46), $B64 * N46, "")</f>
        <v>0</v>
      </c>
      <c r="Q46" s="164"/>
      <c r="R46" s="164"/>
      <c r="S46" s="164"/>
    </row>
    <row r="47" spans="1:19" ht="17.25" customHeight="1" thickBot="1">
      <c r="A47" s="32" t="s">
        <v>152</v>
      </c>
      <c r="B47" s="33">
        <v>44.8</v>
      </c>
      <c r="C47" s="16">
        <v>-7.6288659800000005E-2</v>
      </c>
      <c r="D47" s="15">
        <v>45.2</v>
      </c>
      <c r="E47" s="16">
        <f t="shared" si="10"/>
        <v>8.9285714285715564E-3</v>
      </c>
      <c r="F47" s="19">
        <f>IF(ISNUMBER(D47), $B64 * E47, "")</f>
        <v>892.85714285715562</v>
      </c>
      <c r="G47" s="15">
        <v>45.2</v>
      </c>
      <c r="H47" s="16">
        <f t="shared" si="11"/>
        <v>8.9285714285715564E-3</v>
      </c>
      <c r="I47" s="19">
        <f>IF(ISNUMBER(G47), $B64 * H47, "")</f>
        <v>892.85714285715562</v>
      </c>
      <c r="J47" s="15">
        <v>44.8</v>
      </c>
      <c r="K47" s="16">
        <f t="shared" si="12"/>
        <v>0</v>
      </c>
      <c r="L47" s="19">
        <f>IF(ISNUMBER(J47), $B64 * K47, "")</f>
        <v>0</v>
      </c>
      <c r="M47" s="15">
        <v>44.8</v>
      </c>
      <c r="N47" s="16">
        <f t="shared" si="13"/>
        <v>0</v>
      </c>
      <c r="O47" s="19">
        <f>IF(ISNUMBER(M47), $B64 * N47, "")</f>
        <v>0</v>
      </c>
      <c r="Q47" s="164"/>
      <c r="R47" s="164"/>
      <c r="S47" s="164"/>
    </row>
    <row r="48" spans="1:19" ht="17.25" customHeight="1" thickBot="1">
      <c r="A48" s="34" t="s">
        <v>186</v>
      </c>
      <c r="B48" s="35">
        <v>25</v>
      </c>
      <c r="C48" s="22">
        <v>-8.7591240900000006E-2</v>
      </c>
      <c r="D48" s="21">
        <v>24.9</v>
      </c>
      <c r="E48" s="22">
        <f t="shared" si="10"/>
        <v>-4.0000000000000565E-3</v>
      </c>
      <c r="F48" s="23">
        <f>IF(ISNUMBER(D48), $B64 * E48, "")</f>
        <v>-400.00000000000563</v>
      </c>
      <c r="G48" s="21">
        <v>24.9</v>
      </c>
      <c r="H48" s="22">
        <f t="shared" si="11"/>
        <v>-4.0000000000000565E-3</v>
      </c>
      <c r="I48" s="23">
        <f>IF(ISNUMBER(G48), $B64 * H48, "")</f>
        <v>-400.00000000000563</v>
      </c>
      <c r="J48" s="21">
        <v>25</v>
      </c>
      <c r="K48" s="22">
        <f t="shared" si="12"/>
        <v>0</v>
      </c>
      <c r="L48" s="23">
        <f>IF(ISNUMBER(J48), $B64 * K48, "")</f>
        <v>0</v>
      </c>
      <c r="M48" s="21">
        <v>25</v>
      </c>
      <c r="N48" s="22">
        <f t="shared" si="13"/>
        <v>0</v>
      </c>
      <c r="O48" s="23">
        <f>IF(ISNUMBER(M48), $B64 * N48, "")</f>
        <v>0</v>
      </c>
      <c r="Q48" s="165"/>
      <c r="R48" s="165"/>
      <c r="S48" s="165"/>
    </row>
    <row r="49" spans="1:19" ht="17.25" customHeight="1">
      <c r="A49" s="32" t="s">
        <v>196</v>
      </c>
      <c r="B49" s="36">
        <v>21</v>
      </c>
      <c r="C49" s="37">
        <v>-9.0909090900000003E-2</v>
      </c>
      <c r="D49" s="15">
        <v>21</v>
      </c>
      <c r="E49" s="37">
        <f>IF(ISNUMBER(D49), (D49 - $B49) / $B49, "")</f>
        <v>0</v>
      </c>
      <c r="F49" s="19">
        <f>IF(ISNUMBER(D49), $B64 * E49, "")</f>
        <v>0</v>
      </c>
      <c r="G49" s="15">
        <v>21</v>
      </c>
      <c r="H49" s="37">
        <f>IF(ISNUMBER(G49), (G49 - $B49) / $B49, "")</f>
        <v>0</v>
      </c>
      <c r="I49" s="19">
        <f>IF(ISNUMBER(G49), $B64 * H49, "")</f>
        <v>0</v>
      </c>
      <c r="J49" s="15">
        <v>21</v>
      </c>
      <c r="K49" s="37">
        <f>IF(ISNUMBER(J49), (J49 - $B49) / $B49, "")</f>
        <v>0</v>
      </c>
      <c r="L49" s="19">
        <f>IF(ISNUMBER(J49), $B64 * K49, "")</f>
        <v>0</v>
      </c>
      <c r="M49" s="15">
        <v>21</v>
      </c>
      <c r="N49" s="37">
        <f>IF(ISNUMBER(M49), (M49 - $B49) / $B49, "")</f>
        <v>0</v>
      </c>
      <c r="O49" s="19">
        <f>IF(ISNUMBER(M49), $B64 * N49, "")</f>
        <v>0</v>
      </c>
      <c r="Q49" s="153"/>
      <c r="R49" s="154"/>
      <c r="S49" s="155"/>
    </row>
    <row r="50" spans="1:19" ht="17.25" customHeight="1">
      <c r="A50" s="32" t="s">
        <v>72</v>
      </c>
      <c r="B50" s="33">
        <v>33.700000000000003</v>
      </c>
      <c r="C50" s="16">
        <v>-9.1644204899999998E-2</v>
      </c>
      <c r="D50" s="15">
        <v>33.700000000000003</v>
      </c>
      <c r="E50" s="16">
        <f t="shared" ref="E50:E53" si="14">IF(ISNUMBER(D50), (D50 - $B50) / $B50, "")</f>
        <v>0</v>
      </c>
      <c r="F50" s="19">
        <f>IF(ISNUMBER(D50), $B64 * E50, "")</f>
        <v>0</v>
      </c>
      <c r="G50" s="15">
        <v>33.700000000000003</v>
      </c>
      <c r="H50" s="16">
        <f t="shared" ref="H50:H53" si="15">IF(ISNUMBER(G50), (G50 - $B50) / $B50, "")</f>
        <v>0</v>
      </c>
      <c r="I50" s="19">
        <f>IF(ISNUMBER(G50), $B64 * H50, "")</f>
        <v>0</v>
      </c>
      <c r="J50" s="15">
        <v>33.700000000000003</v>
      </c>
      <c r="K50" s="16">
        <f t="shared" ref="K50:K53" si="16">IF(ISNUMBER(J50), (J50 - $B50) / $B50, "")</f>
        <v>0</v>
      </c>
      <c r="L50" s="19">
        <f>IF(ISNUMBER(J50), $B64 * K50, "")</f>
        <v>0</v>
      </c>
      <c r="M50" s="15">
        <v>33.700000000000003</v>
      </c>
      <c r="N50" s="16">
        <f t="shared" ref="N50:N53" si="17">IF(ISNUMBER(M50), (M50 - $B50) / $B50, "")</f>
        <v>0</v>
      </c>
      <c r="O50" s="19">
        <f>IF(ISNUMBER(M50), $B64 * N50, "")</f>
        <v>0</v>
      </c>
      <c r="Q50" s="156"/>
      <c r="R50" s="157"/>
      <c r="S50" s="158"/>
    </row>
    <row r="51" spans="1:19" ht="17.25" customHeight="1" thickBot="1">
      <c r="A51" s="32" t="s">
        <v>222</v>
      </c>
      <c r="B51" s="33">
        <v>19.899999999999999</v>
      </c>
      <c r="C51" s="16">
        <v>-9.5454545500000001E-2</v>
      </c>
      <c r="D51" s="15">
        <v>19.899999999999999</v>
      </c>
      <c r="E51" s="16">
        <f t="shared" si="14"/>
        <v>0</v>
      </c>
      <c r="F51" s="19">
        <f>IF(ISNUMBER(D51), $B64 * E51, "")</f>
        <v>0</v>
      </c>
      <c r="G51" s="15">
        <v>19.899999999999999</v>
      </c>
      <c r="H51" s="16">
        <f t="shared" si="15"/>
        <v>0</v>
      </c>
      <c r="I51" s="19">
        <f>IF(ISNUMBER(G51), $B64 * H51, "")</f>
        <v>0</v>
      </c>
      <c r="J51" s="15">
        <v>19.899999999999999</v>
      </c>
      <c r="K51" s="16">
        <f t="shared" si="16"/>
        <v>0</v>
      </c>
      <c r="L51" s="19">
        <f>IF(ISNUMBER(J51), $B64 * K51, "")</f>
        <v>0</v>
      </c>
      <c r="M51" s="15">
        <v>19.899999999999999</v>
      </c>
      <c r="N51" s="16">
        <f t="shared" si="17"/>
        <v>0</v>
      </c>
      <c r="O51" s="19">
        <f>IF(ISNUMBER(M51), $B64 * N51, "")</f>
        <v>0</v>
      </c>
      <c r="Q51" s="159"/>
      <c r="R51" s="160"/>
      <c r="S51" s="161"/>
    </row>
    <row r="52" spans="1:19" ht="17.25" customHeight="1" thickBot="1">
      <c r="A52" s="32" t="s">
        <v>198</v>
      </c>
      <c r="B52" s="33">
        <v>30.7</v>
      </c>
      <c r="C52" s="16">
        <v>-9.7058823500000002E-2</v>
      </c>
      <c r="D52" s="15">
        <v>30.7</v>
      </c>
      <c r="E52" s="16">
        <f t="shared" si="14"/>
        <v>0</v>
      </c>
      <c r="F52" s="19">
        <f>IF(ISNUMBER(D52), $B64 * E52, "")</f>
        <v>0</v>
      </c>
      <c r="G52" s="15">
        <v>30.7</v>
      </c>
      <c r="H52" s="16">
        <f t="shared" si="15"/>
        <v>0</v>
      </c>
      <c r="I52" s="19">
        <f>IF(ISNUMBER(G52), $B64 * H52, "")</f>
        <v>0</v>
      </c>
      <c r="J52" s="15">
        <v>30.7</v>
      </c>
      <c r="K52" s="16">
        <f t="shared" si="16"/>
        <v>0</v>
      </c>
      <c r="L52" s="19">
        <f>IF(ISNUMBER(J52), $B64 * K52, "")</f>
        <v>0</v>
      </c>
      <c r="M52" s="15">
        <v>30.7</v>
      </c>
      <c r="N52" s="16">
        <f t="shared" si="17"/>
        <v>0</v>
      </c>
      <c r="O52" s="19">
        <f>IF(ISNUMBER(M52), $B64 * N52, "")</f>
        <v>0</v>
      </c>
      <c r="Q52" s="38"/>
      <c r="R52" s="38"/>
    </row>
    <row r="53" spans="1:19" ht="17.25" customHeight="1" thickBot="1">
      <c r="A53" s="34" t="s">
        <v>268</v>
      </c>
      <c r="B53" s="35">
        <v>93.9</v>
      </c>
      <c r="C53" s="22">
        <v>-9.7115384599999993E-2</v>
      </c>
      <c r="D53" s="21">
        <v>94</v>
      </c>
      <c r="E53" s="22">
        <f t="shared" si="14"/>
        <v>1.0649627263045187E-3</v>
      </c>
      <c r="F53" s="19">
        <f>IF(ISNUMBER(D53), $B64 * E53, "")</f>
        <v>106.49627263045187</v>
      </c>
      <c r="G53" s="21">
        <v>94</v>
      </c>
      <c r="H53" s="22">
        <f t="shared" si="15"/>
        <v>1.0649627263045187E-3</v>
      </c>
      <c r="I53" s="19">
        <f>IF(ISNUMBER(G53), $B64 * H53, "")</f>
        <v>106.49627263045187</v>
      </c>
      <c r="J53" s="21">
        <v>93.9</v>
      </c>
      <c r="K53" s="22">
        <f t="shared" si="16"/>
        <v>0</v>
      </c>
      <c r="L53" s="19">
        <f>IF(ISNUMBER(J53), $B64 * K53, "")</f>
        <v>0</v>
      </c>
      <c r="M53" s="21">
        <v>93.9</v>
      </c>
      <c r="N53" s="22">
        <f t="shared" si="17"/>
        <v>0</v>
      </c>
      <c r="O53" s="19">
        <f>IF(ISNUMBER(M53), $B64 * N53, "")</f>
        <v>0</v>
      </c>
      <c r="Q53" s="129"/>
      <c r="R53" s="130"/>
      <c r="S53" s="131"/>
    </row>
    <row r="54" spans="1:19" ht="17.25" customHeight="1">
      <c r="A54" s="30" t="s">
        <v>220</v>
      </c>
      <c r="B54" s="31">
        <v>19</v>
      </c>
      <c r="C54" s="14">
        <v>-9.9526066400000002E-2</v>
      </c>
      <c r="D54" s="13">
        <v>19.2</v>
      </c>
      <c r="E54" s="14">
        <f>IF(ISNUMBER(D54), (D54 - $B54) / $B54, "")</f>
        <v>1.0526315789473648E-2</v>
      </c>
      <c r="F54" s="17">
        <f>IF(ISNUMBER(D54), $B64 * E54, "")</f>
        <v>1052.6315789473647</v>
      </c>
      <c r="G54" s="13">
        <v>19.2</v>
      </c>
      <c r="H54" s="14">
        <f>IF(ISNUMBER(G54), (G54 - $B54) / $B54, "")</f>
        <v>1.0526315789473648E-2</v>
      </c>
      <c r="I54" s="17">
        <f>IF(ISNUMBER(G54), $B64 * H54, "")</f>
        <v>1052.6315789473647</v>
      </c>
      <c r="J54" s="13">
        <v>19</v>
      </c>
      <c r="K54" s="14">
        <f>IF(ISNUMBER(J54), (J54 - $B54) / $B54, "")</f>
        <v>0</v>
      </c>
      <c r="L54" s="17">
        <f>IF(ISNUMBER(J54), $B64 * K54, "")</f>
        <v>0</v>
      </c>
      <c r="M54" s="13">
        <v>19</v>
      </c>
      <c r="N54" s="14">
        <f>IF(ISNUMBER(M54), (M54 - $B54) / $B54, "")</f>
        <v>0</v>
      </c>
      <c r="O54" s="17">
        <f>IF(ISNUMBER(M54), $B64 * N54, "")</f>
        <v>0</v>
      </c>
      <c r="Q54" s="132"/>
      <c r="R54" s="133"/>
      <c r="S54" s="134"/>
    </row>
    <row r="55" spans="1:19" ht="17.25" customHeight="1" thickBot="1">
      <c r="A55" s="32" t="s">
        <v>218</v>
      </c>
      <c r="B55" s="33">
        <v>31.3</v>
      </c>
      <c r="C55" s="16">
        <v>-0.1005747126</v>
      </c>
      <c r="D55" s="15">
        <v>31.4</v>
      </c>
      <c r="E55" s="16">
        <f t="shared" ref="E55:E58" si="18">IF(ISNUMBER(D55), (D55 - $B55) / $B55, "")</f>
        <v>3.1948881789136698E-3</v>
      </c>
      <c r="F55" s="19">
        <f>IF(ISNUMBER(D55), $B64 * E55, "")</f>
        <v>319.48881789136698</v>
      </c>
      <c r="G55" s="15">
        <v>31.4</v>
      </c>
      <c r="H55" s="16">
        <f t="shared" ref="H55:H58" si="19">IF(ISNUMBER(G55), (G55 - $B55) / $B55, "")</f>
        <v>3.1948881789136698E-3</v>
      </c>
      <c r="I55" s="19">
        <f>IF(ISNUMBER(G55), $B64 * H55, "")</f>
        <v>319.48881789136698</v>
      </c>
      <c r="J55" s="15">
        <v>31.3</v>
      </c>
      <c r="K55" s="16">
        <f t="shared" ref="K55:K58" si="20">IF(ISNUMBER(J55), (J55 - $B55) / $B55, "")</f>
        <v>0</v>
      </c>
      <c r="L55" s="19">
        <f>IF(ISNUMBER(J55), $B64 * K55, "")</f>
        <v>0</v>
      </c>
      <c r="M55" s="15">
        <v>31.3</v>
      </c>
      <c r="N55" s="16">
        <f t="shared" ref="N55:N58" si="21">IF(ISNUMBER(M55), (M55 - $B55) / $B55, "")</f>
        <v>0</v>
      </c>
      <c r="O55" s="19">
        <f>IF(ISNUMBER(M55), $B64 * N55, "")</f>
        <v>0</v>
      </c>
      <c r="Q55" s="135"/>
      <c r="R55" s="136"/>
      <c r="S55" s="137"/>
    </row>
    <row r="56" spans="1:19" ht="17.25" customHeight="1" thickBot="1">
      <c r="A56" s="32" t="s">
        <v>228</v>
      </c>
      <c r="B56" s="33">
        <v>19.5</v>
      </c>
      <c r="C56" s="16">
        <v>-0.10138248850000001</v>
      </c>
      <c r="D56" s="15">
        <v>19.5</v>
      </c>
      <c r="E56" s="16">
        <f t="shared" si="18"/>
        <v>0</v>
      </c>
      <c r="F56" s="19">
        <f>IF(ISNUMBER(D56), $B64 * E56, "")</f>
        <v>0</v>
      </c>
      <c r="G56" s="15">
        <v>19.5</v>
      </c>
      <c r="H56" s="16">
        <f t="shared" si="19"/>
        <v>0</v>
      </c>
      <c r="I56" s="19">
        <f>IF(ISNUMBER(G56), $B64 * H56, "")</f>
        <v>0</v>
      </c>
      <c r="J56" s="15">
        <v>19.5</v>
      </c>
      <c r="K56" s="16">
        <f t="shared" si="20"/>
        <v>0</v>
      </c>
      <c r="L56" s="19">
        <f>IF(ISNUMBER(J56), $B64 * K56, "")</f>
        <v>0</v>
      </c>
      <c r="M56" s="15">
        <v>19.5</v>
      </c>
      <c r="N56" s="16">
        <f t="shared" si="21"/>
        <v>0</v>
      </c>
      <c r="O56" s="19">
        <f>IF(ISNUMBER(M56), $B64 * N56, "")</f>
        <v>0</v>
      </c>
      <c r="Q56" s="166"/>
      <c r="R56" s="166"/>
      <c r="S56" s="166"/>
    </row>
    <row r="57" spans="1:19" ht="17.25" customHeight="1" thickBot="1">
      <c r="A57" s="32" t="s">
        <v>154</v>
      </c>
      <c r="B57" s="33">
        <v>21.9</v>
      </c>
      <c r="C57" s="16">
        <v>-0.10245901640000001</v>
      </c>
      <c r="D57" s="15">
        <v>21.8</v>
      </c>
      <c r="E57" s="16">
        <f t="shared" si="18"/>
        <v>-4.5662100456620031E-3</v>
      </c>
      <c r="F57" s="19">
        <f>IF(ISNUMBER(D57), $B64 * E57, "")</f>
        <v>-456.62100456620033</v>
      </c>
      <c r="G57" s="15">
        <v>21.8</v>
      </c>
      <c r="H57" s="16">
        <f t="shared" si="19"/>
        <v>-4.5662100456620031E-3</v>
      </c>
      <c r="I57" s="19">
        <f>IF(ISNUMBER(G57), $B64 * H57, "")</f>
        <v>-456.62100456620033</v>
      </c>
      <c r="J57" s="15">
        <v>21.9</v>
      </c>
      <c r="K57" s="16">
        <f t="shared" si="20"/>
        <v>0</v>
      </c>
      <c r="L57" s="19">
        <f>IF(ISNUMBER(J57), $B64 * K57, "")</f>
        <v>0</v>
      </c>
      <c r="M57" s="15">
        <v>21.9</v>
      </c>
      <c r="N57" s="16">
        <f t="shared" si="21"/>
        <v>0</v>
      </c>
      <c r="O57" s="19">
        <f>IF(ISNUMBER(M57), $B64 * N57, "")</f>
        <v>0</v>
      </c>
      <c r="Q57" s="163"/>
      <c r="R57" s="163"/>
      <c r="S57" s="163"/>
    </row>
    <row r="58" spans="1:19" ht="17.25" customHeight="1" thickBot="1">
      <c r="A58" s="34" t="s">
        <v>214</v>
      </c>
      <c r="B58" s="35">
        <v>24.3</v>
      </c>
      <c r="C58" s="22">
        <v>-0.1033210332</v>
      </c>
      <c r="D58" s="21">
        <v>24.3</v>
      </c>
      <c r="E58" s="22">
        <f t="shared" si="18"/>
        <v>0</v>
      </c>
      <c r="F58" s="23">
        <f>IF(ISNUMBER(D58), $B64 * E58, "")</f>
        <v>0</v>
      </c>
      <c r="G58" s="21">
        <v>24.3</v>
      </c>
      <c r="H58" s="22">
        <f t="shared" si="19"/>
        <v>0</v>
      </c>
      <c r="I58" s="23">
        <f>IF(ISNUMBER(G58), $B64 * H58, "")</f>
        <v>0</v>
      </c>
      <c r="J58" s="21">
        <v>24.3</v>
      </c>
      <c r="K58" s="22">
        <f t="shared" si="20"/>
        <v>0</v>
      </c>
      <c r="L58" s="23">
        <f>IF(ISNUMBER(J58), $B64 * K58, "")</f>
        <v>0</v>
      </c>
      <c r="M58" s="21">
        <v>24.3</v>
      </c>
      <c r="N58" s="22">
        <f t="shared" si="21"/>
        <v>0</v>
      </c>
      <c r="O58" s="23">
        <f>IF(ISNUMBER(M58), $B64 * N58, "")</f>
        <v>0</v>
      </c>
      <c r="Q58" s="163"/>
      <c r="R58" s="163"/>
      <c r="S58" s="163"/>
    </row>
    <row r="59" spans="1:19" ht="17.25" customHeight="1" thickBot="1">
      <c r="A59" s="32" t="s">
        <v>266</v>
      </c>
      <c r="B59" s="36">
        <v>93.2</v>
      </c>
      <c r="C59" s="37">
        <v>-0.10384615379999999</v>
      </c>
      <c r="D59" s="15">
        <v>93.5</v>
      </c>
      <c r="E59" s="37">
        <f>IF(ISNUMBER(D59), (D59 - $B59) / $B59, "")</f>
        <v>3.218884120171643E-3</v>
      </c>
      <c r="F59" s="19">
        <f>IF(ISNUMBER(D59), $B64 * E59, "")</f>
        <v>321.88841201716428</v>
      </c>
      <c r="G59" s="15">
        <v>93.5</v>
      </c>
      <c r="H59" s="37">
        <f>IF(ISNUMBER(G59), (G59 - $B59) / $B59, "")</f>
        <v>3.218884120171643E-3</v>
      </c>
      <c r="I59" s="19">
        <f>IF(ISNUMBER(G59), $B64 * H59, "")</f>
        <v>321.88841201716428</v>
      </c>
      <c r="J59" s="15">
        <v>93.2</v>
      </c>
      <c r="K59" s="37">
        <f>IF(ISNUMBER(J59), (J59 - $B59) / $B59, "")</f>
        <v>0</v>
      </c>
      <c r="L59" s="19">
        <f>IF(ISNUMBER(J59), $B64 * K59, "")</f>
        <v>0</v>
      </c>
      <c r="M59" s="15">
        <v>93.2</v>
      </c>
      <c r="N59" s="37">
        <f>IF(ISNUMBER(M59), (M59 - $B59) / $B59, "")</f>
        <v>0</v>
      </c>
      <c r="O59" s="19">
        <f>IF(ISNUMBER(M59), $B64 * N59, "")</f>
        <v>0</v>
      </c>
      <c r="Q59" s="164"/>
      <c r="R59" s="164"/>
      <c r="S59" s="164"/>
    </row>
    <row r="60" spans="1:19" ht="17.25" customHeight="1" thickBot="1">
      <c r="A60" s="32" t="s">
        <v>236</v>
      </c>
      <c r="B60" s="33">
        <v>73.3</v>
      </c>
      <c r="C60" s="16">
        <v>-0.10391198040000001</v>
      </c>
      <c r="D60" s="15">
        <v>73.3</v>
      </c>
      <c r="E60" s="16">
        <f t="shared" ref="E60:E63" si="22">IF(ISNUMBER(D60), (D60 - $B60) / $B60, "")</f>
        <v>0</v>
      </c>
      <c r="F60" s="19">
        <f>IF(ISNUMBER(D60), $B64 * E60, "")</f>
        <v>0</v>
      </c>
      <c r="G60" s="15">
        <v>73.3</v>
      </c>
      <c r="H60" s="16">
        <f t="shared" ref="H60:H63" si="23">IF(ISNUMBER(G60), (G60 - $B60) / $B60, "")</f>
        <v>0</v>
      </c>
      <c r="I60" s="19">
        <f>IF(ISNUMBER(G60), $B64 * H60, "")</f>
        <v>0</v>
      </c>
      <c r="J60" s="15">
        <v>73.3</v>
      </c>
      <c r="K60" s="16">
        <f t="shared" ref="K60:K63" si="24">IF(ISNUMBER(J60), (J60 - $B60) / $B60, "")</f>
        <v>0</v>
      </c>
      <c r="L60" s="19">
        <f>IF(ISNUMBER(J60), $B64 * K60, "")</f>
        <v>0</v>
      </c>
      <c r="M60" s="15">
        <v>73.3</v>
      </c>
      <c r="N60" s="16">
        <f t="shared" ref="N60:N63" si="25">IF(ISNUMBER(M60), (M60 - $B60) / $B60, "")</f>
        <v>0</v>
      </c>
      <c r="O60" s="19">
        <f>IF(ISNUMBER(M60), $B64 * N60, "")</f>
        <v>0</v>
      </c>
      <c r="Q60" s="164"/>
      <c r="R60" s="164"/>
      <c r="S60" s="164"/>
    </row>
    <row r="61" spans="1:19" ht="17.25" customHeight="1" thickBot="1">
      <c r="A61" s="32" t="s">
        <v>254</v>
      </c>
      <c r="B61" s="33">
        <v>85.5</v>
      </c>
      <c r="C61" s="16">
        <v>-0.1047120419</v>
      </c>
      <c r="D61" s="15">
        <v>85.4</v>
      </c>
      <c r="E61" s="16">
        <f t="shared" si="22"/>
        <v>-1.1695906432747873E-3</v>
      </c>
      <c r="F61" s="19">
        <f>IF(ISNUMBER(D61), $B64 * E61, "")</f>
        <v>-116.95906432747873</v>
      </c>
      <c r="G61" s="15">
        <v>85.4</v>
      </c>
      <c r="H61" s="16">
        <f t="shared" si="23"/>
        <v>-1.1695906432747873E-3</v>
      </c>
      <c r="I61" s="19">
        <f>IF(ISNUMBER(G61), $B64 * H61, "")</f>
        <v>-116.95906432747873</v>
      </c>
      <c r="J61" s="15">
        <v>85.5</v>
      </c>
      <c r="K61" s="16">
        <f t="shared" si="24"/>
        <v>0</v>
      </c>
      <c r="L61" s="19">
        <f>IF(ISNUMBER(J61), $B64 * K61, "")</f>
        <v>0</v>
      </c>
      <c r="M61" s="15">
        <v>85.5</v>
      </c>
      <c r="N61" s="16">
        <f t="shared" si="25"/>
        <v>0</v>
      </c>
      <c r="O61" s="19">
        <f>IF(ISNUMBER(M61), $B64 * N61, "")</f>
        <v>0</v>
      </c>
      <c r="Q61" s="165"/>
      <c r="R61" s="165"/>
      <c r="S61" s="165"/>
    </row>
    <row r="62" spans="1:19" ht="17.25" customHeight="1">
      <c r="A62" s="32" t="s">
        <v>172</v>
      </c>
      <c r="B62" s="33">
        <v>28.8</v>
      </c>
      <c r="C62" s="16">
        <v>-0.10559006210000001</v>
      </c>
      <c r="D62" s="15">
        <v>28.8</v>
      </c>
      <c r="E62" s="16">
        <f t="shared" si="22"/>
        <v>0</v>
      </c>
      <c r="F62" s="19">
        <f>IF(ISNUMBER(D62), $B64 * E62, "")</f>
        <v>0</v>
      </c>
      <c r="G62" s="15">
        <v>28.8</v>
      </c>
      <c r="H62" s="16">
        <f t="shared" si="23"/>
        <v>0</v>
      </c>
      <c r="I62" s="19">
        <f>IF(ISNUMBER(G62), $B64 * H62, "")</f>
        <v>0</v>
      </c>
      <c r="J62" s="15">
        <v>28.8</v>
      </c>
      <c r="K62" s="16">
        <f t="shared" si="24"/>
        <v>0</v>
      </c>
      <c r="L62" s="19">
        <f>IF(ISNUMBER(J62), $B64 * K62, "")</f>
        <v>0</v>
      </c>
      <c r="M62" s="15">
        <v>28.8</v>
      </c>
      <c r="N62" s="16">
        <f t="shared" si="25"/>
        <v>0</v>
      </c>
      <c r="O62" s="19">
        <f>IF(ISNUMBER(M62), $B64 * N62, "")</f>
        <v>0</v>
      </c>
      <c r="Q62" s="153"/>
      <c r="R62" s="154"/>
      <c r="S62" s="155"/>
    </row>
    <row r="63" spans="1:19" ht="17.25" customHeight="1" thickBot="1">
      <c r="A63" s="34"/>
      <c r="B63" s="35"/>
      <c r="C63" s="22"/>
      <c r="D63" s="21" t="s">
        <v>298</v>
      </c>
      <c r="E63" s="22" t="str">
        <f t="shared" si="22"/>
        <v/>
      </c>
      <c r="F63" s="19" t="str">
        <f>IF(ISNUMBER(D63), $B64 * E63, "")</f>
        <v/>
      </c>
      <c r="G63" s="21" t="s">
        <v>298</v>
      </c>
      <c r="H63" s="22" t="str">
        <f t="shared" si="23"/>
        <v/>
      </c>
      <c r="I63" s="19" t="str">
        <f>IF(ISNUMBER(G63), $B64 * H63, "")</f>
        <v/>
      </c>
      <c r="J63" s="21" t="s">
        <v>298</v>
      </c>
      <c r="K63" s="22" t="str">
        <f t="shared" si="24"/>
        <v/>
      </c>
      <c r="L63" s="19" t="str">
        <f>IF(ISNUMBER(J63), $B64 * K63, "")</f>
        <v/>
      </c>
      <c r="M63" s="21" t="s">
        <v>298</v>
      </c>
      <c r="N63" s="22" t="str">
        <f t="shared" si="25"/>
        <v/>
      </c>
      <c r="O63" s="19" t="str">
        <f>IF(ISNUMBER(M63), $B64 * N63, "")</f>
        <v/>
      </c>
      <c r="Q63" s="156"/>
      <c r="R63" s="157"/>
      <c r="S63" s="158"/>
    </row>
    <row r="64" spans="1:19" ht="17.25" customHeight="1" thickBot="1">
      <c r="A64" s="27" t="s">
        <v>42</v>
      </c>
      <c r="B64" s="168">
        <v>100000</v>
      </c>
      <c r="C64" s="169"/>
      <c r="D64" s="27" t="s">
        <v>43</v>
      </c>
      <c r="E64" s="28">
        <f>IF(COUNT(E44:E63), SUM(E44:E63) / COUNT(E44:E63), 0)</f>
        <v>1.3560747755537242E-3</v>
      </c>
      <c r="F64" s="29">
        <f>SUM(F44:F63)</f>
        <v>2576.5420735520756</v>
      </c>
      <c r="G64" s="27" t="s">
        <v>43</v>
      </c>
      <c r="H64" s="28">
        <f>IF(COUNT(H44:H63), SUM(H44:H63) / COUNT(H44:H63), 0)</f>
        <v>1.3560747755537242E-3</v>
      </c>
      <c r="I64" s="29">
        <f>SUM(I44:I63)</f>
        <v>2576.5420735520756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59"/>
      <c r="R64" s="160"/>
      <c r="S64" s="161"/>
    </row>
    <row r="65" spans="1:19" ht="17.25" customHeight="1"/>
    <row r="66" spans="1:19" ht="17.25" customHeight="1" thickBot="1"/>
    <row r="67" spans="1:19" ht="17.25" thickBot="1">
      <c r="A67" s="111" t="s">
        <v>45</v>
      </c>
      <c r="B67" s="125"/>
      <c r="C67" s="125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12"/>
      <c r="Q67" s="129"/>
      <c r="R67" s="130"/>
      <c r="S67" s="131"/>
    </row>
    <row r="68" spans="1:19" ht="17.25" thickBot="1">
      <c r="A68" s="110" t="s">
        <v>35</v>
      </c>
      <c r="B68" s="111" t="s">
        <v>36</v>
      </c>
      <c r="C68" s="112"/>
      <c r="D68" s="111" t="s">
        <v>37</v>
      </c>
      <c r="E68" s="125"/>
      <c r="F68" s="112"/>
      <c r="G68" s="138">
        <f>_xlfn.IFNA(VLOOKUP(B68, 현재가테이블!$B$2:$D$200, 2, FALSE), "-")</f>
        <v>63826000</v>
      </c>
      <c r="H68" s="139"/>
      <c r="I68" s="140"/>
      <c r="J68" s="111" t="s">
        <v>38</v>
      </c>
      <c r="K68" s="125"/>
      <c r="L68" s="112"/>
      <c r="M68" s="141">
        <f>_xlfn.IFNA(VLOOKUP(B68, 현재가테이블!$B$2:$D$200, 3, FALSE), "-")</f>
        <v>-1.4529004E-2</v>
      </c>
      <c r="N68" s="142"/>
      <c r="O68" s="143"/>
      <c r="Q68" s="132"/>
      <c r="R68" s="133"/>
      <c r="S68" s="134"/>
    </row>
    <row r="69" spans="1:19" ht="17.25" thickBot="1">
      <c r="A69" s="144" t="s">
        <v>39</v>
      </c>
      <c r="B69" s="145" t="str">
        <f>TEXT($G$1, "[$-ko-KR]yyyy-mm-dd(ddd) ") &amp; "오전 00:00"</f>
        <v>2021-04-29(목) 오전 00:00</v>
      </c>
      <c r="C69" s="146"/>
      <c r="D69" s="147" t="str">
        <f>TEXT($G$1, "[$-ko-KR]yyyy-mm-dd(ddd) ") &amp; "오후 14:00"</f>
        <v>2021-04-29(목) 오후 14:00</v>
      </c>
      <c r="E69" s="148"/>
      <c r="F69" s="149"/>
      <c r="G69" s="147" t="str">
        <f>TEXT($G$1, "[$-ko-KR]yyyy-mm-dd(ddd) ") &amp; "오후 19:00"</f>
        <v>2021-04-29(목) 오후 19:00</v>
      </c>
      <c r="H69" s="148"/>
      <c r="I69" s="149"/>
      <c r="J69" s="167" t="str">
        <f>TEXT($G$1, "[$-ko-KR]yyyy-mm-dd(ddd) ") &amp; "오후 21:00"</f>
        <v>2021-04-29(목) 오후 21:00</v>
      </c>
      <c r="K69" s="167"/>
      <c r="L69" s="167"/>
      <c r="M69" s="147" t="str">
        <f>TEXT($G$1+1, "[$-ko-KR]yyyy-mm-dd(ddd) ") &amp; "오전 00:00"</f>
        <v>2021-04-30(금) 오전 00:00</v>
      </c>
      <c r="N69" s="148"/>
      <c r="O69" s="149"/>
      <c r="Q69" s="135"/>
      <c r="R69" s="136"/>
      <c r="S69" s="137"/>
    </row>
    <row r="70" spans="1:19" ht="17.25" thickBot="1">
      <c r="A70" s="144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66"/>
      <c r="R70" s="166"/>
      <c r="S70" s="166"/>
    </row>
    <row r="71" spans="1:19" ht="17.25" thickBot="1">
      <c r="A71" s="30" t="s">
        <v>148</v>
      </c>
      <c r="B71" s="31">
        <v>201</v>
      </c>
      <c r="C71" s="14">
        <v>0.11049723760000001</v>
      </c>
      <c r="D71" s="13">
        <v>201</v>
      </c>
      <c r="E71" s="14">
        <f>IF(ISNUMBER(D71), (D71 - $B71) / $B71, "")</f>
        <v>0</v>
      </c>
      <c r="F71" s="17">
        <f>IF(ISNUMBER(D71), $B91 * E71, "")</f>
        <v>0</v>
      </c>
      <c r="G71" s="13">
        <v>201</v>
      </c>
      <c r="H71" s="14">
        <f>IF(ISNUMBER(G71), (G71 - $B71) / $B71, "")</f>
        <v>0</v>
      </c>
      <c r="I71" s="17">
        <f>IF(ISNUMBER(G71), $B91 * H71, "")</f>
        <v>0</v>
      </c>
      <c r="J71" s="13">
        <v>201</v>
      </c>
      <c r="K71" s="14">
        <f>IF(ISNUMBER(J71), (J71 - $B71) / $B71, "")</f>
        <v>0</v>
      </c>
      <c r="L71" s="17">
        <f>IF(ISNUMBER(J71), $B91 * K71, "")</f>
        <v>0</v>
      </c>
      <c r="M71" s="13">
        <v>201</v>
      </c>
      <c r="N71" s="14">
        <f>IF(ISNUMBER(M71), (M71 - $B71) / $B71, "")</f>
        <v>0</v>
      </c>
      <c r="O71" s="17">
        <f>IF(ISNUMBER(M71), $B91 * N71, "")</f>
        <v>0</v>
      </c>
      <c r="Q71" s="163"/>
      <c r="R71" s="163"/>
      <c r="S71" s="163"/>
    </row>
    <row r="72" spans="1:19" ht="17.25" thickBot="1">
      <c r="A72" s="32" t="s">
        <v>296</v>
      </c>
      <c r="B72" s="33">
        <v>354</v>
      </c>
      <c r="C72" s="16">
        <v>9.9378882000000002E-2</v>
      </c>
      <c r="D72" s="15">
        <v>354</v>
      </c>
      <c r="E72" s="16">
        <f t="shared" ref="E72:E75" si="26">IF(ISNUMBER(D72), (D72 - $B72) / $B72, "")</f>
        <v>0</v>
      </c>
      <c r="F72" s="19">
        <f>IF(ISNUMBER(D72), $B91 * E72, "")</f>
        <v>0</v>
      </c>
      <c r="G72" s="15">
        <v>354</v>
      </c>
      <c r="H72" s="16">
        <f t="shared" ref="H72:H75" si="27">IF(ISNUMBER(G72), (G72 - $B72) / $B72, "")</f>
        <v>0</v>
      </c>
      <c r="I72" s="19">
        <f>IF(ISNUMBER(G72), $B91 * H72, "")</f>
        <v>0</v>
      </c>
      <c r="J72" s="15">
        <v>354</v>
      </c>
      <c r="K72" s="16">
        <f t="shared" ref="K72:K75" si="28">IF(ISNUMBER(J72), (J72 - $B72) / $B72, "")</f>
        <v>0</v>
      </c>
      <c r="L72" s="19">
        <f>IF(ISNUMBER(J72), $B91 * K72, "")</f>
        <v>0</v>
      </c>
      <c r="M72" s="15">
        <v>354</v>
      </c>
      <c r="N72" s="16">
        <f t="shared" ref="N72:N75" si="29">IF(ISNUMBER(M72), (M72 - $B72) / $B72, "")</f>
        <v>0</v>
      </c>
      <c r="O72" s="19">
        <f>IF(ISNUMBER(M72), $B91 * N72, "")</f>
        <v>0</v>
      </c>
      <c r="Q72" s="163"/>
      <c r="R72" s="163"/>
      <c r="S72" s="163"/>
    </row>
    <row r="73" spans="1:19" ht="17.25" thickBot="1">
      <c r="A73" s="32" t="s">
        <v>256</v>
      </c>
      <c r="B73" s="33">
        <v>279</v>
      </c>
      <c r="C73" s="16">
        <v>6.4885496200000004E-2</v>
      </c>
      <c r="D73" s="15">
        <v>278</v>
      </c>
      <c r="E73" s="16">
        <f t="shared" si="26"/>
        <v>-3.5842293906810036E-3</v>
      </c>
      <c r="F73" s="19">
        <f>IF(ISNUMBER(D73), $B91 * E73, "")</f>
        <v>-358.42293906810033</v>
      </c>
      <c r="G73" s="15">
        <v>278</v>
      </c>
      <c r="H73" s="16">
        <f t="shared" si="27"/>
        <v>-3.5842293906810036E-3</v>
      </c>
      <c r="I73" s="19">
        <f>IF(ISNUMBER(G73), $B91 * H73, "")</f>
        <v>-358.42293906810033</v>
      </c>
      <c r="J73" s="15">
        <v>279</v>
      </c>
      <c r="K73" s="16">
        <f t="shared" si="28"/>
        <v>0</v>
      </c>
      <c r="L73" s="19">
        <f>IF(ISNUMBER(J73), $B91 * K73, "")</f>
        <v>0</v>
      </c>
      <c r="M73" s="15">
        <v>279</v>
      </c>
      <c r="N73" s="16">
        <f t="shared" si="29"/>
        <v>0</v>
      </c>
      <c r="O73" s="19">
        <f>IF(ISNUMBER(M73), $B91 * N73, "")</f>
        <v>0</v>
      </c>
      <c r="Q73" s="164"/>
      <c r="R73" s="164"/>
      <c r="S73" s="164"/>
    </row>
    <row r="74" spans="1:19" ht="17.25" thickBot="1">
      <c r="A74" s="32" t="s">
        <v>116</v>
      </c>
      <c r="B74" s="33">
        <v>677</v>
      </c>
      <c r="C74" s="16">
        <v>6.4465408799999999E-2</v>
      </c>
      <c r="D74" s="15">
        <v>677</v>
      </c>
      <c r="E74" s="16">
        <f t="shared" si="26"/>
        <v>0</v>
      </c>
      <c r="F74" s="19">
        <f>IF(ISNUMBER(D74), $B91 * E74, "")</f>
        <v>0</v>
      </c>
      <c r="G74" s="15">
        <v>677</v>
      </c>
      <c r="H74" s="16">
        <f t="shared" si="27"/>
        <v>0</v>
      </c>
      <c r="I74" s="19">
        <f>IF(ISNUMBER(G74), $B91 * H74, "")</f>
        <v>0</v>
      </c>
      <c r="J74" s="15">
        <v>677</v>
      </c>
      <c r="K74" s="16">
        <f t="shared" si="28"/>
        <v>0</v>
      </c>
      <c r="L74" s="19">
        <f>IF(ISNUMBER(J74), $B91 * K74, "")</f>
        <v>0</v>
      </c>
      <c r="M74" s="15">
        <v>677</v>
      </c>
      <c r="N74" s="16">
        <f t="shared" si="29"/>
        <v>0</v>
      </c>
      <c r="O74" s="19">
        <f>IF(ISNUMBER(M74), $B91 * N74, "")</f>
        <v>0</v>
      </c>
      <c r="Q74" s="164"/>
      <c r="R74" s="164"/>
      <c r="S74" s="164"/>
    </row>
    <row r="75" spans="1:19" ht="17.25" thickBot="1">
      <c r="A75" s="34" t="s">
        <v>170</v>
      </c>
      <c r="B75" s="35">
        <v>537</v>
      </c>
      <c r="C75" s="22">
        <v>6.1264822099999998E-2</v>
      </c>
      <c r="D75" s="21">
        <v>537</v>
      </c>
      <c r="E75" s="22">
        <f t="shared" si="26"/>
        <v>0</v>
      </c>
      <c r="F75" s="23">
        <f>IF(ISNUMBER(D75), $B91 * E75, "")</f>
        <v>0</v>
      </c>
      <c r="G75" s="21">
        <v>537</v>
      </c>
      <c r="H75" s="22">
        <f t="shared" si="27"/>
        <v>0</v>
      </c>
      <c r="I75" s="23">
        <f>IF(ISNUMBER(G75), $B91 * H75, "")</f>
        <v>0</v>
      </c>
      <c r="J75" s="21">
        <v>537</v>
      </c>
      <c r="K75" s="22">
        <f t="shared" si="28"/>
        <v>0</v>
      </c>
      <c r="L75" s="23">
        <f>IF(ISNUMBER(J75), $B91 * K75, "")</f>
        <v>0</v>
      </c>
      <c r="M75" s="21">
        <v>537</v>
      </c>
      <c r="N75" s="22">
        <f t="shared" si="29"/>
        <v>0</v>
      </c>
      <c r="O75" s="23">
        <f>IF(ISNUMBER(M75), $B91 * N75, "")</f>
        <v>0</v>
      </c>
      <c r="Q75" s="165"/>
      <c r="R75" s="165"/>
      <c r="S75" s="165"/>
    </row>
    <row r="76" spans="1:19">
      <c r="A76" s="32" t="s">
        <v>282</v>
      </c>
      <c r="B76" s="36">
        <v>182</v>
      </c>
      <c r="C76" s="37">
        <v>2.82485876E-2</v>
      </c>
      <c r="D76" s="15">
        <v>183</v>
      </c>
      <c r="E76" s="37">
        <f>IF(ISNUMBER(D76), (D76 - $B76) / $B76, "")</f>
        <v>5.4945054945054949E-3</v>
      </c>
      <c r="F76" s="19">
        <f>IF(ISNUMBER(D76), $B91 * E76, "")</f>
        <v>549.45054945054949</v>
      </c>
      <c r="G76" s="15">
        <v>183</v>
      </c>
      <c r="H76" s="37">
        <f>IF(ISNUMBER(G76), (G76 - $B76) / $B76, "")</f>
        <v>5.4945054945054949E-3</v>
      </c>
      <c r="I76" s="19">
        <f>IF(ISNUMBER(G76), $B91 * H76, "")</f>
        <v>549.45054945054949</v>
      </c>
      <c r="J76" s="15">
        <v>182</v>
      </c>
      <c r="K76" s="37">
        <f>IF(ISNUMBER(J76), (J76 - $B76) / $B76, "")</f>
        <v>0</v>
      </c>
      <c r="L76" s="19">
        <f>IF(ISNUMBER(J76), $B91 * K76, "")</f>
        <v>0</v>
      </c>
      <c r="M76" s="15">
        <v>182</v>
      </c>
      <c r="N76" s="37">
        <f>IF(ISNUMBER(M76), (M76 - $B76) / $B76, "")</f>
        <v>0</v>
      </c>
      <c r="O76" s="19">
        <f>IF(ISNUMBER(M76), $B91 * N76, "")</f>
        <v>0</v>
      </c>
      <c r="Q76" s="153"/>
      <c r="R76" s="154"/>
      <c r="S76" s="155"/>
    </row>
    <row r="77" spans="1:19">
      <c r="A77" s="32" t="s">
        <v>88</v>
      </c>
      <c r="B77" s="33">
        <v>612</v>
      </c>
      <c r="C77" s="16">
        <v>1.6366612E-3</v>
      </c>
      <c r="D77" s="15">
        <v>615</v>
      </c>
      <c r="E77" s="16">
        <f t="shared" ref="E77:E80" si="30">IF(ISNUMBER(D77), (D77 - $B77) / $B77, "")</f>
        <v>4.9019607843137254E-3</v>
      </c>
      <c r="F77" s="19">
        <f>IF(ISNUMBER(D77), $B91 * E77, "")</f>
        <v>490.19607843137254</v>
      </c>
      <c r="G77" s="15">
        <v>615</v>
      </c>
      <c r="H77" s="16">
        <f t="shared" ref="H77:H80" si="31">IF(ISNUMBER(G77), (G77 - $B77) / $B77, "")</f>
        <v>4.9019607843137254E-3</v>
      </c>
      <c r="I77" s="19">
        <f>IF(ISNUMBER(G77), $B91 * H77, "")</f>
        <v>490.19607843137254</v>
      </c>
      <c r="J77" s="15">
        <v>612</v>
      </c>
      <c r="K77" s="16">
        <f t="shared" ref="K77:K80" si="32">IF(ISNUMBER(J77), (J77 - $B77) / $B77, "")</f>
        <v>0</v>
      </c>
      <c r="L77" s="19">
        <f>IF(ISNUMBER(J77), $B91 * K77, "")</f>
        <v>0</v>
      </c>
      <c r="M77" s="15">
        <v>612</v>
      </c>
      <c r="N77" s="16">
        <f t="shared" ref="N77:N80" si="33">IF(ISNUMBER(M77), (M77 - $B77) / $B77, "")</f>
        <v>0</v>
      </c>
      <c r="O77" s="19">
        <f>IF(ISNUMBER(M77), $B91 * N77, "")</f>
        <v>0</v>
      </c>
      <c r="Q77" s="156"/>
      <c r="R77" s="157"/>
      <c r="S77" s="158"/>
    </row>
    <row r="78" spans="1:19" ht="17.25" thickBot="1">
      <c r="A78" s="32" t="s">
        <v>120</v>
      </c>
      <c r="B78" s="33">
        <v>219</v>
      </c>
      <c r="C78" s="16">
        <v>-3.9473684199999998E-2</v>
      </c>
      <c r="D78" s="15">
        <v>218</v>
      </c>
      <c r="E78" s="16">
        <f t="shared" si="30"/>
        <v>-4.5662100456621002E-3</v>
      </c>
      <c r="F78" s="19">
        <f>IF(ISNUMBER(D78), $B91 * E78, "")</f>
        <v>-456.62100456621005</v>
      </c>
      <c r="G78" s="15">
        <v>218</v>
      </c>
      <c r="H78" s="16">
        <f t="shared" si="31"/>
        <v>-4.5662100456621002E-3</v>
      </c>
      <c r="I78" s="19">
        <f>IF(ISNUMBER(G78), $B91 * H78, "")</f>
        <v>-456.62100456621005</v>
      </c>
      <c r="J78" s="15">
        <v>219</v>
      </c>
      <c r="K78" s="16">
        <f t="shared" si="32"/>
        <v>0</v>
      </c>
      <c r="L78" s="19">
        <f>IF(ISNUMBER(J78), $B91 * K78, "")</f>
        <v>0</v>
      </c>
      <c r="M78" s="15">
        <v>219</v>
      </c>
      <c r="N78" s="16">
        <f t="shared" si="33"/>
        <v>0</v>
      </c>
      <c r="O78" s="19">
        <f>IF(ISNUMBER(M78), $B91 * N78, "")</f>
        <v>0</v>
      </c>
      <c r="Q78" s="159"/>
      <c r="R78" s="160"/>
      <c r="S78" s="161"/>
    </row>
    <row r="79" spans="1:19" ht="17.25" thickBot="1">
      <c r="A79" s="32" t="s">
        <v>156</v>
      </c>
      <c r="B79" s="33">
        <v>143</v>
      </c>
      <c r="C79" s="16">
        <v>-4.0268456399999999E-2</v>
      </c>
      <c r="D79" s="15">
        <v>143</v>
      </c>
      <c r="E79" s="16">
        <f t="shared" si="30"/>
        <v>0</v>
      </c>
      <c r="F79" s="19">
        <f>IF(ISNUMBER(D79), $B91 * E79, "")</f>
        <v>0</v>
      </c>
      <c r="G79" s="15">
        <v>143</v>
      </c>
      <c r="H79" s="16">
        <f t="shared" si="31"/>
        <v>0</v>
      </c>
      <c r="I79" s="19">
        <f>IF(ISNUMBER(G79), $B91 * H79, "")</f>
        <v>0</v>
      </c>
      <c r="J79" s="15">
        <v>143</v>
      </c>
      <c r="K79" s="16">
        <f t="shared" si="32"/>
        <v>0</v>
      </c>
      <c r="L79" s="19">
        <f>IF(ISNUMBER(J79), $B91 * K79, "")</f>
        <v>0</v>
      </c>
      <c r="M79" s="15">
        <v>143</v>
      </c>
      <c r="N79" s="16">
        <f t="shared" si="33"/>
        <v>0</v>
      </c>
      <c r="O79" s="19">
        <f>IF(ISNUMBER(M79), $B91 * N79, "")</f>
        <v>0</v>
      </c>
      <c r="Q79" s="38"/>
      <c r="R79" s="38"/>
    </row>
    <row r="80" spans="1:19" ht="17.25" thickBot="1">
      <c r="A80" s="34" t="s">
        <v>51</v>
      </c>
      <c r="B80" s="35">
        <v>573</v>
      </c>
      <c r="C80" s="22">
        <v>-4.4999999999999998E-2</v>
      </c>
      <c r="D80" s="21">
        <v>581</v>
      </c>
      <c r="E80" s="22">
        <f t="shared" si="30"/>
        <v>1.3961605584642234E-2</v>
      </c>
      <c r="F80" s="19">
        <f>IF(ISNUMBER(D80), $B91 * E80, "")</f>
        <v>1396.1605584642234</v>
      </c>
      <c r="G80" s="21">
        <v>581</v>
      </c>
      <c r="H80" s="22">
        <f t="shared" si="31"/>
        <v>1.3961605584642234E-2</v>
      </c>
      <c r="I80" s="19">
        <f>IF(ISNUMBER(G80), $B91 * H80, "")</f>
        <v>1396.1605584642234</v>
      </c>
      <c r="J80" s="21">
        <v>573</v>
      </c>
      <c r="K80" s="22">
        <f t="shared" si="32"/>
        <v>0</v>
      </c>
      <c r="L80" s="19">
        <f>IF(ISNUMBER(J80), $B91 * K80, "")</f>
        <v>0</v>
      </c>
      <c r="M80" s="21">
        <v>573</v>
      </c>
      <c r="N80" s="22">
        <f t="shared" si="33"/>
        <v>0</v>
      </c>
      <c r="O80" s="19">
        <f>IF(ISNUMBER(M80), $B91 * N80, "")</f>
        <v>0</v>
      </c>
      <c r="Q80" s="129"/>
      <c r="R80" s="130"/>
      <c r="S80" s="131"/>
    </row>
    <row r="81" spans="1:19">
      <c r="A81" s="30" t="s">
        <v>270</v>
      </c>
      <c r="B81" s="31">
        <v>509</v>
      </c>
      <c r="C81" s="14">
        <v>-4.68164794E-2</v>
      </c>
      <c r="D81" s="13">
        <v>510</v>
      </c>
      <c r="E81" s="14">
        <f>IF(ISNUMBER(D81), (D81 - $B81) / $B81, "")</f>
        <v>1.9646365422396855E-3</v>
      </c>
      <c r="F81" s="17">
        <f>IF(ISNUMBER(D81), $B91 * E81, "")</f>
        <v>196.46365422396855</v>
      </c>
      <c r="G81" s="13">
        <v>510</v>
      </c>
      <c r="H81" s="14">
        <f>IF(ISNUMBER(G81), (G81 - $B81) / $B81, "")</f>
        <v>1.9646365422396855E-3</v>
      </c>
      <c r="I81" s="17">
        <f>IF(ISNUMBER(G81), $B91 * H81, "")</f>
        <v>196.46365422396855</v>
      </c>
      <c r="J81" s="13">
        <v>509</v>
      </c>
      <c r="K81" s="14">
        <f>IF(ISNUMBER(J81), (J81 - $B81) / $B81, "")</f>
        <v>0</v>
      </c>
      <c r="L81" s="17">
        <f>IF(ISNUMBER(J81), $B91 * K81, "")</f>
        <v>0</v>
      </c>
      <c r="M81" s="13">
        <v>509</v>
      </c>
      <c r="N81" s="14">
        <f>IF(ISNUMBER(M81), (M81 - $B81) / $B81, "")</f>
        <v>0</v>
      </c>
      <c r="O81" s="17">
        <f>IF(ISNUMBER(M81), $B91 * N81, "")</f>
        <v>0</v>
      </c>
      <c r="Q81" s="132"/>
      <c r="R81" s="133"/>
      <c r="S81" s="134"/>
    </row>
    <row r="82" spans="1:19" ht="17.25" thickBot="1">
      <c r="A82" s="32" t="s">
        <v>132</v>
      </c>
      <c r="B82" s="33">
        <v>232</v>
      </c>
      <c r="C82" s="16">
        <v>-5.3061224499999997E-2</v>
      </c>
      <c r="D82" s="15">
        <v>233</v>
      </c>
      <c r="E82" s="16">
        <f t="shared" ref="E82:E85" si="34">IF(ISNUMBER(D82), (D82 - $B82) / $B82, "")</f>
        <v>4.3103448275862068E-3</v>
      </c>
      <c r="F82" s="19">
        <f>IF(ISNUMBER(D82), $B91 * E82, "")</f>
        <v>431.0344827586207</v>
      </c>
      <c r="G82" s="15">
        <v>233</v>
      </c>
      <c r="H82" s="16">
        <f t="shared" ref="H82:H85" si="35">IF(ISNUMBER(G82), (G82 - $B82) / $B82, "")</f>
        <v>4.3103448275862068E-3</v>
      </c>
      <c r="I82" s="19">
        <f>IF(ISNUMBER(G82), $B91 * H82, "")</f>
        <v>431.0344827586207</v>
      </c>
      <c r="J82" s="15">
        <v>232</v>
      </c>
      <c r="K82" s="16">
        <f t="shared" ref="K82:K85" si="36">IF(ISNUMBER(J82), (J82 - $B82) / $B82, "")</f>
        <v>0</v>
      </c>
      <c r="L82" s="19">
        <f>IF(ISNUMBER(J82), $B91 * K82, "")</f>
        <v>0</v>
      </c>
      <c r="M82" s="15">
        <v>232</v>
      </c>
      <c r="N82" s="16">
        <f t="shared" ref="N82:N85" si="37">IF(ISNUMBER(M82), (M82 - $B82) / $B82, "")</f>
        <v>0</v>
      </c>
      <c r="O82" s="19">
        <f>IF(ISNUMBER(M82), $B91 * N82, "")</f>
        <v>0</v>
      </c>
      <c r="Q82" s="135"/>
      <c r="R82" s="136"/>
      <c r="S82" s="137"/>
    </row>
    <row r="83" spans="1:19" ht="17.25" thickBot="1">
      <c r="A83" s="32" t="s">
        <v>142</v>
      </c>
      <c r="B83" s="33">
        <v>357</v>
      </c>
      <c r="C83" s="16">
        <v>-5.5555555600000001E-2</v>
      </c>
      <c r="D83" s="15">
        <v>357</v>
      </c>
      <c r="E83" s="16">
        <f t="shared" si="34"/>
        <v>0</v>
      </c>
      <c r="F83" s="19">
        <f>IF(ISNUMBER(D83), $B91 * E83, "")</f>
        <v>0</v>
      </c>
      <c r="G83" s="15">
        <v>357</v>
      </c>
      <c r="H83" s="16">
        <f t="shared" si="35"/>
        <v>0</v>
      </c>
      <c r="I83" s="19">
        <f>IF(ISNUMBER(G83), $B91 * H83, "")</f>
        <v>0</v>
      </c>
      <c r="J83" s="15">
        <v>357</v>
      </c>
      <c r="K83" s="16">
        <f t="shared" si="36"/>
        <v>0</v>
      </c>
      <c r="L83" s="19">
        <f>IF(ISNUMBER(J83), $B91 * K83, "")</f>
        <v>0</v>
      </c>
      <c r="M83" s="15">
        <v>357</v>
      </c>
      <c r="N83" s="16">
        <f t="shared" si="37"/>
        <v>0</v>
      </c>
      <c r="O83" s="19">
        <f>IF(ISNUMBER(M83), $B91 * N83, "")</f>
        <v>0</v>
      </c>
      <c r="Q83" s="166"/>
      <c r="R83" s="166"/>
      <c r="S83" s="166"/>
    </row>
    <row r="84" spans="1:19" ht="17.25" thickBot="1">
      <c r="A84" s="32" t="s">
        <v>278</v>
      </c>
      <c r="B84" s="33">
        <v>143</v>
      </c>
      <c r="C84" s="16">
        <v>-5.9210526300000003E-2</v>
      </c>
      <c r="D84" s="15">
        <v>143</v>
      </c>
      <c r="E84" s="16">
        <f t="shared" si="34"/>
        <v>0</v>
      </c>
      <c r="F84" s="19">
        <f>IF(ISNUMBER(D84), $B91 * E84, "")</f>
        <v>0</v>
      </c>
      <c r="G84" s="15">
        <v>143</v>
      </c>
      <c r="H84" s="16">
        <f t="shared" si="35"/>
        <v>0</v>
      </c>
      <c r="I84" s="19">
        <f>IF(ISNUMBER(G84), $B91 * H84, "")</f>
        <v>0</v>
      </c>
      <c r="J84" s="15">
        <v>143</v>
      </c>
      <c r="K84" s="16">
        <f t="shared" si="36"/>
        <v>0</v>
      </c>
      <c r="L84" s="19">
        <f>IF(ISNUMBER(J84), $B91 * K84, "")</f>
        <v>0</v>
      </c>
      <c r="M84" s="15">
        <v>143</v>
      </c>
      <c r="N84" s="16">
        <f t="shared" si="37"/>
        <v>0</v>
      </c>
      <c r="O84" s="19">
        <f>IF(ISNUMBER(M84), $B91 * N84, "")</f>
        <v>0</v>
      </c>
      <c r="Q84" s="163"/>
      <c r="R84" s="163"/>
      <c r="S84" s="163"/>
    </row>
    <row r="85" spans="1:19" ht="17.25" thickBot="1">
      <c r="A85" s="34" t="s">
        <v>57</v>
      </c>
      <c r="B85" s="35">
        <v>382</v>
      </c>
      <c r="C85" s="22">
        <v>-6.6014669900000003E-2</v>
      </c>
      <c r="D85" s="21">
        <v>384</v>
      </c>
      <c r="E85" s="22">
        <f t="shared" si="34"/>
        <v>5.235602094240838E-3</v>
      </c>
      <c r="F85" s="23">
        <f>IF(ISNUMBER(D85), $B91 * E85, "")</f>
        <v>523.56020942408384</v>
      </c>
      <c r="G85" s="21">
        <v>384</v>
      </c>
      <c r="H85" s="22">
        <f t="shared" si="35"/>
        <v>5.235602094240838E-3</v>
      </c>
      <c r="I85" s="23">
        <f>IF(ISNUMBER(G85), $B91 * H85, "")</f>
        <v>523.56020942408384</v>
      </c>
      <c r="J85" s="21">
        <v>382</v>
      </c>
      <c r="K85" s="22">
        <f t="shared" si="36"/>
        <v>0</v>
      </c>
      <c r="L85" s="23">
        <f>IF(ISNUMBER(J85), $B91 * K85, "")</f>
        <v>0</v>
      </c>
      <c r="M85" s="21">
        <v>382</v>
      </c>
      <c r="N85" s="22">
        <f t="shared" si="37"/>
        <v>0</v>
      </c>
      <c r="O85" s="23">
        <f>IF(ISNUMBER(M85), $B91 * N85, "")</f>
        <v>0</v>
      </c>
      <c r="Q85" s="163"/>
      <c r="R85" s="163"/>
      <c r="S85" s="163"/>
    </row>
    <row r="86" spans="1:19" ht="17.25" thickBot="1">
      <c r="A86" s="32" t="s">
        <v>54</v>
      </c>
      <c r="B86" s="36">
        <v>333</v>
      </c>
      <c r="C86" s="37">
        <v>-6.9832402200000004E-2</v>
      </c>
      <c r="D86" s="15">
        <v>333</v>
      </c>
      <c r="E86" s="37">
        <f>IF(ISNUMBER(D86), (D86 - $B86) / $B86, "")</f>
        <v>0</v>
      </c>
      <c r="F86" s="19">
        <f>IF(ISNUMBER(D86), $B91 * E86, "")</f>
        <v>0</v>
      </c>
      <c r="G86" s="15">
        <v>333</v>
      </c>
      <c r="H86" s="37">
        <f>IF(ISNUMBER(G86), (G86 - $B86) / $B86, "")</f>
        <v>0</v>
      </c>
      <c r="I86" s="19">
        <f>IF(ISNUMBER(G86), $B91 * H86, "")</f>
        <v>0</v>
      </c>
      <c r="J86" s="15">
        <v>333</v>
      </c>
      <c r="K86" s="37">
        <f>IF(ISNUMBER(J86), (J86 - $B86) / $B86, "")</f>
        <v>0</v>
      </c>
      <c r="L86" s="19">
        <f>IF(ISNUMBER(J86), $B91 * K86, "")</f>
        <v>0</v>
      </c>
      <c r="M86" s="15">
        <v>333</v>
      </c>
      <c r="N86" s="37">
        <f>IF(ISNUMBER(M86), (M86 - $B86) / $B86, "")</f>
        <v>0</v>
      </c>
      <c r="O86" s="19">
        <f>IF(ISNUMBER(M86), $B91 * N86, "")</f>
        <v>0</v>
      </c>
      <c r="Q86" s="164"/>
      <c r="R86" s="164"/>
      <c r="S86" s="164"/>
    </row>
    <row r="87" spans="1:19" ht="17.25" thickBot="1">
      <c r="A87" s="32" t="s">
        <v>168</v>
      </c>
      <c r="B87" s="33">
        <v>186</v>
      </c>
      <c r="C87" s="16">
        <v>-7.4626865700000003E-2</v>
      </c>
      <c r="D87" s="15">
        <v>186</v>
      </c>
      <c r="E87" s="16">
        <f t="shared" ref="E87:E90" si="38">IF(ISNUMBER(D87), (D87 - $B87) / $B87, "")</f>
        <v>0</v>
      </c>
      <c r="F87" s="19">
        <f>IF(ISNUMBER(D87), $B91 * E87, "")</f>
        <v>0</v>
      </c>
      <c r="G87" s="15">
        <v>186</v>
      </c>
      <c r="H87" s="16">
        <f t="shared" ref="H87:H90" si="39">IF(ISNUMBER(G87), (G87 - $B87) / $B87, "")</f>
        <v>0</v>
      </c>
      <c r="I87" s="19">
        <f>IF(ISNUMBER(G87), $B91 * H87, "")</f>
        <v>0</v>
      </c>
      <c r="J87" s="15">
        <v>186</v>
      </c>
      <c r="K87" s="16">
        <f t="shared" ref="K87:K90" si="40">IF(ISNUMBER(J87), (J87 - $B87) / $B87, "")</f>
        <v>0</v>
      </c>
      <c r="L87" s="19">
        <f>IF(ISNUMBER(J87), $B91 * K87, "")</f>
        <v>0</v>
      </c>
      <c r="M87" s="15">
        <v>186</v>
      </c>
      <c r="N87" s="16">
        <f t="shared" ref="N87:N90" si="41">IF(ISNUMBER(M87), (M87 - $B87) / $B87, "")</f>
        <v>0</v>
      </c>
      <c r="O87" s="19">
        <f>IF(ISNUMBER(M87), $B91 * N87, "")</f>
        <v>0</v>
      </c>
      <c r="Q87" s="164"/>
      <c r="R87" s="164"/>
      <c r="S87" s="164"/>
    </row>
    <row r="88" spans="1:19" ht="17.25" thickBot="1">
      <c r="A88" s="32" t="s">
        <v>128</v>
      </c>
      <c r="B88" s="33">
        <v>598</v>
      </c>
      <c r="C88" s="16">
        <v>-7.5734157699999999E-2</v>
      </c>
      <c r="D88" s="15">
        <v>599</v>
      </c>
      <c r="E88" s="16">
        <f t="shared" si="38"/>
        <v>1.6722408026755853E-3</v>
      </c>
      <c r="F88" s="19">
        <f>IF(ISNUMBER(D88), $B91 * E88, "")</f>
        <v>167.22408026755852</v>
      </c>
      <c r="G88" s="15">
        <v>599</v>
      </c>
      <c r="H88" s="16">
        <f t="shared" si="39"/>
        <v>1.6722408026755853E-3</v>
      </c>
      <c r="I88" s="19">
        <f>IF(ISNUMBER(G88), $B91 * H88, "")</f>
        <v>167.22408026755852</v>
      </c>
      <c r="J88" s="15">
        <v>598</v>
      </c>
      <c r="K88" s="16">
        <f t="shared" si="40"/>
        <v>0</v>
      </c>
      <c r="L88" s="19">
        <f>IF(ISNUMBER(J88), $B91 * K88, "")</f>
        <v>0</v>
      </c>
      <c r="M88" s="15">
        <v>598</v>
      </c>
      <c r="N88" s="16">
        <f t="shared" si="41"/>
        <v>0</v>
      </c>
      <c r="O88" s="19">
        <f>IF(ISNUMBER(M88), $B91 * N88, "")</f>
        <v>0</v>
      </c>
      <c r="Q88" s="165"/>
      <c r="R88" s="165"/>
      <c r="S88" s="165"/>
    </row>
    <row r="89" spans="1:19">
      <c r="A89" s="32" t="s">
        <v>212</v>
      </c>
      <c r="B89" s="33">
        <v>145</v>
      </c>
      <c r="C89" s="16">
        <v>-7.6433121000000007E-2</v>
      </c>
      <c r="D89" s="15">
        <v>145</v>
      </c>
      <c r="E89" s="16">
        <f t="shared" si="38"/>
        <v>0</v>
      </c>
      <c r="F89" s="19">
        <f>IF(ISNUMBER(D89), $B91 * E89, "")</f>
        <v>0</v>
      </c>
      <c r="G89" s="15">
        <v>145</v>
      </c>
      <c r="H89" s="16">
        <f t="shared" si="39"/>
        <v>0</v>
      </c>
      <c r="I89" s="19">
        <f>IF(ISNUMBER(G89), $B91 * H89, "")</f>
        <v>0</v>
      </c>
      <c r="J89" s="15">
        <v>145</v>
      </c>
      <c r="K89" s="16">
        <f t="shared" si="40"/>
        <v>0</v>
      </c>
      <c r="L89" s="19">
        <f>IF(ISNUMBER(J89), $B91 * K89, "")</f>
        <v>0</v>
      </c>
      <c r="M89" s="15">
        <v>145</v>
      </c>
      <c r="N89" s="16">
        <f t="shared" si="41"/>
        <v>0</v>
      </c>
      <c r="O89" s="19">
        <f>IF(ISNUMBER(M89), $B91 * N89, "")</f>
        <v>0</v>
      </c>
      <c r="Q89" s="153"/>
      <c r="R89" s="154"/>
      <c r="S89" s="155"/>
    </row>
    <row r="90" spans="1:19" ht="17.25" thickBot="1">
      <c r="A90" s="34" t="s">
        <v>182</v>
      </c>
      <c r="B90" s="35">
        <v>470</v>
      </c>
      <c r="C90" s="22">
        <v>-7.6620825099999998E-2</v>
      </c>
      <c r="D90" s="21">
        <v>472</v>
      </c>
      <c r="E90" s="22">
        <f t="shared" si="38"/>
        <v>4.2553191489361703E-3</v>
      </c>
      <c r="F90" s="19">
        <f>IF(ISNUMBER(D90), $B91 * E90, "")</f>
        <v>425.53191489361706</v>
      </c>
      <c r="G90" s="21">
        <v>472</v>
      </c>
      <c r="H90" s="22">
        <f t="shared" si="39"/>
        <v>4.2553191489361703E-3</v>
      </c>
      <c r="I90" s="19">
        <f>IF(ISNUMBER(G90), $B91 * H90, "")</f>
        <v>425.53191489361706</v>
      </c>
      <c r="J90" s="21">
        <v>470</v>
      </c>
      <c r="K90" s="22">
        <f t="shared" si="40"/>
        <v>0</v>
      </c>
      <c r="L90" s="19">
        <f>IF(ISNUMBER(J90), $B91 * K90, "")</f>
        <v>0</v>
      </c>
      <c r="M90" s="21">
        <v>470</v>
      </c>
      <c r="N90" s="22">
        <f t="shared" si="41"/>
        <v>0</v>
      </c>
      <c r="O90" s="19">
        <f>IF(ISNUMBER(M90), $B91 * N90, "")</f>
        <v>0</v>
      </c>
      <c r="Q90" s="156"/>
      <c r="R90" s="157"/>
      <c r="S90" s="158"/>
    </row>
    <row r="91" spans="1:19" ht="17.25" thickBot="1">
      <c r="A91" s="27" t="s">
        <v>42</v>
      </c>
      <c r="B91" s="168">
        <v>100000</v>
      </c>
      <c r="C91" s="169"/>
      <c r="D91" s="27" t="s">
        <v>43</v>
      </c>
      <c r="E91" s="28">
        <f>IF(COUNT(E71:E90), SUM(E71:E90) / COUNT(E71:E90), 0)</f>
        <v>1.6822887921398417E-3</v>
      </c>
      <c r="F91" s="29">
        <f>SUM(F71:F90)</f>
        <v>3364.5775842796838</v>
      </c>
      <c r="G91" s="27" t="s">
        <v>43</v>
      </c>
      <c r="H91" s="28">
        <f>IF(COUNT(H71:H90), SUM(H71:H90) / COUNT(H71:H90), 0)</f>
        <v>1.6822887921398417E-3</v>
      </c>
      <c r="I91" s="29">
        <f>SUM(I71:I90)</f>
        <v>3364.5775842796838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59"/>
      <c r="R91" s="160"/>
      <c r="S91" s="161"/>
    </row>
    <row r="93" spans="1:19" ht="17.25" thickBot="1"/>
    <row r="94" spans="1:19" ht="17.25" thickBot="1">
      <c r="A94" s="111" t="s">
        <v>46</v>
      </c>
      <c r="B94" s="125"/>
      <c r="C94" s="125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12"/>
      <c r="Q94" s="129"/>
      <c r="R94" s="130"/>
      <c r="S94" s="131"/>
    </row>
    <row r="95" spans="1:19" ht="17.25" thickBot="1">
      <c r="A95" s="110" t="s">
        <v>35</v>
      </c>
      <c r="B95" s="111" t="s">
        <v>36</v>
      </c>
      <c r="C95" s="112"/>
      <c r="D95" s="111" t="s">
        <v>37</v>
      </c>
      <c r="E95" s="125"/>
      <c r="F95" s="112"/>
      <c r="G95" s="138">
        <f>_xlfn.IFNA(VLOOKUP(B95, 현재가테이블!$B$2:$D$200, 2, FALSE), "-")</f>
        <v>63826000</v>
      </c>
      <c r="H95" s="139"/>
      <c r="I95" s="140"/>
      <c r="J95" s="111" t="s">
        <v>38</v>
      </c>
      <c r="K95" s="125"/>
      <c r="L95" s="112"/>
      <c r="M95" s="141">
        <f>_xlfn.IFNA(VLOOKUP(B95, 현재가테이블!$B$2:$D$200, 3, FALSE), "-")</f>
        <v>-1.4529004E-2</v>
      </c>
      <c r="N95" s="142"/>
      <c r="O95" s="143"/>
      <c r="Q95" s="132"/>
      <c r="R95" s="133"/>
      <c r="S95" s="134"/>
    </row>
    <row r="96" spans="1:19" ht="17.25" thickBot="1">
      <c r="A96" s="144" t="s">
        <v>39</v>
      </c>
      <c r="B96" s="145" t="str">
        <f>TEXT($G$1, "[$-ko-KR]yyyy-mm-dd(ddd) ") &amp; "오전 00:00"</f>
        <v>2021-04-29(목) 오전 00:00</v>
      </c>
      <c r="C96" s="146"/>
      <c r="D96" s="147" t="str">
        <f>TEXT($G$1, "[$-ko-KR]yyyy-mm-dd(ddd) ") &amp; "오후 14:00"</f>
        <v>2021-04-29(목) 오후 14:00</v>
      </c>
      <c r="E96" s="148"/>
      <c r="F96" s="149"/>
      <c r="G96" s="147" t="str">
        <f>TEXT($G$1, "[$-ko-KR]yyyy-mm-dd(ddd) ") &amp; "오후 19:00"</f>
        <v>2021-04-29(목) 오후 19:00</v>
      </c>
      <c r="H96" s="148"/>
      <c r="I96" s="149"/>
      <c r="J96" s="167" t="str">
        <f>TEXT($G$1, "[$-ko-KR]yyyy-mm-dd(ddd) ") &amp; "오후 21:00"</f>
        <v>2021-04-29(목) 오후 21:00</v>
      </c>
      <c r="K96" s="167"/>
      <c r="L96" s="167"/>
      <c r="M96" s="147" t="str">
        <f>TEXT($G$1+1, "[$-ko-KR]yyyy-mm-dd(ddd) ") &amp; "오전 00:00"</f>
        <v>2021-04-30(금) 오전 00:00</v>
      </c>
      <c r="N96" s="148"/>
      <c r="O96" s="149"/>
      <c r="Q96" s="135"/>
      <c r="R96" s="136"/>
      <c r="S96" s="137"/>
    </row>
    <row r="97" spans="1:19" ht="17.25" thickBot="1">
      <c r="A97" s="144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66"/>
      <c r="R97" s="166"/>
      <c r="S97" s="166"/>
    </row>
    <row r="98" spans="1:19" ht="17.25" thickBot="1">
      <c r="A98" s="30" t="s">
        <v>158</v>
      </c>
      <c r="B98" s="31">
        <v>11490</v>
      </c>
      <c r="C98" s="14">
        <v>0.13537549409999999</v>
      </c>
      <c r="D98" s="13">
        <v>11500</v>
      </c>
      <c r="E98" s="14">
        <f>IF(ISNUMBER(D98), (D98 - $B98) / $B98, "")</f>
        <v>8.703220191470844E-4</v>
      </c>
      <c r="F98" s="17">
        <f>IF(ISNUMBER(D98), $B118 * E98, "")</f>
        <v>87.032201914708438</v>
      </c>
      <c r="G98" s="13">
        <v>11500</v>
      </c>
      <c r="H98" s="14">
        <f>IF(ISNUMBER(G98), (G98 - $B98) / $B98, "")</f>
        <v>8.703220191470844E-4</v>
      </c>
      <c r="I98" s="17">
        <f>IF(ISNUMBER(G98), $B118 * H98, "")</f>
        <v>87.032201914708438</v>
      </c>
      <c r="J98" s="13">
        <v>11490</v>
      </c>
      <c r="K98" s="14">
        <f>IF(ISNUMBER(J98), (J98 - $B98) / $B98, "")</f>
        <v>0</v>
      </c>
      <c r="L98" s="17">
        <f>IF(ISNUMBER(J98), $B118 * K98, "")</f>
        <v>0</v>
      </c>
      <c r="M98" s="13">
        <v>11490</v>
      </c>
      <c r="N98" s="14">
        <f>IF(ISNUMBER(M98), (M98 - $B98) / $B98, "")</f>
        <v>0</v>
      </c>
      <c r="O98" s="17">
        <f>IF(ISNUMBER(M98), $B118 * N98, "")</f>
        <v>0</v>
      </c>
      <c r="Q98" s="163"/>
      <c r="R98" s="163"/>
      <c r="S98" s="163"/>
    </row>
    <row r="99" spans="1:19" ht="17.25" thickBot="1">
      <c r="A99" s="32" t="s">
        <v>148</v>
      </c>
      <c r="B99" s="33">
        <v>201</v>
      </c>
      <c r="C99" s="16">
        <v>0.11049723760000001</v>
      </c>
      <c r="D99" s="15">
        <v>201</v>
      </c>
      <c r="E99" s="16">
        <f t="shared" ref="E99:E102" si="42">IF(ISNUMBER(D99), (D99 - $B99) / $B99, "")</f>
        <v>0</v>
      </c>
      <c r="F99" s="19">
        <f>IF(ISNUMBER(D99), $B118 * E99, "")</f>
        <v>0</v>
      </c>
      <c r="G99" s="15">
        <v>201</v>
      </c>
      <c r="H99" s="16">
        <f t="shared" ref="H99:H102" si="43">IF(ISNUMBER(G99), (G99 - $B99) / $B99, "")</f>
        <v>0</v>
      </c>
      <c r="I99" s="19">
        <f>IF(ISNUMBER(G99), $B118 * H99, "")</f>
        <v>0</v>
      </c>
      <c r="J99" s="15">
        <v>201</v>
      </c>
      <c r="K99" s="16">
        <f t="shared" ref="K99:K102" si="44">IF(ISNUMBER(J99), (J99 - $B99) / $B99, "")</f>
        <v>0</v>
      </c>
      <c r="L99" s="19">
        <f>IF(ISNUMBER(J99), $B118 * K99, "")</f>
        <v>0</v>
      </c>
      <c r="M99" s="15">
        <v>201</v>
      </c>
      <c r="N99" s="16">
        <f t="shared" ref="N99:N102" si="45">IF(ISNUMBER(M99), (M99 - $B99) / $B99, "")</f>
        <v>0</v>
      </c>
      <c r="O99" s="19">
        <f>IF(ISNUMBER(M99), $B118 * N99, "")</f>
        <v>0</v>
      </c>
      <c r="Q99" s="163"/>
      <c r="R99" s="163"/>
      <c r="S99" s="163"/>
    </row>
    <row r="100" spans="1:19" ht="17.25" thickBot="1">
      <c r="A100" s="32" t="s">
        <v>296</v>
      </c>
      <c r="B100" s="33">
        <v>354</v>
      </c>
      <c r="C100" s="16">
        <v>9.9378882000000002E-2</v>
      </c>
      <c r="D100" s="15">
        <v>354</v>
      </c>
      <c r="E100" s="16">
        <f t="shared" si="42"/>
        <v>0</v>
      </c>
      <c r="F100" s="19">
        <f>IF(ISNUMBER(D100), $B118 * E100, "")</f>
        <v>0</v>
      </c>
      <c r="G100" s="15">
        <v>354</v>
      </c>
      <c r="H100" s="16">
        <f t="shared" si="43"/>
        <v>0</v>
      </c>
      <c r="I100" s="19">
        <f>IF(ISNUMBER(G100), $B118 * H100, "")</f>
        <v>0</v>
      </c>
      <c r="J100" s="15">
        <v>354</v>
      </c>
      <c r="K100" s="16">
        <f t="shared" si="44"/>
        <v>0</v>
      </c>
      <c r="L100" s="19">
        <f>IF(ISNUMBER(J100), $B118 * K100, "")</f>
        <v>0</v>
      </c>
      <c r="M100" s="15">
        <v>354</v>
      </c>
      <c r="N100" s="16">
        <f t="shared" si="45"/>
        <v>0</v>
      </c>
      <c r="O100" s="19">
        <f>IF(ISNUMBER(M100), $B118 * N100, "")</f>
        <v>0</v>
      </c>
      <c r="Q100" s="164"/>
      <c r="R100" s="164"/>
      <c r="S100" s="164"/>
    </row>
    <row r="101" spans="1:19" ht="17.25" thickBot="1">
      <c r="A101" s="32" t="s">
        <v>61</v>
      </c>
      <c r="B101" s="33">
        <v>1685</v>
      </c>
      <c r="C101" s="16">
        <v>9.4155844200000005E-2</v>
      </c>
      <c r="D101" s="15">
        <v>1700</v>
      </c>
      <c r="E101" s="16">
        <f t="shared" si="42"/>
        <v>8.9020771513353119E-3</v>
      </c>
      <c r="F101" s="19">
        <f>IF(ISNUMBER(D101), $B118 * E101, "")</f>
        <v>890.20771513353122</v>
      </c>
      <c r="G101" s="15">
        <v>1700</v>
      </c>
      <c r="H101" s="16">
        <f t="shared" si="43"/>
        <v>8.9020771513353119E-3</v>
      </c>
      <c r="I101" s="19">
        <f>IF(ISNUMBER(G101), $B118 * H101, "")</f>
        <v>890.20771513353122</v>
      </c>
      <c r="J101" s="15">
        <v>1685</v>
      </c>
      <c r="K101" s="16">
        <f t="shared" si="44"/>
        <v>0</v>
      </c>
      <c r="L101" s="19">
        <f>IF(ISNUMBER(J101), $B118 * K101, "")</f>
        <v>0</v>
      </c>
      <c r="M101" s="15">
        <v>1685</v>
      </c>
      <c r="N101" s="16">
        <f t="shared" si="45"/>
        <v>0</v>
      </c>
      <c r="O101" s="19">
        <f>IF(ISNUMBER(M101), $B118 * N101, "")</f>
        <v>0</v>
      </c>
      <c r="Q101" s="164"/>
      <c r="R101" s="164"/>
      <c r="S101" s="164"/>
    </row>
    <row r="102" spans="1:19" ht="17.25" thickBot="1">
      <c r="A102" s="34" t="s">
        <v>242</v>
      </c>
      <c r="B102" s="35">
        <v>6235</v>
      </c>
      <c r="C102" s="22">
        <v>8.8132635299999998E-2</v>
      </c>
      <c r="D102" s="21">
        <v>6165</v>
      </c>
      <c r="E102" s="22">
        <f t="shared" si="42"/>
        <v>-1.1226944667201283E-2</v>
      </c>
      <c r="F102" s="23">
        <f>IF(ISNUMBER(D102), $B118 * E102, "")</f>
        <v>-1122.6944667201283</v>
      </c>
      <c r="G102" s="21">
        <v>6165</v>
      </c>
      <c r="H102" s="22">
        <f t="shared" si="43"/>
        <v>-1.1226944667201283E-2</v>
      </c>
      <c r="I102" s="23">
        <f>IF(ISNUMBER(G102), $B118 * H102, "")</f>
        <v>-1122.6944667201283</v>
      </c>
      <c r="J102" s="21">
        <v>6235</v>
      </c>
      <c r="K102" s="22">
        <f t="shared" si="44"/>
        <v>0</v>
      </c>
      <c r="L102" s="23">
        <f>IF(ISNUMBER(J102), $B118 * K102, "")</f>
        <v>0</v>
      </c>
      <c r="M102" s="21">
        <v>6235</v>
      </c>
      <c r="N102" s="22">
        <f t="shared" si="45"/>
        <v>0</v>
      </c>
      <c r="O102" s="23">
        <f>IF(ISNUMBER(M102), $B118 * N102, "")</f>
        <v>0</v>
      </c>
      <c r="Q102" s="165"/>
      <c r="R102" s="165"/>
      <c r="S102" s="165"/>
    </row>
    <row r="103" spans="1:19">
      <c r="A103" s="32" t="s">
        <v>256</v>
      </c>
      <c r="B103" s="36">
        <v>279</v>
      </c>
      <c r="C103" s="37">
        <v>6.4885496200000004E-2</v>
      </c>
      <c r="D103" s="15">
        <v>278</v>
      </c>
      <c r="E103" s="37">
        <f>IF(ISNUMBER(D103), (D103 - $B103) / $B103, "")</f>
        <v>-3.5842293906810036E-3</v>
      </c>
      <c r="F103" s="19">
        <f>IF(ISNUMBER(D103), $B118 * E103, "")</f>
        <v>-358.42293906810033</v>
      </c>
      <c r="G103" s="15">
        <v>278</v>
      </c>
      <c r="H103" s="37">
        <f>IF(ISNUMBER(G103), (G103 - $B103) / $B103, "")</f>
        <v>-3.5842293906810036E-3</v>
      </c>
      <c r="I103" s="19">
        <f>IF(ISNUMBER(G103), $B118 * H103, "")</f>
        <v>-358.42293906810033</v>
      </c>
      <c r="J103" s="15">
        <v>279</v>
      </c>
      <c r="K103" s="37">
        <f>IF(ISNUMBER(J103), (J103 - $B103) / $B103, "")</f>
        <v>0</v>
      </c>
      <c r="L103" s="19">
        <f>IF(ISNUMBER(J103), $B118 * K103, "")</f>
        <v>0</v>
      </c>
      <c r="M103" s="15">
        <v>279</v>
      </c>
      <c r="N103" s="37">
        <f>IF(ISNUMBER(M103), (M103 - $B103) / $B103, "")</f>
        <v>0</v>
      </c>
      <c r="O103" s="19">
        <f>IF(ISNUMBER(M103), $B118 * N103, "")</f>
        <v>0</v>
      </c>
      <c r="Q103" s="153"/>
      <c r="R103" s="154"/>
      <c r="S103" s="155"/>
    </row>
    <row r="104" spans="1:19">
      <c r="A104" s="32" t="s">
        <v>116</v>
      </c>
      <c r="B104" s="33">
        <v>677</v>
      </c>
      <c r="C104" s="16">
        <v>6.4465408799999999E-2</v>
      </c>
      <c r="D104" s="15">
        <v>677</v>
      </c>
      <c r="E104" s="16">
        <f t="shared" ref="E104:E107" si="46">IF(ISNUMBER(D104), (D104 - $B104) / $B104, "")</f>
        <v>0</v>
      </c>
      <c r="F104" s="19">
        <f>IF(ISNUMBER(D104), $B118 * E104, "")</f>
        <v>0</v>
      </c>
      <c r="G104" s="15">
        <v>677</v>
      </c>
      <c r="H104" s="16">
        <f t="shared" ref="H104:H107" si="47">IF(ISNUMBER(G104), (G104 - $B104) / $B104, "")</f>
        <v>0</v>
      </c>
      <c r="I104" s="19">
        <f>IF(ISNUMBER(G104), $B118 * H104, "")</f>
        <v>0</v>
      </c>
      <c r="J104" s="15">
        <v>677</v>
      </c>
      <c r="K104" s="16">
        <f t="shared" ref="K104:K107" si="48">IF(ISNUMBER(J104), (J104 - $B104) / $B104, "")</f>
        <v>0</v>
      </c>
      <c r="L104" s="19">
        <f>IF(ISNUMBER(J104), $B118 * K104, "")</f>
        <v>0</v>
      </c>
      <c r="M104" s="15">
        <v>677</v>
      </c>
      <c r="N104" s="16">
        <f t="shared" ref="N104:N107" si="49">IF(ISNUMBER(M104), (M104 - $B104) / $B104, "")</f>
        <v>0</v>
      </c>
      <c r="O104" s="19">
        <f>IF(ISNUMBER(M104), $B118 * N104, "")</f>
        <v>0</v>
      </c>
      <c r="Q104" s="156"/>
      <c r="R104" s="157"/>
      <c r="S104" s="158"/>
    </row>
    <row r="105" spans="1:19" ht="17.25" thickBot="1">
      <c r="A105" s="32" t="s">
        <v>170</v>
      </c>
      <c r="B105" s="33">
        <v>537</v>
      </c>
      <c r="C105" s="16">
        <v>6.1264822099999998E-2</v>
      </c>
      <c r="D105" s="15">
        <v>537</v>
      </c>
      <c r="E105" s="16">
        <f t="shared" si="46"/>
        <v>0</v>
      </c>
      <c r="F105" s="19">
        <f>IF(ISNUMBER(D105), $B118 * E105, "")</f>
        <v>0</v>
      </c>
      <c r="G105" s="15">
        <v>537</v>
      </c>
      <c r="H105" s="16">
        <f t="shared" si="47"/>
        <v>0</v>
      </c>
      <c r="I105" s="19">
        <f>IF(ISNUMBER(G105), $B118 * H105, "")</f>
        <v>0</v>
      </c>
      <c r="J105" s="15">
        <v>537</v>
      </c>
      <c r="K105" s="16">
        <f t="shared" si="48"/>
        <v>0</v>
      </c>
      <c r="L105" s="19">
        <f>IF(ISNUMBER(J105), $B118 * K105, "")</f>
        <v>0</v>
      </c>
      <c r="M105" s="15">
        <v>537</v>
      </c>
      <c r="N105" s="16">
        <f t="shared" si="49"/>
        <v>0</v>
      </c>
      <c r="O105" s="19">
        <f>IF(ISNUMBER(M105), $B118 * N105, "")</f>
        <v>0</v>
      </c>
      <c r="Q105" s="159"/>
      <c r="R105" s="160"/>
      <c r="S105" s="161"/>
    </row>
    <row r="106" spans="1:19" ht="17.25" thickBot="1">
      <c r="A106" s="32" t="s">
        <v>108</v>
      </c>
      <c r="B106" s="33">
        <v>45870</v>
      </c>
      <c r="C106" s="16">
        <v>4.8936656799999999E-2</v>
      </c>
      <c r="D106" s="15">
        <v>45840</v>
      </c>
      <c r="E106" s="16">
        <f t="shared" si="46"/>
        <v>-6.5402223675604975E-4</v>
      </c>
      <c r="F106" s="19">
        <f>IF(ISNUMBER(D106), $B118 * E106, "")</f>
        <v>-65.402223675604972</v>
      </c>
      <c r="G106" s="15">
        <v>45840</v>
      </c>
      <c r="H106" s="16">
        <f t="shared" si="47"/>
        <v>-6.5402223675604975E-4</v>
      </c>
      <c r="I106" s="19">
        <f>IF(ISNUMBER(G106), $B118 * H106, "")</f>
        <v>-65.402223675604972</v>
      </c>
      <c r="J106" s="15">
        <v>45870</v>
      </c>
      <c r="K106" s="16">
        <f t="shared" si="48"/>
        <v>0</v>
      </c>
      <c r="L106" s="19">
        <f>IF(ISNUMBER(J106), $B118 * K106, "")</f>
        <v>0</v>
      </c>
      <c r="M106" s="15">
        <v>45870</v>
      </c>
      <c r="N106" s="16">
        <f t="shared" si="49"/>
        <v>0</v>
      </c>
      <c r="O106" s="19">
        <f>IF(ISNUMBER(M106), $B118 * N106, "")</f>
        <v>0</v>
      </c>
      <c r="Q106" s="38"/>
      <c r="R106" s="38"/>
    </row>
    <row r="107" spans="1:19" ht="17.25" thickBot="1">
      <c r="A107" s="34" t="s">
        <v>282</v>
      </c>
      <c r="B107" s="35">
        <v>182</v>
      </c>
      <c r="C107" s="22">
        <v>2.82485876E-2</v>
      </c>
      <c r="D107" s="21">
        <v>183</v>
      </c>
      <c r="E107" s="22">
        <f t="shared" si="46"/>
        <v>5.4945054945054949E-3</v>
      </c>
      <c r="F107" s="19">
        <f>IF(ISNUMBER(D107), $B118 * E107, "")</f>
        <v>549.45054945054949</v>
      </c>
      <c r="G107" s="21">
        <v>183</v>
      </c>
      <c r="H107" s="22">
        <f t="shared" si="47"/>
        <v>5.4945054945054949E-3</v>
      </c>
      <c r="I107" s="19">
        <f>IF(ISNUMBER(G107), $B118 * H107, "")</f>
        <v>549.45054945054949</v>
      </c>
      <c r="J107" s="21">
        <v>182</v>
      </c>
      <c r="K107" s="22">
        <f t="shared" si="48"/>
        <v>0</v>
      </c>
      <c r="L107" s="19">
        <f>IF(ISNUMBER(J107), $B118 * K107, "")</f>
        <v>0</v>
      </c>
      <c r="M107" s="21">
        <v>182</v>
      </c>
      <c r="N107" s="22">
        <f t="shared" si="49"/>
        <v>0</v>
      </c>
      <c r="O107" s="19">
        <f>IF(ISNUMBER(M107), $B118 * N107, "")</f>
        <v>0</v>
      </c>
      <c r="Q107" s="129"/>
      <c r="R107" s="130"/>
      <c r="S107" s="131"/>
    </row>
    <row r="108" spans="1:19">
      <c r="A108" s="30" t="s">
        <v>160</v>
      </c>
      <c r="B108" s="31">
        <v>3165</v>
      </c>
      <c r="C108" s="14">
        <v>2.7597402600000001E-2</v>
      </c>
      <c r="D108" s="13">
        <v>3160</v>
      </c>
      <c r="E108" s="14">
        <f>IF(ISNUMBER(D108), (D108 - $B108) / $B108, "")</f>
        <v>-1.5797788309636651E-3</v>
      </c>
      <c r="F108" s="17">
        <f>IF(ISNUMBER(D108), $B118 * E108, "")</f>
        <v>-157.9778830963665</v>
      </c>
      <c r="G108" s="13">
        <v>3160</v>
      </c>
      <c r="H108" s="14">
        <f>IF(ISNUMBER(G108), (G108 - $B108) / $B108, "")</f>
        <v>-1.5797788309636651E-3</v>
      </c>
      <c r="I108" s="17">
        <f>IF(ISNUMBER(G108), $B118 * H108, "")</f>
        <v>-157.9778830963665</v>
      </c>
      <c r="J108" s="13">
        <v>3165</v>
      </c>
      <c r="K108" s="14">
        <f>IF(ISNUMBER(J108), (J108 - $B108) / $B108, "")</f>
        <v>0</v>
      </c>
      <c r="L108" s="17">
        <f>IF(ISNUMBER(J108), $B118 * K108, "")</f>
        <v>0</v>
      </c>
      <c r="M108" s="13">
        <v>3165</v>
      </c>
      <c r="N108" s="14">
        <f>IF(ISNUMBER(M108), (M108 - $B108) / $B108, "")</f>
        <v>0</v>
      </c>
      <c r="O108" s="17">
        <f>IF(ISNUMBER(M108), $B118 * N108, "")</f>
        <v>0</v>
      </c>
      <c r="Q108" s="132"/>
      <c r="R108" s="133"/>
      <c r="S108" s="134"/>
    </row>
    <row r="109" spans="1:19" ht="17.25" thickBot="1">
      <c r="A109" s="32" t="s">
        <v>96</v>
      </c>
      <c r="B109" s="33">
        <v>3158000</v>
      </c>
      <c r="C109" s="16">
        <v>5.7324841E-3</v>
      </c>
      <c r="D109" s="15">
        <v>3168000</v>
      </c>
      <c r="E109" s="16">
        <f t="shared" ref="E109:E112" si="50">IF(ISNUMBER(D109), (D109 - $B109) / $B109, "")</f>
        <v>3.1665611146295125E-3</v>
      </c>
      <c r="F109" s="19">
        <f>IF(ISNUMBER(D109), $B118 * E109, "")</f>
        <v>316.65611146295123</v>
      </c>
      <c r="G109" s="15">
        <v>3168000</v>
      </c>
      <c r="H109" s="16">
        <f t="shared" ref="H109:H112" si="51">IF(ISNUMBER(G109), (G109 - $B109) / $B109, "")</f>
        <v>3.1665611146295125E-3</v>
      </c>
      <c r="I109" s="19">
        <f>IF(ISNUMBER(G109), $B118 * H109, "")</f>
        <v>316.65611146295123</v>
      </c>
      <c r="J109" s="15">
        <v>3158000</v>
      </c>
      <c r="K109" s="16">
        <f t="shared" ref="K109:K112" si="52">IF(ISNUMBER(J109), (J109 - $B109) / $B109, "")</f>
        <v>0</v>
      </c>
      <c r="L109" s="19">
        <f>IF(ISNUMBER(J109), $B118 * K109, "")</f>
        <v>0</v>
      </c>
      <c r="M109" s="15">
        <v>3158000</v>
      </c>
      <c r="N109" s="16">
        <f t="shared" ref="N109:N112" si="53">IF(ISNUMBER(M109), (M109 - $B109) / $B109, "")</f>
        <v>0</v>
      </c>
      <c r="O109" s="19">
        <f>IF(ISNUMBER(M109), $B118 * N109, "")</f>
        <v>0</v>
      </c>
      <c r="Q109" s="135"/>
      <c r="R109" s="136"/>
      <c r="S109" s="137"/>
    </row>
    <row r="110" spans="1:19" ht="17.25" thickBot="1">
      <c r="A110" s="32" t="s">
        <v>88</v>
      </c>
      <c r="B110" s="33">
        <v>612</v>
      </c>
      <c r="C110" s="16">
        <v>1.6366612E-3</v>
      </c>
      <c r="D110" s="15">
        <v>615</v>
      </c>
      <c r="E110" s="16">
        <f t="shared" si="50"/>
        <v>4.9019607843137254E-3</v>
      </c>
      <c r="F110" s="19">
        <f>IF(ISNUMBER(D110), $B118 * E110, "")</f>
        <v>490.19607843137254</v>
      </c>
      <c r="G110" s="15">
        <v>615</v>
      </c>
      <c r="H110" s="16">
        <f t="shared" si="51"/>
        <v>4.9019607843137254E-3</v>
      </c>
      <c r="I110" s="19">
        <f>IF(ISNUMBER(G110), $B118 * H110, "")</f>
        <v>490.19607843137254</v>
      </c>
      <c r="J110" s="15">
        <v>612</v>
      </c>
      <c r="K110" s="16">
        <f t="shared" si="52"/>
        <v>0</v>
      </c>
      <c r="L110" s="19">
        <f>IF(ISNUMBER(J110), $B118 * K110, "")</f>
        <v>0</v>
      </c>
      <c r="M110" s="15">
        <v>612</v>
      </c>
      <c r="N110" s="16">
        <f t="shared" si="53"/>
        <v>0</v>
      </c>
      <c r="O110" s="19">
        <f>IF(ISNUMBER(M110), $B118 * N110, "")</f>
        <v>0</v>
      </c>
      <c r="Q110" s="166"/>
      <c r="R110" s="166"/>
      <c r="S110" s="166"/>
    </row>
    <row r="111" spans="1:19" ht="17.25" thickBot="1">
      <c r="A111" s="32" t="s">
        <v>84</v>
      </c>
      <c r="B111" s="33">
        <v>1530</v>
      </c>
      <c r="C111" s="16">
        <v>-3.2573290000000002E-3</v>
      </c>
      <c r="D111" s="15">
        <v>1530</v>
      </c>
      <c r="E111" s="16">
        <f t="shared" si="50"/>
        <v>0</v>
      </c>
      <c r="F111" s="19">
        <f>IF(ISNUMBER(D111), $B118 * E111, "")</f>
        <v>0</v>
      </c>
      <c r="G111" s="15">
        <v>1530</v>
      </c>
      <c r="H111" s="16">
        <f t="shared" si="51"/>
        <v>0</v>
      </c>
      <c r="I111" s="19">
        <f>IF(ISNUMBER(G111), $B118 * H111, "")</f>
        <v>0</v>
      </c>
      <c r="J111" s="15">
        <v>1530</v>
      </c>
      <c r="K111" s="16">
        <f t="shared" si="52"/>
        <v>0</v>
      </c>
      <c r="L111" s="19">
        <f>IF(ISNUMBER(J111), $B118 * K111, "")</f>
        <v>0</v>
      </c>
      <c r="M111" s="15">
        <v>1530</v>
      </c>
      <c r="N111" s="16">
        <f t="shared" si="53"/>
        <v>0</v>
      </c>
      <c r="O111" s="19">
        <f>IF(ISNUMBER(M111), $B118 * N111, "")</f>
        <v>0</v>
      </c>
      <c r="Q111" s="163"/>
      <c r="R111" s="163"/>
      <c r="S111" s="163"/>
    </row>
    <row r="112" spans="1:19" ht="17.25" thickBot="1">
      <c r="A112" s="34" t="s">
        <v>150</v>
      </c>
      <c r="B112" s="35">
        <v>4810</v>
      </c>
      <c r="C112" s="22">
        <v>-7.2239421999999998E-3</v>
      </c>
      <c r="D112" s="21">
        <v>4830</v>
      </c>
      <c r="E112" s="22">
        <f t="shared" si="50"/>
        <v>4.1580041580041582E-3</v>
      </c>
      <c r="F112" s="23">
        <f>IF(ISNUMBER(D112), $B118 * E112, "")</f>
        <v>415.80041580041581</v>
      </c>
      <c r="G112" s="21">
        <v>4830</v>
      </c>
      <c r="H112" s="22">
        <f t="shared" si="51"/>
        <v>4.1580041580041582E-3</v>
      </c>
      <c r="I112" s="23">
        <f>IF(ISNUMBER(G112), $B118 * H112, "")</f>
        <v>415.80041580041581</v>
      </c>
      <c r="J112" s="21">
        <v>4810</v>
      </c>
      <c r="K112" s="22">
        <f t="shared" si="52"/>
        <v>0</v>
      </c>
      <c r="L112" s="23">
        <f>IF(ISNUMBER(J112), $B118 * K112, "")</f>
        <v>0</v>
      </c>
      <c r="M112" s="21">
        <v>4810</v>
      </c>
      <c r="N112" s="22">
        <f t="shared" si="53"/>
        <v>0</v>
      </c>
      <c r="O112" s="23">
        <f>IF(ISNUMBER(M112), $B118 * N112, "")</f>
        <v>0</v>
      </c>
      <c r="Q112" s="163"/>
      <c r="R112" s="163"/>
      <c r="S112" s="163"/>
    </row>
    <row r="113" spans="1:19" ht="17.25" thickBot="1">
      <c r="A113" s="32" t="s">
        <v>102</v>
      </c>
      <c r="B113" s="36">
        <v>39560</v>
      </c>
      <c r="C113" s="37">
        <v>-8.0240721999999993E-3</v>
      </c>
      <c r="D113" s="15">
        <v>39620</v>
      </c>
      <c r="E113" s="37">
        <f>IF(ISNUMBER(D113), (D113 - $B113) / $B113, "")</f>
        <v>1.5166835187057635E-3</v>
      </c>
      <c r="F113" s="19">
        <f>IF(ISNUMBER(D113), $B118 * E113, "")</f>
        <v>151.66835187057634</v>
      </c>
      <c r="G113" s="15">
        <v>39620</v>
      </c>
      <c r="H113" s="37">
        <f>IF(ISNUMBER(G113), (G113 - $B113) / $B113, "")</f>
        <v>1.5166835187057635E-3</v>
      </c>
      <c r="I113" s="19">
        <f>IF(ISNUMBER(G113), $B118 * H113, "")</f>
        <v>151.66835187057634</v>
      </c>
      <c r="J113" s="15">
        <v>39560</v>
      </c>
      <c r="K113" s="37">
        <f>IF(ISNUMBER(J113), (J113 - $B113) / $B113, "")</f>
        <v>0</v>
      </c>
      <c r="L113" s="19">
        <f>IF(ISNUMBER(J113), $B118 * K113, "")</f>
        <v>0</v>
      </c>
      <c r="M113" s="15">
        <v>39560</v>
      </c>
      <c r="N113" s="37">
        <f>IF(ISNUMBER(M113), (M113 - $B113) / $B113, "")</f>
        <v>0</v>
      </c>
      <c r="O113" s="19">
        <f>IF(ISNUMBER(M113), $B118 * N113, "")</f>
        <v>0</v>
      </c>
      <c r="Q113" s="164"/>
      <c r="R113" s="164"/>
      <c r="S113" s="164"/>
    </row>
    <row r="114" spans="1:19" ht="17.25" thickBot="1">
      <c r="A114" s="32" t="s">
        <v>90</v>
      </c>
      <c r="B114" s="33">
        <v>334450</v>
      </c>
      <c r="C114" s="16">
        <v>-9.6239266000000007E-3</v>
      </c>
      <c r="D114" s="15">
        <v>334950</v>
      </c>
      <c r="E114" s="16">
        <f t="shared" ref="E114:E117" si="54">IF(ISNUMBER(D114), (D114 - $B114) / $B114, "")</f>
        <v>1.4949917775452235E-3</v>
      </c>
      <c r="F114" s="19">
        <f>IF(ISNUMBER(D114), $B118 * E114, "")</f>
        <v>149.49917775452235</v>
      </c>
      <c r="G114" s="15">
        <v>334950</v>
      </c>
      <c r="H114" s="16">
        <f t="shared" ref="H114:H117" si="55">IF(ISNUMBER(G114), (G114 - $B114) / $B114, "")</f>
        <v>1.4949917775452235E-3</v>
      </c>
      <c r="I114" s="19">
        <f>IF(ISNUMBER(G114), $B118 * H114, "")</f>
        <v>149.49917775452235</v>
      </c>
      <c r="J114" s="15">
        <v>334450</v>
      </c>
      <c r="K114" s="16">
        <f t="shared" ref="K114:K117" si="56">IF(ISNUMBER(J114), (J114 - $B114) / $B114, "")</f>
        <v>0</v>
      </c>
      <c r="L114" s="19">
        <f>IF(ISNUMBER(J114), $B118 * K114, "")</f>
        <v>0</v>
      </c>
      <c r="M114" s="15">
        <v>334450</v>
      </c>
      <c r="N114" s="16">
        <f t="shared" ref="N114:N117" si="57">IF(ISNUMBER(M114), (M114 - $B114) / $B114, "")</f>
        <v>0</v>
      </c>
      <c r="O114" s="19">
        <f>IF(ISNUMBER(M114), $B118 * N114, "")</f>
        <v>0</v>
      </c>
      <c r="Q114" s="164"/>
      <c r="R114" s="164"/>
      <c r="S114" s="164"/>
    </row>
    <row r="115" spans="1:19" ht="17.25" thickBot="1">
      <c r="A115" s="32" t="s">
        <v>74</v>
      </c>
      <c r="B115" s="33">
        <v>26840</v>
      </c>
      <c r="C115" s="16">
        <v>-1.2145749000000001E-2</v>
      </c>
      <c r="D115" s="15">
        <v>26850</v>
      </c>
      <c r="E115" s="16">
        <f t="shared" si="54"/>
        <v>3.7257824143070045E-4</v>
      </c>
      <c r="F115" s="19">
        <f>IF(ISNUMBER(D115), $B118 * E115, "")</f>
        <v>37.257824143070046</v>
      </c>
      <c r="G115" s="15">
        <v>26850</v>
      </c>
      <c r="H115" s="16">
        <f t="shared" si="55"/>
        <v>3.7257824143070045E-4</v>
      </c>
      <c r="I115" s="19">
        <f>IF(ISNUMBER(G115), $B118 * H115, "")</f>
        <v>37.257824143070046</v>
      </c>
      <c r="J115" s="15">
        <v>26840</v>
      </c>
      <c r="K115" s="16">
        <f t="shared" si="56"/>
        <v>0</v>
      </c>
      <c r="L115" s="19">
        <f>IF(ISNUMBER(J115), $B118 * K115, "")</f>
        <v>0</v>
      </c>
      <c r="M115" s="15">
        <v>26840</v>
      </c>
      <c r="N115" s="16">
        <f t="shared" si="57"/>
        <v>0</v>
      </c>
      <c r="O115" s="19">
        <f>IF(ISNUMBER(M115), $B118 * N115, "")</f>
        <v>0</v>
      </c>
      <c r="Q115" s="165"/>
      <c r="R115" s="165"/>
      <c r="S115" s="165"/>
    </row>
    <row r="116" spans="1:19">
      <c r="A116" s="32" t="s">
        <v>178</v>
      </c>
      <c r="B116" s="33">
        <v>44230</v>
      </c>
      <c r="C116" s="16">
        <v>-1.2723214300000001E-2</v>
      </c>
      <c r="D116" s="15">
        <v>44430</v>
      </c>
      <c r="E116" s="16">
        <f t="shared" si="54"/>
        <v>4.5218177707438394E-3</v>
      </c>
      <c r="F116" s="19">
        <f>IF(ISNUMBER(D116), $B118 * E116, "")</f>
        <v>452.18177707438394</v>
      </c>
      <c r="G116" s="15">
        <v>44430</v>
      </c>
      <c r="H116" s="16">
        <f t="shared" si="55"/>
        <v>4.5218177707438394E-3</v>
      </c>
      <c r="I116" s="19">
        <f>IF(ISNUMBER(G116), $B118 * H116, "")</f>
        <v>452.18177707438394</v>
      </c>
      <c r="J116" s="15">
        <v>44230</v>
      </c>
      <c r="K116" s="16">
        <f t="shared" si="56"/>
        <v>0</v>
      </c>
      <c r="L116" s="19">
        <f>IF(ISNUMBER(J116), $B118 * K116, "")</f>
        <v>0</v>
      </c>
      <c r="M116" s="15">
        <v>44230</v>
      </c>
      <c r="N116" s="16">
        <f t="shared" si="57"/>
        <v>0</v>
      </c>
      <c r="O116" s="19">
        <f>IF(ISNUMBER(M116), $B118 * N116, "")</f>
        <v>0</v>
      </c>
      <c r="Q116" s="153"/>
      <c r="R116" s="154"/>
      <c r="S116" s="155"/>
    </row>
    <row r="117" spans="1:19" ht="17.25" thickBot="1">
      <c r="A117" s="34" t="s">
        <v>49</v>
      </c>
      <c r="B117" s="35">
        <v>63578000</v>
      </c>
      <c r="C117" s="22">
        <v>-1.8358114500000002E-2</v>
      </c>
      <c r="D117" s="21">
        <v>63826000</v>
      </c>
      <c r="E117" s="22">
        <f t="shared" si="54"/>
        <v>3.9007203749724748E-3</v>
      </c>
      <c r="F117" s="19">
        <f>IF(ISNUMBER(D117), $B118 * E117, "")</f>
        <v>390.07203749724749</v>
      </c>
      <c r="G117" s="21">
        <v>63826000</v>
      </c>
      <c r="H117" s="22">
        <f t="shared" si="55"/>
        <v>3.9007203749724748E-3</v>
      </c>
      <c r="I117" s="19">
        <f>IF(ISNUMBER(G117), $B118 * H117, "")</f>
        <v>390.07203749724749</v>
      </c>
      <c r="J117" s="21">
        <v>63578000</v>
      </c>
      <c r="K117" s="22">
        <f t="shared" si="56"/>
        <v>0</v>
      </c>
      <c r="L117" s="19">
        <f>IF(ISNUMBER(J117), $B118 * K117, "")</f>
        <v>0</v>
      </c>
      <c r="M117" s="21">
        <v>63578000</v>
      </c>
      <c r="N117" s="22">
        <f t="shared" si="57"/>
        <v>0</v>
      </c>
      <c r="O117" s="19">
        <f>IF(ISNUMBER(M117), $B118 * N117, "")</f>
        <v>0</v>
      </c>
      <c r="Q117" s="156"/>
      <c r="R117" s="157"/>
      <c r="S117" s="158"/>
    </row>
    <row r="118" spans="1:19" ht="17.25" thickBot="1">
      <c r="A118" s="27" t="s">
        <v>42</v>
      </c>
      <c r="B118" s="168">
        <v>100000</v>
      </c>
      <c r="C118" s="169"/>
      <c r="D118" s="27" t="s">
        <v>43</v>
      </c>
      <c r="E118" s="28">
        <f>IF(COUNT(E98:E117), SUM(E98:E117) / COUNT(E98:E117), 0)</f>
        <v>1.1127623639865642E-3</v>
      </c>
      <c r="F118" s="29">
        <f>SUM(F98:F117)</f>
        <v>2225.5247279731293</v>
      </c>
      <c r="G118" s="27" t="s">
        <v>43</v>
      </c>
      <c r="H118" s="28">
        <f>IF(COUNT(H98:H117), SUM(H98:H117) / COUNT(H98:H117), 0)</f>
        <v>1.1127623639865642E-3</v>
      </c>
      <c r="I118" s="29">
        <f>SUM(I98:I117)</f>
        <v>2225.5247279731293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59"/>
      <c r="R118" s="160"/>
      <c r="S118" s="161"/>
    </row>
    <row r="120" spans="1:19" ht="17.25" thickBot="1"/>
    <row r="121" spans="1:19" ht="17.25" thickBot="1">
      <c r="A121" s="111" t="s">
        <v>288</v>
      </c>
      <c r="B121" s="125"/>
      <c r="C121" s="125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12"/>
      <c r="Q121" s="129"/>
      <c r="R121" s="130"/>
      <c r="S121" s="131"/>
    </row>
    <row r="122" spans="1:19" ht="17.25" thickBot="1">
      <c r="A122" s="110" t="s">
        <v>35</v>
      </c>
      <c r="B122" s="111" t="s">
        <v>36</v>
      </c>
      <c r="C122" s="112"/>
      <c r="D122" s="111" t="s">
        <v>37</v>
      </c>
      <c r="E122" s="125"/>
      <c r="F122" s="112"/>
      <c r="G122" s="138">
        <f>_xlfn.IFNA(VLOOKUP(B122, 현재가테이블!$B$2:$D$200, 2, FALSE), "-")</f>
        <v>63826000</v>
      </c>
      <c r="H122" s="139"/>
      <c r="I122" s="140"/>
      <c r="J122" s="111" t="s">
        <v>38</v>
      </c>
      <c r="K122" s="125"/>
      <c r="L122" s="112"/>
      <c r="M122" s="141">
        <f>_xlfn.IFNA(VLOOKUP(B122, 현재가테이블!$B$2:$D$200, 3, FALSE), "-")</f>
        <v>-1.4529004E-2</v>
      </c>
      <c r="N122" s="142"/>
      <c r="O122" s="143"/>
      <c r="Q122" s="132"/>
      <c r="R122" s="133"/>
      <c r="S122" s="134"/>
    </row>
    <row r="123" spans="1:19" ht="17.25" thickBot="1">
      <c r="A123" s="144" t="s">
        <v>39</v>
      </c>
      <c r="B123" s="145" t="str">
        <f>TEXT($G$1, "[$-ko-KR]yyyy-mm-dd(ddd) ") &amp; "오전 00:00"</f>
        <v>2021-04-29(목) 오전 00:00</v>
      </c>
      <c r="C123" s="146"/>
      <c r="D123" s="147" t="str">
        <f>TEXT($G$1, "[$-ko-KR]yyyy-mm-dd(ddd) ") &amp; "오후 14:00"</f>
        <v>2021-04-29(목) 오후 14:00</v>
      </c>
      <c r="E123" s="148"/>
      <c r="F123" s="149"/>
      <c r="G123" s="147" t="str">
        <f>TEXT($G$1, "[$-ko-KR]yyyy-mm-dd(ddd) ") &amp; "오후 19:00"</f>
        <v>2021-04-29(목) 오후 19:00</v>
      </c>
      <c r="H123" s="148"/>
      <c r="I123" s="149"/>
      <c r="J123" s="167" t="str">
        <f>TEXT($G$1, "[$-ko-KR]yyyy-mm-dd(ddd) ") &amp; "오후 21:00"</f>
        <v>2021-04-29(목) 오후 21:00</v>
      </c>
      <c r="K123" s="167"/>
      <c r="L123" s="167"/>
      <c r="M123" s="147" t="str">
        <f>TEXT($G$1+1, "[$-ko-KR]yyyy-mm-dd(ddd) ") &amp; "오전 00:00"</f>
        <v>2021-04-30(금) 오전 00:00</v>
      </c>
      <c r="N123" s="148"/>
      <c r="O123" s="149"/>
      <c r="Q123" s="135"/>
      <c r="R123" s="136"/>
      <c r="S123" s="137"/>
    </row>
    <row r="124" spans="1:19" ht="17.25" thickBot="1">
      <c r="A124" s="144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66"/>
      <c r="R124" s="166"/>
      <c r="S124" s="166"/>
    </row>
    <row r="125" spans="1:19" ht="17.25" thickBot="1">
      <c r="A125" s="30" t="s">
        <v>126</v>
      </c>
      <c r="B125" s="31">
        <v>62.2</v>
      </c>
      <c r="C125" s="14">
        <v>-2.8125000000000001E-2</v>
      </c>
      <c r="D125" s="13">
        <v>62.3</v>
      </c>
      <c r="E125" s="14">
        <f>IF(ISNUMBER(D125), (D125 - $B125) / $B125, "")</f>
        <v>1.6077170418005516E-3</v>
      </c>
      <c r="F125" s="17">
        <f>IF(ISNUMBER(D125), $B145 * E125, "")</f>
        <v>160.77170418005517</v>
      </c>
      <c r="G125" s="13">
        <v>62.3</v>
      </c>
      <c r="H125" s="14">
        <f>IF(ISNUMBER(G125), (G125 - $B125) / $B125, "")</f>
        <v>1.6077170418005516E-3</v>
      </c>
      <c r="I125" s="17">
        <f>IF(ISNUMBER(G125), $B145 * H125, "")</f>
        <v>160.77170418005517</v>
      </c>
      <c r="J125" s="13">
        <v>62.2</v>
      </c>
      <c r="K125" s="14">
        <f>IF(ISNUMBER(J125), (J125 - $B125) / $B125, "")</f>
        <v>0</v>
      </c>
      <c r="L125" s="17">
        <f>IF(ISNUMBER(J125), $B145 * K125, "")</f>
        <v>0</v>
      </c>
      <c r="M125" s="13">
        <v>62.2</v>
      </c>
      <c r="N125" s="14">
        <f>IF(ISNUMBER(M125), (M125 - $B125) / $B125, "")</f>
        <v>0</v>
      </c>
      <c r="O125" s="17">
        <f>IF(ISNUMBER(M125), $B145 * N125, "")</f>
        <v>0</v>
      </c>
      <c r="Q125" s="163"/>
      <c r="R125" s="163"/>
      <c r="S125" s="163"/>
    </row>
    <row r="126" spans="1:19" ht="17.25" thickBot="1">
      <c r="A126" s="32" t="s">
        <v>100</v>
      </c>
      <c r="B126" s="33">
        <v>8.19</v>
      </c>
      <c r="C126" s="16">
        <v>-5.8620689699999999E-2</v>
      </c>
      <c r="D126" s="15">
        <v>8.1999999999999993</v>
      </c>
      <c r="E126" s="16">
        <f t="shared" ref="E126:E129" si="58">IF(ISNUMBER(D126), (D126 - $B126) / $B126, "")</f>
        <v>1.221001221001195E-3</v>
      </c>
      <c r="F126" s="19">
        <f>IF(ISNUMBER(D126), $B145 * E126, "")</f>
        <v>122.10012210011949</v>
      </c>
      <c r="G126" s="15">
        <v>8.1999999999999993</v>
      </c>
      <c r="H126" s="16">
        <f t="shared" ref="H126:H129" si="59">IF(ISNUMBER(G126), (G126 - $B126) / $B126, "")</f>
        <v>1.221001221001195E-3</v>
      </c>
      <c r="I126" s="19">
        <f>IF(ISNUMBER(G126), $B145 * H126, "")</f>
        <v>122.10012210011949</v>
      </c>
      <c r="J126" s="15">
        <v>8.19</v>
      </c>
      <c r="K126" s="16">
        <f t="shared" ref="K126:K129" si="60">IF(ISNUMBER(J126), (J126 - $B126) / $B126, "")</f>
        <v>0</v>
      </c>
      <c r="L126" s="19">
        <f>IF(ISNUMBER(J126), $B145 * K126, "")</f>
        <v>0</v>
      </c>
      <c r="M126" s="15">
        <v>8.19</v>
      </c>
      <c r="N126" s="16">
        <f t="shared" ref="N126:N129" si="61">IF(ISNUMBER(M126), (M126 - $B126) / $B126, "")</f>
        <v>0</v>
      </c>
      <c r="O126" s="19">
        <f>IF(ISNUMBER(M126), $B145 * N126, "")</f>
        <v>0</v>
      </c>
      <c r="Q126" s="163"/>
      <c r="R126" s="163"/>
      <c r="S126" s="163"/>
    </row>
    <row r="127" spans="1:19" ht="17.25" thickBot="1">
      <c r="A127" s="32" t="s">
        <v>65</v>
      </c>
      <c r="B127" s="33">
        <v>69.7</v>
      </c>
      <c r="C127" s="16">
        <v>-6.69344043E-2</v>
      </c>
      <c r="D127" s="15">
        <v>70.099999999999994</v>
      </c>
      <c r="E127" s="16">
        <f t="shared" si="58"/>
        <v>5.7388809182208241E-3</v>
      </c>
      <c r="F127" s="19">
        <f>IF(ISNUMBER(D127), $B145 * E127, "")</f>
        <v>573.8880918220824</v>
      </c>
      <c r="G127" s="15">
        <v>70.099999999999994</v>
      </c>
      <c r="H127" s="16">
        <f t="shared" si="59"/>
        <v>5.7388809182208241E-3</v>
      </c>
      <c r="I127" s="19">
        <f>IF(ISNUMBER(G127), $B145 * H127, "")</f>
        <v>573.8880918220824</v>
      </c>
      <c r="J127" s="15">
        <v>69.7</v>
      </c>
      <c r="K127" s="16">
        <f t="shared" si="60"/>
        <v>0</v>
      </c>
      <c r="L127" s="19">
        <f>IF(ISNUMBER(J127), $B145 * K127, "")</f>
        <v>0</v>
      </c>
      <c r="M127" s="15">
        <v>69.7</v>
      </c>
      <c r="N127" s="16">
        <f t="shared" si="61"/>
        <v>0</v>
      </c>
      <c r="O127" s="19">
        <f>IF(ISNUMBER(M127), $B145 * N127, "")</f>
        <v>0</v>
      </c>
      <c r="Q127" s="164"/>
      <c r="R127" s="164"/>
      <c r="S127" s="164"/>
    </row>
    <row r="128" spans="1:19" ht="17.25" thickBot="1">
      <c r="A128" s="32" t="s">
        <v>152</v>
      </c>
      <c r="B128" s="33">
        <v>44.8</v>
      </c>
      <c r="C128" s="16">
        <v>-7.6288659800000005E-2</v>
      </c>
      <c r="D128" s="15">
        <v>45.2</v>
      </c>
      <c r="E128" s="16">
        <f t="shared" si="58"/>
        <v>8.9285714285715564E-3</v>
      </c>
      <c r="F128" s="19">
        <f>IF(ISNUMBER(D128), $B145 * E128, "")</f>
        <v>892.85714285715562</v>
      </c>
      <c r="G128" s="15">
        <v>45.2</v>
      </c>
      <c r="H128" s="16">
        <f t="shared" si="59"/>
        <v>8.9285714285715564E-3</v>
      </c>
      <c r="I128" s="19">
        <f>IF(ISNUMBER(G128), $B145 * H128, "")</f>
        <v>892.85714285715562</v>
      </c>
      <c r="J128" s="15">
        <v>44.8</v>
      </c>
      <c r="K128" s="16">
        <f t="shared" si="60"/>
        <v>0</v>
      </c>
      <c r="L128" s="19">
        <f>IF(ISNUMBER(J128), $B145 * K128, "")</f>
        <v>0</v>
      </c>
      <c r="M128" s="15">
        <v>44.8</v>
      </c>
      <c r="N128" s="16">
        <f t="shared" si="61"/>
        <v>0</v>
      </c>
      <c r="O128" s="19">
        <f>IF(ISNUMBER(M128), $B145 * N128, "")</f>
        <v>0</v>
      </c>
      <c r="Q128" s="164"/>
      <c r="R128" s="164"/>
      <c r="S128" s="164"/>
    </row>
    <row r="129" spans="1:19" ht="17.25" thickBot="1">
      <c r="A129" s="34" t="s">
        <v>186</v>
      </c>
      <c r="B129" s="35">
        <v>25</v>
      </c>
      <c r="C129" s="22">
        <v>-8.7591240900000006E-2</v>
      </c>
      <c r="D129" s="21">
        <v>24.9</v>
      </c>
      <c r="E129" s="22">
        <f t="shared" si="58"/>
        <v>-4.0000000000000565E-3</v>
      </c>
      <c r="F129" s="23">
        <f>IF(ISNUMBER(D129), $B145 * E129, "")</f>
        <v>-400.00000000000563</v>
      </c>
      <c r="G129" s="21">
        <v>24.9</v>
      </c>
      <c r="H129" s="22">
        <f t="shared" si="59"/>
        <v>-4.0000000000000565E-3</v>
      </c>
      <c r="I129" s="23">
        <f>IF(ISNUMBER(G129), $B145 * H129, "")</f>
        <v>-400.00000000000563</v>
      </c>
      <c r="J129" s="21">
        <v>25</v>
      </c>
      <c r="K129" s="22">
        <f t="shared" si="60"/>
        <v>0</v>
      </c>
      <c r="L129" s="23">
        <f>IF(ISNUMBER(J129), $B145 * K129, "")</f>
        <v>0</v>
      </c>
      <c r="M129" s="21">
        <v>25</v>
      </c>
      <c r="N129" s="22">
        <f t="shared" si="61"/>
        <v>0</v>
      </c>
      <c r="O129" s="23">
        <f>IF(ISNUMBER(M129), $B145 * N129, "")</f>
        <v>0</v>
      </c>
      <c r="Q129" s="165"/>
      <c r="R129" s="165"/>
      <c r="S129" s="165"/>
    </row>
    <row r="130" spans="1:19">
      <c r="A130" s="32" t="s">
        <v>196</v>
      </c>
      <c r="B130" s="36">
        <v>21</v>
      </c>
      <c r="C130" s="37">
        <v>-9.0909090900000003E-2</v>
      </c>
      <c r="D130" s="15">
        <v>21</v>
      </c>
      <c r="E130" s="37">
        <f>IF(ISNUMBER(D130), (D130 - $B130) / $B130, "")</f>
        <v>0</v>
      </c>
      <c r="F130" s="19">
        <f>IF(ISNUMBER(D130), $B145 * E130, "")</f>
        <v>0</v>
      </c>
      <c r="G130" s="15">
        <v>21</v>
      </c>
      <c r="H130" s="37">
        <f>IF(ISNUMBER(G130), (G130 - $B130) / $B130, "")</f>
        <v>0</v>
      </c>
      <c r="I130" s="19">
        <f>IF(ISNUMBER(G130), $B145 * H130, "")</f>
        <v>0</v>
      </c>
      <c r="J130" s="15">
        <v>21</v>
      </c>
      <c r="K130" s="37">
        <f>IF(ISNUMBER(J130), (J130 - $B130) / $B130, "")</f>
        <v>0</v>
      </c>
      <c r="L130" s="19">
        <f>IF(ISNUMBER(J130), $B145 * K130, "")</f>
        <v>0</v>
      </c>
      <c r="M130" s="15">
        <v>21</v>
      </c>
      <c r="N130" s="37">
        <f>IF(ISNUMBER(M130), (M130 - $B130) / $B130, "")</f>
        <v>0</v>
      </c>
      <c r="O130" s="19">
        <f>IF(ISNUMBER(M130), $B145 * N130, "")</f>
        <v>0</v>
      </c>
      <c r="Q130" s="153"/>
      <c r="R130" s="154"/>
      <c r="S130" s="155"/>
    </row>
    <row r="131" spans="1:19">
      <c r="A131" s="32" t="s">
        <v>72</v>
      </c>
      <c r="B131" s="33">
        <v>33.700000000000003</v>
      </c>
      <c r="C131" s="16">
        <v>-9.1644204899999998E-2</v>
      </c>
      <c r="D131" s="15">
        <v>33.700000000000003</v>
      </c>
      <c r="E131" s="16">
        <f t="shared" ref="E131:E134" si="62">IF(ISNUMBER(D131), (D131 - $B131) / $B131, "")</f>
        <v>0</v>
      </c>
      <c r="F131" s="19">
        <f>IF(ISNUMBER(D131), $B145 * E131, "")</f>
        <v>0</v>
      </c>
      <c r="G131" s="15">
        <v>33.700000000000003</v>
      </c>
      <c r="H131" s="16">
        <f t="shared" ref="H131:H134" si="63">IF(ISNUMBER(G131), (G131 - $B131) / $B131, "")</f>
        <v>0</v>
      </c>
      <c r="I131" s="19">
        <f>IF(ISNUMBER(G131), $B145 * H131, "")</f>
        <v>0</v>
      </c>
      <c r="J131" s="15">
        <v>33.700000000000003</v>
      </c>
      <c r="K131" s="16">
        <f t="shared" ref="K131:K134" si="64">IF(ISNUMBER(J131), (J131 - $B131) / $B131, "")</f>
        <v>0</v>
      </c>
      <c r="L131" s="19">
        <f>IF(ISNUMBER(J131), $B145 * K131, "")</f>
        <v>0</v>
      </c>
      <c r="M131" s="15">
        <v>33.700000000000003</v>
      </c>
      <c r="N131" s="16">
        <f t="shared" ref="N131:N134" si="65">IF(ISNUMBER(M131), (M131 - $B131) / $B131, "")</f>
        <v>0</v>
      </c>
      <c r="O131" s="19">
        <f>IF(ISNUMBER(M131), $B145 * N131, "")</f>
        <v>0</v>
      </c>
      <c r="Q131" s="156"/>
      <c r="R131" s="157"/>
      <c r="S131" s="158"/>
    </row>
    <row r="132" spans="1:19" ht="17.25" thickBot="1">
      <c r="A132" s="32" t="s">
        <v>222</v>
      </c>
      <c r="B132" s="33">
        <v>19.899999999999999</v>
      </c>
      <c r="C132" s="16">
        <v>-9.5454545500000001E-2</v>
      </c>
      <c r="D132" s="15">
        <v>19.899999999999999</v>
      </c>
      <c r="E132" s="16">
        <f t="shared" si="62"/>
        <v>0</v>
      </c>
      <c r="F132" s="19">
        <f>IF(ISNUMBER(D132), $B145 * E132, "")</f>
        <v>0</v>
      </c>
      <c r="G132" s="15">
        <v>19.899999999999999</v>
      </c>
      <c r="H132" s="16">
        <f t="shared" si="63"/>
        <v>0</v>
      </c>
      <c r="I132" s="19">
        <f>IF(ISNUMBER(G132), $B145 * H132, "")</f>
        <v>0</v>
      </c>
      <c r="J132" s="15">
        <v>19.899999999999999</v>
      </c>
      <c r="K132" s="16">
        <f t="shared" si="64"/>
        <v>0</v>
      </c>
      <c r="L132" s="19">
        <f>IF(ISNUMBER(J132), $B145 * K132, "")</f>
        <v>0</v>
      </c>
      <c r="M132" s="15">
        <v>19.899999999999999</v>
      </c>
      <c r="N132" s="16">
        <f t="shared" si="65"/>
        <v>0</v>
      </c>
      <c r="O132" s="19">
        <f>IF(ISNUMBER(M132), $B145 * N132, "")</f>
        <v>0</v>
      </c>
      <c r="Q132" s="159"/>
      <c r="R132" s="160"/>
      <c r="S132" s="161"/>
    </row>
    <row r="133" spans="1:19" ht="17.25" thickBot="1">
      <c r="A133" s="32" t="s">
        <v>198</v>
      </c>
      <c r="B133" s="33">
        <v>30.7</v>
      </c>
      <c r="C133" s="16">
        <v>-9.7058823500000002E-2</v>
      </c>
      <c r="D133" s="15">
        <v>30.7</v>
      </c>
      <c r="E133" s="16">
        <f t="shared" si="62"/>
        <v>0</v>
      </c>
      <c r="F133" s="19">
        <f>IF(ISNUMBER(D133), $B145 * E133, "")</f>
        <v>0</v>
      </c>
      <c r="G133" s="15">
        <v>30.7</v>
      </c>
      <c r="H133" s="16">
        <f t="shared" si="63"/>
        <v>0</v>
      </c>
      <c r="I133" s="19">
        <f>IF(ISNUMBER(G133), $B145 * H133, "")</f>
        <v>0</v>
      </c>
      <c r="J133" s="15">
        <v>30.7</v>
      </c>
      <c r="K133" s="16">
        <f t="shared" si="64"/>
        <v>0</v>
      </c>
      <c r="L133" s="19">
        <f>IF(ISNUMBER(J133), $B145 * K133, "")</f>
        <v>0</v>
      </c>
      <c r="M133" s="15">
        <v>30.7</v>
      </c>
      <c r="N133" s="16">
        <f t="shared" si="65"/>
        <v>0</v>
      </c>
      <c r="O133" s="19">
        <f>IF(ISNUMBER(M133), $B145 * N133, "")</f>
        <v>0</v>
      </c>
    </row>
    <row r="134" spans="1:19" ht="17.25" thickBot="1">
      <c r="A134" s="34" t="s">
        <v>268</v>
      </c>
      <c r="B134" s="35">
        <v>93.9</v>
      </c>
      <c r="C134" s="22">
        <v>-9.7115384599999993E-2</v>
      </c>
      <c r="D134" s="21">
        <v>94</v>
      </c>
      <c r="E134" s="22">
        <f t="shared" si="62"/>
        <v>1.0649627263045187E-3</v>
      </c>
      <c r="F134" s="19">
        <f>IF(ISNUMBER(D134), $B145 * E134, "")</f>
        <v>106.49627263045187</v>
      </c>
      <c r="G134" s="21">
        <v>94</v>
      </c>
      <c r="H134" s="22">
        <f t="shared" si="63"/>
        <v>1.0649627263045187E-3</v>
      </c>
      <c r="I134" s="19">
        <f>IF(ISNUMBER(G134), $B145 * H134, "")</f>
        <v>106.49627263045187</v>
      </c>
      <c r="J134" s="21">
        <v>93.9</v>
      </c>
      <c r="K134" s="22">
        <f t="shared" si="64"/>
        <v>0</v>
      </c>
      <c r="L134" s="19">
        <f>IF(ISNUMBER(J134), $B145 * K134, "")</f>
        <v>0</v>
      </c>
      <c r="M134" s="21">
        <v>93.9</v>
      </c>
      <c r="N134" s="22">
        <f t="shared" si="65"/>
        <v>0</v>
      </c>
      <c r="O134" s="19">
        <f>IF(ISNUMBER(M134), $B145 * N134, "")</f>
        <v>0</v>
      </c>
      <c r="Q134" s="129"/>
      <c r="R134" s="130"/>
      <c r="S134" s="131"/>
    </row>
    <row r="135" spans="1:19">
      <c r="A135" s="30" t="s">
        <v>220</v>
      </c>
      <c r="B135" s="31">
        <v>19</v>
      </c>
      <c r="C135" s="14">
        <v>-9.9526066400000002E-2</v>
      </c>
      <c r="D135" s="13">
        <v>19.2</v>
      </c>
      <c r="E135" s="14">
        <f>IF(ISNUMBER(D135), (D135 - $B135) / $B135, "")</f>
        <v>1.0526315789473648E-2</v>
      </c>
      <c r="F135" s="17">
        <f>IF(ISNUMBER(D135), $B145 * E135, "")</f>
        <v>1052.6315789473647</v>
      </c>
      <c r="G135" s="13">
        <v>19.2</v>
      </c>
      <c r="H135" s="14">
        <f>IF(ISNUMBER(G135), (G135 - $B135) / $B135, "")</f>
        <v>1.0526315789473648E-2</v>
      </c>
      <c r="I135" s="17">
        <f>IF(ISNUMBER(G135), $B145 * H135, "")</f>
        <v>1052.6315789473647</v>
      </c>
      <c r="J135" s="13">
        <v>19</v>
      </c>
      <c r="K135" s="14">
        <f>IF(ISNUMBER(J135), (J135 - $B135) / $B135, "")</f>
        <v>0</v>
      </c>
      <c r="L135" s="17">
        <f>IF(ISNUMBER(J135), $B145 * K135, "")</f>
        <v>0</v>
      </c>
      <c r="M135" s="13">
        <v>19</v>
      </c>
      <c r="N135" s="14">
        <f>IF(ISNUMBER(M135), (M135 - $B135) / $B135, "")</f>
        <v>0</v>
      </c>
      <c r="O135" s="17">
        <f>IF(ISNUMBER(M135), $B145 * N135, "")</f>
        <v>0</v>
      </c>
      <c r="Q135" s="132"/>
      <c r="R135" s="133"/>
      <c r="S135" s="134"/>
    </row>
    <row r="136" spans="1:19" ht="17.25" thickBot="1">
      <c r="A136" s="32" t="s">
        <v>218</v>
      </c>
      <c r="B136" s="33">
        <v>31.3</v>
      </c>
      <c r="C136" s="16">
        <v>-0.1005747126</v>
      </c>
      <c r="D136" s="15">
        <v>31.4</v>
      </c>
      <c r="E136" s="16">
        <f t="shared" ref="E136:E139" si="66">IF(ISNUMBER(D136), (D136 - $B136) / $B136, "")</f>
        <v>3.1948881789136698E-3</v>
      </c>
      <c r="F136" s="19">
        <f>IF(ISNUMBER(D136), $B145 * E136, "")</f>
        <v>319.48881789136698</v>
      </c>
      <c r="G136" s="15">
        <v>31.4</v>
      </c>
      <c r="H136" s="16">
        <f t="shared" ref="H136:H139" si="67">IF(ISNUMBER(G136), (G136 - $B136) / $B136, "")</f>
        <v>3.1948881789136698E-3</v>
      </c>
      <c r="I136" s="19">
        <f>IF(ISNUMBER(G136), $B145 * H136, "")</f>
        <v>319.48881789136698</v>
      </c>
      <c r="J136" s="15">
        <v>31.3</v>
      </c>
      <c r="K136" s="16">
        <f t="shared" ref="K136:K139" si="68">IF(ISNUMBER(J136), (J136 - $B136) / $B136, "")</f>
        <v>0</v>
      </c>
      <c r="L136" s="19">
        <f>IF(ISNUMBER(J136), $B145 * K136, "")</f>
        <v>0</v>
      </c>
      <c r="M136" s="15">
        <v>31.3</v>
      </c>
      <c r="N136" s="16">
        <f t="shared" ref="N136:N139" si="69">IF(ISNUMBER(M136), (M136 - $B136) / $B136, "")</f>
        <v>0</v>
      </c>
      <c r="O136" s="19">
        <f>IF(ISNUMBER(M136), $B145 * N136, "")</f>
        <v>0</v>
      </c>
      <c r="Q136" s="135"/>
      <c r="R136" s="136"/>
      <c r="S136" s="137"/>
    </row>
    <row r="137" spans="1:19" ht="17.25" thickBot="1">
      <c r="A137" s="32" t="s">
        <v>228</v>
      </c>
      <c r="B137" s="33">
        <v>19.5</v>
      </c>
      <c r="C137" s="16">
        <v>-0.10138248850000001</v>
      </c>
      <c r="D137" s="15">
        <v>19.5</v>
      </c>
      <c r="E137" s="16">
        <f t="shared" si="66"/>
        <v>0</v>
      </c>
      <c r="F137" s="19">
        <f>IF(ISNUMBER(D137), $B145 * E137, "")</f>
        <v>0</v>
      </c>
      <c r="G137" s="15">
        <v>19.5</v>
      </c>
      <c r="H137" s="16">
        <f t="shared" si="67"/>
        <v>0</v>
      </c>
      <c r="I137" s="19">
        <f>IF(ISNUMBER(G137), $B145 * H137, "")</f>
        <v>0</v>
      </c>
      <c r="J137" s="15">
        <v>19.5</v>
      </c>
      <c r="K137" s="16">
        <f t="shared" si="68"/>
        <v>0</v>
      </c>
      <c r="L137" s="19">
        <f>IF(ISNUMBER(J137), $B145 * K137, "")</f>
        <v>0</v>
      </c>
      <c r="M137" s="15">
        <v>19.5</v>
      </c>
      <c r="N137" s="16">
        <f t="shared" si="69"/>
        <v>0</v>
      </c>
      <c r="O137" s="19">
        <f>IF(ISNUMBER(M137), $B145 * N137, "")</f>
        <v>0</v>
      </c>
      <c r="Q137" s="166"/>
      <c r="R137" s="166"/>
      <c r="S137" s="166"/>
    </row>
    <row r="138" spans="1:19" ht="17.25" thickBot="1">
      <c r="A138" s="32" t="s">
        <v>154</v>
      </c>
      <c r="B138" s="33">
        <v>21.9</v>
      </c>
      <c r="C138" s="16">
        <v>-0.10245901640000001</v>
      </c>
      <c r="D138" s="15">
        <v>21.8</v>
      </c>
      <c r="E138" s="16">
        <f t="shared" si="66"/>
        <v>-4.5662100456620031E-3</v>
      </c>
      <c r="F138" s="19">
        <f>IF(ISNUMBER(D138), $B145 * E138, "")</f>
        <v>-456.62100456620033</v>
      </c>
      <c r="G138" s="15">
        <v>21.8</v>
      </c>
      <c r="H138" s="16">
        <f t="shared" si="67"/>
        <v>-4.5662100456620031E-3</v>
      </c>
      <c r="I138" s="19">
        <f>IF(ISNUMBER(G138), $B145 * H138, "")</f>
        <v>-456.62100456620033</v>
      </c>
      <c r="J138" s="15">
        <v>21.9</v>
      </c>
      <c r="K138" s="16">
        <f t="shared" si="68"/>
        <v>0</v>
      </c>
      <c r="L138" s="19">
        <f>IF(ISNUMBER(J138), $B145 * K138, "")</f>
        <v>0</v>
      </c>
      <c r="M138" s="15">
        <v>21.9</v>
      </c>
      <c r="N138" s="16">
        <f t="shared" si="69"/>
        <v>0</v>
      </c>
      <c r="O138" s="19">
        <f>IF(ISNUMBER(M138), $B145 * N138, "")</f>
        <v>0</v>
      </c>
      <c r="Q138" s="163"/>
      <c r="R138" s="163"/>
      <c r="S138" s="163"/>
    </row>
    <row r="139" spans="1:19" ht="17.25" thickBot="1">
      <c r="A139" s="34" t="s">
        <v>214</v>
      </c>
      <c r="B139" s="35">
        <v>24.3</v>
      </c>
      <c r="C139" s="22">
        <v>-0.1033210332</v>
      </c>
      <c r="D139" s="21">
        <v>24.3</v>
      </c>
      <c r="E139" s="22">
        <f t="shared" si="66"/>
        <v>0</v>
      </c>
      <c r="F139" s="23">
        <f>IF(ISNUMBER(D139), $B145 * E139, "")</f>
        <v>0</v>
      </c>
      <c r="G139" s="21">
        <v>24.3</v>
      </c>
      <c r="H139" s="22">
        <f t="shared" si="67"/>
        <v>0</v>
      </c>
      <c r="I139" s="23">
        <f>IF(ISNUMBER(G139), $B145 * H139, "")</f>
        <v>0</v>
      </c>
      <c r="J139" s="21">
        <v>24.3</v>
      </c>
      <c r="K139" s="22">
        <f t="shared" si="68"/>
        <v>0</v>
      </c>
      <c r="L139" s="23">
        <f>IF(ISNUMBER(J139), $B145 * K139, "")</f>
        <v>0</v>
      </c>
      <c r="M139" s="21">
        <v>24.3</v>
      </c>
      <c r="N139" s="22">
        <f t="shared" si="69"/>
        <v>0</v>
      </c>
      <c r="O139" s="23">
        <f>IF(ISNUMBER(M139), $B145 * N139, "")</f>
        <v>0</v>
      </c>
      <c r="Q139" s="163"/>
      <c r="R139" s="163"/>
      <c r="S139" s="163"/>
    </row>
    <row r="140" spans="1:19" ht="17.25" thickBot="1">
      <c r="A140" s="32" t="s">
        <v>266</v>
      </c>
      <c r="B140" s="36">
        <v>93.2</v>
      </c>
      <c r="C140" s="37">
        <v>-0.10384615379999999</v>
      </c>
      <c r="D140" s="15">
        <v>93.5</v>
      </c>
      <c r="E140" s="37">
        <f>IF(ISNUMBER(D140), (D140 - $B140) / $B140, "")</f>
        <v>3.218884120171643E-3</v>
      </c>
      <c r="F140" s="19">
        <f>IF(ISNUMBER(D140), $B145 * E140, "")</f>
        <v>321.88841201716428</v>
      </c>
      <c r="G140" s="15">
        <v>93.5</v>
      </c>
      <c r="H140" s="37">
        <f>IF(ISNUMBER(G140), (G140 - $B140) / $B140, "")</f>
        <v>3.218884120171643E-3</v>
      </c>
      <c r="I140" s="19">
        <f>IF(ISNUMBER(G140), $B145 * H140, "")</f>
        <v>321.88841201716428</v>
      </c>
      <c r="J140" s="15">
        <v>93.2</v>
      </c>
      <c r="K140" s="37">
        <f>IF(ISNUMBER(J140), (J140 - $B140) / $B140, "")</f>
        <v>0</v>
      </c>
      <c r="L140" s="19">
        <f>IF(ISNUMBER(J140), $B145 * K140, "")</f>
        <v>0</v>
      </c>
      <c r="M140" s="15">
        <v>93.2</v>
      </c>
      <c r="N140" s="37">
        <f>IF(ISNUMBER(M140), (M140 - $B140) / $B140, "")</f>
        <v>0</v>
      </c>
      <c r="O140" s="19">
        <f>IF(ISNUMBER(M140), $B145 * N140, "")</f>
        <v>0</v>
      </c>
      <c r="Q140" s="164"/>
      <c r="R140" s="164"/>
      <c r="S140" s="164"/>
    </row>
    <row r="141" spans="1:19" ht="17.25" thickBot="1">
      <c r="A141" s="32" t="s">
        <v>236</v>
      </c>
      <c r="B141" s="33">
        <v>73.3</v>
      </c>
      <c r="C141" s="16">
        <v>-0.10391198040000001</v>
      </c>
      <c r="D141" s="15">
        <v>73.3</v>
      </c>
      <c r="E141" s="16">
        <f t="shared" ref="E141:E144" si="70">IF(ISNUMBER(D141), (D141 - $B141) / $B141, "")</f>
        <v>0</v>
      </c>
      <c r="F141" s="19">
        <f>IF(ISNUMBER(D141), $B145 * E141, "")</f>
        <v>0</v>
      </c>
      <c r="G141" s="15">
        <v>73.3</v>
      </c>
      <c r="H141" s="16">
        <f t="shared" ref="H141:H144" si="71">IF(ISNUMBER(G141), (G141 - $B141) / $B141, "")</f>
        <v>0</v>
      </c>
      <c r="I141" s="19">
        <f>IF(ISNUMBER(G141), $B145 * H141, "")</f>
        <v>0</v>
      </c>
      <c r="J141" s="15">
        <v>73.3</v>
      </c>
      <c r="K141" s="16">
        <f t="shared" ref="K141:K144" si="72">IF(ISNUMBER(J141), (J141 - $B141) / $B141, "")</f>
        <v>0</v>
      </c>
      <c r="L141" s="19">
        <f>IF(ISNUMBER(J141), $B145 * K141, "")</f>
        <v>0</v>
      </c>
      <c r="M141" s="15">
        <v>73.3</v>
      </c>
      <c r="N141" s="16">
        <f t="shared" ref="N141:N144" si="73">IF(ISNUMBER(M141), (M141 - $B141) / $B141, "")</f>
        <v>0</v>
      </c>
      <c r="O141" s="19">
        <f>IF(ISNUMBER(M141), $B145 * N141, "")</f>
        <v>0</v>
      </c>
      <c r="Q141" s="164"/>
      <c r="R141" s="164"/>
      <c r="S141" s="164"/>
    </row>
    <row r="142" spans="1:19" ht="17.25" thickBot="1">
      <c r="A142" s="32" t="s">
        <v>254</v>
      </c>
      <c r="B142" s="33">
        <v>85.5</v>
      </c>
      <c r="C142" s="16">
        <v>-0.1047120419</v>
      </c>
      <c r="D142" s="15">
        <v>85.4</v>
      </c>
      <c r="E142" s="16">
        <f t="shared" si="70"/>
        <v>-1.1695906432747873E-3</v>
      </c>
      <c r="F142" s="19">
        <f>IF(ISNUMBER(D142), $B145 * E142, "")</f>
        <v>-116.95906432747873</v>
      </c>
      <c r="G142" s="15">
        <v>85.4</v>
      </c>
      <c r="H142" s="16">
        <f t="shared" si="71"/>
        <v>-1.1695906432747873E-3</v>
      </c>
      <c r="I142" s="19">
        <f>IF(ISNUMBER(G142), $B145 * H142, "")</f>
        <v>-116.95906432747873</v>
      </c>
      <c r="J142" s="15">
        <v>85.5</v>
      </c>
      <c r="K142" s="16">
        <f t="shared" si="72"/>
        <v>0</v>
      </c>
      <c r="L142" s="19">
        <f>IF(ISNUMBER(J142), $B145 * K142, "")</f>
        <v>0</v>
      </c>
      <c r="M142" s="15">
        <v>85.5</v>
      </c>
      <c r="N142" s="16">
        <f t="shared" si="73"/>
        <v>0</v>
      </c>
      <c r="O142" s="19">
        <f>IF(ISNUMBER(M142), $B145 * N142, "")</f>
        <v>0</v>
      </c>
      <c r="Q142" s="165"/>
      <c r="R142" s="165"/>
      <c r="S142" s="165"/>
    </row>
    <row r="143" spans="1:19">
      <c r="A143" s="32" t="s">
        <v>172</v>
      </c>
      <c r="B143" s="33">
        <v>28.8</v>
      </c>
      <c r="C143" s="16">
        <v>-0.10559006210000001</v>
      </c>
      <c r="D143" s="15">
        <v>28.8</v>
      </c>
      <c r="E143" s="16">
        <f t="shared" si="70"/>
        <v>0</v>
      </c>
      <c r="F143" s="19">
        <f>IF(ISNUMBER(D143), $B145 * E143, "")</f>
        <v>0</v>
      </c>
      <c r="G143" s="15">
        <v>28.8</v>
      </c>
      <c r="H143" s="16">
        <f t="shared" si="71"/>
        <v>0</v>
      </c>
      <c r="I143" s="19">
        <f>IF(ISNUMBER(G143), $B145 * H143, "")</f>
        <v>0</v>
      </c>
      <c r="J143" s="15">
        <v>28.8</v>
      </c>
      <c r="K143" s="16">
        <f t="shared" si="72"/>
        <v>0</v>
      </c>
      <c r="L143" s="19">
        <f>IF(ISNUMBER(J143), $B145 * K143, "")</f>
        <v>0</v>
      </c>
      <c r="M143" s="15">
        <v>28.8</v>
      </c>
      <c r="N143" s="16">
        <f t="shared" si="73"/>
        <v>0</v>
      </c>
      <c r="O143" s="19">
        <f>IF(ISNUMBER(M143), $B145 * N143, "")</f>
        <v>0</v>
      </c>
      <c r="Q143" s="153"/>
      <c r="R143" s="154"/>
      <c r="S143" s="155"/>
    </row>
    <row r="144" spans="1:19" ht="17.25" thickBot="1">
      <c r="A144" s="34"/>
      <c r="B144" s="35"/>
      <c r="C144" s="22"/>
      <c r="D144" s="21" t="s">
        <v>298</v>
      </c>
      <c r="E144" s="22" t="str">
        <f t="shared" si="70"/>
        <v/>
      </c>
      <c r="F144" s="19" t="str">
        <f>IF(ISNUMBER(D144), $B145 * E144, "")</f>
        <v/>
      </c>
      <c r="G144" s="21" t="s">
        <v>298</v>
      </c>
      <c r="H144" s="22" t="str">
        <f t="shared" si="71"/>
        <v/>
      </c>
      <c r="I144" s="19" t="str">
        <f>IF(ISNUMBER(G144), $B145 * H144, "")</f>
        <v/>
      </c>
      <c r="J144" s="21" t="s">
        <v>298</v>
      </c>
      <c r="K144" s="22" t="str">
        <f t="shared" si="72"/>
        <v/>
      </c>
      <c r="L144" s="19" t="str">
        <f>IF(ISNUMBER(J144), $B145 * K144, "")</f>
        <v/>
      </c>
      <c r="M144" s="21" t="s">
        <v>298</v>
      </c>
      <c r="N144" s="22" t="str">
        <f t="shared" si="73"/>
        <v/>
      </c>
      <c r="O144" s="19" t="str">
        <f>IF(ISNUMBER(M144), $B145 * N144, "")</f>
        <v/>
      </c>
      <c r="Q144" s="156"/>
      <c r="R144" s="157"/>
      <c r="S144" s="158"/>
    </row>
    <row r="145" spans="1:19" ht="17.25" thickBot="1">
      <c r="A145" s="27" t="s">
        <v>42</v>
      </c>
      <c r="B145" s="168">
        <v>100000</v>
      </c>
      <c r="C145" s="169"/>
      <c r="D145" s="27" t="s">
        <v>43</v>
      </c>
      <c r="E145" s="28">
        <f>IF(COUNT(E125:E144), SUM(E125:E144) / COUNT(E125:E144), 0)</f>
        <v>1.3560747755537242E-3</v>
      </c>
      <c r="F145" s="29">
        <f>SUM(F125:F144)</f>
        <v>2576.5420735520756</v>
      </c>
      <c r="G145" s="27" t="s">
        <v>43</v>
      </c>
      <c r="H145" s="28">
        <f>IF(COUNT(H125:H144), SUM(H125:H144) / COUNT(H125:H144), 0)</f>
        <v>1.3560747755537242E-3</v>
      </c>
      <c r="I145" s="29">
        <f>SUM(I125:I144)</f>
        <v>2576.5420735520756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59"/>
      <c r="R145" s="160"/>
      <c r="S145" s="161"/>
    </row>
    <row r="147" spans="1:19" ht="17.25" thickBot="1"/>
    <row r="148" spans="1:19" ht="17.25" thickBot="1">
      <c r="A148" s="111" t="s">
        <v>289</v>
      </c>
      <c r="B148" s="125"/>
      <c r="C148" s="125"/>
      <c r="D148" s="125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12"/>
      <c r="Q148" s="129"/>
      <c r="R148" s="130"/>
      <c r="S148" s="131"/>
    </row>
    <row r="149" spans="1:19" ht="17.25" thickBot="1">
      <c r="A149" s="110" t="s">
        <v>35</v>
      </c>
      <c r="B149" s="111" t="s">
        <v>36</v>
      </c>
      <c r="C149" s="112"/>
      <c r="D149" s="111" t="s">
        <v>37</v>
      </c>
      <c r="E149" s="125"/>
      <c r="F149" s="112"/>
      <c r="G149" s="138">
        <f>_xlfn.IFNA(VLOOKUP(B149, 현재가테이블!$B$2:$D$200, 2, FALSE), "-")</f>
        <v>63826000</v>
      </c>
      <c r="H149" s="139"/>
      <c r="I149" s="140"/>
      <c r="J149" s="111" t="s">
        <v>38</v>
      </c>
      <c r="K149" s="125"/>
      <c r="L149" s="112"/>
      <c r="M149" s="141">
        <f>_xlfn.IFNA(VLOOKUP(B149, 현재가테이블!$B$2:$D$200, 3, FALSE), "-")</f>
        <v>-1.4529004E-2</v>
      </c>
      <c r="N149" s="142"/>
      <c r="O149" s="143"/>
      <c r="Q149" s="132"/>
      <c r="R149" s="133"/>
      <c r="S149" s="134"/>
    </row>
    <row r="150" spans="1:19" ht="17.25" thickBot="1">
      <c r="A150" s="144" t="s">
        <v>39</v>
      </c>
      <c r="B150" s="145" t="str">
        <f>TEXT($G$1, "[$-ko-KR]yyyy-mm-dd(ddd) ") &amp; "오전 00:00"</f>
        <v>2021-04-29(목) 오전 00:00</v>
      </c>
      <c r="C150" s="146"/>
      <c r="D150" s="147" t="str">
        <f>TEXT($G$1, "[$-ko-KR]yyyy-mm-dd(ddd) ") &amp; "오후 14:00"</f>
        <v>2021-04-29(목) 오후 14:00</v>
      </c>
      <c r="E150" s="148"/>
      <c r="F150" s="149"/>
      <c r="G150" s="147" t="str">
        <f>TEXT($G$1, "[$-ko-KR]yyyy-mm-dd(ddd) ") &amp; "오후 19:00"</f>
        <v>2021-04-29(목) 오후 19:00</v>
      </c>
      <c r="H150" s="148"/>
      <c r="I150" s="149"/>
      <c r="J150" s="167" t="str">
        <f>TEXT($G$1, "[$-ko-KR]yyyy-mm-dd(ddd) ") &amp; "오후 21:00"</f>
        <v>2021-04-29(목) 오후 21:00</v>
      </c>
      <c r="K150" s="167"/>
      <c r="L150" s="167"/>
      <c r="M150" s="147" t="str">
        <f>TEXT($G$1+1, "[$-ko-KR]yyyy-mm-dd(ddd) ") &amp; "오전 00:00"</f>
        <v>2021-04-30(금) 오전 00:00</v>
      </c>
      <c r="N150" s="148"/>
      <c r="O150" s="149"/>
      <c r="Q150" s="135"/>
      <c r="R150" s="136"/>
      <c r="S150" s="137"/>
    </row>
    <row r="151" spans="1:19" ht="17.25" thickBot="1">
      <c r="A151" s="144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66"/>
      <c r="R151" s="166"/>
      <c r="S151" s="166"/>
    </row>
    <row r="152" spans="1:19" ht="17.25" thickBot="1">
      <c r="A152" s="30" t="s">
        <v>210</v>
      </c>
      <c r="B152" s="31">
        <v>204</v>
      </c>
      <c r="C152" s="14">
        <v>-8.1081081099999994E-2</v>
      </c>
      <c r="D152" s="13">
        <v>203</v>
      </c>
      <c r="E152" s="14">
        <f>IF(ISNUMBER(D152), (D152 - $B152) / $B152, "")</f>
        <v>-4.9019607843137254E-3</v>
      </c>
      <c r="F152" s="17">
        <f>IF(ISNUMBER(D152), $B172 * E152, "")</f>
        <v>-490.19607843137254</v>
      </c>
      <c r="G152" s="13">
        <v>203</v>
      </c>
      <c r="H152" s="14">
        <f>IF(ISNUMBER(G152), (G152 - $B152) / $B152, "")</f>
        <v>-4.9019607843137254E-3</v>
      </c>
      <c r="I152" s="17">
        <f>IF(ISNUMBER(G152), $B172 * H152, "")</f>
        <v>-490.19607843137254</v>
      </c>
      <c r="J152" s="13">
        <v>204</v>
      </c>
      <c r="K152" s="14">
        <f>IF(ISNUMBER(J152), (J152 - $B152) / $B152, "")</f>
        <v>0</v>
      </c>
      <c r="L152" s="17">
        <f>IF(ISNUMBER(J152), $B172 * K152, "")</f>
        <v>0</v>
      </c>
      <c r="M152" s="13">
        <v>204</v>
      </c>
      <c r="N152" s="14">
        <f>IF(ISNUMBER(M152), (M152 - $B152) / $B152, "")</f>
        <v>0</v>
      </c>
      <c r="O152" s="17">
        <f>IF(ISNUMBER(M152), $B172 * N152, "")</f>
        <v>0</v>
      </c>
      <c r="Q152" s="163"/>
      <c r="R152" s="163"/>
      <c r="S152" s="163"/>
    </row>
    <row r="153" spans="1:19" ht="17.25" thickBot="1">
      <c r="A153" s="32" t="s">
        <v>284</v>
      </c>
      <c r="B153" s="33">
        <v>429</v>
      </c>
      <c r="C153" s="16">
        <v>-8.3333333300000006E-2</v>
      </c>
      <c r="D153" s="15">
        <v>430</v>
      </c>
      <c r="E153" s="16">
        <f t="shared" ref="E153:E156" si="74">IF(ISNUMBER(D153), (D153 - $B153) / $B153, "")</f>
        <v>2.331002331002331E-3</v>
      </c>
      <c r="F153" s="19">
        <f>IF(ISNUMBER(D153), $B172 * E153, "")</f>
        <v>233.10023310023311</v>
      </c>
      <c r="G153" s="15">
        <v>430</v>
      </c>
      <c r="H153" s="16">
        <f t="shared" ref="H153:H156" si="75">IF(ISNUMBER(G153), (G153 - $B153) / $B153, "")</f>
        <v>2.331002331002331E-3</v>
      </c>
      <c r="I153" s="19">
        <f>IF(ISNUMBER(G153), $B172 * H153, "")</f>
        <v>233.10023310023311</v>
      </c>
      <c r="J153" s="15">
        <v>429</v>
      </c>
      <c r="K153" s="16">
        <f t="shared" ref="K153:K156" si="76">IF(ISNUMBER(J153), (J153 - $B153) / $B153, "")</f>
        <v>0</v>
      </c>
      <c r="L153" s="19">
        <f>IF(ISNUMBER(J153), $B172 * K153, "")</f>
        <v>0</v>
      </c>
      <c r="M153" s="15">
        <v>429</v>
      </c>
      <c r="N153" s="16">
        <f t="shared" ref="N153:N156" si="77">IF(ISNUMBER(M153), (M153 - $B153) / $B153, "")</f>
        <v>0</v>
      </c>
      <c r="O153" s="19">
        <f>IF(ISNUMBER(M153), $B172 * N153, "")</f>
        <v>0</v>
      </c>
      <c r="Q153" s="163"/>
      <c r="R153" s="163"/>
      <c r="S153" s="163"/>
    </row>
    <row r="154" spans="1:19" ht="17.25" thickBot="1">
      <c r="A154" s="32" t="s">
        <v>252</v>
      </c>
      <c r="B154" s="33">
        <v>572</v>
      </c>
      <c r="C154" s="16">
        <v>-8.3333333300000006E-2</v>
      </c>
      <c r="D154" s="15">
        <v>574</v>
      </c>
      <c r="E154" s="16">
        <f t="shared" si="74"/>
        <v>3.4965034965034965E-3</v>
      </c>
      <c r="F154" s="19">
        <f>IF(ISNUMBER(D154), $B172 * E154, "")</f>
        <v>349.65034965034965</v>
      </c>
      <c r="G154" s="15">
        <v>574</v>
      </c>
      <c r="H154" s="16">
        <f t="shared" si="75"/>
        <v>3.4965034965034965E-3</v>
      </c>
      <c r="I154" s="19">
        <f>IF(ISNUMBER(G154), $B172 * H154, "")</f>
        <v>349.65034965034965</v>
      </c>
      <c r="J154" s="15">
        <v>572</v>
      </c>
      <c r="K154" s="16">
        <f t="shared" si="76"/>
        <v>0</v>
      </c>
      <c r="L154" s="19">
        <f>IF(ISNUMBER(J154), $B172 * K154, "")</f>
        <v>0</v>
      </c>
      <c r="M154" s="15">
        <v>572</v>
      </c>
      <c r="N154" s="16">
        <f t="shared" si="77"/>
        <v>0</v>
      </c>
      <c r="O154" s="19">
        <f>IF(ISNUMBER(M154), $B172 * N154, "")</f>
        <v>0</v>
      </c>
      <c r="Q154" s="164"/>
      <c r="R154" s="164"/>
      <c r="S154" s="164"/>
    </row>
    <row r="155" spans="1:19" ht="17.25" thickBot="1">
      <c r="A155" s="32" t="s">
        <v>232</v>
      </c>
      <c r="B155" s="33">
        <v>176</v>
      </c>
      <c r="C155" s="16">
        <v>-8.3333333300000006E-2</v>
      </c>
      <c r="D155" s="15">
        <v>176</v>
      </c>
      <c r="E155" s="16">
        <f t="shared" si="74"/>
        <v>0</v>
      </c>
      <c r="F155" s="19">
        <f>IF(ISNUMBER(D155), $B172 * E155, "")</f>
        <v>0</v>
      </c>
      <c r="G155" s="15">
        <v>176</v>
      </c>
      <c r="H155" s="16">
        <f t="shared" si="75"/>
        <v>0</v>
      </c>
      <c r="I155" s="19">
        <f>IF(ISNUMBER(G155), $B172 * H155, "")</f>
        <v>0</v>
      </c>
      <c r="J155" s="15">
        <v>176</v>
      </c>
      <c r="K155" s="16">
        <f t="shared" si="76"/>
        <v>0</v>
      </c>
      <c r="L155" s="19">
        <f>IF(ISNUMBER(J155), $B172 * K155, "")</f>
        <v>0</v>
      </c>
      <c r="M155" s="15">
        <v>176</v>
      </c>
      <c r="N155" s="16">
        <f t="shared" si="77"/>
        <v>0</v>
      </c>
      <c r="O155" s="19">
        <f>IF(ISNUMBER(M155), $B172 * N155, "")</f>
        <v>0</v>
      </c>
      <c r="Q155" s="164"/>
      <c r="R155" s="164"/>
      <c r="S155" s="164"/>
    </row>
    <row r="156" spans="1:19" ht="17.25" thickBot="1">
      <c r="A156" s="34" t="s">
        <v>250</v>
      </c>
      <c r="B156" s="35">
        <v>216</v>
      </c>
      <c r="C156" s="22">
        <v>-8.4745762700000005E-2</v>
      </c>
      <c r="D156" s="21">
        <v>215</v>
      </c>
      <c r="E156" s="22">
        <f t="shared" si="74"/>
        <v>-4.6296296296296294E-3</v>
      </c>
      <c r="F156" s="23">
        <f>IF(ISNUMBER(D156), $B172 * E156, "")</f>
        <v>-462.96296296296293</v>
      </c>
      <c r="G156" s="21">
        <v>215</v>
      </c>
      <c r="H156" s="22">
        <f t="shared" si="75"/>
        <v>-4.6296296296296294E-3</v>
      </c>
      <c r="I156" s="23">
        <f>IF(ISNUMBER(G156), $B172 * H156, "")</f>
        <v>-462.96296296296293</v>
      </c>
      <c r="J156" s="21">
        <v>216</v>
      </c>
      <c r="K156" s="22">
        <f t="shared" si="76"/>
        <v>0</v>
      </c>
      <c r="L156" s="23">
        <f>IF(ISNUMBER(J156), $B172 * K156, "")</f>
        <v>0</v>
      </c>
      <c r="M156" s="21">
        <v>216</v>
      </c>
      <c r="N156" s="22">
        <f t="shared" si="77"/>
        <v>0</v>
      </c>
      <c r="O156" s="23">
        <f>IF(ISNUMBER(M156), $B172 * N156, "")</f>
        <v>0</v>
      </c>
      <c r="Q156" s="165"/>
      <c r="R156" s="165"/>
      <c r="S156" s="165"/>
    </row>
    <row r="157" spans="1:19">
      <c r="A157" s="32" t="s">
        <v>216</v>
      </c>
      <c r="B157" s="36">
        <v>437</v>
      </c>
      <c r="C157" s="37">
        <v>-8.7682672200000006E-2</v>
      </c>
      <c r="D157" s="15">
        <v>438</v>
      </c>
      <c r="E157" s="37">
        <f>IF(ISNUMBER(D157), (D157 - $B157) / $B157, "")</f>
        <v>2.2883295194508009E-3</v>
      </c>
      <c r="F157" s="19">
        <f>IF(ISNUMBER(D157), $B172 * E157, "")</f>
        <v>228.83295194508008</v>
      </c>
      <c r="G157" s="15">
        <v>438</v>
      </c>
      <c r="H157" s="37">
        <f>IF(ISNUMBER(G157), (G157 - $B157) / $B157, "")</f>
        <v>2.2883295194508009E-3</v>
      </c>
      <c r="I157" s="19">
        <f>IF(ISNUMBER(G157), $B172 * H157, "")</f>
        <v>228.83295194508008</v>
      </c>
      <c r="J157" s="15">
        <v>437</v>
      </c>
      <c r="K157" s="37">
        <f>IF(ISNUMBER(J157), (J157 - $B157) / $B157, "")</f>
        <v>0</v>
      </c>
      <c r="L157" s="19">
        <f>IF(ISNUMBER(J157), $B172 * K157, "")</f>
        <v>0</v>
      </c>
      <c r="M157" s="15">
        <v>437</v>
      </c>
      <c r="N157" s="37">
        <f>IF(ISNUMBER(M157), (M157 - $B157) / $B157, "")</f>
        <v>0</v>
      </c>
      <c r="O157" s="19">
        <f>IF(ISNUMBER(M157), $B172 * N157, "")</f>
        <v>0</v>
      </c>
      <c r="Q157" s="153"/>
      <c r="R157" s="154"/>
      <c r="S157" s="155"/>
    </row>
    <row r="158" spans="1:19">
      <c r="A158" s="32" t="s">
        <v>230</v>
      </c>
      <c r="B158" s="33">
        <v>178</v>
      </c>
      <c r="C158" s="16">
        <v>-9.1836734700000006E-2</v>
      </c>
      <c r="D158" s="15">
        <v>178</v>
      </c>
      <c r="E158" s="16">
        <f t="shared" ref="E158:E161" si="78">IF(ISNUMBER(D158), (D158 - $B158) / $B158, "")</f>
        <v>0</v>
      </c>
      <c r="F158" s="19">
        <f>IF(ISNUMBER(D158), $B172 * E158, "")</f>
        <v>0</v>
      </c>
      <c r="G158" s="15">
        <v>178</v>
      </c>
      <c r="H158" s="16">
        <f t="shared" ref="H158:H161" si="79">IF(ISNUMBER(G158), (G158 - $B158) / $B158, "")</f>
        <v>0</v>
      </c>
      <c r="I158" s="19">
        <f>IF(ISNUMBER(G158), $B172 * H158, "")</f>
        <v>0</v>
      </c>
      <c r="J158" s="15">
        <v>178</v>
      </c>
      <c r="K158" s="16">
        <f t="shared" ref="K158:K161" si="80">IF(ISNUMBER(J158), (J158 - $B158) / $B158, "")</f>
        <v>0</v>
      </c>
      <c r="L158" s="19">
        <f>IF(ISNUMBER(J158), $B172 * K158, "")</f>
        <v>0</v>
      </c>
      <c r="M158" s="15">
        <v>178</v>
      </c>
      <c r="N158" s="16">
        <f t="shared" ref="N158:N161" si="81">IF(ISNUMBER(M158), (M158 - $B158) / $B158, "")</f>
        <v>0</v>
      </c>
      <c r="O158" s="19">
        <f>IF(ISNUMBER(M158), $B172 * N158, "")</f>
        <v>0</v>
      </c>
      <c r="Q158" s="156"/>
      <c r="R158" s="157"/>
      <c r="S158" s="158"/>
    </row>
    <row r="159" spans="1:19" ht="17.25" thickBot="1">
      <c r="A159" s="32" t="s">
        <v>238</v>
      </c>
      <c r="B159" s="33">
        <v>306</v>
      </c>
      <c r="C159" s="16">
        <v>-9.1988130599999995E-2</v>
      </c>
      <c r="D159" s="15">
        <v>306</v>
      </c>
      <c r="E159" s="16">
        <f t="shared" si="78"/>
        <v>0</v>
      </c>
      <c r="F159" s="19">
        <f>IF(ISNUMBER(D159), $B172 * E159, "")</f>
        <v>0</v>
      </c>
      <c r="G159" s="15">
        <v>306</v>
      </c>
      <c r="H159" s="16">
        <f t="shared" si="79"/>
        <v>0</v>
      </c>
      <c r="I159" s="19">
        <f>IF(ISNUMBER(G159), $B172 * H159, "")</f>
        <v>0</v>
      </c>
      <c r="J159" s="15">
        <v>306</v>
      </c>
      <c r="K159" s="16">
        <f t="shared" si="80"/>
        <v>0</v>
      </c>
      <c r="L159" s="19">
        <f>IF(ISNUMBER(J159), $B172 * K159, "")</f>
        <v>0</v>
      </c>
      <c r="M159" s="15">
        <v>306</v>
      </c>
      <c r="N159" s="16">
        <f t="shared" si="81"/>
        <v>0</v>
      </c>
      <c r="O159" s="19">
        <f>IF(ISNUMBER(M159), $B172 * N159, "")</f>
        <v>0</v>
      </c>
      <c r="Q159" s="159"/>
      <c r="R159" s="160"/>
      <c r="S159" s="161"/>
    </row>
    <row r="160" spans="1:19" ht="17.25" thickBot="1">
      <c r="A160" s="32" t="s">
        <v>200</v>
      </c>
      <c r="B160" s="33">
        <v>400</v>
      </c>
      <c r="C160" s="16">
        <v>-0.1011235955</v>
      </c>
      <c r="D160" s="15">
        <v>400</v>
      </c>
      <c r="E160" s="16">
        <f t="shared" si="78"/>
        <v>0</v>
      </c>
      <c r="F160" s="19">
        <f>IF(ISNUMBER(D160), $B172 * E160, "")</f>
        <v>0</v>
      </c>
      <c r="G160" s="15">
        <v>400</v>
      </c>
      <c r="H160" s="16">
        <f t="shared" si="79"/>
        <v>0</v>
      </c>
      <c r="I160" s="19">
        <f>IF(ISNUMBER(G160), $B172 * H160, "")</f>
        <v>0</v>
      </c>
      <c r="J160" s="15">
        <v>400</v>
      </c>
      <c r="K160" s="16">
        <f t="shared" si="80"/>
        <v>0</v>
      </c>
      <c r="L160" s="19">
        <f>IF(ISNUMBER(J160), $B172 * K160, "")</f>
        <v>0</v>
      </c>
      <c r="M160" s="15">
        <v>400</v>
      </c>
      <c r="N160" s="16">
        <f t="shared" si="81"/>
        <v>0</v>
      </c>
      <c r="O160" s="19">
        <f>IF(ISNUMBER(M160), $B172 * N160, "")</f>
        <v>0</v>
      </c>
    </row>
    <row r="161" spans="1:19" ht="17.25" thickBot="1">
      <c r="A161" s="34" t="s">
        <v>134</v>
      </c>
      <c r="B161" s="35">
        <v>149</v>
      </c>
      <c r="C161" s="22">
        <v>-0.10240963860000001</v>
      </c>
      <c r="D161" s="21">
        <v>149</v>
      </c>
      <c r="E161" s="22">
        <f t="shared" si="78"/>
        <v>0</v>
      </c>
      <c r="F161" s="19">
        <f>IF(ISNUMBER(D161), $B172 * E161, "")</f>
        <v>0</v>
      </c>
      <c r="G161" s="21">
        <v>149</v>
      </c>
      <c r="H161" s="22">
        <f t="shared" si="79"/>
        <v>0</v>
      </c>
      <c r="I161" s="19">
        <f>IF(ISNUMBER(G161), $B172 * H161, "")</f>
        <v>0</v>
      </c>
      <c r="J161" s="21">
        <v>149</v>
      </c>
      <c r="K161" s="22">
        <f t="shared" si="80"/>
        <v>0</v>
      </c>
      <c r="L161" s="19">
        <f>IF(ISNUMBER(J161), $B172 * K161, "")</f>
        <v>0</v>
      </c>
      <c r="M161" s="21">
        <v>149</v>
      </c>
      <c r="N161" s="22">
        <f t="shared" si="81"/>
        <v>0</v>
      </c>
      <c r="O161" s="19">
        <f>IF(ISNUMBER(M161), $B172 * N161, "")</f>
        <v>0</v>
      </c>
      <c r="Q161" s="129"/>
      <c r="R161" s="130"/>
      <c r="S161" s="131"/>
    </row>
    <row r="162" spans="1:19">
      <c r="A162" s="30" t="s">
        <v>208</v>
      </c>
      <c r="B162" s="31">
        <v>505</v>
      </c>
      <c r="C162" s="14">
        <v>-0.1030195382</v>
      </c>
      <c r="D162" s="13">
        <v>506</v>
      </c>
      <c r="E162" s="14">
        <f>IF(ISNUMBER(D162), (D162 - $B162) / $B162, "")</f>
        <v>1.9801980198019802E-3</v>
      </c>
      <c r="F162" s="17">
        <f>IF(ISNUMBER(D162), $B172 * E162, "")</f>
        <v>198.01980198019803</v>
      </c>
      <c r="G162" s="13">
        <v>506</v>
      </c>
      <c r="H162" s="14">
        <f>IF(ISNUMBER(G162), (G162 - $B162) / $B162, "")</f>
        <v>1.9801980198019802E-3</v>
      </c>
      <c r="I162" s="17">
        <f>IF(ISNUMBER(G162), $B172 * H162, "")</f>
        <v>198.01980198019803</v>
      </c>
      <c r="J162" s="13">
        <v>505</v>
      </c>
      <c r="K162" s="14">
        <f>IF(ISNUMBER(J162), (J162 - $B162) / $B162, "")</f>
        <v>0</v>
      </c>
      <c r="L162" s="17">
        <f>IF(ISNUMBER(J162), $B172 * K162, "")</f>
        <v>0</v>
      </c>
      <c r="M162" s="13">
        <v>505</v>
      </c>
      <c r="N162" s="14">
        <f>IF(ISNUMBER(M162), (M162 - $B162) / $B162, "")</f>
        <v>0</v>
      </c>
      <c r="O162" s="17">
        <f>IF(ISNUMBER(M162), $B172 * N162, "")</f>
        <v>0</v>
      </c>
      <c r="Q162" s="132"/>
      <c r="R162" s="133"/>
      <c r="S162" s="134"/>
    </row>
    <row r="163" spans="1:19" ht="17.25" thickBot="1">
      <c r="A163" s="32" t="s">
        <v>136</v>
      </c>
      <c r="B163" s="33">
        <v>225</v>
      </c>
      <c r="C163" s="16">
        <v>-0.1035856574</v>
      </c>
      <c r="D163" s="15">
        <v>226</v>
      </c>
      <c r="E163" s="16">
        <f t="shared" ref="E163:E166" si="82">IF(ISNUMBER(D163), (D163 - $B163) / $B163, "")</f>
        <v>4.4444444444444444E-3</v>
      </c>
      <c r="F163" s="19">
        <f>IF(ISNUMBER(D163), $B172 * E163, "")</f>
        <v>444.44444444444446</v>
      </c>
      <c r="G163" s="15">
        <v>226</v>
      </c>
      <c r="H163" s="16">
        <f t="shared" ref="H163:H166" si="83">IF(ISNUMBER(G163), (G163 - $B163) / $B163, "")</f>
        <v>4.4444444444444444E-3</v>
      </c>
      <c r="I163" s="19">
        <f>IF(ISNUMBER(G163), $B172 * H163, "")</f>
        <v>444.44444444444446</v>
      </c>
      <c r="J163" s="15">
        <v>225</v>
      </c>
      <c r="K163" s="16">
        <f t="shared" ref="K163:K166" si="84">IF(ISNUMBER(J163), (J163 - $B163) / $B163, "")</f>
        <v>0</v>
      </c>
      <c r="L163" s="19">
        <f>IF(ISNUMBER(J163), $B172 * K163, "")</f>
        <v>0</v>
      </c>
      <c r="M163" s="15">
        <v>225</v>
      </c>
      <c r="N163" s="16">
        <f t="shared" ref="N163:N166" si="85">IF(ISNUMBER(M163), (M163 - $B163) / $B163, "")</f>
        <v>0</v>
      </c>
      <c r="O163" s="19">
        <f>IF(ISNUMBER(M163), $B172 * N163, "")</f>
        <v>0</v>
      </c>
      <c r="Q163" s="135"/>
      <c r="R163" s="136"/>
      <c r="S163" s="137"/>
    </row>
    <row r="164" spans="1:19" ht="17.25" thickBot="1">
      <c r="A164" s="32" t="s">
        <v>246</v>
      </c>
      <c r="B164" s="33">
        <v>437</v>
      </c>
      <c r="C164" s="16">
        <v>-0.1045081967</v>
      </c>
      <c r="D164" s="15">
        <v>439</v>
      </c>
      <c r="E164" s="16">
        <f t="shared" si="82"/>
        <v>4.5766590389016018E-3</v>
      </c>
      <c r="F164" s="19">
        <f>IF(ISNUMBER(D164), $B172 * E164, "")</f>
        <v>457.66590389016017</v>
      </c>
      <c r="G164" s="15">
        <v>439</v>
      </c>
      <c r="H164" s="16">
        <f t="shared" si="83"/>
        <v>4.5766590389016018E-3</v>
      </c>
      <c r="I164" s="19">
        <f>IF(ISNUMBER(G164), $B172 * H164, "")</f>
        <v>457.66590389016017</v>
      </c>
      <c r="J164" s="15">
        <v>437</v>
      </c>
      <c r="K164" s="16">
        <f t="shared" si="84"/>
        <v>0</v>
      </c>
      <c r="L164" s="19">
        <f>IF(ISNUMBER(J164), $B172 * K164, "")</f>
        <v>0</v>
      </c>
      <c r="M164" s="15">
        <v>437</v>
      </c>
      <c r="N164" s="16">
        <f t="shared" si="85"/>
        <v>0</v>
      </c>
      <c r="O164" s="19">
        <f>IF(ISNUMBER(M164), $B172 * N164, "")</f>
        <v>0</v>
      </c>
      <c r="Q164" s="166"/>
      <c r="R164" s="166"/>
      <c r="S164" s="166"/>
    </row>
    <row r="165" spans="1:19" ht="17.25" thickBot="1">
      <c r="A165" s="32" t="s">
        <v>202</v>
      </c>
      <c r="B165" s="33">
        <v>205</v>
      </c>
      <c r="C165" s="16">
        <v>-0.1048034934</v>
      </c>
      <c r="D165" s="15">
        <v>206</v>
      </c>
      <c r="E165" s="16">
        <f t="shared" si="82"/>
        <v>4.8780487804878049E-3</v>
      </c>
      <c r="F165" s="19">
        <f>IF(ISNUMBER(D165), $B172 * E165, "")</f>
        <v>487.80487804878049</v>
      </c>
      <c r="G165" s="15">
        <v>206</v>
      </c>
      <c r="H165" s="16">
        <f t="shared" si="83"/>
        <v>4.8780487804878049E-3</v>
      </c>
      <c r="I165" s="19">
        <f>IF(ISNUMBER(G165), $B172 * H165, "")</f>
        <v>487.80487804878049</v>
      </c>
      <c r="J165" s="15">
        <v>205</v>
      </c>
      <c r="K165" s="16">
        <f t="shared" si="84"/>
        <v>0</v>
      </c>
      <c r="L165" s="19">
        <f>IF(ISNUMBER(J165), $B172 * K165, "")</f>
        <v>0</v>
      </c>
      <c r="M165" s="15">
        <v>205</v>
      </c>
      <c r="N165" s="16">
        <f t="shared" si="85"/>
        <v>0</v>
      </c>
      <c r="O165" s="19">
        <f>IF(ISNUMBER(M165), $B172 * N165, "")</f>
        <v>0</v>
      </c>
      <c r="Q165" s="163"/>
      <c r="R165" s="163"/>
      <c r="S165" s="163"/>
    </row>
    <row r="166" spans="1:19" ht="17.25" thickBot="1">
      <c r="A166" s="34" t="s">
        <v>112</v>
      </c>
      <c r="B166" s="35">
        <v>269</v>
      </c>
      <c r="C166" s="22">
        <v>-0.10631229239999999</v>
      </c>
      <c r="D166" s="21">
        <v>268</v>
      </c>
      <c r="E166" s="22">
        <f t="shared" si="82"/>
        <v>-3.7174721189591076E-3</v>
      </c>
      <c r="F166" s="23">
        <f>IF(ISNUMBER(D166), $B172 * E166, "")</f>
        <v>-371.74721189591077</v>
      </c>
      <c r="G166" s="21">
        <v>268</v>
      </c>
      <c r="H166" s="22">
        <f t="shared" si="83"/>
        <v>-3.7174721189591076E-3</v>
      </c>
      <c r="I166" s="23">
        <f>IF(ISNUMBER(G166), $B172 * H166, "")</f>
        <v>-371.74721189591077</v>
      </c>
      <c r="J166" s="21">
        <v>269</v>
      </c>
      <c r="K166" s="22">
        <f t="shared" si="84"/>
        <v>0</v>
      </c>
      <c r="L166" s="23">
        <f>IF(ISNUMBER(J166), $B172 * K166, "")</f>
        <v>0</v>
      </c>
      <c r="M166" s="21">
        <v>269</v>
      </c>
      <c r="N166" s="22">
        <f t="shared" si="85"/>
        <v>0</v>
      </c>
      <c r="O166" s="23">
        <f>IF(ISNUMBER(M166), $B172 * N166, "")</f>
        <v>0</v>
      </c>
      <c r="Q166" s="163"/>
      <c r="R166" s="163"/>
      <c r="S166" s="163"/>
    </row>
    <row r="167" spans="1:19" ht="17.25" thickBot="1">
      <c r="A167" s="32" t="s">
        <v>226</v>
      </c>
      <c r="B167" s="36">
        <v>517</v>
      </c>
      <c r="C167" s="37">
        <v>-0.10708117440000001</v>
      </c>
      <c r="D167" s="15">
        <v>518</v>
      </c>
      <c r="E167" s="37">
        <f>IF(ISNUMBER(D167), (D167 - $B167) / $B167, "")</f>
        <v>1.9342359767891683E-3</v>
      </c>
      <c r="F167" s="19">
        <f>IF(ISNUMBER(D167), $B172 * E167, "")</f>
        <v>193.42359767891682</v>
      </c>
      <c r="G167" s="15">
        <v>518</v>
      </c>
      <c r="H167" s="37">
        <f>IF(ISNUMBER(G167), (G167 - $B167) / $B167, "")</f>
        <v>1.9342359767891683E-3</v>
      </c>
      <c r="I167" s="19">
        <f>IF(ISNUMBER(G167), $B172 * H167, "")</f>
        <v>193.42359767891682</v>
      </c>
      <c r="J167" s="15">
        <v>517</v>
      </c>
      <c r="K167" s="37">
        <f>IF(ISNUMBER(J167), (J167 - $B167) / $B167, "")</f>
        <v>0</v>
      </c>
      <c r="L167" s="19">
        <f>IF(ISNUMBER(J167), $B172 * K167, "")</f>
        <v>0</v>
      </c>
      <c r="M167" s="15">
        <v>517</v>
      </c>
      <c r="N167" s="37">
        <f>IF(ISNUMBER(M167), (M167 - $B167) / $B167, "")</f>
        <v>0</v>
      </c>
      <c r="O167" s="19">
        <f>IF(ISNUMBER(M167), $B172 * N167, "")</f>
        <v>0</v>
      </c>
      <c r="Q167" s="164"/>
      <c r="R167" s="164"/>
      <c r="S167" s="164"/>
    </row>
    <row r="168" spans="1:19" ht="17.25" thickBot="1">
      <c r="A168" s="32" t="s">
        <v>122</v>
      </c>
      <c r="B168" s="33">
        <v>116</v>
      </c>
      <c r="C168" s="16">
        <v>-0.1076923077</v>
      </c>
      <c r="D168" s="15">
        <v>116</v>
      </c>
      <c r="E168" s="16">
        <f t="shared" ref="E168:E171" si="86">IF(ISNUMBER(D168), (D168 - $B168) / $B168, "")</f>
        <v>0</v>
      </c>
      <c r="F168" s="19">
        <f>IF(ISNUMBER(D168), $B172 * E168, "")</f>
        <v>0</v>
      </c>
      <c r="G168" s="15">
        <v>116</v>
      </c>
      <c r="H168" s="16">
        <f t="shared" ref="H168:H171" si="87">IF(ISNUMBER(G168), (G168 - $B168) / $B168, "")</f>
        <v>0</v>
      </c>
      <c r="I168" s="19">
        <f>IF(ISNUMBER(G168), $B172 * H168, "")</f>
        <v>0</v>
      </c>
      <c r="J168" s="15">
        <v>116</v>
      </c>
      <c r="K168" s="16">
        <f t="shared" ref="K168:K171" si="88">IF(ISNUMBER(J168), (J168 - $B168) / $B168, "")</f>
        <v>0</v>
      </c>
      <c r="L168" s="19">
        <f>IF(ISNUMBER(J168), $B172 * K168, "")</f>
        <v>0</v>
      </c>
      <c r="M168" s="15">
        <v>116</v>
      </c>
      <c r="N168" s="16">
        <f t="shared" ref="N168:N171" si="89">IF(ISNUMBER(M168), (M168 - $B168) / $B168, "")</f>
        <v>0</v>
      </c>
      <c r="O168" s="19">
        <f>IF(ISNUMBER(M168), $B172 * N168, "")</f>
        <v>0</v>
      </c>
      <c r="Q168" s="164"/>
      <c r="R168" s="164"/>
      <c r="S168" s="164"/>
    </row>
    <row r="169" spans="1:19" ht="17.25" thickBot="1">
      <c r="A169" s="32" t="s">
        <v>260</v>
      </c>
      <c r="B169" s="33">
        <v>129</v>
      </c>
      <c r="C169" s="16">
        <v>-0.1103448276</v>
      </c>
      <c r="D169" s="15">
        <v>129</v>
      </c>
      <c r="E169" s="16">
        <f t="shared" si="86"/>
        <v>0</v>
      </c>
      <c r="F169" s="19">
        <f>IF(ISNUMBER(D169), $B172 * E169, "")</f>
        <v>0</v>
      </c>
      <c r="G169" s="15">
        <v>129</v>
      </c>
      <c r="H169" s="16">
        <f t="shared" si="87"/>
        <v>0</v>
      </c>
      <c r="I169" s="19">
        <f>IF(ISNUMBER(G169), $B172 * H169, "")</f>
        <v>0</v>
      </c>
      <c r="J169" s="15">
        <v>129</v>
      </c>
      <c r="K169" s="16">
        <f t="shared" si="88"/>
        <v>0</v>
      </c>
      <c r="L169" s="19">
        <f>IF(ISNUMBER(J169), $B172 * K169, "")</f>
        <v>0</v>
      </c>
      <c r="M169" s="15">
        <v>129</v>
      </c>
      <c r="N169" s="16">
        <f t="shared" si="89"/>
        <v>0</v>
      </c>
      <c r="O169" s="19">
        <f>IF(ISNUMBER(M169), $B172 * N169, "")</f>
        <v>0</v>
      </c>
      <c r="Q169" s="165"/>
      <c r="R169" s="165"/>
      <c r="S169" s="165"/>
    </row>
    <row r="170" spans="1:19">
      <c r="A170" s="32" t="s">
        <v>240</v>
      </c>
      <c r="B170" s="33">
        <v>207</v>
      </c>
      <c r="C170" s="16">
        <v>-0.1153846154</v>
      </c>
      <c r="D170" s="15">
        <v>207</v>
      </c>
      <c r="E170" s="16">
        <f t="shared" si="86"/>
        <v>0</v>
      </c>
      <c r="F170" s="19">
        <f>IF(ISNUMBER(D170), $B172 * E170, "")</f>
        <v>0</v>
      </c>
      <c r="G170" s="15">
        <v>207</v>
      </c>
      <c r="H170" s="16">
        <f t="shared" si="87"/>
        <v>0</v>
      </c>
      <c r="I170" s="19">
        <f>IF(ISNUMBER(G170), $B172 * H170, "")</f>
        <v>0</v>
      </c>
      <c r="J170" s="15">
        <v>207</v>
      </c>
      <c r="K170" s="16">
        <f t="shared" si="88"/>
        <v>0</v>
      </c>
      <c r="L170" s="19">
        <f>IF(ISNUMBER(J170), $B172 * K170, "")</f>
        <v>0</v>
      </c>
      <c r="M170" s="15">
        <v>207</v>
      </c>
      <c r="N170" s="16">
        <f t="shared" si="89"/>
        <v>0</v>
      </c>
      <c r="O170" s="19">
        <f>IF(ISNUMBER(M170), $B172 * N170, "")</f>
        <v>0</v>
      </c>
      <c r="Q170" s="153"/>
      <c r="R170" s="154"/>
      <c r="S170" s="155"/>
    </row>
    <row r="171" spans="1:19" ht="17.25" thickBot="1">
      <c r="A171" s="34" t="s">
        <v>258</v>
      </c>
      <c r="B171" s="35">
        <v>746</v>
      </c>
      <c r="C171" s="22">
        <v>-0.1223529412</v>
      </c>
      <c r="D171" s="21">
        <v>747</v>
      </c>
      <c r="E171" s="22">
        <f t="shared" si="86"/>
        <v>1.3404825737265416E-3</v>
      </c>
      <c r="F171" s="19">
        <f>IF(ISNUMBER(D171), $B172 * E171, "")</f>
        <v>134.04825737265415</v>
      </c>
      <c r="G171" s="21">
        <v>747</v>
      </c>
      <c r="H171" s="22">
        <f t="shared" si="87"/>
        <v>1.3404825737265416E-3</v>
      </c>
      <c r="I171" s="19">
        <f>IF(ISNUMBER(G171), $B172 * H171, "")</f>
        <v>134.04825737265415</v>
      </c>
      <c r="J171" s="21">
        <v>746</v>
      </c>
      <c r="K171" s="22">
        <f t="shared" si="88"/>
        <v>0</v>
      </c>
      <c r="L171" s="19">
        <f>IF(ISNUMBER(J171), $B172 * K171, "")</f>
        <v>0</v>
      </c>
      <c r="M171" s="21">
        <v>746</v>
      </c>
      <c r="N171" s="22">
        <f t="shared" si="89"/>
        <v>0</v>
      </c>
      <c r="O171" s="19">
        <f>IF(ISNUMBER(M171), $B172 * N171, "")</f>
        <v>0</v>
      </c>
      <c r="Q171" s="156"/>
      <c r="R171" s="157"/>
      <c r="S171" s="158"/>
    </row>
    <row r="172" spans="1:19" ht="17.25" thickBot="1">
      <c r="A172" s="27" t="s">
        <v>42</v>
      </c>
      <c r="B172" s="168">
        <v>100000</v>
      </c>
      <c r="C172" s="169"/>
      <c r="D172" s="27" t="s">
        <v>43</v>
      </c>
      <c r="E172" s="28">
        <f>IF(COUNT(E152:E171), SUM(E152:E171) / COUNT(E152:E171), 0)</f>
        <v>7.0104208241028533E-4</v>
      </c>
      <c r="F172" s="29">
        <f>SUM(F152:F171)</f>
        <v>1402.0841648205708</v>
      </c>
      <c r="G172" s="27" t="s">
        <v>43</v>
      </c>
      <c r="H172" s="28">
        <f>IF(COUNT(H152:H171), SUM(H152:H171) / COUNT(H152:H171), 0)</f>
        <v>7.0104208241028533E-4</v>
      </c>
      <c r="I172" s="29">
        <f>SUM(I152:I171)</f>
        <v>1402.0841648205708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59"/>
      <c r="R172" s="160"/>
      <c r="S172" s="161"/>
    </row>
    <row r="174" spans="1:19" ht="17.25" thickBot="1"/>
    <row r="175" spans="1:19" ht="17.25" thickBot="1">
      <c r="A175" s="111" t="s">
        <v>285</v>
      </c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12"/>
      <c r="Q175" s="129"/>
      <c r="R175" s="130"/>
      <c r="S175" s="131"/>
    </row>
    <row r="176" spans="1:19" ht="17.25" thickBot="1">
      <c r="A176" s="110" t="s">
        <v>35</v>
      </c>
      <c r="B176" s="111" t="s">
        <v>36</v>
      </c>
      <c r="C176" s="112"/>
      <c r="D176" s="111" t="s">
        <v>37</v>
      </c>
      <c r="E176" s="125"/>
      <c r="F176" s="112"/>
      <c r="G176" s="138">
        <f>_xlfn.IFNA(VLOOKUP(B176, 현재가테이블!$B$2:$D$200, 2, FALSE), "-")</f>
        <v>63826000</v>
      </c>
      <c r="H176" s="139"/>
      <c r="I176" s="140"/>
      <c r="J176" s="111" t="s">
        <v>38</v>
      </c>
      <c r="K176" s="125"/>
      <c r="L176" s="112"/>
      <c r="M176" s="141">
        <f>_xlfn.IFNA(VLOOKUP(B176, 현재가테이블!$B$2:$D$200, 3, FALSE), "-")</f>
        <v>-1.4529004E-2</v>
      </c>
      <c r="N176" s="142"/>
      <c r="O176" s="143"/>
      <c r="Q176" s="132"/>
      <c r="R176" s="133"/>
      <c r="S176" s="134"/>
    </row>
    <row r="177" spans="1:19" ht="17.25" thickBot="1">
      <c r="A177" s="144" t="s">
        <v>39</v>
      </c>
      <c r="B177" s="145" t="str">
        <f>TEXT($G$1, "[$-ko-KR]yyyy-mm-dd(ddd) ") &amp; "오전 00:00"</f>
        <v>2021-04-29(목) 오전 00:00</v>
      </c>
      <c r="C177" s="146"/>
      <c r="D177" s="147" t="str">
        <f>TEXT($G$1, "[$-ko-KR]yyyy-mm-dd(ddd) ") &amp; "오후 14:00"</f>
        <v>2021-04-29(목) 오후 14:00</v>
      </c>
      <c r="E177" s="148"/>
      <c r="F177" s="149"/>
      <c r="G177" s="147" t="str">
        <f>TEXT($G$1, "[$-ko-KR]yyyy-mm-dd(ddd) ") &amp; "오후 19:00"</f>
        <v>2021-04-29(목) 오후 19:00</v>
      </c>
      <c r="H177" s="148"/>
      <c r="I177" s="149"/>
      <c r="J177" s="167" t="str">
        <f>TEXT($G$1, "[$-ko-KR]yyyy-mm-dd(ddd) ") &amp; "오후 21:00"</f>
        <v>2021-04-29(목) 오후 21:00</v>
      </c>
      <c r="K177" s="167"/>
      <c r="L177" s="167"/>
      <c r="M177" s="147" t="str">
        <f>TEXT($G$1+1, "[$-ko-KR]yyyy-mm-dd(ddd) ") &amp; "오전 00:00"</f>
        <v>2021-04-30(금) 오전 00:00</v>
      </c>
      <c r="N177" s="148"/>
      <c r="O177" s="149"/>
      <c r="Q177" s="135"/>
      <c r="R177" s="136"/>
      <c r="S177" s="137"/>
    </row>
    <row r="178" spans="1:19" ht="17.25" thickBot="1">
      <c r="A178" s="144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66"/>
      <c r="R178" s="166"/>
      <c r="S178" s="166"/>
    </row>
    <row r="179" spans="1:19" ht="17.25" thickBot="1">
      <c r="A179" s="30" t="s">
        <v>134</v>
      </c>
      <c r="B179" s="31">
        <v>149</v>
      </c>
      <c r="C179" s="14">
        <v>-0.10240963860000001</v>
      </c>
      <c r="D179" s="13">
        <v>149</v>
      </c>
      <c r="E179" s="14">
        <f>IF(ISNUMBER(D179), (D179 - $B179) / $B179, "")</f>
        <v>0</v>
      </c>
      <c r="F179" s="17">
        <f>IF(ISNUMBER(D179), $B199 * E179, "")</f>
        <v>0</v>
      </c>
      <c r="G179" s="13">
        <v>149</v>
      </c>
      <c r="H179" s="14">
        <f>IF(ISNUMBER(G179), (G179 - $B179) / $B179, "")</f>
        <v>0</v>
      </c>
      <c r="I179" s="17">
        <f>IF(ISNUMBER(G179), $B199 * H179, "")</f>
        <v>0</v>
      </c>
      <c r="J179" s="13">
        <v>149</v>
      </c>
      <c r="K179" s="14">
        <f>IF(ISNUMBER(J179), (J179 - $B179) / $B179, "")</f>
        <v>0</v>
      </c>
      <c r="L179" s="17">
        <f>IF(ISNUMBER(J179), $B199 * K179, "")</f>
        <v>0</v>
      </c>
      <c r="M179" s="13">
        <v>149</v>
      </c>
      <c r="N179" s="14">
        <f>IF(ISNUMBER(M179), (M179 - $B179) / $B179, "")</f>
        <v>0</v>
      </c>
      <c r="O179" s="17">
        <f>IF(ISNUMBER(M179), $B199 * N179, "")</f>
        <v>0</v>
      </c>
      <c r="Q179" s="163"/>
      <c r="R179" s="163"/>
      <c r="S179" s="163"/>
    </row>
    <row r="180" spans="1:19" ht="17.25" thickBot="1">
      <c r="A180" s="32" t="s">
        <v>154</v>
      </c>
      <c r="B180" s="33">
        <v>21.9</v>
      </c>
      <c r="C180" s="16">
        <v>-0.10245901640000001</v>
      </c>
      <c r="D180" s="15">
        <v>21.8</v>
      </c>
      <c r="E180" s="16">
        <f t="shared" ref="E180:E183" si="90">IF(ISNUMBER(D180), (D180 - $B180) / $B180, "")</f>
        <v>-4.5662100456620031E-3</v>
      </c>
      <c r="F180" s="19">
        <f>IF(ISNUMBER(D180), $B199 * E180, "")</f>
        <v>-456.62100456620033</v>
      </c>
      <c r="G180" s="15">
        <v>21.8</v>
      </c>
      <c r="H180" s="16">
        <f t="shared" ref="H180:H183" si="91">IF(ISNUMBER(G180), (G180 - $B180) / $B180, "")</f>
        <v>-4.5662100456620031E-3</v>
      </c>
      <c r="I180" s="19">
        <f>IF(ISNUMBER(G180), $B199 * H180, "")</f>
        <v>-456.62100456620033</v>
      </c>
      <c r="J180" s="15">
        <v>21.9</v>
      </c>
      <c r="K180" s="16">
        <f t="shared" ref="K180:K183" si="92">IF(ISNUMBER(J180), (J180 - $B180) / $B180, "")</f>
        <v>0</v>
      </c>
      <c r="L180" s="19">
        <f>IF(ISNUMBER(J180), $B199 * K180, "")</f>
        <v>0</v>
      </c>
      <c r="M180" s="15">
        <v>21.9</v>
      </c>
      <c r="N180" s="16">
        <f t="shared" ref="N180:N183" si="93">IF(ISNUMBER(M180), (M180 - $B180) / $B180, "")</f>
        <v>0</v>
      </c>
      <c r="O180" s="19">
        <f>IF(ISNUMBER(M180), $B199 * N180, "")</f>
        <v>0</v>
      </c>
      <c r="Q180" s="163"/>
      <c r="R180" s="163"/>
      <c r="S180" s="163"/>
    </row>
    <row r="181" spans="1:19" ht="17.25" thickBot="1">
      <c r="A181" s="32" t="s">
        <v>208</v>
      </c>
      <c r="B181" s="33">
        <v>505</v>
      </c>
      <c r="C181" s="16">
        <v>-0.1030195382</v>
      </c>
      <c r="D181" s="15">
        <v>506</v>
      </c>
      <c r="E181" s="16">
        <f t="shared" si="90"/>
        <v>1.9801980198019802E-3</v>
      </c>
      <c r="F181" s="19">
        <f>IF(ISNUMBER(D181), $B199 * E181, "")</f>
        <v>198.01980198019803</v>
      </c>
      <c r="G181" s="15">
        <v>506</v>
      </c>
      <c r="H181" s="16">
        <f t="shared" si="91"/>
        <v>1.9801980198019802E-3</v>
      </c>
      <c r="I181" s="19">
        <f>IF(ISNUMBER(G181), $B199 * H181, "")</f>
        <v>198.01980198019803</v>
      </c>
      <c r="J181" s="15">
        <v>505</v>
      </c>
      <c r="K181" s="16">
        <f t="shared" si="92"/>
        <v>0</v>
      </c>
      <c r="L181" s="19">
        <f>IF(ISNUMBER(J181), $B199 * K181, "")</f>
        <v>0</v>
      </c>
      <c r="M181" s="15">
        <v>505</v>
      </c>
      <c r="N181" s="16">
        <f t="shared" si="93"/>
        <v>0</v>
      </c>
      <c r="O181" s="19">
        <f>IF(ISNUMBER(M181), $B199 * N181, "")</f>
        <v>0</v>
      </c>
      <c r="Q181" s="164"/>
      <c r="R181" s="164"/>
      <c r="S181" s="164"/>
    </row>
    <row r="182" spans="1:19" ht="17.25" thickBot="1">
      <c r="A182" s="32" t="s">
        <v>214</v>
      </c>
      <c r="B182" s="33">
        <v>24.3</v>
      </c>
      <c r="C182" s="16">
        <v>-0.1033210332</v>
      </c>
      <c r="D182" s="15">
        <v>24.3</v>
      </c>
      <c r="E182" s="16">
        <f t="shared" si="90"/>
        <v>0</v>
      </c>
      <c r="F182" s="19">
        <f>IF(ISNUMBER(D182), $B199 * E182, "")</f>
        <v>0</v>
      </c>
      <c r="G182" s="15">
        <v>24.3</v>
      </c>
      <c r="H182" s="16">
        <f t="shared" si="91"/>
        <v>0</v>
      </c>
      <c r="I182" s="19">
        <f>IF(ISNUMBER(G182), $B199 * H182, "")</f>
        <v>0</v>
      </c>
      <c r="J182" s="15">
        <v>24.3</v>
      </c>
      <c r="K182" s="16">
        <f t="shared" si="92"/>
        <v>0</v>
      </c>
      <c r="L182" s="19">
        <f>IF(ISNUMBER(J182), $B199 * K182, "")</f>
        <v>0</v>
      </c>
      <c r="M182" s="15">
        <v>24.3</v>
      </c>
      <c r="N182" s="16">
        <f t="shared" si="93"/>
        <v>0</v>
      </c>
      <c r="O182" s="19">
        <f>IF(ISNUMBER(M182), $B199 * N182, "")</f>
        <v>0</v>
      </c>
      <c r="Q182" s="164"/>
      <c r="R182" s="164"/>
      <c r="S182" s="164"/>
    </row>
    <row r="183" spans="1:19" ht="17.25" thickBot="1">
      <c r="A183" s="34" t="s">
        <v>136</v>
      </c>
      <c r="B183" s="35">
        <v>225</v>
      </c>
      <c r="C183" s="22">
        <v>-0.1035856574</v>
      </c>
      <c r="D183" s="21">
        <v>226</v>
      </c>
      <c r="E183" s="22">
        <f t="shared" si="90"/>
        <v>4.4444444444444444E-3</v>
      </c>
      <c r="F183" s="23">
        <f>IF(ISNUMBER(D183), $B199 * E183, "")</f>
        <v>444.44444444444446</v>
      </c>
      <c r="G183" s="21">
        <v>226</v>
      </c>
      <c r="H183" s="22">
        <f t="shared" si="91"/>
        <v>4.4444444444444444E-3</v>
      </c>
      <c r="I183" s="23">
        <f>IF(ISNUMBER(G183), $B199 * H183, "")</f>
        <v>444.44444444444446</v>
      </c>
      <c r="J183" s="21">
        <v>225</v>
      </c>
      <c r="K183" s="22">
        <f t="shared" si="92"/>
        <v>0</v>
      </c>
      <c r="L183" s="23">
        <f>IF(ISNUMBER(J183), $B199 * K183, "")</f>
        <v>0</v>
      </c>
      <c r="M183" s="21">
        <v>225</v>
      </c>
      <c r="N183" s="22">
        <f t="shared" si="93"/>
        <v>0</v>
      </c>
      <c r="O183" s="23">
        <f>IF(ISNUMBER(M183), $B199 * N183, "")</f>
        <v>0</v>
      </c>
      <c r="Q183" s="165"/>
      <c r="R183" s="165"/>
      <c r="S183" s="165"/>
    </row>
    <row r="184" spans="1:19">
      <c r="A184" s="32" t="s">
        <v>266</v>
      </c>
      <c r="B184" s="36">
        <v>93.2</v>
      </c>
      <c r="C184" s="37">
        <v>-0.10384615379999999</v>
      </c>
      <c r="D184" s="15">
        <v>93.5</v>
      </c>
      <c r="E184" s="37">
        <f>IF(ISNUMBER(D184), (D184 - $B184) / $B184, "")</f>
        <v>3.218884120171643E-3</v>
      </c>
      <c r="F184" s="19">
        <f>IF(ISNUMBER(D184), $B199 * E184, "")</f>
        <v>321.88841201716428</v>
      </c>
      <c r="G184" s="15">
        <v>93.5</v>
      </c>
      <c r="H184" s="37">
        <f>IF(ISNUMBER(G184), (G184 - $B184) / $B184, "")</f>
        <v>3.218884120171643E-3</v>
      </c>
      <c r="I184" s="19">
        <f>IF(ISNUMBER(G184), $B199 * H184, "")</f>
        <v>321.88841201716428</v>
      </c>
      <c r="J184" s="15">
        <v>93.2</v>
      </c>
      <c r="K184" s="37">
        <f>IF(ISNUMBER(J184), (J184 - $B184) / $B184, "")</f>
        <v>0</v>
      </c>
      <c r="L184" s="19">
        <f>IF(ISNUMBER(J184), $B199 * K184, "")</f>
        <v>0</v>
      </c>
      <c r="M184" s="15">
        <v>93.2</v>
      </c>
      <c r="N184" s="37">
        <f>IF(ISNUMBER(M184), (M184 - $B184) / $B184, "")</f>
        <v>0</v>
      </c>
      <c r="O184" s="19">
        <f>IF(ISNUMBER(M184), $B199 * N184, "")</f>
        <v>0</v>
      </c>
      <c r="Q184" s="153"/>
      <c r="R184" s="154"/>
      <c r="S184" s="155"/>
    </row>
    <row r="185" spans="1:19">
      <c r="A185" s="32" t="s">
        <v>236</v>
      </c>
      <c r="B185" s="33">
        <v>73.3</v>
      </c>
      <c r="C185" s="16">
        <v>-0.10391198040000001</v>
      </c>
      <c r="D185" s="15">
        <v>73.3</v>
      </c>
      <c r="E185" s="16">
        <f t="shared" ref="E185:E188" si="94">IF(ISNUMBER(D185), (D185 - $B185) / $B185, "")</f>
        <v>0</v>
      </c>
      <c r="F185" s="19">
        <f>IF(ISNUMBER(D185), $B199 * E185, "")</f>
        <v>0</v>
      </c>
      <c r="G185" s="15">
        <v>73.3</v>
      </c>
      <c r="H185" s="16">
        <f t="shared" ref="H185:H188" si="95">IF(ISNUMBER(G185), (G185 - $B185) / $B185, "")</f>
        <v>0</v>
      </c>
      <c r="I185" s="19">
        <f>IF(ISNUMBER(G185), $B199 * H185, "")</f>
        <v>0</v>
      </c>
      <c r="J185" s="15">
        <v>73.3</v>
      </c>
      <c r="K185" s="16">
        <f t="shared" ref="K185:K188" si="96">IF(ISNUMBER(J185), (J185 - $B185) / $B185, "")</f>
        <v>0</v>
      </c>
      <c r="L185" s="19">
        <f>IF(ISNUMBER(J185), $B199 * K185, "")</f>
        <v>0</v>
      </c>
      <c r="M185" s="15">
        <v>73.3</v>
      </c>
      <c r="N185" s="16">
        <f t="shared" ref="N185:N188" si="97">IF(ISNUMBER(M185), (M185 - $B185) / $B185, "")</f>
        <v>0</v>
      </c>
      <c r="O185" s="19">
        <f>IF(ISNUMBER(M185), $B199 * N185, "")</f>
        <v>0</v>
      </c>
      <c r="Q185" s="156"/>
      <c r="R185" s="157"/>
      <c r="S185" s="158"/>
    </row>
    <row r="186" spans="1:19" ht="17.25" thickBot="1">
      <c r="A186" s="32" t="s">
        <v>246</v>
      </c>
      <c r="B186" s="33">
        <v>437</v>
      </c>
      <c r="C186" s="16">
        <v>-0.1045081967</v>
      </c>
      <c r="D186" s="15">
        <v>439</v>
      </c>
      <c r="E186" s="16">
        <f t="shared" si="94"/>
        <v>4.5766590389016018E-3</v>
      </c>
      <c r="F186" s="19">
        <f>IF(ISNUMBER(D186), $B199 * E186, "")</f>
        <v>457.66590389016017</v>
      </c>
      <c r="G186" s="15">
        <v>439</v>
      </c>
      <c r="H186" s="16">
        <f t="shared" si="95"/>
        <v>4.5766590389016018E-3</v>
      </c>
      <c r="I186" s="19">
        <f>IF(ISNUMBER(G186), $B199 * H186, "")</f>
        <v>457.66590389016017</v>
      </c>
      <c r="J186" s="15">
        <v>437</v>
      </c>
      <c r="K186" s="16">
        <f t="shared" si="96"/>
        <v>0</v>
      </c>
      <c r="L186" s="19">
        <f>IF(ISNUMBER(J186), $B199 * K186, "")</f>
        <v>0</v>
      </c>
      <c r="M186" s="15">
        <v>437</v>
      </c>
      <c r="N186" s="16">
        <f t="shared" si="97"/>
        <v>0</v>
      </c>
      <c r="O186" s="19">
        <f>IF(ISNUMBER(M186), $B199 * N186, "")</f>
        <v>0</v>
      </c>
      <c r="Q186" s="159"/>
      <c r="R186" s="160"/>
      <c r="S186" s="161"/>
    </row>
    <row r="187" spans="1:19" ht="17.25" thickBot="1">
      <c r="A187" s="32" t="s">
        <v>254</v>
      </c>
      <c r="B187" s="33">
        <v>85.5</v>
      </c>
      <c r="C187" s="16">
        <v>-0.1047120419</v>
      </c>
      <c r="D187" s="15">
        <v>85.4</v>
      </c>
      <c r="E187" s="16">
        <f t="shared" si="94"/>
        <v>-1.1695906432747873E-3</v>
      </c>
      <c r="F187" s="19">
        <f>IF(ISNUMBER(D187), $B199 * E187, "")</f>
        <v>-116.95906432747873</v>
      </c>
      <c r="G187" s="15">
        <v>85.4</v>
      </c>
      <c r="H187" s="16">
        <f t="shared" si="95"/>
        <v>-1.1695906432747873E-3</v>
      </c>
      <c r="I187" s="19">
        <f>IF(ISNUMBER(G187), $B199 * H187, "")</f>
        <v>-116.95906432747873</v>
      </c>
      <c r="J187" s="15">
        <v>85.5</v>
      </c>
      <c r="K187" s="16">
        <f t="shared" si="96"/>
        <v>0</v>
      </c>
      <c r="L187" s="19">
        <f>IF(ISNUMBER(J187), $B199 * K187, "")</f>
        <v>0</v>
      </c>
      <c r="M187" s="15">
        <v>85.5</v>
      </c>
      <c r="N187" s="16">
        <f t="shared" si="97"/>
        <v>0</v>
      </c>
      <c r="O187" s="19">
        <f>IF(ISNUMBER(M187), $B199 * N187, "")</f>
        <v>0</v>
      </c>
    </row>
    <row r="188" spans="1:19" ht="17.25" thickBot="1">
      <c r="A188" s="34" t="s">
        <v>202</v>
      </c>
      <c r="B188" s="35">
        <v>205</v>
      </c>
      <c r="C188" s="22">
        <v>-0.1048034934</v>
      </c>
      <c r="D188" s="21">
        <v>206</v>
      </c>
      <c r="E188" s="22">
        <f t="shared" si="94"/>
        <v>4.8780487804878049E-3</v>
      </c>
      <c r="F188" s="19">
        <f>IF(ISNUMBER(D188), $B199 * E188, "")</f>
        <v>487.80487804878049</v>
      </c>
      <c r="G188" s="21">
        <v>206</v>
      </c>
      <c r="H188" s="22">
        <f t="shared" si="95"/>
        <v>4.8780487804878049E-3</v>
      </c>
      <c r="I188" s="19">
        <f>IF(ISNUMBER(G188), $B199 * H188, "")</f>
        <v>487.80487804878049</v>
      </c>
      <c r="J188" s="21">
        <v>205</v>
      </c>
      <c r="K188" s="22">
        <f t="shared" si="96"/>
        <v>0</v>
      </c>
      <c r="L188" s="19">
        <f>IF(ISNUMBER(J188), $B199 * K188, "")</f>
        <v>0</v>
      </c>
      <c r="M188" s="21">
        <v>205</v>
      </c>
      <c r="N188" s="22">
        <f t="shared" si="97"/>
        <v>0</v>
      </c>
      <c r="O188" s="19">
        <f>IF(ISNUMBER(M188), $B199 * N188, "")</f>
        <v>0</v>
      </c>
      <c r="Q188" s="129"/>
      <c r="R188" s="130"/>
      <c r="S188" s="131"/>
    </row>
    <row r="189" spans="1:19">
      <c r="A189" s="30" t="s">
        <v>172</v>
      </c>
      <c r="B189" s="31">
        <v>28.8</v>
      </c>
      <c r="C189" s="14">
        <v>-0.10559006210000001</v>
      </c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32"/>
      <c r="R189" s="133"/>
      <c r="S189" s="134"/>
    </row>
    <row r="190" spans="1:19" ht="17.25" thickBot="1">
      <c r="A190" s="32" t="s">
        <v>112</v>
      </c>
      <c r="B190" s="33">
        <v>269</v>
      </c>
      <c r="C190" s="16">
        <v>-0.10631229239999999</v>
      </c>
      <c r="D190" s="15"/>
      <c r="E190" s="16" t="str">
        <f t="shared" ref="E190:E193" si="98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99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0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1">IF(ISNUMBER(M190), (M190 - $B190) / $B190, "")</f>
        <v/>
      </c>
      <c r="O190" s="19" t="str">
        <f>IF(ISNUMBER(M190), $B199 * N190, "")</f>
        <v/>
      </c>
      <c r="Q190" s="135"/>
      <c r="R190" s="136"/>
      <c r="S190" s="137"/>
    </row>
    <row r="191" spans="1:19" ht="17.25" thickBot="1">
      <c r="A191" s="32" t="s">
        <v>82</v>
      </c>
      <c r="B191" s="33">
        <v>1510</v>
      </c>
      <c r="C191" s="16">
        <v>-0.10650887570000001</v>
      </c>
      <c r="D191" s="15"/>
      <c r="E191" s="16" t="str">
        <f t="shared" si="98"/>
        <v/>
      </c>
      <c r="F191" s="19" t="str">
        <f>IF(ISNUMBER(D191), $B199 * E191, "")</f>
        <v/>
      </c>
      <c r="G191" s="15"/>
      <c r="H191" s="16" t="str">
        <f t="shared" si="99"/>
        <v/>
      </c>
      <c r="I191" s="19" t="str">
        <f>IF(ISNUMBER(G191), $B199 * H191, "")</f>
        <v/>
      </c>
      <c r="J191" s="15"/>
      <c r="K191" s="16" t="str">
        <f t="shared" si="100"/>
        <v/>
      </c>
      <c r="L191" s="19" t="str">
        <f>IF(ISNUMBER(J191), $B199 * K191, "")</f>
        <v/>
      </c>
      <c r="M191" s="15"/>
      <c r="N191" s="16" t="str">
        <f t="shared" si="101"/>
        <v/>
      </c>
      <c r="O191" s="19" t="str">
        <f>IF(ISNUMBER(M191), $B199 * N191, "")</f>
        <v/>
      </c>
      <c r="Q191" s="166"/>
      <c r="R191" s="166"/>
      <c r="S191" s="166"/>
    </row>
    <row r="192" spans="1:19" ht="17.25" thickBot="1">
      <c r="A192" s="32" t="s">
        <v>226</v>
      </c>
      <c r="B192" s="33">
        <v>517</v>
      </c>
      <c r="C192" s="16">
        <v>-0.10708117440000001</v>
      </c>
      <c r="D192" s="15"/>
      <c r="E192" s="16" t="str">
        <f t="shared" si="98"/>
        <v/>
      </c>
      <c r="F192" s="19" t="str">
        <f>IF(ISNUMBER(D192), $B199 * E192, "")</f>
        <v/>
      </c>
      <c r="G192" s="15"/>
      <c r="H192" s="16" t="str">
        <f t="shared" si="99"/>
        <v/>
      </c>
      <c r="I192" s="19" t="str">
        <f>IF(ISNUMBER(G192), $B199 * H192, "")</f>
        <v/>
      </c>
      <c r="J192" s="15"/>
      <c r="K192" s="16" t="str">
        <f t="shared" si="100"/>
        <v/>
      </c>
      <c r="L192" s="19" t="str">
        <f>IF(ISNUMBER(J192), $B199 * K192, "")</f>
        <v/>
      </c>
      <c r="M192" s="15"/>
      <c r="N192" s="16" t="str">
        <f t="shared" si="101"/>
        <v/>
      </c>
      <c r="O192" s="19" t="str">
        <f>IF(ISNUMBER(M192), $B199 * N192, "")</f>
        <v/>
      </c>
      <c r="Q192" s="163"/>
      <c r="R192" s="163"/>
      <c r="S192" s="163"/>
    </row>
    <row r="193" spans="1:19" ht="17.25" thickBot="1">
      <c r="A193" s="34" t="s">
        <v>122</v>
      </c>
      <c r="B193" s="35">
        <v>116</v>
      </c>
      <c r="C193" s="22">
        <v>-0.1076923077</v>
      </c>
      <c r="D193" s="21"/>
      <c r="E193" s="22" t="str">
        <f t="shared" si="98"/>
        <v/>
      </c>
      <c r="F193" s="23" t="str">
        <f>IF(ISNUMBER(D193), $B199 * E193, "")</f>
        <v/>
      </c>
      <c r="G193" s="21"/>
      <c r="H193" s="22" t="str">
        <f t="shared" si="99"/>
        <v/>
      </c>
      <c r="I193" s="23" t="str">
        <f>IF(ISNUMBER(G193), $B199 * H193, "")</f>
        <v/>
      </c>
      <c r="J193" s="21"/>
      <c r="K193" s="22" t="str">
        <f t="shared" si="100"/>
        <v/>
      </c>
      <c r="L193" s="23" t="str">
        <f>IF(ISNUMBER(J193), $B199 * K193, "")</f>
        <v/>
      </c>
      <c r="M193" s="21"/>
      <c r="N193" s="22" t="str">
        <f t="shared" si="101"/>
        <v/>
      </c>
      <c r="O193" s="23" t="str">
        <f>IF(ISNUMBER(M193), $B199 * N193, "")</f>
        <v/>
      </c>
      <c r="Q193" s="163"/>
      <c r="R193" s="163"/>
      <c r="S193" s="163"/>
    </row>
    <row r="194" spans="1:19" ht="17.25" thickBot="1">
      <c r="A194" s="32" t="s">
        <v>260</v>
      </c>
      <c r="B194" s="36">
        <v>129</v>
      </c>
      <c r="C194" s="37">
        <v>-0.1103448276</v>
      </c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64"/>
      <c r="R194" s="164"/>
      <c r="S194" s="164"/>
    </row>
    <row r="195" spans="1:19" ht="17.25" thickBot="1">
      <c r="A195" s="32" t="s">
        <v>234</v>
      </c>
      <c r="B195" s="33">
        <v>1365</v>
      </c>
      <c r="C195" s="16">
        <v>-0.1136363636</v>
      </c>
      <c r="D195" s="15"/>
      <c r="E195" s="16" t="str">
        <f t="shared" ref="E195:E198" si="102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3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4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5">IF(ISNUMBER(M195), (M195 - $B195) / $B195, "")</f>
        <v/>
      </c>
      <c r="O195" s="19" t="str">
        <f>IF(ISNUMBER(M195), $B199 * N195, "")</f>
        <v/>
      </c>
      <c r="Q195" s="164"/>
      <c r="R195" s="164"/>
      <c r="S195" s="164"/>
    </row>
    <row r="196" spans="1:19" ht="17.25" thickBot="1">
      <c r="A196" s="32" t="s">
        <v>240</v>
      </c>
      <c r="B196" s="33">
        <v>207</v>
      </c>
      <c r="C196" s="16">
        <v>-0.1153846154</v>
      </c>
      <c r="D196" s="15"/>
      <c r="E196" s="16" t="str">
        <f t="shared" si="102"/>
        <v/>
      </c>
      <c r="F196" s="19" t="str">
        <f>IF(ISNUMBER(D196), $B199 * E196, "")</f>
        <v/>
      </c>
      <c r="G196" s="15"/>
      <c r="H196" s="16" t="str">
        <f t="shared" si="103"/>
        <v/>
      </c>
      <c r="I196" s="19" t="str">
        <f>IF(ISNUMBER(G196), $B199 * H196, "")</f>
        <v/>
      </c>
      <c r="J196" s="15"/>
      <c r="K196" s="16" t="str">
        <f t="shared" si="104"/>
        <v/>
      </c>
      <c r="L196" s="19" t="str">
        <f>IF(ISNUMBER(J196), $B199 * K196, "")</f>
        <v/>
      </c>
      <c r="M196" s="15"/>
      <c r="N196" s="16" t="str">
        <f t="shared" si="105"/>
        <v/>
      </c>
      <c r="O196" s="19" t="str">
        <f>IF(ISNUMBER(M196), $B199 * N196, "")</f>
        <v/>
      </c>
      <c r="Q196" s="165"/>
      <c r="R196" s="165"/>
      <c r="S196" s="165"/>
    </row>
    <row r="197" spans="1:19">
      <c r="A197" s="32" t="s">
        <v>67</v>
      </c>
      <c r="B197" s="33">
        <v>9080</v>
      </c>
      <c r="C197" s="16">
        <v>-0.11673151750000001</v>
      </c>
      <c r="D197" s="15"/>
      <c r="E197" s="16" t="str">
        <f t="shared" si="102"/>
        <v/>
      </c>
      <c r="F197" s="19" t="str">
        <f>IF(ISNUMBER(D197), $B199 * E197, "")</f>
        <v/>
      </c>
      <c r="G197" s="15"/>
      <c r="H197" s="16" t="str">
        <f t="shared" si="103"/>
        <v/>
      </c>
      <c r="I197" s="19" t="str">
        <f>IF(ISNUMBER(G197), $B199 * H197, "")</f>
        <v/>
      </c>
      <c r="J197" s="15"/>
      <c r="K197" s="16" t="str">
        <f t="shared" si="104"/>
        <v/>
      </c>
      <c r="L197" s="19" t="str">
        <f>IF(ISNUMBER(J197), $B199 * K197, "")</f>
        <v/>
      </c>
      <c r="M197" s="15"/>
      <c r="N197" s="16" t="str">
        <f t="shared" si="105"/>
        <v/>
      </c>
      <c r="O197" s="19" t="str">
        <f>IF(ISNUMBER(M197), $B199 * N197, "")</f>
        <v/>
      </c>
      <c r="Q197" s="153"/>
      <c r="R197" s="154"/>
      <c r="S197" s="155"/>
    </row>
    <row r="198" spans="1:19" ht="17.25" thickBot="1">
      <c r="A198" s="34" t="s">
        <v>258</v>
      </c>
      <c r="B198" s="35">
        <v>746</v>
      </c>
      <c r="C198" s="22">
        <v>-0.1223529412</v>
      </c>
      <c r="D198" s="21"/>
      <c r="E198" s="22" t="str">
        <f t="shared" si="102"/>
        <v/>
      </c>
      <c r="F198" s="19" t="str">
        <f>IF(ISNUMBER(D198), $B199 * E198, "")</f>
        <v/>
      </c>
      <c r="G198" s="21"/>
      <c r="H198" s="22" t="str">
        <f t="shared" si="103"/>
        <v/>
      </c>
      <c r="I198" s="19" t="str">
        <f>IF(ISNUMBER(G198), $B199 * H198, "")</f>
        <v/>
      </c>
      <c r="J198" s="21"/>
      <c r="K198" s="22" t="str">
        <f t="shared" si="104"/>
        <v/>
      </c>
      <c r="L198" s="19" t="str">
        <f>IF(ISNUMBER(J198), $B199 * K198, "")</f>
        <v/>
      </c>
      <c r="M198" s="21"/>
      <c r="N198" s="22" t="str">
        <f t="shared" si="105"/>
        <v/>
      </c>
      <c r="O198" s="19" t="str">
        <f>IF(ISNUMBER(M198), $B199 * N198, "")</f>
        <v/>
      </c>
      <c r="Q198" s="156"/>
      <c r="R198" s="157"/>
      <c r="S198" s="158"/>
    </row>
    <row r="199" spans="1:19" ht="17.25" thickBot="1">
      <c r="A199" s="27" t="s">
        <v>42</v>
      </c>
      <c r="B199" s="168">
        <v>100000</v>
      </c>
      <c r="C199" s="169"/>
      <c r="D199" s="27" t="s">
        <v>43</v>
      </c>
      <c r="E199" s="28">
        <f>IF(COUNT(E179:E198), SUM(E179:E198) / COUNT(E179:E198), 0)</f>
        <v>1.3362433714870683E-3</v>
      </c>
      <c r="F199" s="29">
        <f>SUM(F179:F198)</f>
        <v>1336.2433714870683</v>
      </c>
      <c r="G199" s="27" t="s">
        <v>43</v>
      </c>
      <c r="H199" s="28">
        <f>IF(COUNT(H179:H198), SUM(H179:H198) / COUNT(H179:H198), 0)</f>
        <v>1.3362433714870683E-3</v>
      </c>
      <c r="I199" s="29">
        <f>SUM(I179:I198)</f>
        <v>1336.2433714870683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59"/>
      <c r="R199" s="160"/>
      <c r="S199" s="161"/>
    </row>
  </sheetData>
  <mergeCells count="238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0:S82"/>
    <mergeCell ref="Q83:Q85"/>
    <mergeCell ref="R83:R85"/>
    <mergeCell ref="S83:S85"/>
    <mergeCell ref="Q86:Q88"/>
    <mergeCell ref="R86:R88"/>
    <mergeCell ref="S86:S88"/>
    <mergeCell ref="R70:R72"/>
    <mergeCell ref="S70:S72"/>
    <mergeCell ref="Q73:Q75"/>
    <mergeCell ref="R73:R75"/>
    <mergeCell ref="S73:S75"/>
    <mergeCell ref="Q76:S78"/>
    <mergeCell ref="B69:C69"/>
    <mergeCell ref="D69:F69"/>
    <mergeCell ref="G69:I69"/>
    <mergeCell ref="J69:L69"/>
    <mergeCell ref="M69:O69"/>
    <mergeCell ref="Q70:Q72"/>
    <mergeCell ref="Q62:S64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Q53:S55"/>
    <mergeCell ref="Q56:Q58"/>
    <mergeCell ref="R56:R58"/>
    <mergeCell ref="S56:S58"/>
    <mergeCell ref="Q59:Q61"/>
    <mergeCell ref="R59:R61"/>
    <mergeCell ref="S59:S61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60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61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62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3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4" name="Button 6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5" name="Button 6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6" name="Button 6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7" name="Button 6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68" name="Button 6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69" name="Button 6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70" name="Button 6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1" name="Button 6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72" name="Button 6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73" name="Button 7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74" name="Button 7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5" name="Button 7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76" name="Button 7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77" name="Button 7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78" name="Button 7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79" name="Button 76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80" name="Button 77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81" name="Button 78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82" name="Button 79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83" name="Button 80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84" name="Button 8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85" name="Button 8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86" name="Button 8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87" name="Button 8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88" name="Button 85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89" name="Button 86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90" name="Button 87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91" name="Button 88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92" name="Button 8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93" name="Button 9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94" name="Button 9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95" name="Button 92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96" name="Button 93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97" name="Button 94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98" name="Button 95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99" name="Button 96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100" name="Button 9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101" name="Button 9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102" name="Button 9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103" name="Button 10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104" name="Button 101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5" name="Button 102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06" name="Button 103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107" name="Button 104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108" name="Button 105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109" name="Button 106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110" name="Button 107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111" name="Button 10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112" name="Button 109">
              <controlPr defaultSize="0" print="0" autoFill="0" autoPict="0" macro="[0]!붙여넣기_3차현재가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113" name="Button 110">
              <controlPr defaultSize="0" print="0" autoFill="0" autoPict="0" macro="[0]!붙여넣기_4차현재가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114" name="Button 111">
              <controlPr defaultSize="0" print="0" autoFill="0" autoPict="0" macro="[0]!시트이동_현재가테이블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115" name="Button 112">
              <controlPr defaultSize="0" print="0" autoFill="0" autoPict="0" macro="[0]!붙여넣기_월말정산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</vt:lpstr>
      <vt:lpstr>월말정산</vt:lpstr>
      <vt:lpstr>현재가테이블</vt:lpstr>
      <vt:lpstr>종목선정</vt:lpstr>
      <vt:lpstr>2021.04.29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2021-04-28T18:25:05Z</dcterms:modified>
</cp:coreProperties>
</file>