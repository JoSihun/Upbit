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drawings/drawing4.xml" ContentType="application/vnd.openxmlformats-officedocument.drawing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5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drawings/drawing6.xml" ContentType="application/vnd.openxmlformats-officedocument.drawing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drawings/drawing7.xml" ContentType="application/vnd.openxmlformats-officedocument.drawing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drawings/drawing8.xml" ContentType="application/vnd.openxmlformats-officedocument.drawing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D8E44818-75D6-4C05-A58D-7312743904FF}" xr6:coauthVersionLast="46" xr6:coauthVersionMax="46" xr10:uidLastSave="{00000000-0000-0000-0000-000000000000}"/>
  <bookViews>
    <workbookView xWindow="28680" yWindow="-120" windowWidth="29040" windowHeight="15840" firstSheet="1" activeTab="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9" l="1"/>
  <c r="B199" i="27"/>
  <c r="O198" i="27"/>
  <c r="N198" i="27"/>
  <c r="L198" i="27"/>
  <c r="K198" i="27"/>
  <c r="I198" i="27"/>
  <c r="H198" i="27"/>
  <c r="F198" i="27"/>
  <c r="E198" i="27"/>
  <c r="O197" i="27"/>
  <c r="N197" i="27"/>
  <c r="L197" i="27"/>
  <c r="K197" i="27"/>
  <c r="I197" i="27"/>
  <c r="H197" i="27"/>
  <c r="F197" i="27"/>
  <c r="E197" i="27"/>
  <c r="O196" i="27"/>
  <c r="N196" i="27"/>
  <c r="L196" i="27"/>
  <c r="K196" i="27"/>
  <c r="I196" i="27"/>
  <c r="H196" i="27"/>
  <c r="F196" i="27"/>
  <c r="E196" i="27"/>
  <c r="O195" i="27"/>
  <c r="N195" i="27"/>
  <c r="L195" i="27"/>
  <c r="K195" i="27"/>
  <c r="I195" i="27"/>
  <c r="H195" i="27"/>
  <c r="F195" i="27"/>
  <c r="E195" i="27"/>
  <c r="O194" i="27"/>
  <c r="N194" i="27"/>
  <c r="L194" i="27"/>
  <c r="K194" i="27"/>
  <c r="I194" i="27"/>
  <c r="H194" i="27"/>
  <c r="F194" i="27"/>
  <c r="E194" i="27"/>
  <c r="O193" i="27"/>
  <c r="N193" i="27"/>
  <c r="L193" i="27"/>
  <c r="K193" i="27"/>
  <c r="I193" i="27"/>
  <c r="H193" i="27"/>
  <c r="F193" i="27"/>
  <c r="E193" i="27"/>
  <c r="O192" i="27"/>
  <c r="N192" i="27"/>
  <c r="L192" i="27"/>
  <c r="K192" i="27"/>
  <c r="I192" i="27"/>
  <c r="H192" i="27"/>
  <c r="F192" i="27"/>
  <c r="E192" i="27"/>
  <c r="O191" i="27"/>
  <c r="N191" i="27"/>
  <c r="L191" i="27"/>
  <c r="K191" i="27"/>
  <c r="I191" i="27"/>
  <c r="H191" i="27"/>
  <c r="F191" i="27"/>
  <c r="E191" i="27"/>
  <c r="O190" i="27"/>
  <c r="N190" i="27"/>
  <c r="L190" i="27"/>
  <c r="K190" i="27"/>
  <c r="I190" i="27"/>
  <c r="H190" i="27"/>
  <c r="F190" i="27"/>
  <c r="E190" i="27"/>
  <c r="O189" i="27"/>
  <c r="N189" i="27"/>
  <c r="L189" i="27"/>
  <c r="K189" i="27"/>
  <c r="I189" i="27"/>
  <c r="H189" i="27"/>
  <c r="F189" i="27"/>
  <c r="E189" i="27"/>
  <c r="O188" i="27"/>
  <c r="N188" i="27"/>
  <c r="L188" i="27"/>
  <c r="K188" i="27"/>
  <c r="I188" i="27"/>
  <c r="H188" i="27"/>
  <c r="F188" i="27"/>
  <c r="E188" i="27"/>
  <c r="O187" i="27"/>
  <c r="N187" i="27"/>
  <c r="L187" i="27"/>
  <c r="K187" i="27"/>
  <c r="I187" i="27"/>
  <c r="H187" i="27"/>
  <c r="F187" i="27"/>
  <c r="E187" i="27"/>
  <c r="O186" i="27"/>
  <c r="N186" i="27"/>
  <c r="L186" i="27"/>
  <c r="K186" i="27"/>
  <c r="I186" i="27"/>
  <c r="H186" i="27"/>
  <c r="F186" i="27"/>
  <c r="E186" i="27"/>
  <c r="O185" i="27"/>
  <c r="N185" i="27"/>
  <c r="L185" i="27"/>
  <c r="K185" i="27"/>
  <c r="I185" i="27"/>
  <c r="H185" i="27"/>
  <c r="F185" i="27"/>
  <c r="E185" i="27"/>
  <c r="O184" i="27"/>
  <c r="N184" i="27"/>
  <c r="L184" i="27"/>
  <c r="K184" i="27"/>
  <c r="I184" i="27"/>
  <c r="H184" i="27"/>
  <c r="F184" i="27"/>
  <c r="E184" i="27"/>
  <c r="O183" i="27"/>
  <c r="N183" i="27"/>
  <c r="L183" i="27"/>
  <c r="K183" i="27"/>
  <c r="I183" i="27"/>
  <c r="H183" i="27"/>
  <c r="F183" i="27"/>
  <c r="E183" i="27"/>
  <c r="O182" i="27"/>
  <c r="N182" i="27"/>
  <c r="L182" i="27"/>
  <c r="K182" i="27"/>
  <c r="I182" i="27"/>
  <c r="H182" i="27"/>
  <c r="F182" i="27"/>
  <c r="E182" i="27"/>
  <c r="O181" i="27"/>
  <c r="N181" i="27"/>
  <c r="L181" i="27"/>
  <c r="K181" i="27"/>
  <c r="I181" i="27"/>
  <c r="H181" i="27"/>
  <c r="F181" i="27"/>
  <c r="E181" i="27"/>
  <c r="O180" i="27"/>
  <c r="N180" i="27"/>
  <c r="L180" i="27"/>
  <c r="K180" i="27"/>
  <c r="I180" i="27"/>
  <c r="H180" i="27"/>
  <c r="F180" i="27"/>
  <c r="E180" i="27"/>
  <c r="O179" i="27"/>
  <c r="O199" i="27" s="1"/>
  <c r="N179" i="27"/>
  <c r="N199" i="27" s="1"/>
  <c r="L179" i="27"/>
  <c r="K179" i="27"/>
  <c r="K199" i="27" s="1"/>
  <c r="I179" i="27"/>
  <c r="I199" i="27" s="1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I171" i="27"/>
  <c r="H171" i="27"/>
  <c r="F171" i="27"/>
  <c r="E171" i="27"/>
  <c r="O170" i="27"/>
  <c r="N170" i="27"/>
  <c r="L170" i="27"/>
  <c r="K170" i="27"/>
  <c r="I170" i="27"/>
  <c r="H170" i="27"/>
  <c r="F170" i="27"/>
  <c r="E170" i="27"/>
  <c r="O169" i="27"/>
  <c r="N169" i="27"/>
  <c r="L169" i="27"/>
  <c r="K169" i="27"/>
  <c r="I169" i="27"/>
  <c r="H169" i="27"/>
  <c r="F169" i="27"/>
  <c r="E169" i="27"/>
  <c r="O168" i="27"/>
  <c r="N168" i="27"/>
  <c r="L168" i="27"/>
  <c r="K168" i="27"/>
  <c r="I168" i="27"/>
  <c r="H168" i="27"/>
  <c r="F168" i="27"/>
  <c r="E168" i="27"/>
  <c r="O167" i="27"/>
  <c r="N167" i="27"/>
  <c r="L167" i="27"/>
  <c r="K167" i="27"/>
  <c r="I167" i="27"/>
  <c r="H167" i="27"/>
  <c r="F167" i="27"/>
  <c r="E167" i="27"/>
  <c r="O166" i="27"/>
  <c r="N166" i="27"/>
  <c r="L166" i="27"/>
  <c r="K166" i="27"/>
  <c r="I166" i="27"/>
  <c r="H166" i="27"/>
  <c r="F166" i="27"/>
  <c r="E166" i="27"/>
  <c r="O165" i="27"/>
  <c r="N165" i="27"/>
  <c r="L165" i="27"/>
  <c r="K165" i="27"/>
  <c r="I165" i="27"/>
  <c r="H165" i="27"/>
  <c r="F165" i="27"/>
  <c r="E165" i="27"/>
  <c r="O164" i="27"/>
  <c r="N164" i="27"/>
  <c r="L164" i="27"/>
  <c r="K164" i="27"/>
  <c r="I164" i="27"/>
  <c r="H164" i="27"/>
  <c r="F164" i="27"/>
  <c r="E164" i="27"/>
  <c r="O163" i="27"/>
  <c r="N163" i="27"/>
  <c r="L163" i="27"/>
  <c r="K163" i="27"/>
  <c r="I163" i="27"/>
  <c r="H163" i="27"/>
  <c r="F163" i="27"/>
  <c r="E163" i="27"/>
  <c r="O162" i="27"/>
  <c r="N162" i="27"/>
  <c r="L162" i="27"/>
  <c r="K162" i="27"/>
  <c r="I162" i="27"/>
  <c r="H162" i="27"/>
  <c r="F162" i="27"/>
  <c r="E162" i="27"/>
  <c r="O161" i="27"/>
  <c r="N161" i="27"/>
  <c r="L161" i="27"/>
  <c r="K161" i="27"/>
  <c r="I161" i="27"/>
  <c r="H161" i="27"/>
  <c r="F161" i="27"/>
  <c r="E161" i="27"/>
  <c r="O160" i="27"/>
  <c r="N160" i="27"/>
  <c r="L160" i="27"/>
  <c r="K160" i="27"/>
  <c r="I160" i="27"/>
  <c r="H160" i="27"/>
  <c r="F160" i="27"/>
  <c r="E160" i="27"/>
  <c r="O159" i="27"/>
  <c r="N159" i="27"/>
  <c r="L159" i="27"/>
  <c r="K159" i="27"/>
  <c r="I159" i="27"/>
  <c r="H159" i="27"/>
  <c r="F159" i="27"/>
  <c r="E159" i="27"/>
  <c r="O158" i="27"/>
  <c r="N158" i="27"/>
  <c r="L158" i="27"/>
  <c r="K158" i="27"/>
  <c r="I158" i="27"/>
  <c r="H158" i="27"/>
  <c r="F158" i="27"/>
  <c r="E158" i="27"/>
  <c r="O157" i="27"/>
  <c r="N157" i="27"/>
  <c r="L157" i="27"/>
  <c r="K157" i="27"/>
  <c r="I157" i="27"/>
  <c r="H157" i="27"/>
  <c r="F157" i="27"/>
  <c r="E157" i="27"/>
  <c r="O156" i="27"/>
  <c r="N156" i="27"/>
  <c r="L156" i="27"/>
  <c r="K156" i="27"/>
  <c r="I156" i="27"/>
  <c r="H156" i="27"/>
  <c r="F156" i="27"/>
  <c r="E156" i="27"/>
  <c r="O155" i="27"/>
  <c r="N155" i="27"/>
  <c r="L155" i="27"/>
  <c r="K155" i="27"/>
  <c r="I155" i="27"/>
  <c r="H155" i="27"/>
  <c r="F155" i="27"/>
  <c r="E155" i="27"/>
  <c r="O154" i="27"/>
  <c r="N154" i="27"/>
  <c r="L154" i="27"/>
  <c r="K154" i="27"/>
  <c r="I154" i="27"/>
  <c r="H154" i="27"/>
  <c r="F154" i="27"/>
  <c r="E154" i="27"/>
  <c r="O153" i="27"/>
  <c r="N153" i="27"/>
  <c r="L153" i="27"/>
  <c r="K153" i="27"/>
  <c r="K172" i="27" s="1"/>
  <c r="I153" i="27"/>
  <c r="H153" i="27"/>
  <c r="F153" i="27"/>
  <c r="E153" i="27"/>
  <c r="O152" i="27"/>
  <c r="O172" i="27" s="1"/>
  <c r="N152" i="27"/>
  <c r="N172" i="27" s="1"/>
  <c r="L152" i="27"/>
  <c r="K152" i="27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L140" i="27"/>
  <c r="K140" i="27"/>
  <c r="I140" i="27"/>
  <c r="H140" i="27"/>
  <c r="F140" i="27"/>
  <c r="E140" i="27"/>
  <c r="O139" i="27"/>
  <c r="N139" i="27"/>
  <c r="L139" i="27"/>
  <c r="K139" i="27"/>
  <c r="I139" i="27"/>
  <c r="H139" i="27"/>
  <c r="F139" i="27"/>
  <c r="E139" i="27"/>
  <c r="O138" i="27"/>
  <c r="N138" i="27"/>
  <c r="L138" i="27"/>
  <c r="K138" i="27"/>
  <c r="I138" i="27"/>
  <c r="H138" i="27"/>
  <c r="F138" i="27"/>
  <c r="E138" i="27"/>
  <c r="O137" i="27"/>
  <c r="N137" i="27"/>
  <c r="L137" i="27"/>
  <c r="K137" i="27"/>
  <c r="I137" i="27"/>
  <c r="H137" i="27"/>
  <c r="F137" i="27"/>
  <c r="E137" i="27"/>
  <c r="O136" i="27"/>
  <c r="N136" i="27"/>
  <c r="L136" i="27"/>
  <c r="K136" i="27"/>
  <c r="I136" i="27"/>
  <c r="H136" i="27"/>
  <c r="F136" i="27"/>
  <c r="E136" i="27"/>
  <c r="O135" i="27"/>
  <c r="N135" i="27"/>
  <c r="L135" i="27"/>
  <c r="K135" i="27"/>
  <c r="I135" i="27"/>
  <c r="H135" i="27"/>
  <c r="F135" i="27"/>
  <c r="E135" i="27"/>
  <c r="O134" i="27"/>
  <c r="N134" i="27"/>
  <c r="L134" i="27"/>
  <c r="K134" i="27"/>
  <c r="I134" i="27"/>
  <c r="H134" i="27"/>
  <c r="F134" i="27"/>
  <c r="E134" i="27"/>
  <c r="O133" i="27"/>
  <c r="N133" i="27"/>
  <c r="L133" i="27"/>
  <c r="K133" i="27"/>
  <c r="I133" i="27"/>
  <c r="H133" i="27"/>
  <c r="F133" i="27"/>
  <c r="E133" i="27"/>
  <c r="O132" i="27"/>
  <c r="N132" i="27"/>
  <c r="L132" i="27"/>
  <c r="K132" i="27"/>
  <c r="I132" i="27"/>
  <c r="H132" i="27"/>
  <c r="F132" i="27"/>
  <c r="E132" i="27"/>
  <c r="O131" i="27"/>
  <c r="N131" i="27"/>
  <c r="L131" i="27"/>
  <c r="K131" i="27"/>
  <c r="I131" i="27"/>
  <c r="H131" i="27"/>
  <c r="F131" i="27"/>
  <c r="E131" i="27"/>
  <c r="O130" i="27"/>
  <c r="N130" i="27"/>
  <c r="L130" i="27"/>
  <c r="K130" i="27"/>
  <c r="I130" i="27"/>
  <c r="H130" i="27"/>
  <c r="F130" i="27"/>
  <c r="E130" i="27"/>
  <c r="O129" i="27"/>
  <c r="N129" i="27"/>
  <c r="L129" i="27"/>
  <c r="K129" i="27"/>
  <c r="I129" i="27"/>
  <c r="H129" i="27"/>
  <c r="F129" i="27"/>
  <c r="E129" i="27"/>
  <c r="O128" i="27"/>
  <c r="N128" i="27"/>
  <c r="L128" i="27"/>
  <c r="K128" i="27"/>
  <c r="I128" i="27"/>
  <c r="H128" i="27"/>
  <c r="F128" i="27"/>
  <c r="E128" i="27"/>
  <c r="O127" i="27"/>
  <c r="N127" i="27"/>
  <c r="L127" i="27"/>
  <c r="K127" i="27"/>
  <c r="I127" i="27"/>
  <c r="H127" i="27"/>
  <c r="F127" i="27"/>
  <c r="E127" i="27"/>
  <c r="O126" i="27"/>
  <c r="N126" i="27"/>
  <c r="L126" i="27"/>
  <c r="K126" i="27"/>
  <c r="I126" i="27"/>
  <c r="H126" i="27"/>
  <c r="F126" i="27"/>
  <c r="E126" i="27"/>
  <c r="O125" i="27"/>
  <c r="O145" i="27" s="1"/>
  <c r="N125" i="27"/>
  <c r="N145" i="27" s="1"/>
  <c r="L125" i="27"/>
  <c r="K125" i="27"/>
  <c r="K145" i="27" s="1"/>
  <c r="I125" i="27"/>
  <c r="I145" i="27" s="1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O117" i="27"/>
  <c r="N117" i="27"/>
  <c r="L117" i="27"/>
  <c r="K117" i="27"/>
  <c r="I117" i="27"/>
  <c r="H117" i="27"/>
  <c r="F117" i="27"/>
  <c r="E117" i="27"/>
  <c r="O116" i="27"/>
  <c r="N116" i="27"/>
  <c r="L116" i="27"/>
  <c r="K116" i="27"/>
  <c r="I116" i="27"/>
  <c r="H116" i="27"/>
  <c r="F116" i="27"/>
  <c r="E116" i="27"/>
  <c r="O115" i="27"/>
  <c r="N115" i="27"/>
  <c r="L115" i="27"/>
  <c r="K115" i="27"/>
  <c r="I115" i="27"/>
  <c r="H115" i="27"/>
  <c r="F115" i="27"/>
  <c r="E115" i="27"/>
  <c r="O114" i="27"/>
  <c r="N114" i="27"/>
  <c r="L114" i="27"/>
  <c r="K114" i="27"/>
  <c r="I114" i="27"/>
  <c r="H114" i="27"/>
  <c r="F114" i="27"/>
  <c r="E114" i="27"/>
  <c r="O113" i="27"/>
  <c r="N113" i="27"/>
  <c r="L113" i="27"/>
  <c r="K113" i="27"/>
  <c r="I113" i="27"/>
  <c r="H113" i="27"/>
  <c r="F113" i="27"/>
  <c r="E113" i="27"/>
  <c r="O112" i="27"/>
  <c r="N112" i="27"/>
  <c r="L112" i="27"/>
  <c r="K112" i="27"/>
  <c r="I112" i="27"/>
  <c r="H112" i="27"/>
  <c r="F112" i="27"/>
  <c r="E112" i="27"/>
  <c r="O111" i="27"/>
  <c r="N111" i="27"/>
  <c r="L111" i="27"/>
  <c r="K111" i="27"/>
  <c r="I111" i="27"/>
  <c r="H111" i="27"/>
  <c r="F111" i="27"/>
  <c r="E111" i="27"/>
  <c r="O110" i="27"/>
  <c r="N110" i="27"/>
  <c r="L110" i="27"/>
  <c r="K110" i="27"/>
  <c r="I110" i="27"/>
  <c r="H110" i="27"/>
  <c r="F110" i="27"/>
  <c r="E110" i="27"/>
  <c r="O109" i="27"/>
  <c r="N109" i="27"/>
  <c r="L109" i="27"/>
  <c r="K109" i="27"/>
  <c r="I109" i="27"/>
  <c r="H109" i="27"/>
  <c r="F109" i="27"/>
  <c r="E109" i="27"/>
  <c r="O108" i="27"/>
  <c r="N108" i="27"/>
  <c r="L108" i="27"/>
  <c r="K108" i="27"/>
  <c r="I108" i="27"/>
  <c r="H108" i="27"/>
  <c r="F108" i="27"/>
  <c r="E108" i="27"/>
  <c r="O107" i="27"/>
  <c r="N107" i="27"/>
  <c r="L107" i="27"/>
  <c r="K107" i="27"/>
  <c r="I107" i="27"/>
  <c r="H107" i="27"/>
  <c r="F107" i="27"/>
  <c r="E107" i="27"/>
  <c r="O106" i="27"/>
  <c r="N106" i="27"/>
  <c r="L106" i="27"/>
  <c r="K106" i="27"/>
  <c r="I106" i="27"/>
  <c r="H106" i="27"/>
  <c r="F106" i="27"/>
  <c r="E106" i="27"/>
  <c r="O105" i="27"/>
  <c r="N105" i="27"/>
  <c r="L105" i="27"/>
  <c r="K105" i="27"/>
  <c r="I105" i="27"/>
  <c r="H105" i="27"/>
  <c r="F105" i="27"/>
  <c r="E105" i="27"/>
  <c r="O104" i="27"/>
  <c r="N104" i="27"/>
  <c r="L104" i="27"/>
  <c r="K104" i="27"/>
  <c r="I104" i="27"/>
  <c r="H104" i="27"/>
  <c r="F104" i="27"/>
  <c r="E104" i="27"/>
  <c r="O103" i="27"/>
  <c r="N103" i="27"/>
  <c r="L103" i="27"/>
  <c r="K103" i="27"/>
  <c r="I103" i="27"/>
  <c r="H103" i="27"/>
  <c r="F103" i="27"/>
  <c r="E103" i="27"/>
  <c r="O102" i="27"/>
  <c r="N102" i="27"/>
  <c r="L102" i="27"/>
  <c r="K102" i="27"/>
  <c r="I102" i="27"/>
  <c r="H102" i="27"/>
  <c r="F102" i="27"/>
  <c r="E102" i="27"/>
  <c r="O101" i="27"/>
  <c r="N101" i="27"/>
  <c r="L101" i="27"/>
  <c r="K101" i="27"/>
  <c r="I101" i="27"/>
  <c r="H101" i="27"/>
  <c r="F101" i="27"/>
  <c r="E101" i="27"/>
  <c r="O100" i="27"/>
  <c r="N100" i="27"/>
  <c r="L100" i="27"/>
  <c r="K100" i="27"/>
  <c r="I100" i="27"/>
  <c r="H100" i="27"/>
  <c r="F100" i="27"/>
  <c r="E100" i="27"/>
  <c r="O99" i="27"/>
  <c r="N99" i="27"/>
  <c r="L99" i="27"/>
  <c r="K99" i="27"/>
  <c r="I99" i="27"/>
  <c r="H99" i="27"/>
  <c r="F99" i="27"/>
  <c r="E99" i="27"/>
  <c r="O98" i="27"/>
  <c r="O118" i="27" s="1"/>
  <c r="N98" i="27"/>
  <c r="N118" i="27" s="1"/>
  <c r="L98" i="27"/>
  <c r="L118" i="27" s="1"/>
  <c r="K98" i="27"/>
  <c r="K118" i="27" s="1"/>
  <c r="I98" i="27"/>
  <c r="I118" i="27" s="1"/>
  <c r="H98" i="27"/>
  <c r="H118" i="27" s="1"/>
  <c r="F98" i="27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L90" i="27"/>
  <c r="K90" i="27"/>
  <c r="I90" i="27"/>
  <c r="H90" i="27"/>
  <c r="F90" i="27"/>
  <c r="E90" i="27"/>
  <c r="O89" i="27"/>
  <c r="N89" i="27"/>
  <c r="L89" i="27"/>
  <c r="K89" i="27"/>
  <c r="I89" i="27"/>
  <c r="H89" i="27"/>
  <c r="F89" i="27"/>
  <c r="E89" i="27"/>
  <c r="O88" i="27"/>
  <c r="N88" i="27"/>
  <c r="L88" i="27"/>
  <c r="K88" i="27"/>
  <c r="I88" i="27"/>
  <c r="H88" i="27"/>
  <c r="F88" i="27"/>
  <c r="E88" i="27"/>
  <c r="O87" i="27"/>
  <c r="N87" i="27"/>
  <c r="L87" i="27"/>
  <c r="K87" i="27"/>
  <c r="I87" i="27"/>
  <c r="H87" i="27"/>
  <c r="F87" i="27"/>
  <c r="E87" i="27"/>
  <c r="O86" i="27"/>
  <c r="N86" i="27"/>
  <c r="L86" i="27"/>
  <c r="K86" i="27"/>
  <c r="I86" i="27"/>
  <c r="H86" i="27"/>
  <c r="F86" i="27"/>
  <c r="E86" i="27"/>
  <c r="O85" i="27"/>
  <c r="N85" i="27"/>
  <c r="L85" i="27"/>
  <c r="K85" i="27"/>
  <c r="I85" i="27"/>
  <c r="H85" i="27"/>
  <c r="F85" i="27"/>
  <c r="E85" i="27"/>
  <c r="O84" i="27"/>
  <c r="N84" i="27"/>
  <c r="L84" i="27"/>
  <c r="K84" i="27"/>
  <c r="I84" i="27"/>
  <c r="H84" i="27"/>
  <c r="F84" i="27"/>
  <c r="E84" i="27"/>
  <c r="O83" i="27"/>
  <c r="N83" i="27"/>
  <c r="L83" i="27"/>
  <c r="K83" i="27"/>
  <c r="I83" i="27"/>
  <c r="H83" i="27"/>
  <c r="F83" i="27"/>
  <c r="E83" i="27"/>
  <c r="O82" i="27"/>
  <c r="N82" i="27"/>
  <c r="L82" i="27"/>
  <c r="K82" i="27"/>
  <c r="I82" i="27"/>
  <c r="H82" i="27"/>
  <c r="F82" i="27"/>
  <c r="E82" i="27"/>
  <c r="O81" i="27"/>
  <c r="N81" i="27"/>
  <c r="L81" i="27"/>
  <c r="K81" i="27"/>
  <c r="I81" i="27"/>
  <c r="H81" i="27"/>
  <c r="F81" i="27"/>
  <c r="E81" i="27"/>
  <c r="O80" i="27"/>
  <c r="N80" i="27"/>
  <c r="L80" i="27"/>
  <c r="K80" i="27"/>
  <c r="I80" i="27"/>
  <c r="H80" i="27"/>
  <c r="F80" i="27"/>
  <c r="E80" i="27"/>
  <c r="O79" i="27"/>
  <c r="N79" i="27"/>
  <c r="L79" i="27"/>
  <c r="K79" i="27"/>
  <c r="I79" i="27"/>
  <c r="H79" i="27"/>
  <c r="F79" i="27"/>
  <c r="E79" i="27"/>
  <c r="O78" i="27"/>
  <c r="N78" i="27"/>
  <c r="L78" i="27"/>
  <c r="K78" i="27"/>
  <c r="I78" i="27"/>
  <c r="H78" i="27"/>
  <c r="F78" i="27"/>
  <c r="E78" i="27"/>
  <c r="O77" i="27"/>
  <c r="N77" i="27"/>
  <c r="L77" i="27"/>
  <c r="K77" i="27"/>
  <c r="I77" i="27"/>
  <c r="H77" i="27"/>
  <c r="F77" i="27"/>
  <c r="E77" i="27"/>
  <c r="O76" i="27"/>
  <c r="N76" i="27"/>
  <c r="L76" i="27"/>
  <c r="K76" i="27"/>
  <c r="I76" i="27"/>
  <c r="H76" i="27"/>
  <c r="F76" i="27"/>
  <c r="E76" i="27"/>
  <c r="O75" i="27"/>
  <c r="N75" i="27"/>
  <c r="L75" i="27"/>
  <c r="K75" i="27"/>
  <c r="I75" i="27"/>
  <c r="H75" i="27"/>
  <c r="F75" i="27"/>
  <c r="E75" i="27"/>
  <c r="O74" i="27"/>
  <c r="N74" i="27"/>
  <c r="L74" i="27"/>
  <c r="K74" i="27"/>
  <c r="I74" i="27"/>
  <c r="H74" i="27"/>
  <c r="F74" i="27"/>
  <c r="E74" i="27"/>
  <c r="O73" i="27"/>
  <c r="N73" i="27"/>
  <c r="L73" i="27"/>
  <c r="K73" i="27"/>
  <c r="I73" i="27"/>
  <c r="H73" i="27"/>
  <c r="F73" i="27"/>
  <c r="E73" i="27"/>
  <c r="O72" i="27"/>
  <c r="N72" i="27"/>
  <c r="L72" i="27"/>
  <c r="K72" i="27"/>
  <c r="I72" i="27"/>
  <c r="H72" i="27"/>
  <c r="H91" i="27" s="1"/>
  <c r="F72" i="27"/>
  <c r="E72" i="27"/>
  <c r="O71" i="27"/>
  <c r="O91" i="27" s="1"/>
  <c r="N71" i="27"/>
  <c r="N91" i="27" s="1"/>
  <c r="L71" i="27"/>
  <c r="L91" i="27" s="1"/>
  <c r="K71" i="27"/>
  <c r="K91" i="27" s="1"/>
  <c r="I71" i="27"/>
  <c r="I91" i="27" s="1"/>
  <c r="H71" i="27"/>
  <c r="F71" i="27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L60" i="27"/>
  <c r="K60" i="27"/>
  <c r="I60" i="27"/>
  <c r="H60" i="27"/>
  <c r="F60" i="27"/>
  <c r="E60" i="27"/>
  <c r="O59" i="27"/>
  <c r="N59" i="27"/>
  <c r="L59" i="27"/>
  <c r="K59" i="27"/>
  <c r="I59" i="27"/>
  <c r="H59" i="27"/>
  <c r="F59" i="27"/>
  <c r="E59" i="27"/>
  <c r="O58" i="27"/>
  <c r="N58" i="27"/>
  <c r="L58" i="27"/>
  <c r="K58" i="27"/>
  <c r="I58" i="27"/>
  <c r="H58" i="27"/>
  <c r="F58" i="27"/>
  <c r="E58" i="27"/>
  <c r="O57" i="27"/>
  <c r="N57" i="27"/>
  <c r="L57" i="27"/>
  <c r="K57" i="27"/>
  <c r="I57" i="27"/>
  <c r="H57" i="27"/>
  <c r="F57" i="27"/>
  <c r="E57" i="27"/>
  <c r="O56" i="27"/>
  <c r="N56" i="27"/>
  <c r="L56" i="27"/>
  <c r="K56" i="27"/>
  <c r="I56" i="27"/>
  <c r="H56" i="27"/>
  <c r="F56" i="27"/>
  <c r="E56" i="27"/>
  <c r="O55" i="27"/>
  <c r="N55" i="27"/>
  <c r="L55" i="27"/>
  <c r="K55" i="27"/>
  <c r="I55" i="27"/>
  <c r="H55" i="27"/>
  <c r="F55" i="27"/>
  <c r="E55" i="27"/>
  <c r="O54" i="27"/>
  <c r="N54" i="27"/>
  <c r="L54" i="27"/>
  <c r="K54" i="27"/>
  <c r="I54" i="27"/>
  <c r="H54" i="27"/>
  <c r="F54" i="27"/>
  <c r="E54" i="27"/>
  <c r="O53" i="27"/>
  <c r="N53" i="27"/>
  <c r="L53" i="27"/>
  <c r="K53" i="27"/>
  <c r="I53" i="27"/>
  <c r="H53" i="27"/>
  <c r="F53" i="27"/>
  <c r="E53" i="27"/>
  <c r="O52" i="27"/>
  <c r="N52" i="27"/>
  <c r="L52" i="27"/>
  <c r="K52" i="27"/>
  <c r="I52" i="27"/>
  <c r="H52" i="27"/>
  <c r="F52" i="27"/>
  <c r="E52" i="27"/>
  <c r="O51" i="27"/>
  <c r="N51" i="27"/>
  <c r="L51" i="27"/>
  <c r="K51" i="27"/>
  <c r="I51" i="27"/>
  <c r="H51" i="27"/>
  <c r="F51" i="27"/>
  <c r="E51" i="27"/>
  <c r="O50" i="27"/>
  <c r="N50" i="27"/>
  <c r="L50" i="27"/>
  <c r="K50" i="27"/>
  <c r="I50" i="27"/>
  <c r="H50" i="27"/>
  <c r="F50" i="27"/>
  <c r="E50" i="27"/>
  <c r="O49" i="27"/>
  <c r="N49" i="27"/>
  <c r="L49" i="27"/>
  <c r="K49" i="27"/>
  <c r="I49" i="27"/>
  <c r="H49" i="27"/>
  <c r="F49" i="27"/>
  <c r="E49" i="27"/>
  <c r="O48" i="27"/>
  <c r="N48" i="27"/>
  <c r="L48" i="27"/>
  <c r="K48" i="27"/>
  <c r="I48" i="27"/>
  <c r="H48" i="27"/>
  <c r="F48" i="27"/>
  <c r="E48" i="27"/>
  <c r="O47" i="27"/>
  <c r="N47" i="27"/>
  <c r="L47" i="27"/>
  <c r="K47" i="27"/>
  <c r="I47" i="27"/>
  <c r="H47" i="27"/>
  <c r="F47" i="27"/>
  <c r="E47" i="27"/>
  <c r="O46" i="27"/>
  <c r="N46" i="27"/>
  <c r="L46" i="27"/>
  <c r="K46" i="27"/>
  <c r="I46" i="27"/>
  <c r="H46" i="27"/>
  <c r="F46" i="27"/>
  <c r="E46" i="27"/>
  <c r="O45" i="27"/>
  <c r="N45" i="27"/>
  <c r="L45" i="27"/>
  <c r="K45" i="27"/>
  <c r="I45" i="27"/>
  <c r="H45" i="27"/>
  <c r="H64" i="27" s="1"/>
  <c r="F45" i="27"/>
  <c r="E45" i="27"/>
  <c r="O44" i="27"/>
  <c r="O64" i="27" s="1"/>
  <c r="N44" i="27"/>
  <c r="N64" i="27" s="1"/>
  <c r="L44" i="27"/>
  <c r="L64" i="27" s="1"/>
  <c r="K44" i="27"/>
  <c r="K64" i="27" s="1"/>
  <c r="I44" i="27"/>
  <c r="H44" i="27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O145" i="6" s="1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I91" i="6" s="1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F64" i="6" s="1"/>
  <c r="H44" i="6"/>
  <c r="I44" i="6"/>
  <c r="K44" i="6"/>
  <c r="K64" i="6" s="1"/>
  <c r="L44" i="6"/>
  <c r="L64" i="6" s="1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O37" i="6" s="1"/>
  <c r="N17" i="6"/>
  <c r="N37" i="6" s="1"/>
  <c r="M17" i="6"/>
  <c r="L17" i="6"/>
  <c r="L37" i="6" s="1"/>
  <c r="K17" i="6"/>
  <c r="K37" i="6" s="1"/>
  <c r="J17" i="6"/>
  <c r="I17" i="6"/>
  <c r="I37" i="6" s="1"/>
  <c r="H17" i="6"/>
  <c r="H37" i="6" s="1"/>
  <c r="G17" i="6"/>
  <c r="F17" i="6"/>
  <c r="F37" i="6" s="1"/>
  <c r="E17" i="6"/>
  <c r="E37" i="6" s="1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8" i="9"/>
  <c r="K8" i="9"/>
  <c r="G9" i="9"/>
  <c r="K9" i="9"/>
  <c r="G10" i="9"/>
  <c r="K10" i="9"/>
  <c r="G11" i="9"/>
  <c r="K11" i="9"/>
  <c r="G12" i="9"/>
  <c r="K12" i="9"/>
  <c r="G13" i="9"/>
  <c r="K13" i="9"/>
  <c r="G14" i="9"/>
  <c r="K14" i="9"/>
  <c r="G15" i="9"/>
  <c r="K15" i="9"/>
  <c r="G16" i="9"/>
  <c r="K16" i="9"/>
  <c r="G17" i="9"/>
  <c r="K17" i="9"/>
  <c r="G18" i="9"/>
  <c r="K18" i="9"/>
  <c r="G19" i="9"/>
  <c r="K19" i="9"/>
  <c r="G20" i="9"/>
  <c r="K20" i="9"/>
  <c r="G21" i="9"/>
  <c r="K21" i="9"/>
  <c r="G22" i="9"/>
  <c r="K22" i="9"/>
  <c r="G23" i="9"/>
  <c r="K23" i="9"/>
  <c r="G24" i="9"/>
  <c r="K24" i="9"/>
  <c r="G25" i="9"/>
  <c r="K25" i="9"/>
  <c r="G26" i="9"/>
  <c r="K26" i="9"/>
  <c r="G27" i="9"/>
  <c r="K27" i="9"/>
  <c r="G28" i="9"/>
  <c r="K28" i="9"/>
  <c r="G29" i="9"/>
  <c r="K29" i="9"/>
  <c r="G30" i="9"/>
  <c r="K30" i="9"/>
  <c r="G31" i="9"/>
  <c r="K31" i="9"/>
  <c r="G32" i="9"/>
  <c r="K32" i="9"/>
  <c r="G33" i="9"/>
  <c r="K33" i="9"/>
  <c r="G34" i="9"/>
  <c r="K34" i="9"/>
  <c r="G35" i="9"/>
  <c r="K35" i="9"/>
  <c r="G36" i="9"/>
  <c r="K36" i="9"/>
  <c r="G37" i="9"/>
  <c r="K37" i="9"/>
  <c r="N8" i="9"/>
  <c r="N9" i="9"/>
  <c r="J10" i="9"/>
  <c r="J12" i="9"/>
  <c r="J13" i="9"/>
  <c r="J14" i="9"/>
  <c r="N15" i="9"/>
  <c r="J16" i="9"/>
  <c r="N17" i="9"/>
  <c r="N19" i="9"/>
  <c r="J20" i="9"/>
  <c r="D8" i="9"/>
  <c r="H8" i="9"/>
  <c r="D9" i="9"/>
  <c r="H9" i="9"/>
  <c r="D10" i="9"/>
  <c r="H10" i="9"/>
  <c r="D11" i="9"/>
  <c r="H11" i="9"/>
  <c r="D12" i="9"/>
  <c r="H12" i="9"/>
  <c r="D13" i="9"/>
  <c r="H13" i="9"/>
  <c r="D14" i="9"/>
  <c r="H14" i="9"/>
  <c r="D15" i="9"/>
  <c r="H15" i="9"/>
  <c r="D16" i="9"/>
  <c r="H16" i="9"/>
  <c r="D17" i="9"/>
  <c r="H17" i="9"/>
  <c r="D18" i="9"/>
  <c r="H18" i="9"/>
  <c r="D19" i="9"/>
  <c r="H19" i="9"/>
  <c r="D20" i="9"/>
  <c r="H20" i="9"/>
  <c r="D21" i="9"/>
  <c r="H21" i="9"/>
  <c r="D22" i="9"/>
  <c r="H22" i="9"/>
  <c r="D23" i="9"/>
  <c r="H23" i="9"/>
  <c r="D24" i="9"/>
  <c r="H24" i="9"/>
  <c r="D25" i="9"/>
  <c r="H25" i="9"/>
  <c r="D26" i="9"/>
  <c r="H26" i="9"/>
  <c r="D27" i="9"/>
  <c r="H27" i="9"/>
  <c r="D28" i="9"/>
  <c r="H28" i="9"/>
  <c r="D29" i="9"/>
  <c r="H29" i="9"/>
  <c r="D30" i="9"/>
  <c r="H30" i="9"/>
  <c r="D31" i="9"/>
  <c r="H31" i="9"/>
  <c r="D32" i="9"/>
  <c r="H32" i="9"/>
  <c r="D33" i="9"/>
  <c r="H33" i="9"/>
  <c r="D34" i="9"/>
  <c r="H34" i="9"/>
  <c r="D35" i="9"/>
  <c r="H35" i="9"/>
  <c r="D36" i="9"/>
  <c r="H36" i="9"/>
  <c r="D37" i="9"/>
  <c r="H37" i="9"/>
  <c r="J8" i="9"/>
  <c r="J11" i="9"/>
  <c r="N12" i="9"/>
  <c r="N14" i="9"/>
  <c r="J15" i="9"/>
  <c r="J17" i="9"/>
  <c r="J18" i="9"/>
  <c r="J19" i="9"/>
  <c r="N20" i="9"/>
  <c r="N21" i="9"/>
  <c r="E8" i="9"/>
  <c r="M8" i="9"/>
  <c r="E9" i="9"/>
  <c r="M9" i="9"/>
  <c r="E10" i="9"/>
  <c r="M10" i="9"/>
  <c r="E11" i="9"/>
  <c r="M11" i="9"/>
  <c r="E12" i="9"/>
  <c r="M12" i="9"/>
  <c r="E13" i="9"/>
  <c r="M13" i="9"/>
  <c r="E14" i="9"/>
  <c r="M14" i="9"/>
  <c r="E15" i="9"/>
  <c r="M15" i="9"/>
  <c r="E16" i="9"/>
  <c r="M16" i="9"/>
  <c r="E17" i="9"/>
  <c r="M17" i="9"/>
  <c r="E18" i="9"/>
  <c r="M18" i="9"/>
  <c r="E19" i="9"/>
  <c r="M19" i="9"/>
  <c r="E20" i="9"/>
  <c r="M20" i="9"/>
  <c r="E21" i="9"/>
  <c r="M21" i="9"/>
  <c r="E22" i="9"/>
  <c r="M22" i="9"/>
  <c r="E23" i="9"/>
  <c r="M23" i="9"/>
  <c r="E24" i="9"/>
  <c r="M24" i="9"/>
  <c r="E25" i="9"/>
  <c r="M25" i="9"/>
  <c r="E26" i="9"/>
  <c r="M26" i="9"/>
  <c r="E27" i="9"/>
  <c r="M27" i="9"/>
  <c r="E28" i="9"/>
  <c r="M28" i="9"/>
  <c r="E29" i="9"/>
  <c r="M29" i="9"/>
  <c r="E30" i="9"/>
  <c r="M30" i="9"/>
  <c r="E31" i="9"/>
  <c r="M31" i="9"/>
  <c r="E32" i="9"/>
  <c r="M32" i="9"/>
  <c r="E33" i="9"/>
  <c r="M33" i="9"/>
  <c r="E34" i="9"/>
  <c r="M34" i="9"/>
  <c r="E35" i="9"/>
  <c r="M35" i="9"/>
  <c r="E36" i="9"/>
  <c r="M36" i="9"/>
  <c r="E37" i="9"/>
  <c r="M37" i="9"/>
  <c r="J9" i="9"/>
  <c r="N10" i="9"/>
  <c r="N11" i="9"/>
  <c r="N13" i="9"/>
  <c r="N16" i="9"/>
  <c r="N18" i="9"/>
  <c r="J21" i="9"/>
  <c r="J22" i="9"/>
  <c r="N23" i="9"/>
  <c r="J26" i="9"/>
  <c r="N27" i="9"/>
  <c r="J30" i="9"/>
  <c r="N31" i="9"/>
  <c r="J34" i="9"/>
  <c r="N35" i="9"/>
  <c r="N22" i="9"/>
  <c r="J25" i="9"/>
  <c r="N26" i="9"/>
  <c r="J29" i="9"/>
  <c r="N30" i="9"/>
  <c r="J33" i="9"/>
  <c r="N34" i="9"/>
  <c r="J37" i="9"/>
  <c r="N24" i="9"/>
  <c r="J24" i="9"/>
  <c r="N25" i="9"/>
  <c r="J28" i="9"/>
  <c r="N29" i="9"/>
  <c r="J32" i="9"/>
  <c r="N33" i="9"/>
  <c r="J36" i="9"/>
  <c r="N37" i="9"/>
  <c r="J23" i="9"/>
  <c r="J27" i="9"/>
  <c r="N28" i="9"/>
  <c r="J31" i="9"/>
  <c r="N32" i="9"/>
  <c r="J35" i="9"/>
  <c r="N36" i="9"/>
  <c r="N7" i="9"/>
  <c r="M7" i="9"/>
  <c r="K7" i="9"/>
  <c r="J7" i="9"/>
  <c r="H7" i="9"/>
  <c r="G7" i="9"/>
  <c r="E7" i="9"/>
  <c r="D7" i="9"/>
  <c r="B8" i="9"/>
  <c r="B12" i="9"/>
  <c r="B16" i="9"/>
  <c r="B20" i="9"/>
  <c r="B24" i="9"/>
  <c r="B28" i="9"/>
  <c r="B32" i="9"/>
  <c r="B36" i="9"/>
  <c r="B14" i="9"/>
  <c r="B15" i="9"/>
  <c r="B19" i="9"/>
  <c r="B27" i="9"/>
  <c r="B35" i="9"/>
  <c r="B9" i="9"/>
  <c r="B13" i="9"/>
  <c r="B17" i="9"/>
  <c r="B21" i="9"/>
  <c r="B25" i="9"/>
  <c r="B29" i="9"/>
  <c r="B33" i="9"/>
  <c r="B37" i="9"/>
  <c r="B10" i="9"/>
  <c r="B18" i="9"/>
  <c r="B22" i="9"/>
  <c r="B26" i="9"/>
  <c r="B30" i="9"/>
  <c r="B34" i="9"/>
  <c r="B11" i="9"/>
  <c r="B23" i="9"/>
  <c r="B31" i="9"/>
  <c r="B7" i="9"/>
  <c r="N39" i="9" l="1"/>
  <c r="M39" i="9" s="1"/>
  <c r="K39" i="9"/>
  <c r="J39" i="9" s="1"/>
  <c r="H39" i="9"/>
  <c r="G39" i="9" s="1"/>
  <c r="E39" i="9"/>
  <c r="D39" i="9" s="1"/>
  <c r="B39" i="9"/>
  <c r="C31" i="9"/>
  <c r="L31" i="9"/>
  <c r="I31" i="9"/>
  <c r="F31" i="9"/>
  <c r="C23" i="9"/>
  <c r="L23" i="9"/>
  <c r="I23" i="9"/>
  <c r="F23" i="9"/>
  <c r="C11" i="9"/>
  <c r="L11" i="9"/>
  <c r="F11" i="9"/>
  <c r="I11" i="9"/>
  <c r="C34" i="9"/>
  <c r="L34" i="9"/>
  <c r="I34" i="9"/>
  <c r="F34" i="9"/>
  <c r="C30" i="9"/>
  <c r="L30" i="9"/>
  <c r="I30" i="9"/>
  <c r="F30" i="9"/>
  <c r="C26" i="9"/>
  <c r="L26" i="9"/>
  <c r="I26" i="9"/>
  <c r="F26" i="9"/>
  <c r="C22" i="9"/>
  <c r="F22" i="9"/>
  <c r="L22" i="9"/>
  <c r="I22" i="9"/>
  <c r="C18" i="9"/>
  <c r="L18" i="9"/>
  <c r="I18" i="9"/>
  <c r="F18" i="9"/>
  <c r="C10" i="9"/>
  <c r="L10" i="9"/>
  <c r="F10" i="9"/>
  <c r="I10" i="9"/>
  <c r="C37" i="9"/>
  <c r="L37" i="9"/>
  <c r="I37" i="9"/>
  <c r="F37" i="9"/>
  <c r="C33" i="9"/>
  <c r="L33" i="9"/>
  <c r="I33" i="9"/>
  <c r="F33" i="9"/>
  <c r="C29" i="9"/>
  <c r="L29" i="9"/>
  <c r="I29" i="9"/>
  <c r="F29" i="9"/>
  <c r="C25" i="9"/>
  <c r="L25" i="9"/>
  <c r="I25" i="9"/>
  <c r="F25" i="9"/>
  <c r="C21" i="9"/>
  <c r="L21" i="9"/>
  <c r="I21" i="9"/>
  <c r="F21" i="9"/>
  <c r="C17" i="9"/>
  <c r="L17" i="9"/>
  <c r="F17" i="9"/>
  <c r="I17" i="9"/>
  <c r="C13" i="9"/>
  <c r="L13" i="9"/>
  <c r="I13" i="9"/>
  <c r="F13" i="9"/>
  <c r="C9" i="9"/>
  <c r="L9" i="9"/>
  <c r="I9" i="9"/>
  <c r="F9" i="9"/>
  <c r="C35" i="9"/>
  <c r="L35" i="9"/>
  <c r="I35" i="9"/>
  <c r="F35" i="9"/>
  <c r="C27" i="9"/>
  <c r="L27" i="9"/>
  <c r="I27" i="9"/>
  <c r="F27" i="9"/>
  <c r="C19" i="9"/>
  <c r="F19" i="9"/>
  <c r="L19" i="9"/>
  <c r="I19" i="9"/>
  <c r="C15" i="9"/>
  <c r="L15" i="9"/>
  <c r="I15" i="9"/>
  <c r="F15" i="9"/>
  <c r="C14" i="9"/>
  <c r="L14" i="9"/>
  <c r="F14" i="9"/>
  <c r="I14" i="9"/>
  <c r="C36" i="9"/>
  <c r="L36" i="9"/>
  <c r="I36" i="9"/>
  <c r="F36" i="9"/>
  <c r="C32" i="9"/>
  <c r="L32" i="9"/>
  <c r="I32" i="9"/>
  <c r="F32" i="9"/>
  <c r="C28" i="9"/>
  <c r="L28" i="9"/>
  <c r="I28" i="9"/>
  <c r="F28" i="9"/>
  <c r="C24" i="9"/>
  <c r="L24" i="9"/>
  <c r="I24" i="9"/>
  <c r="F24" i="9"/>
  <c r="C20" i="9"/>
  <c r="L20" i="9"/>
  <c r="I20" i="9"/>
  <c r="F20" i="9"/>
  <c r="C16" i="9"/>
  <c r="L16" i="9"/>
  <c r="I16" i="9"/>
  <c r="F16" i="9"/>
  <c r="C12" i="9"/>
  <c r="F12" i="9"/>
  <c r="L12" i="9"/>
  <c r="I12" i="9"/>
  <c r="C8" i="9"/>
  <c r="L8" i="9"/>
  <c r="I8" i="9"/>
  <c r="F8" i="9"/>
  <c r="L7" i="9"/>
  <c r="I7" i="9"/>
  <c r="F7" i="9"/>
  <c r="C7" i="9"/>
  <c r="F91" i="27"/>
  <c r="N19" i="26"/>
  <c r="N64" i="26"/>
  <c r="L172" i="27"/>
  <c r="F145" i="27"/>
  <c r="L145" i="27"/>
  <c r="L199" i="27"/>
  <c r="G9" i="27" s="1"/>
  <c r="I64" i="27"/>
  <c r="G5" i="27" s="1"/>
  <c r="F118" i="27"/>
  <c r="G3" i="27" s="1"/>
  <c r="H37" i="27"/>
  <c r="L37" i="27"/>
  <c r="N37" i="27"/>
  <c r="K37" i="27"/>
  <c r="O37" i="27"/>
  <c r="E37" i="27"/>
  <c r="I37" i="27"/>
  <c r="F37" i="27"/>
  <c r="G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L39" i="9" l="1"/>
  <c r="I39" i="9"/>
  <c r="C39" i="9"/>
  <c r="F39" i="9"/>
  <c r="G11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26" l="1"/>
  <c r="G11" i="24"/>
  <c r="G7" i="24"/>
  <c r="G9" i="6"/>
  <c r="G11" i="6"/>
  <c r="K23" i="5"/>
  <c r="O66" i="3"/>
  <c r="O65" i="3"/>
  <c r="G38" i="3"/>
  <c r="K6" i="3"/>
  <c r="K10" i="5"/>
  <c r="O58" i="3"/>
  <c r="O42" i="3"/>
  <c r="O44" i="3"/>
  <c r="K61" i="3"/>
  <c r="O70" i="3"/>
  <c r="K24" i="5"/>
  <c r="G75" i="3"/>
  <c r="K70" i="3"/>
  <c r="O35" i="3"/>
  <c r="G65" i="3"/>
  <c r="O63" i="3"/>
  <c r="G42" i="3"/>
  <c r="O73" i="3"/>
  <c r="K36" i="3"/>
  <c r="K11" i="5"/>
  <c r="K34" i="3"/>
  <c r="K11" i="3"/>
  <c r="G57" i="3"/>
  <c r="K46" i="3"/>
  <c r="K32" i="3"/>
  <c r="O46" i="3"/>
  <c r="G66" i="3"/>
  <c r="K71" i="3"/>
  <c r="G69" i="3"/>
  <c r="K44" i="3"/>
  <c r="O39" i="3"/>
  <c r="G72" i="3"/>
  <c r="G40" i="3"/>
  <c r="G32" i="3"/>
  <c r="O31" i="3"/>
  <c r="K60" i="3"/>
  <c r="K67" i="3"/>
  <c r="K62" i="3"/>
  <c r="K63" i="3"/>
  <c r="K8" i="5"/>
  <c r="K15" i="3"/>
  <c r="K59" i="3"/>
  <c r="O33" i="3"/>
  <c r="G43" i="3"/>
  <c r="O61" i="3"/>
  <c r="O47" i="3"/>
  <c r="O43" i="3"/>
  <c r="O72" i="3"/>
  <c r="K25" i="3"/>
  <c r="G39" i="3"/>
  <c r="K69" i="3"/>
  <c r="K7" i="5"/>
  <c r="K42" i="3"/>
  <c r="K75" i="3"/>
  <c r="K23" i="3"/>
  <c r="K12" i="5"/>
  <c r="K73" i="3"/>
  <c r="G34" i="3"/>
  <c r="G31" i="3"/>
  <c r="K65" i="3"/>
  <c r="K31" i="3"/>
  <c r="G47" i="3"/>
  <c r="K7" i="3"/>
  <c r="G70" i="3"/>
  <c r="K48" i="3"/>
  <c r="K56" i="3"/>
  <c r="O34" i="3"/>
  <c r="K40" i="3"/>
  <c r="K20" i="5"/>
  <c r="K8" i="3"/>
  <c r="G36" i="3"/>
  <c r="K17" i="5"/>
  <c r="K15" i="5"/>
  <c r="K35" i="3"/>
  <c r="O37" i="3"/>
  <c r="K16" i="5"/>
  <c r="K47" i="3"/>
  <c r="K45" i="3"/>
  <c r="K25" i="5"/>
  <c r="K6" i="5"/>
  <c r="K9" i="3"/>
  <c r="G60" i="3"/>
  <c r="O41" i="3"/>
  <c r="K16" i="3"/>
  <c r="K9" i="5"/>
  <c r="O74" i="3"/>
  <c r="G58" i="3"/>
  <c r="K21" i="5"/>
  <c r="K39" i="3"/>
  <c r="O57" i="3"/>
  <c r="O38" i="3"/>
  <c r="K13" i="3"/>
  <c r="K18" i="5"/>
  <c r="O60" i="3"/>
  <c r="K22" i="3"/>
  <c r="K14" i="5"/>
  <c r="O32" i="3"/>
  <c r="K19" i="5"/>
  <c r="O64" i="3"/>
  <c r="G45" i="3"/>
  <c r="O56" i="3"/>
  <c r="O75" i="3"/>
  <c r="O45" i="3"/>
  <c r="G67" i="3"/>
  <c r="O71" i="3"/>
  <c r="K74" i="3"/>
  <c r="K19" i="3"/>
  <c r="G64" i="3"/>
  <c r="K14" i="3"/>
  <c r="K43" i="3"/>
  <c r="K66" i="3"/>
  <c r="K41" i="3"/>
  <c r="K49" i="3"/>
  <c r="K33" i="3"/>
  <c r="G41" i="3"/>
  <c r="O36" i="3"/>
  <c r="K24" i="3"/>
  <c r="K21" i="3"/>
  <c r="G35" i="3"/>
  <c r="O67" i="3"/>
  <c r="O48" i="3"/>
  <c r="O62" i="3"/>
  <c r="G71" i="3"/>
  <c r="K37" i="3"/>
  <c r="K68" i="3"/>
  <c r="K72" i="3"/>
  <c r="G33" i="3"/>
  <c r="O69" i="3"/>
  <c r="K50" i="3"/>
  <c r="O40" i="3"/>
  <c r="K64" i="3"/>
  <c r="K20" i="3"/>
  <c r="G46" i="3"/>
  <c r="K10" i="3"/>
  <c r="G63" i="3"/>
  <c r="K12" i="3"/>
  <c r="G49" i="3"/>
  <c r="G61" i="3"/>
  <c r="K17" i="3"/>
  <c r="G37" i="3"/>
  <c r="G73" i="3"/>
  <c r="K18" i="3"/>
  <c r="K38" i="3"/>
  <c r="O59" i="3"/>
  <c r="K22" i="5"/>
  <c r="K13" i="5"/>
  <c r="O49" i="3"/>
  <c r="G68" i="3"/>
  <c r="G44" i="3"/>
  <c r="G59" i="3"/>
  <c r="O68" i="3"/>
  <c r="G56" i="3"/>
  <c r="O50" i="3"/>
  <c r="K58" i="3"/>
  <c r="G48" i="3"/>
  <c r="G50" i="3"/>
  <c r="K57" i="3"/>
  <c r="G74" i="3"/>
  <c r="G62" i="3"/>
  <c r="N6" i="3" l="1"/>
  <c r="M6" i="3"/>
  <c r="L6" i="3"/>
  <c r="N24" i="5"/>
  <c r="M24" i="5"/>
  <c r="L24" i="5"/>
  <c r="N63" i="3"/>
  <c r="L63" i="3"/>
  <c r="M63" i="3"/>
  <c r="N20" i="5"/>
  <c r="L20" i="5"/>
  <c r="M20" i="5"/>
  <c r="L23" i="5"/>
  <c r="N23" i="5"/>
  <c r="M23" i="5"/>
  <c r="R72" i="3"/>
  <c r="P72" i="3"/>
  <c r="Q72" i="3"/>
  <c r="N22" i="3"/>
  <c r="L22" i="3"/>
  <c r="M22" i="3"/>
  <c r="N70" i="3"/>
  <c r="L70" i="3"/>
  <c r="M70" i="3"/>
  <c r="H38" i="3"/>
  <c r="I38" i="3"/>
  <c r="J38" i="3"/>
  <c r="J60" i="3"/>
  <c r="I60" i="3"/>
  <c r="H60" i="3"/>
  <c r="N9" i="3"/>
  <c r="M9" i="3"/>
  <c r="L9" i="3"/>
  <c r="J44" i="3"/>
  <c r="H44" i="3"/>
  <c r="I44" i="3"/>
  <c r="I74" i="3"/>
  <c r="J74" i="3"/>
  <c r="H74" i="3"/>
  <c r="L60" i="3"/>
  <c r="M60" i="3"/>
  <c r="N60" i="3"/>
  <c r="N42" i="3"/>
  <c r="M42" i="3"/>
  <c r="L42" i="3"/>
  <c r="R33" i="3"/>
  <c r="Q33" i="3"/>
  <c r="P33" i="3"/>
  <c r="R48" i="3"/>
  <c r="Q48" i="3"/>
  <c r="P48" i="3"/>
  <c r="N11" i="5"/>
  <c r="L11" i="5"/>
  <c r="M11" i="5"/>
  <c r="L15" i="3"/>
  <c r="N15" i="3"/>
  <c r="M15" i="3"/>
  <c r="R62" i="3"/>
  <c r="Q62" i="3"/>
  <c r="P62" i="3"/>
  <c r="N16" i="5"/>
  <c r="M16" i="5"/>
  <c r="L16" i="5"/>
  <c r="H40" i="3"/>
  <c r="I40" i="3"/>
  <c r="J40" i="3"/>
  <c r="L46" i="3"/>
  <c r="N46" i="3"/>
  <c r="M46" i="3"/>
  <c r="N48" i="3"/>
  <c r="L48" i="3"/>
  <c r="M48" i="3"/>
  <c r="R56" i="3"/>
  <c r="Q56" i="3"/>
  <c r="P56" i="3"/>
  <c r="M47" i="3"/>
  <c r="L47" i="3"/>
  <c r="N47" i="3"/>
  <c r="L18" i="5"/>
  <c r="N18" i="5"/>
  <c r="M18" i="5"/>
  <c r="H71" i="3"/>
  <c r="J71" i="3"/>
  <c r="I71" i="3"/>
  <c r="N14" i="3"/>
  <c r="L14" i="3"/>
  <c r="M14" i="3"/>
  <c r="M36" i="3"/>
  <c r="L36" i="3"/>
  <c r="N36" i="3"/>
  <c r="H66" i="3"/>
  <c r="J66" i="3"/>
  <c r="I66" i="3"/>
  <c r="L61" i="3"/>
  <c r="M61" i="3"/>
  <c r="N61" i="3"/>
  <c r="L20" i="3"/>
  <c r="M20" i="3"/>
  <c r="N20" i="3"/>
  <c r="Q57" i="3"/>
  <c r="R57" i="3"/>
  <c r="P57" i="3"/>
  <c r="P43" i="3"/>
  <c r="Q43" i="3"/>
  <c r="R43" i="3"/>
  <c r="H73" i="3"/>
  <c r="I73" i="3"/>
  <c r="J73" i="3"/>
  <c r="N19" i="3"/>
  <c r="L19" i="3"/>
  <c r="M19" i="3"/>
  <c r="L19" i="5"/>
  <c r="N19" i="5"/>
  <c r="M19" i="5"/>
  <c r="Q68" i="3"/>
  <c r="R68" i="3"/>
  <c r="P68" i="3"/>
  <c r="I67" i="3"/>
  <c r="H67" i="3"/>
  <c r="J67" i="3"/>
  <c r="P37" i="3"/>
  <c r="Q37" i="3"/>
  <c r="R37" i="3"/>
  <c r="M73" i="3"/>
  <c r="N73" i="3"/>
  <c r="L73" i="3"/>
  <c r="L9" i="5"/>
  <c r="M9" i="5"/>
  <c r="N9" i="5"/>
  <c r="L33" i="3"/>
  <c r="M33" i="3"/>
  <c r="N33" i="3"/>
  <c r="H64" i="3"/>
  <c r="J64" i="3"/>
  <c r="I64" i="3"/>
  <c r="L72" i="3"/>
  <c r="M72" i="3"/>
  <c r="N72" i="3"/>
  <c r="N31" i="3"/>
  <c r="L31" i="3"/>
  <c r="M31" i="3"/>
  <c r="N17" i="3"/>
  <c r="L17" i="3"/>
  <c r="M17" i="3"/>
  <c r="R32" i="3"/>
  <c r="Q32" i="3"/>
  <c r="P32" i="3"/>
  <c r="N65" i="3"/>
  <c r="M65" i="3"/>
  <c r="L65" i="3"/>
  <c r="Q46" i="3"/>
  <c r="P46" i="3"/>
  <c r="R46" i="3"/>
  <c r="M18" i="3"/>
  <c r="N18" i="3"/>
  <c r="L18" i="3"/>
  <c r="H46" i="3"/>
  <c r="I46" i="3"/>
  <c r="J46" i="3"/>
  <c r="Q61" i="3"/>
  <c r="P61" i="3"/>
  <c r="R61" i="3"/>
  <c r="J68" i="3"/>
  <c r="H68" i="3"/>
  <c r="I68" i="3"/>
  <c r="H36" i="3"/>
  <c r="I36" i="3"/>
  <c r="J36" i="3"/>
  <c r="P64" i="3"/>
  <c r="Q64" i="3"/>
  <c r="R64" i="3"/>
  <c r="I45" i="3"/>
  <c r="H45" i="3"/>
  <c r="J45" i="3"/>
  <c r="N75" i="3"/>
  <c r="M75" i="3"/>
  <c r="L75" i="3"/>
  <c r="M71" i="3"/>
  <c r="N71" i="3"/>
  <c r="L71" i="3"/>
  <c r="N67" i="3"/>
  <c r="M67" i="3"/>
  <c r="L67" i="3"/>
  <c r="J49" i="3"/>
  <c r="H49" i="3"/>
  <c r="I49" i="3"/>
  <c r="J47" i="3"/>
  <c r="I47" i="3"/>
  <c r="H47" i="3"/>
  <c r="N25" i="5"/>
  <c r="M25" i="5"/>
  <c r="L25" i="5"/>
  <c r="R42" i="3"/>
  <c r="P42" i="3"/>
  <c r="Q42" i="3"/>
  <c r="N15" i="5"/>
  <c r="M15" i="5"/>
  <c r="L15" i="5"/>
  <c r="L21" i="5"/>
  <c r="M21" i="5"/>
  <c r="N21" i="5"/>
  <c r="N8" i="5"/>
  <c r="M8" i="5"/>
  <c r="L8" i="5"/>
  <c r="J43" i="3"/>
  <c r="H43" i="3"/>
  <c r="I43" i="3"/>
  <c r="M62" i="3"/>
  <c r="L62" i="3"/>
  <c r="N62" i="3"/>
  <c r="L44" i="3"/>
  <c r="M44" i="3"/>
  <c r="N44" i="3"/>
  <c r="N17" i="5"/>
  <c r="M17" i="5"/>
  <c r="L17" i="5"/>
  <c r="M10" i="5"/>
  <c r="L10" i="5"/>
  <c r="N10" i="5"/>
  <c r="R66" i="3"/>
  <c r="P66" i="3"/>
  <c r="Q66" i="3"/>
  <c r="H62" i="3"/>
  <c r="I62" i="3"/>
  <c r="J62" i="3"/>
  <c r="M32" i="3"/>
  <c r="L32" i="3"/>
  <c r="N32" i="3"/>
  <c r="P59" i="3"/>
  <c r="R59" i="3"/>
  <c r="Q59" i="3"/>
  <c r="M43" i="3"/>
  <c r="N43" i="3"/>
  <c r="L43" i="3"/>
  <c r="N8" i="3"/>
  <c r="L8" i="3"/>
  <c r="M8" i="3"/>
  <c r="R36" i="3"/>
  <c r="P36" i="3"/>
  <c r="Q36" i="3"/>
  <c r="P73" i="3"/>
  <c r="Q73" i="3"/>
  <c r="R73" i="3"/>
  <c r="J39" i="3"/>
  <c r="I39" i="3"/>
  <c r="H39" i="3"/>
  <c r="R69" i="3"/>
  <c r="Q69" i="3"/>
  <c r="P69" i="3"/>
  <c r="H34" i="3"/>
  <c r="I34" i="3"/>
  <c r="J34" i="3"/>
  <c r="N74" i="3"/>
  <c r="M74" i="3"/>
  <c r="L74" i="3"/>
  <c r="R65" i="3"/>
  <c r="Q65" i="3"/>
  <c r="P65" i="3"/>
  <c r="L41" i="3"/>
  <c r="N41" i="3"/>
  <c r="M41" i="3"/>
  <c r="J57" i="3"/>
  <c r="H57" i="3"/>
  <c r="I57" i="3"/>
  <c r="Q41" i="3"/>
  <c r="P41" i="3"/>
  <c r="R41" i="3"/>
  <c r="H41" i="3"/>
  <c r="I41" i="3"/>
  <c r="J41" i="3"/>
  <c r="M14" i="5"/>
  <c r="L14" i="5"/>
  <c r="N14" i="5"/>
  <c r="P31" i="3"/>
  <c r="R31" i="3"/>
  <c r="Q31" i="3"/>
  <c r="N35" i="3"/>
  <c r="L35" i="3"/>
  <c r="M35" i="3"/>
  <c r="M59" i="3"/>
  <c r="L59" i="3"/>
  <c r="N59" i="3"/>
  <c r="M12" i="3"/>
  <c r="L12" i="3"/>
  <c r="N12" i="3"/>
  <c r="N68" i="3"/>
  <c r="M68" i="3"/>
  <c r="L68" i="3"/>
  <c r="N37" i="3"/>
  <c r="L37" i="3"/>
  <c r="M37" i="3"/>
  <c r="N56" i="3"/>
  <c r="L56" i="3"/>
  <c r="M56" i="3"/>
  <c r="N38" i="3"/>
  <c r="M38" i="3"/>
  <c r="L38" i="3"/>
  <c r="L11" i="3"/>
  <c r="N11" i="3"/>
  <c r="M11" i="3"/>
  <c r="R50" i="3"/>
  <c r="P50" i="3"/>
  <c r="Q50" i="3"/>
  <c r="J50" i="3"/>
  <c r="I50" i="3"/>
  <c r="H50" i="3"/>
  <c r="P63" i="3"/>
  <c r="R63" i="3"/>
  <c r="Q63" i="3"/>
  <c r="R60" i="3"/>
  <c r="Q60" i="3"/>
  <c r="P60" i="3"/>
  <c r="R67" i="3"/>
  <c r="Q67" i="3"/>
  <c r="P67" i="3"/>
  <c r="L13" i="5"/>
  <c r="M13" i="5"/>
  <c r="N13" i="5"/>
  <c r="N10" i="3"/>
  <c r="M10" i="3"/>
  <c r="L10" i="3"/>
  <c r="L13" i="3"/>
  <c r="M13" i="3"/>
  <c r="N13" i="3"/>
  <c r="H33" i="3"/>
  <c r="I33" i="3"/>
  <c r="J33" i="3"/>
  <c r="I35" i="3"/>
  <c r="J35" i="3"/>
  <c r="H35" i="3"/>
  <c r="I58" i="3"/>
  <c r="J58" i="3"/>
  <c r="H58" i="3"/>
  <c r="M22" i="5"/>
  <c r="N22" i="5"/>
  <c r="L22" i="5"/>
  <c r="H48" i="3"/>
  <c r="J48" i="3"/>
  <c r="I48" i="3"/>
  <c r="L45" i="3"/>
  <c r="M45" i="3"/>
  <c r="N45" i="3"/>
  <c r="P70" i="3"/>
  <c r="R70" i="3"/>
  <c r="Q70" i="3"/>
  <c r="I63" i="3"/>
  <c r="J63" i="3"/>
  <c r="H63" i="3"/>
  <c r="P74" i="3"/>
  <c r="R74" i="3"/>
  <c r="Q74" i="3"/>
  <c r="R49" i="3"/>
  <c r="Q49" i="3"/>
  <c r="P49" i="3"/>
  <c r="R75" i="3"/>
  <c r="P75" i="3"/>
  <c r="Q75" i="3"/>
  <c r="R44" i="3"/>
  <c r="P44" i="3"/>
  <c r="Q44" i="3"/>
  <c r="N12" i="5"/>
  <c r="M12" i="5"/>
  <c r="L12" i="5"/>
  <c r="N34" i="3"/>
  <c r="L34" i="3"/>
  <c r="M34" i="3"/>
  <c r="H32" i="3"/>
  <c r="J32" i="3"/>
  <c r="I32" i="3"/>
  <c r="R35" i="3"/>
  <c r="Q35" i="3"/>
  <c r="P35" i="3"/>
  <c r="J37" i="3"/>
  <c r="I37" i="3"/>
  <c r="H37" i="3"/>
  <c r="M69" i="3"/>
  <c r="N69" i="3"/>
  <c r="L69" i="3"/>
  <c r="R40" i="3"/>
  <c r="P40" i="3"/>
  <c r="Q40" i="3"/>
  <c r="H61" i="3"/>
  <c r="I61" i="3"/>
  <c r="J61" i="3"/>
  <c r="J65" i="3"/>
  <c r="I65" i="3"/>
  <c r="H65" i="3"/>
  <c r="N40" i="3"/>
  <c r="M40" i="3"/>
  <c r="L40" i="3"/>
  <c r="H59" i="3"/>
  <c r="J59" i="3"/>
  <c r="I59" i="3"/>
  <c r="H69" i="3"/>
  <c r="J69" i="3"/>
  <c r="I69" i="3"/>
  <c r="R45" i="3"/>
  <c r="Q45" i="3"/>
  <c r="P45" i="3"/>
  <c r="L25" i="3"/>
  <c r="M25" i="3"/>
  <c r="N25" i="3"/>
  <c r="M49" i="3"/>
  <c r="L49" i="3"/>
  <c r="N49" i="3"/>
  <c r="H70" i="3"/>
  <c r="I70" i="3"/>
  <c r="J70" i="3"/>
  <c r="N58" i="3"/>
  <c r="L58" i="3"/>
  <c r="M58" i="3"/>
  <c r="N21" i="3"/>
  <c r="L21" i="3"/>
  <c r="M21" i="3"/>
  <c r="M66" i="3"/>
  <c r="N66" i="3"/>
  <c r="L66" i="3"/>
  <c r="N64" i="3"/>
  <c r="L64" i="3"/>
  <c r="M64" i="3"/>
  <c r="R58" i="3"/>
  <c r="P58" i="3"/>
  <c r="Q58" i="3"/>
  <c r="R38" i="3"/>
  <c r="P38" i="3"/>
  <c r="Q38" i="3"/>
  <c r="Q71" i="3"/>
  <c r="P71" i="3"/>
  <c r="R71" i="3"/>
  <c r="L57" i="3"/>
  <c r="M57" i="3"/>
  <c r="N57" i="3"/>
  <c r="M16" i="3"/>
  <c r="L16" i="3"/>
  <c r="N16" i="3"/>
  <c r="Q34" i="3"/>
  <c r="P34" i="3"/>
  <c r="R34" i="3"/>
  <c r="P47" i="3"/>
  <c r="Q47" i="3"/>
  <c r="R47" i="3"/>
  <c r="N7" i="3"/>
  <c r="M7" i="3"/>
  <c r="L7" i="3"/>
  <c r="L24" i="3"/>
  <c r="M24" i="3"/>
  <c r="N24" i="3"/>
  <c r="H56" i="3"/>
  <c r="I56" i="3"/>
  <c r="J56" i="3"/>
  <c r="I31" i="3"/>
  <c r="J31" i="3"/>
  <c r="H31" i="3"/>
  <c r="N23" i="3"/>
  <c r="M23" i="3"/>
  <c r="L23" i="3"/>
  <c r="M6" i="5"/>
  <c r="N6" i="5"/>
  <c r="L6" i="5"/>
  <c r="L50" i="3"/>
  <c r="M50" i="3"/>
  <c r="N50" i="3"/>
  <c r="Q39" i="3"/>
  <c r="P39" i="3"/>
  <c r="R39" i="3"/>
  <c r="J75" i="3"/>
  <c r="H75" i="3"/>
  <c r="I75" i="3"/>
  <c r="H42" i="3"/>
  <c r="I42" i="3"/>
  <c r="J42" i="3"/>
  <c r="N39" i="3"/>
  <c r="L39" i="3"/>
  <c r="M39" i="3"/>
  <c r="H72" i="3"/>
  <c r="I72" i="3"/>
  <c r="J72" i="3"/>
  <c r="L7" i="5"/>
  <c r="N7" i="5"/>
  <c r="M7" i="5"/>
  <c r="G5" i="6" l="1"/>
</calcChain>
</file>

<file path=xl/sharedStrings.xml><?xml version="1.0" encoding="utf-8"?>
<sst xmlns="http://schemas.openxmlformats.org/spreadsheetml/2006/main" count="2656" uniqueCount="354">
  <si>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</si>
  <si>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</si>
  <si>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</si>
  <si>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</si>
  <si>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</si>
  <si>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</si>
  <si>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</si>
  <si>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</si>
  <si>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</si>
  <si>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</si>
  <si>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</si>
  <si>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</si>
  <si>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</si>
  <si>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</si>
  <si>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</si>
  <si>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</si>
  <si>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</si>
  <si>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</si>
  <si>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</si>
  <si>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</si>
  <si>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</si>
  <si>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</si>
  <si>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</si>
  <si>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</si>
  <si>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</si>
  <si>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</si>
  <si>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</si>
  <si>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</si>
  <si>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</si>
  <si>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</si>
  <si>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</si>
  <si>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</si>
  <si>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</si>
  <si>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</si>
  <si>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</si>
  <si>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</si>
  <si>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</si>
  <si>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</si>
  <si>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</si>
  <si>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</si>
  <si>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</si>
  <si>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</si>
  <si>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</si>
  <si>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</si>
  <si>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</si>
  <si>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</si>
  <si>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</si>
  <si>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</si>
  <si>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</si>
  <si>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</si>
  <si>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</si>
  <si>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</si>
  <si>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</si>
  <si>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</si>
  <si>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</si>
  <si>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</si>
  <si>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</si>
  <si>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</si>
  <si>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</si>
  <si>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</si>
  <si>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</si>
  <si>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</si>
  <si>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</si>
  <si>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</si>
  <si>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</si>
  <si>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</si>
  <si>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</si>
  <si>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</si>
  <si>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</si>
  <si>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</si>
  <si>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</si>
  <si>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</si>
  <si>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</si>
  <si>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</si>
  <si>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</si>
  <si>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</si>
  <si>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</si>
  <si>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</si>
  <si>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</si>
  <si>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</si>
  <si>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</si>
  <si>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</si>
  <si>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</si>
  <si>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</si>
  <si>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</si>
  <si>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</si>
  <si>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</si>
  <si>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</si>
  <si>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</si>
  <si>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</si>
  <si>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</si>
  <si>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</si>
  <si>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</si>
  <si>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</si>
  <si>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</si>
  <si>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</si>
  <si>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</si>
  <si>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</si>
  <si>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</si>
  <si>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</si>
  <si>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</si>
  <si>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</si>
  <si>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</si>
  <si>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</si>
  <si>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</si>
  <si>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</si>
  <si>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</si>
  <si>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</si>
  <si>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</si>
  <si>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</si>
  <si>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</si>
  <si>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</si>
  <si>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</si>
  <si>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</si>
  <si>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</si>
  <si>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</si>
  <si>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</si>
  <si>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</si>
  <si>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</si>
  <si>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</si>
  <si>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</si>
  <si>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</si>
  <si>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</si>
  <si>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</si>
  <si>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</si>
  <si>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</si>
  <si>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</si>
  <si>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</si>
  <si>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</si>
  <si>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</si>
  <si>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</si>
  <si>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</si>
  <si>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</si>
  <si>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</si>
  <si>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</si>
  <si>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</si>
  <si>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</si>
  <si>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</si>
  <si>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</si>
  <si>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</si>
  <si>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</si>
  <si>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</si>
  <si>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</si>
  <si>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</si>
  <si>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</si>
  <si>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</si>
  <si>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</si>
  <si>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</si>
  <si>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</si>
  <si>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</si>
  <si>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</si>
  <si>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</si>
  <si>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</si>
  <si>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</si>
  <si>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</si>
  <si>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</si>
  <si>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</si>
  <si>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</si>
  <si>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</si>
  <si>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</si>
  <si>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</si>
  <si>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</si>
  <si>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</si>
  <si>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</si>
  <si>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</si>
  <si>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</si>
  <si>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</si>
  <si>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</si>
  <si>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</si>
  <si>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</si>
  <si>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</si>
  <si>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</si>
  <si>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</si>
  <si>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</si>
  <si>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</si>
  <si>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</si>
  <si>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</si>
  <si>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</si>
  <si>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</si>
  <si>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</si>
  <si>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</si>
  <si>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</si>
  <si>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</si>
  <si>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</si>
  <si>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</si>
  <si>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</si>
  <si>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</si>
  <si>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</si>
  <si>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</si>
  <si>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</si>
  <si>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</si>
  <si>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</si>
  <si>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</si>
  <si>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</si>
  <si>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</si>
  <si>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</si>
  <si>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</si>
  <si>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</si>
  <si>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</si>
  <si>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</si>
  <si>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</si>
  <si>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</si>
  <si>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</si>
  <si>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</si>
  <si>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</si>
  <si>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</si>
  <si>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</si>
  <si>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</si>
  <si>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</si>
  <si>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</si>
  <si>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</si>
  <si>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</si>
  <si>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</si>
  <si>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</si>
  <si>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</si>
  <si>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</si>
  <si>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</si>
  <si>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</si>
  <si>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</si>
  <si>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</si>
  <si>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</si>
  <si>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</si>
  <si>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</si>
  <si>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</si>
  <si>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</si>
  <si>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</si>
  <si>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</si>
  <si>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</si>
  <si>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</si>
  <si>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</si>
  <si>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</si>
  <si>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</si>
  <si>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</si>
  <si>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</si>
  <si>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</si>
  <si>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</si>
  <si>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</si>
  <si>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</si>
  <si>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</si>
  <si>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</si>
  <si>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</si>
  <si>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</si>
  <si>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</si>
  <si>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</si>
  <si>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</si>
  <si>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</si>
  <si>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</si>
  <si>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</si>
  <si>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</si>
  <si>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</si>
  <si>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</si>
  <si>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</si>
  <si>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</si>
  <si>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</si>
  <si>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</si>
  <si>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</si>
  <si>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</si>
  <si>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</si>
  <si>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</si>
  <si>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</si>
  <si>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</si>
  <si>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</si>
  <si>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</si>
  <si>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</si>
  <si>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</si>
  <si>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</si>
  <si>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</si>
  <si>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</si>
  <si>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</si>
  <si>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</si>
  <si>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</si>
  <si>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</si>
  <si>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</si>
  <si>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</si>
  <si>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</si>
  <si>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</si>
  <si>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</si>
  <si>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</si>
  <si>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</si>
  <si>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</si>
  <si>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</si>
  <si>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</si>
  <si>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</si>
  <si>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</si>
  <si>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</si>
  <si>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</si>
  <si>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</si>
  <si>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</si>
  <si>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</si>
  <si>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</si>
  <si>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</si>
  <si>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</si>
  <si>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</si>
  <si>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</si>
  <si>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</si>
  <si>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</si>
  <si>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</si>
  <si>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</si>
  <si>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</si>
  <si>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</si>
  <si>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</si>
  <si>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</si>
  <si>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</si>
  <si>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2021.05.03</t>
  </si>
  <si>
    <t>2021.05.04</t>
  </si>
  <si>
    <t>2021.05.04</t>
    <phoneticPr fontId="1" type="noConversion"/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</si>
  <si>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</si>
  <si>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</si>
  <si>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</si>
  <si>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</si>
  <si>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</si>
  <si>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</si>
  <si>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2021.05.01</t>
    <phoneticPr fontId="1" type="noConversion"/>
  </si>
  <si>
    <t>2021.05.02</t>
  </si>
  <si>
    <t>2021.05.05</t>
  </si>
  <si>
    <t>2021.05.06</t>
  </si>
  <si>
    <t>2021.05.07</t>
  </si>
  <si>
    <t>2021.05.08</t>
  </si>
  <si>
    <t>2021.05.09</t>
  </si>
  <si>
    <t>2021.05.10</t>
  </si>
  <si>
    <t>2021.05.11</t>
  </si>
  <si>
    <t>2021.05.12</t>
  </si>
  <si>
    <t>2021.05.13</t>
  </si>
  <si>
    <t>2021.05.14</t>
  </si>
  <si>
    <t>2021.05.15</t>
  </si>
  <si>
    <t>2021.05.16</t>
  </si>
  <si>
    <t>2021.05.17</t>
  </si>
  <si>
    <t>2021.05.18</t>
  </si>
  <si>
    <t>2021.05.19</t>
  </si>
  <si>
    <t>2021.05.20</t>
  </si>
  <si>
    <t>2021.05.21</t>
  </si>
  <si>
    <t>2021.05.22</t>
  </si>
  <si>
    <t>2021.05.23</t>
  </si>
  <si>
    <t>2021.05.24</t>
  </si>
  <si>
    <t>2021.05.25</t>
  </si>
  <si>
    <t>2021.05.26</t>
  </si>
  <si>
    <t>2021.05.27</t>
  </si>
  <si>
    <t>2021.05.28</t>
  </si>
  <si>
    <t>2021.05.29</t>
  </si>
  <si>
    <t>2021.05.30</t>
  </si>
  <si>
    <t>2021.05.31</t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</si>
  <si>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</si>
  <si>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</si>
  <si>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</si>
  <si>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</si>
  <si>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</si>
  <si>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</si>
  <si>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</si>
  <si>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</si>
  <si>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</si>
  <si>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</si>
  <si>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</si>
  <si>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조건부서식 수정필요</t>
    <phoneticPr fontId="1" type="noConversion"/>
  </si>
  <si>
    <t>투자전략 월말정산-&gt;월말결산 수정필요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</si>
</sst>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3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</cellXfs>
  <cellStyles count="2">
    <cellStyle name="표준" xfId="0" builtinId="0"/>
    <cellStyle name="하이퍼링크" xfId="1" builtinId="8"/>
  </cellStyles>
  <dxfs count="116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3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3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4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4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4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FE83FFA4-4FED-4B63-8F1E-1AD2258B9E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8EEB61FD-A9B0-4AB5-A00D-5957A4D52B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C440C5D2-EB7E-4DCF-832D-C6D33B9653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8B3D4544-5569-42D4-B61D-A56737E2E9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7E96612F-DD5A-4843-84C3-08E11F1453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2C5CEFFC-6F54-442D-8B71-7E78785504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B77473AC-A198-4175-B20C-A8CCE181B0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74367A8F-71B7-4E3E-B1BD-B95ABD965D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B9861956-0ABA-4CC7-90D1-B391DDE35F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DE6C190B-1F7E-47A9-82F6-2356E27131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4D138944-4BB2-4944-AEC3-4B8F001664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41E73168-DC05-4DE1-BC1F-E2AA15BE17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C609308D-4CAA-414C-9D6F-42176035BF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F6EAF2B2-6331-4CC3-80A6-00432DC22F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52DD1EE6-CE79-494B-877D-A61420774C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8AF532B7-C625-40F3-905D-753B3D51B7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371C571B-1F0A-4B8A-855B-EBB0896D5E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FDED8892-B7CE-4888-9738-A201B14D17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1E79D572-528B-408A-A75B-8391AAE5E6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2FD50687-2DF7-4B38-96C2-E96C07E8B0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14292AD8-DDB0-4222-A5AB-8EEB700363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9FCA8A60-21F4-4966-B607-161A28C0ED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A8C6F5EC-966F-4764-BA81-C78F674171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A26D63C9-6800-4DA9-B290-7503953884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B397C46A-77D2-4A04-83B9-0DF3BDBCF1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B2309DAA-CDD7-4041-B600-D7A46A2F9F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E8A08EAE-E2CE-40C9-B3AB-BF0815C9D3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8E184AEE-252D-4B39-9726-325E3B64F6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42EDE7CD-4C1E-4BE9-A2FA-AB2E800AB7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25DFFE29-AB7C-4024-951D-B1CE3B53C1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8D918E6C-4033-4940-8840-BF1EA5F703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B303DF4D-5EE2-498B-9E9C-16CC99009D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29718B43-34E9-465D-BD50-B801F07FFA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236872F-CF0A-41C1-B658-A0E00D6EE1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80022E72-5437-4E6F-8484-CACA9E15F6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3F35C61F-368E-4EF0-84CF-E7CB13341C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24C0557B-7748-44E0-8A46-F2503458F2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6729FEF5-03D5-4597-AD7C-3AAB1EA703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D5D4D567-BB31-48FE-BA3C-BEA4A7563C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74FF8833-13EB-4C56-8347-2821B9A410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9ADD5CE1-2FEC-44CF-B886-EBBEA4360F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91EB65DA-9946-4726-859B-7C2CCB27E2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3C855C08-4FE8-4B5F-948A-B901C5911D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3A7CC6-0857-423E-BEA9-6158567CBE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7A9C357-3CA4-4676-A91F-FC42FE3B32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C1E718AA-1626-49BC-A0D8-10F245B260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79CEDDA6-D83F-47F2-97AE-FCD5B46838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23355733-3D14-425F-AFB7-0F1CA15816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62D201BC-D1CF-4735-864B-2D31AB6E29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564BD874-4A03-46AB-B3B9-A15B3CF9D4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1B2516E4-EBC2-4060-B4A1-9C8526E1DD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8C19E22D-D3D3-4000-9CAE-88CF8A4EBE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231EEDC3-B111-4F86-9DA9-6C16AF4107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64148B67-A339-4CBB-ADDC-350F085522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DD5FB6E7-8EAF-4607-90F9-E941D61C5E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59C4553F-C667-4E01-AF21-F28416F014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B9DBEEB9-8B01-48FD-9528-6AF6E1FEBA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794F2111-69C9-406A-9596-542FDBB550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B2378E17-77F3-4A12-89F2-69FCD65B92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813AA7FC-D9B5-4FE4-80DD-783B7B9BB7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7650E1AF-5B50-40CE-8898-64A02E069A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7D4EBE41-55D2-435D-9628-622E8B1D0C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D2F8E647-1589-4D05-8B63-529E5E65A6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369FF689-B874-46D3-892A-FCB989F25C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2BF3D41F-357B-47EF-8F28-1A7DC9AC25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99610D19-C3DA-4433-B2FD-133BB601F9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C9976F0-3482-426B-BF61-CB4A91791F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BDCBD6CC-C05E-4956-9FD8-D3653DDC2F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EC1CC467-96F7-474A-AAF3-17C753102C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B449E8E7-DE57-4F18-8906-5B3807226F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DD5043E8-0E3A-482A-B3F0-23793E37C4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6B32944-9370-4EAD-BB86-75187B4BBD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9F6D8CFF-7FBD-4D7F-8965-2D82F1704E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776B3229-D4AB-46C5-867F-99AEA4CA4B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86EE6E52-AED2-475D-B7BA-CF8CBF76D7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8C98CE9C-8928-4BFA-9215-02634CC93D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CD89986-E944-4ABE-952A-CA9C1AEA63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A62A4A03-94EE-4350-82EF-FDA66A3671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EF0B4C42-BB7B-4AE4-8A6D-EECED48947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4A808DEC-C538-4BDF-8732-BB14766C9D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7A4B68C7-D6B7-4F74-B436-AE22ABB5BB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56F5DD04-8D13-4AAC-B163-8AA2691540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1CD7AA1B-A2F3-4F17-AB43-EC238710B9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9A48C9B1-548D-4483-A1A9-A5E27B20D5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6A9896BE-BA5D-4A01-AFF9-F56B75B9A9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48072462-84AE-49F3-B85B-8F25A29830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BC9B1D21-3F0A-42F8-A6A8-E1F2C2E775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C801BDDC-D589-422A-8544-08214D0C84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EA8A6486-97CD-4FC7-9E34-C034496469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1BF7E6FA-056F-43C4-BEF6-879D2386EB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F6607E1-A858-4211-93F0-54B2FA7824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B5F29D33-ACA4-4BE4-9918-0BB457E182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88610793-424B-4E0A-910F-9A3EFA8F06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CD08A313-977D-4B70-8BA6-8E442E9D04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75A5A0D2-E9F3-41E0-AAA0-DA5564E324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3E4B9EC-E81C-403A-8BDD-CD3AD1C1C4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3A39BBB7-8A5C-4850-BCA0-6423103B23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7E52898A-D535-4705-9208-3F94E880A4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EDA986BA-749B-41B0-BAAF-C327DCE29D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29970166-05C6-4E13-B579-C704B92F64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AB8575DC-22FC-4661-8F79-717E8E2753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F868145-0E25-4632-9808-253E4D2435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D8C23DC4-90A9-42C0-B9F7-5D79430C27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9D63A4D1-C9FE-43D4-A56A-4E3842F47C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91E3C56C-3B01-4CFB-80C5-9EFDDF0968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8885439C-F1DF-4D97-8147-F32F221AC3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7E80ED9F-CC32-4F43-BE89-F35219B0B0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7B860326-EED5-4336-9FE7-A11EE8F7AD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69C4319A-8378-4587-8661-BADE12ADC8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57682040-E8D6-417F-9ABD-B1442A561A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1FFE8EEE-C1AF-487D-AA24-ABE1C2878B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EDB9E461-229B-42B9-8E7D-BC209F65D5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48ADA258-919D-417F-92A8-F9DC6DB22D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27F3A54D-15D6-4364-8102-BD73AB3B0A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2B03C97E-0BB4-4597-BF50-0CAD811315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53AD8A35-F207-4B72-BD7A-EAF3080B49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305B70B2-5D80-4AD5-AB2A-BF41BDCDD9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2311A2E1-93A0-4070-8D82-CCDEBFE394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66FC65E4-A007-4E99-9BF9-5D8129EE45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C1339EA-B4C7-4AD7-99D8-C2F6CF6272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DFDE94D4-B99C-4AEC-9A9A-D50793E06F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203F69F4-C9BC-44BB-A0E0-E9868CE03A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491D0C72-2038-4DA0-A0CE-7F74747427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305ABB3-64C4-4E2D-A412-55F8F56C11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8782F0DE-71B9-4A21-A723-98BEB82523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861CEEC0-D71B-4A0F-A330-3772496801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7B18A5D9-5576-474C-B8F9-D91292B913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5BAE7BD0-12CD-482A-9A4F-346F6B9E57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E3E6C72B-7CF3-4F77-9A4D-849DB8BE75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D5ECB4B7-9CBB-4A39-A317-47C247601B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6DE7F26F-E84C-40F9-BE83-8162DA4B7D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FD8E8E87-EE64-47F5-9C72-013D9C4A09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D28DDB91-1D24-4BFA-B173-4E103E2DB1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F259A773-250E-4EF9-9AA3-33DD9DC402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DCB6A8F8-9A51-446F-A4BB-23E6532C4D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D8372E97-10BF-4E96-B8D9-2B665EE1B8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F5B54991-526F-4FD7-85F6-C41E554F11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2F341606-E089-49A2-B115-77AF243900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6419D2A0-3968-4F77-AB0F-EC45936E8C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B4585E81-9157-482F-A3B1-ED44C5E943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7.xml"/><Relationship Id="rId5" Type="http://schemas.openxmlformats.org/officeDocument/2006/relationships/ctrlProp" Target="../ctrlProps/ctrlProp286.xml"/><Relationship Id="rId4" Type="http://schemas.openxmlformats.org/officeDocument/2006/relationships/ctrlProp" Target="../ctrlProps/ctrlProp2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02.xml"/><Relationship Id="rId21" Type="http://schemas.openxmlformats.org/officeDocument/2006/relationships/ctrlProp" Target="../ctrlProps/ctrlProp306.xml"/><Relationship Id="rId42" Type="http://schemas.openxmlformats.org/officeDocument/2006/relationships/ctrlProp" Target="../ctrlProps/ctrlProp327.xml"/><Relationship Id="rId63" Type="http://schemas.openxmlformats.org/officeDocument/2006/relationships/ctrlProp" Target="../ctrlProps/ctrlProp348.xml"/><Relationship Id="rId84" Type="http://schemas.openxmlformats.org/officeDocument/2006/relationships/ctrlProp" Target="../ctrlProps/ctrlProp369.xml"/><Relationship Id="rId138" Type="http://schemas.openxmlformats.org/officeDocument/2006/relationships/ctrlProp" Target="../ctrlProps/ctrlProp423.xml"/><Relationship Id="rId107" Type="http://schemas.openxmlformats.org/officeDocument/2006/relationships/ctrlProp" Target="../ctrlProps/ctrlProp392.xml"/><Relationship Id="rId11" Type="http://schemas.openxmlformats.org/officeDocument/2006/relationships/ctrlProp" Target="../ctrlProps/ctrlProp296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3" Type="http://schemas.openxmlformats.org/officeDocument/2006/relationships/ctrlProp" Target="../ctrlProps/ctrlProp338.xml"/><Relationship Id="rId58" Type="http://schemas.openxmlformats.org/officeDocument/2006/relationships/ctrlProp" Target="../ctrlProps/ctrlProp343.xml"/><Relationship Id="rId74" Type="http://schemas.openxmlformats.org/officeDocument/2006/relationships/ctrlProp" Target="../ctrlProps/ctrlProp359.xml"/><Relationship Id="rId79" Type="http://schemas.openxmlformats.org/officeDocument/2006/relationships/ctrlProp" Target="../ctrlProps/ctrlProp364.xml"/><Relationship Id="rId102" Type="http://schemas.openxmlformats.org/officeDocument/2006/relationships/ctrlProp" Target="../ctrlProps/ctrlProp387.xml"/><Relationship Id="rId123" Type="http://schemas.openxmlformats.org/officeDocument/2006/relationships/ctrlProp" Target="../ctrlProps/ctrlProp408.xml"/><Relationship Id="rId128" Type="http://schemas.openxmlformats.org/officeDocument/2006/relationships/ctrlProp" Target="../ctrlProps/ctrlProp413.xml"/><Relationship Id="rId5" Type="http://schemas.openxmlformats.org/officeDocument/2006/relationships/ctrlProp" Target="../ctrlProps/ctrlProp290.xml"/><Relationship Id="rId90" Type="http://schemas.openxmlformats.org/officeDocument/2006/relationships/ctrlProp" Target="../ctrlProps/ctrlProp375.xml"/><Relationship Id="rId95" Type="http://schemas.openxmlformats.org/officeDocument/2006/relationships/ctrlProp" Target="../ctrlProps/ctrlProp380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43" Type="http://schemas.openxmlformats.org/officeDocument/2006/relationships/ctrlProp" Target="../ctrlProps/ctrlProp328.xml"/><Relationship Id="rId48" Type="http://schemas.openxmlformats.org/officeDocument/2006/relationships/ctrlProp" Target="../ctrlProps/ctrlProp333.xml"/><Relationship Id="rId64" Type="http://schemas.openxmlformats.org/officeDocument/2006/relationships/ctrlProp" Target="../ctrlProps/ctrlProp349.xml"/><Relationship Id="rId69" Type="http://schemas.openxmlformats.org/officeDocument/2006/relationships/ctrlProp" Target="../ctrlProps/ctrlProp354.xml"/><Relationship Id="rId113" Type="http://schemas.openxmlformats.org/officeDocument/2006/relationships/ctrlProp" Target="../ctrlProps/ctrlProp398.xml"/><Relationship Id="rId118" Type="http://schemas.openxmlformats.org/officeDocument/2006/relationships/ctrlProp" Target="../ctrlProps/ctrlProp403.xml"/><Relationship Id="rId134" Type="http://schemas.openxmlformats.org/officeDocument/2006/relationships/ctrlProp" Target="../ctrlProps/ctrlProp419.xml"/><Relationship Id="rId139" Type="http://schemas.openxmlformats.org/officeDocument/2006/relationships/ctrlProp" Target="../ctrlProps/ctrlProp424.xml"/><Relationship Id="rId80" Type="http://schemas.openxmlformats.org/officeDocument/2006/relationships/ctrlProp" Target="../ctrlProps/ctrlProp365.xml"/><Relationship Id="rId85" Type="http://schemas.openxmlformats.org/officeDocument/2006/relationships/ctrlProp" Target="../ctrlProps/ctrlProp370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59" Type="http://schemas.openxmlformats.org/officeDocument/2006/relationships/ctrlProp" Target="../ctrlProps/ctrlProp344.xml"/><Relationship Id="rId103" Type="http://schemas.openxmlformats.org/officeDocument/2006/relationships/ctrlProp" Target="../ctrlProps/ctrlProp388.xml"/><Relationship Id="rId108" Type="http://schemas.openxmlformats.org/officeDocument/2006/relationships/ctrlProp" Target="../ctrlProps/ctrlProp393.xml"/><Relationship Id="rId124" Type="http://schemas.openxmlformats.org/officeDocument/2006/relationships/ctrlProp" Target="../ctrlProps/ctrlProp409.xml"/><Relationship Id="rId129" Type="http://schemas.openxmlformats.org/officeDocument/2006/relationships/ctrlProp" Target="../ctrlProps/ctrlProp414.xml"/><Relationship Id="rId54" Type="http://schemas.openxmlformats.org/officeDocument/2006/relationships/ctrlProp" Target="../ctrlProps/ctrlProp339.xml"/><Relationship Id="rId70" Type="http://schemas.openxmlformats.org/officeDocument/2006/relationships/ctrlProp" Target="../ctrlProps/ctrlProp355.xml"/><Relationship Id="rId75" Type="http://schemas.openxmlformats.org/officeDocument/2006/relationships/ctrlProp" Target="../ctrlProps/ctrlProp360.xml"/><Relationship Id="rId91" Type="http://schemas.openxmlformats.org/officeDocument/2006/relationships/ctrlProp" Target="../ctrlProps/ctrlProp376.xml"/><Relationship Id="rId96" Type="http://schemas.openxmlformats.org/officeDocument/2006/relationships/ctrlProp" Target="../ctrlProps/ctrlProp381.xml"/><Relationship Id="rId140" Type="http://schemas.openxmlformats.org/officeDocument/2006/relationships/ctrlProp" Target="../ctrlProps/ctrlProp42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1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49" Type="http://schemas.openxmlformats.org/officeDocument/2006/relationships/ctrlProp" Target="../ctrlProps/ctrlProp334.xml"/><Relationship Id="rId114" Type="http://schemas.openxmlformats.org/officeDocument/2006/relationships/ctrlProp" Target="../ctrlProps/ctrlProp399.xml"/><Relationship Id="rId119" Type="http://schemas.openxmlformats.org/officeDocument/2006/relationships/ctrlProp" Target="../ctrlProps/ctrlProp404.xml"/><Relationship Id="rId44" Type="http://schemas.openxmlformats.org/officeDocument/2006/relationships/ctrlProp" Target="../ctrlProps/ctrlProp329.xml"/><Relationship Id="rId60" Type="http://schemas.openxmlformats.org/officeDocument/2006/relationships/ctrlProp" Target="../ctrlProps/ctrlProp345.xml"/><Relationship Id="rId65" Type="http://schemas.openxmlformats.org/officeDocument/2006/relationships/ctrlProp" Target="../ctrlProps/ctrlProp350.xml"/><Relationship Id="rId81" Type="http://schemas.openxmlformats.org/officeDocument/2006/relationships/ctrlProp" Target="../ctrlProps/ctrlProp366.xml"/><Relationship Id="rId86" Type="http://schemas.openxmlformats.org/officeDocument/2006/relationships/ctrlProp" Target="../ctrlProps/ctrlProp371.xml"/><Relationship Id="rId130" Type="http://schemas.openxmlformats.org/officeDocument/2006/relationships/ctrlProp" Target="../ctrlProps/ctrlProp415.xml"/><Relationship Id="rId135" Type="http://schemas.openxmlformats.org/officeDocument/2006/relationships/ctrlProp" Target="../ctrlProps/ctrlProp420.xml"/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39" Type="http://schemas.openxmlformats.org/officeDocument/2006/relationships/ctrlProp" Target="../ctrlProps/ctrlProp324.xml"/><Relationship Id="rId109" Type="http://schemas.openxmlformats.org/officeDocument/2006/relationships/ctrlProp" Target="../ctrlProps/ctrlProp394.xml"/><Relationship Id="rId34" Type="http://schemas.openxmlformats.org/officeDocument/2006/relationships/ctrlProp" Target="../ctrlProps/ctrlProp319.xml"/><Relationship Id="rId50" Type="http://schemas.openxmlformats.org/officeDocument/2006/relationships/ctrlProp" Target="../ctrlProps/ctrlProp335.xml"/><Relationship Id="rId55" Type="http://schemas.openxmlformats.org/officeDocument/2006/relationships/ctrlProp" Target="../ctrlProps/ctrlProp340.xml"/><Relationship Id="rId76" Type="http://schemas.openxmlformats.org/officeDocument/2006/relationships/ctrlProp" Target="../ctrlProps/ctrlProp361.xml"/><Relationship Id="rId97" Type="http://schemas.openxmlformats.org/officeDocument/2006/relationships/ctrlProp" Target="../ctrlProps/ctrlProp382.xml"/><Relationship Id="rId104" Type="http://schemas.openxmlformats.org/officeDocument/2006/relationships/ctrlProp" Target="../ctrlProps/ctrlProp389.xml"/><Relationship Id="rId120" Type="http://schemas.openxmlformats.org/officeDocument/2006/relationships/ctrlProp" Target="../ctrlProps/ctrlProp405.xml"/><Relationship Id="rId125" Type="http://schemas.openxmlformats.org/officeDocument/2006/relationships/ctrlProp" Target="../ctrlProps/ctrlProp410.xml"/><Relationship Id="rId141" Type="http://schemas.openxmlformats.org/officeDocument/2006/relationships/ctrlProp" Target="../ctrlProps/ctrlProp426.xml"/><Relationship Id="rId7" Type="http://schemas.openxmlformats.org/officeDocument/2006/relationships/ctrlProp" Target="../ctrlProps/ctrlProp292.xml"/><Relationship Id="rId71" Type="http://schemas.openxmlformats.org/officeDocument/2006/relationships/ctrlProp" Target="../ctrlProps/ctrlProp356.xml"/><Relationship Id="rId92" Type="http://schemas.openxmlformats.org/officeDocument/2006/relationships/ctrlProp" Target="../ctrlProps/ctrlProp377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4.xml"/><Relationship Id="rId24" Type="http://schemas.openxmlformats.org/officeDocument/2006/relationships/ctrlProp" Target="../ctrlProps/ctrlProp309.xml"/><Relationship Id="rId40" Type="http://schemas.openxmlformats.org/officeDocument/2006/relationships/ctrlProp" Target="../ctrlProps/ctrlProp325.xml"/><Relationship Id="rId45" Type="http://schemas.openxmlformats.org/officeDocument/2006/relationships/ctrlProp" Target="../ctrlProps/ctrlProp330.xml"/><Relationship Id="rId66" Type="http://schemas.openxmlformats.org/officeDocument/2006/relationships/ctrlProp" Target="../ctrlProps/ctrlProp351.xml"/><Relationship Id="rId87" Type="http://schemas.openxmlformats.org/officeDocument/2006/relationships/ctrlProp" Target="../ctrlProps/ctrlProp372.xml"/><Relationship Id="rId110" Type="http://schemas.openxmlformats.org/officeDocument/2006/relationships/ctrlProp" Target="../ctrlProps/ctrlProp395.xml"/><Relationship Id="rId115" Type="http://schemas.openxmlformats.org/officeDocument/2006/relationships/ctrlProp" Target="../ctrlProps/ctrlProp400.xml"/><Relationship Id="rId131" Type="http://schemas.openxmlformats.org/officeDocument/2006/relationships/ctrlProp" Target="../ctrlProps/ctrlProp416.xml"/><Relationship Id="rId136" Type="http://schemas.openxmlformats.org/officeDocument/2006/relationships/ctrlProp" Target="../ctrlProps/ctrlProp421.xml"/><Relationship Id="rId61" Type="http://schemas.openxmlformats.org/officeDocument/2006/relationships/ctrlProp" Target="../ctrlProps/ctrlProp346.xml"/><Relationship Id="rId82" Type="http://schemas.openxmlformats.org/officeDocument/2006/relationships/ctrlProp" Target="../ctrlProps/ctrlProp367.xml"/><Relationship Id="rId19" Type="http://schemas.openxmlformats.org/officeDocument/2006/relationships/ctrlProp" Target="../ctrlProps/ctrlProp304.xml"/><Relationship Id="rId14" Type="http://schemas.openxmlformats.org/officeDocument/2006/relationships/ctrlProp" Target="../ctrlProps/ctrlProp299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56" Type="http://schemas.openxmlformats.org/officeDocument/2006/relationships/ctrlProp" Target="../ctrlProps/ctrlProp341.xml"/><Relationship Id="rId77" Type="http://schemas.openxmlformats.org/officeDocument/2006/relationships/ctrlProp" Target="../ctrlProps/ctrlProp362.xml"/><Relationship Id="rId100" Type="http://schemas.openxmlformats.org/officeDocument/2006/relationships/ctrlProp" Target="../ctrlProps/ctrlProp385.xml"/><Relationship Id="rId105" Type="http://schemas.openxmlformats.org/officeDocument/2006/relationships/ctrlProp" Target="../ctrlProps/ctrlProp390.xml"/><Relationship Id="rId126" Type="http://schemas.openxmlformats.org/officeDocument/2006/relationships/ctrlProp" Target="../ctrlProps/ctrlProp411.xml"/><Relationship Id="rId8" Type="http://schemas.openxmlformats.org/officeDocument/2006/relationships/ctrlProp" Target="../ctrlProps/ctrlProp293.xml"/><Relationship Id="rId51" Type="http://schemas.openxmlformats.org/officeDocument/2006/relationships/ctrlProp" Target="../ctrlProps/ctrlProp336.xml"/><Relationship Id="rId72" Type="http://schemas.openxmlformats.org/officeDocument/2006/relationships/ctrlProp" Target="../ctrlProps/ctrlProp357.xml"/><Relationship Id="rId93" Type="http://schemas.openxmlformats.org/officeDocument/2006/relationships/ctrlProp" Target="../ctrlProps/ctrlProp378.xml"/><Relationship Id="rId98" Type="http://schemas.openxmlformats.org/officeDocument/2006/relationships/ctrlProp" Target="../ctrlProps/ctrlProp383.xml"/><Relationship Id="rId121" Type="http://schemas.openxmlformats.org/officeDocument/2006/relationships/ctrlProp" Target="../ctrlProps/ctrlProp406.xml"/><Relationship Id="rId142" Type="http://schemas.openxmlformats.org/officeDocument/2006/relationships/ctrlProp" Target="../ctrlProps/ctrlProp427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310.xml"/><Relationship Id="rId46" Type="http://schemas.openxmlformats.org/officeDocument/2006/relationships/ctrlProp" Target="../ctrlProps/ctrlProp331.xml"/><Relationship Id="rId67" Type="http://schemas.openxmlformats.org/officeDocument/2006/relationships/ctrlProp" Target="../ctrlProps/ctrlProp352.xml"/><Relationship Id="rId116" Type="http://schemas.openxmlformats.org/officeDocument/2006/relationships/ctrlProp" Target="../ctrlProps/ctrlProp401.xml"/><Relationship Id="rId137" Type="http://schemas.openxmlformats.org/officeDocument/2006/relationships/ctrlProp" Target="../ctrlProps/ctrlProp422.xml"/><Relationship Id="rId20" Type="http://schemas.openxmlformats.org/officeDocument/2006/relationships/ctrlProp" Target="../ctrlProps/ctrlProp305.xml"/><Relationship Id="rId41" Type="http://schemas.openxmlformats.org/officeDocument/2006/relationships/ctrlProp" Target="../ctrlProps/ctrlProp326.xml"/><Relationship Id="rId62" Type="http://schemas.openxmlformats.org/officeDocument/2006/relationships/ctrlProp" Target="../ctrlProps/ctrlProp347.xml"/><Relationship Id="rId83" Type="http://schemas.openxmlformats.org/officeDocument/2006/relationships/ctrlProp" Target="../ctrlProps/ctrlProp368.xml"/><Relationship Id="rId88" Type="http://schemas.openxmlformats.org/officeDocument/2006/relationships/ctrlProp" Target="../ctrlProps/ctrlProp373.xml"/><Relationship Id="rId111" Type="http://schemas.openxmlformats.org/officeDocument/2006/relationships/ctrlProp" Target="../ctrlProps/ctrlProp396.xml"/><Relationship Id="rId132" Type="http://schemas.openxmlformats.org/officeDocument/2006/relationships/ctrlProp" Target="../ctrlProps/ctrlProp417.xml"/><Relationship Id="rId15" Type="http://schemas.openxmlformats.org/officeDocument/2006/relationships/ctrlProp" Target="../ctrlProps/ctrlProp300.xml"/><Relationship Id="rId36" Type="http://schemas.openxmlformats.org/officeDocument/2006/relationships/ctrlProp" Target="../ctrlProps/ctrlProp321.xml"/><Relationship Id="rId57" Type="http://schemas.openxmlformats.org/officeDocument/2006/relationships/ctrlProp" Target="../ctrlProps/ctrlProp342.xml"/><Relationship Id="rId106" Type="http://schemas.openxmlformats.org/officeDocument/2006/relationships/ctrlProp" Target="../ctrlProps/ctrlProp391.xml"/><Relationship Id="rId127" Type="http://schemas.openxmlformats.org/officeDocument/2006/relationships/ctrlProp" Target="../ctrlProps/ctrlProp412.xml"/><Relationship Id="rId10" Type="http://schemas.openxmlformats.org/officeDocument/2006/relationships/ctrlProp" Target="../ctrlProps/ctrlProp295.xml"/><Relationship Id="rId31" Type="http://schemas.openxmlformats.org/officeDocument/2006/relationships/ctrlProp" Target="../ctrlProps/ctrlProp316.xml"/><Relationship Id="rId52" Type="http://schemas.openxmlformats.org/officeDocument/2006/relationships/ctrlProp" Target="../ctrlProps/ctrlProp337.xml"/><Relationship Id="rId73" Type="http://schemas.openxmlformats.org/officeDocument/2006/relationships/ctrlProp" Target="../ctrlProps/ctrlProp358.xml"/><Relationship Id="rId78" Type="http://schemas.openxmlformats.org/officeDocument/2006/relationships/ctrlProp" Target="../ctrlProps/ctrlProp363.xml"/><Relationship Id="rId94" Type="http://schemas.openxmlformats.org/officeDocument/2006/relationships/ctrlProp" Target="../ctrlProps/ctrlProp379.xml"/><Relationship Id="rId99" Type="http://schemas.openxmlformats.org/officeDocument/2006/relationships/ctrlProp" Target="../ctrlProps/ctrlProp384.xml"/><Relationship Id="rId101" Type="http://schemas.openxmlformats.org/officeDocument/2006/relationships/ctrlProp" Target="../ctrlProps/ctrlProp386.xml"/><Relationship Id="rId122" Type="http://schemas.openxmlformats.org/officeDocument/2006/relationships/ctrlProp" Target="../ctrlProps/ctrlProp407.xml"/><Relationship Id="rId143" Type="http://schemas.openxmlformats.org/officeDocument/2006/relationships/ctrlProp" Target="../ctrlProps/ctrlProp428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26" Type="http://schemas.openxmlformats.org/officeDocument/2006/relationships/ctrlProp" Target="../ctrlProps/ctrlProp311.xml"/><Relationship Id="rId47" Type="http://schemas.openxmlformats.org/officeDocument/2006/relationships/ctrlProp" Target="../ctrlProps/ctrlProp332.xml"/><Relationship Id="rId68" Type="http://schemas.openxmlformats.org/officeDocument/2006/relationships/ctrlProp" Target="../ctrlProps/ctrlProp353.xml"/><Relationship Id="rId89" Type="http://schemas.openxmlformats.org/officeDocument/2006/relationships/ctrlProp" Target="../ctrlProps/ctrlProp374.xml"/><Relationship Id="rId112" Type="http://schemas.openxmlformats.org/officeDocument/2006/relationships/ctrlProp" Target="../ctrlProps/ctrlProp397.xml"/><Relationship Id="rId133" Type="http://schemas.openxmlformats.org/officeDocument/2006/relationships/ctrlProp" Target="../ctrlProps/ctrlProp418.xml"/><Relationship Id="rId16" Type="http://schemas.openxmlformats.org/officeDocument/2006/relationships/ctrlProp" Target="../ctrlProps/ctrlProp301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2.xml"/><Relationship Id="rId21" Type="http://schemas.openxmlformats.org/officeDocument/2006/relationships/ctrlProp" Target="../ctrlProps/ctrlProp446.xml"/><Relationship Id="rId42" Type="http://schemas.openxmlformats.org/officeDocument/2006/relationships/ctrlProp" Target="../ctrlProps/ctrlProp467.xml"/><Relationship Id="rId63" Type="http://schemas.openxmlformats.org/officeDocument/2006/relationships/ctrlProp" Target="../ctrlProps/ctrlProp488.xml"/><Relationship Id="rId84" Type="http://schemas.openxmlformats.org/officeDocument/2006/relationships/ctrlProp" Target="../ctrlProps/ctrlProp509.xml"/><Relationship Id="rId138" Type="http://schemas.openxmlformats.org/officeDocument/2006/relationships/ctrlProp" Target="../ctrlProps/ctrlProp563.xml"/><Relationship Id="rId107" Type="http://schemas.openxmlformats.org/officeDocument/2006/relationships/ctrlProp" Target="../ctrlProps/ctrlProp532.xml"/><Relationship Id="rId11" Type="http://schemas.openxmlformats.org/officeDocument/2006/relationships/ctrlProp" Target="../ctrlProps/ctrlProp436.xml"/><Relationship Id="rId32" Type="http://schemas.openxmlformats.org/officeDocument/2006/relationships/ctrlProp" Target="../ctrlProps/ctrlProp457.xml"/><Relationship Id="rId37" Type="http://schemas.openxmlformats.org/officeDocument/2006/relationships/ctrlProp" Target="../ctrlProps/ctrlProp462.xml"/><Relationship Id="rId53" Type="http://schemas.openxmlformats.org/officeDocument/2006/relationships/ctrlProp" Target="../ctrlProps/ctrlProp478.xml"/><Relationship Id="rId58" Type="http://schemas.openxmlformats.org/officeDocument/2006/relationships/ctrlProp" Target="../ctrlProps/ctrlProp483.xml"/><Relationship Id="rId74" Type="http://schemas.openxmlformats.org/officeDocument/2006/relationships/ctrlProp" Target="../ctrlProps/ctrlProp499.xml"/><Relationship Id="rId79" Type="http://schemas.openxmlformats.org/officeDocument/2006/relationships/ctrlProp" Target="../ctrlProps/ctrlProp504.xml"/><Relationship Id="rId102" Type="http://schemas.openxmlformats.org/officeDocument/2006/relationships/ctrlProp" Target="../ctrlProps/ctrlProp527.xml"/><Relationship Id="rId123" Type="http://schemas.openxmlformats.org/officeDocument/2006/relationships/ctrlProp" Target="../ctrlProps/ctrlProp548.xml"/><Relationship Id="rId128" Type="http://schemas.openxmlformats.org/officeDocument/2006/relationships/ctrlProp" Target="../ctrlProps/ctrlProp553.xml"/><Relationship Id="rId5" Type="http://schemas.openxmlformats.org/officeDocument/2006/relationships/ctrlProp" Target="../ctrlProps/ctrlProp430.xml"/><Relationship Id="rId90" Type="http://schemas.openxmlformats.org/officeDocument/2006/relationships/ctrlProp" Target="../ctrlProps/ctrlProp515.xml"/><Relationship Id="rId95" Type="http://schemas.openxmlformats.org/officeDocument/2006/relationships/ctrlProp" Target="../ctrlProps/ctrlProp520.xml"/><Relationship Id="rId22" Type="http://schemas.openxmlformats.org/officeDocument/2006/relationships/ctrlProp" Target="../ctrlProps/ctrlProp447.xml"/><Relationship Id="rId27" Type="http://schemas.openxmlformats.org/officeDocument/2006/relationships/ctrlProp" Target="../ctrlProps/ctrlProp452.xml"/><Relationship Id="rId43" Type="http://schemas.openxmlformats.org/officeDocument/2006/relationships/ctrlProp" Target="../ctrlProps/ctrlProp468.xml"/><Relationship Id="rId48" Type="http://schemas.openxmlformats.org/officeDocument/2006/relationships/ctrlProp" Target="../ctrlProps/ctrlProp473.xml"/><Relationship Id="rId64" Type="http://schemas.openxmlformats.org/officeDocument/2006/relationships/ctrlProp" Target="../ctrlProps/ctrlProp489.xml"/><Relationship Id="rId69" Type="http://schemas.openxmlformats.org/officeDocument/2006/relationships/ctrlProp" Target="../ctrlProps/ctrlProp494.xml"/><Relationship Id="rId113" Type="http://schemas.openxmlformats.org/officeDocument/2006/relationships/ctrlProp" Target="../ctrlProps/ctrlProp538.xml"/><Relationship Id="rId118" Type="http://schemas.openxmlformats.org/officeDocument/2006/relationships/ctrlProp" Target="../ctrlProps/ctrlProp543.xml"/><Relationship Id="rId134" Type="http://schemas.openxmlformats.org/officeDocument/2006/relationships/ctrlProp" Target="../ctrlProps/ctrlProp559.xml"/><Relationship Id="rId139" Type="http://schemas.openxmlformats.org/officeDocument/2006/relationships/ctrlProp" Target="../ctrlProps/ctrlProp564.xml"/><Relationship Id="rId80" Type="http://schemas.openxmlformats.org/officeDocument/2006/relationships/ctrlProp" Target="../ctrlProps/ctrlProp505.xml"/><Relationship Id="rId85" Type="http://schemas.openxmlformats.org/officeDocument/2006/relationships/ctrlProp" Target="../ctrlProps/ctrlProp510.xml"/><Relationship Id="rId12" Type="http://schemas.openxmlformats.org/officeDocument/2006/relationships/ctrlProp" Target="../ctrlProps/ctrlProp437.xml"/><Relationship Id="rId17" Type="http://schemas.openxmlformats.org/officeDocument/2006/relationships/ctrlProp" Target="../ctrlProps/ctrlProp442.xml"/><Relationship Id="rId33" Type="http://schemas.openxmlformats.org/officeDocument/2006/relationships/ctrlProp" Target="../ctrlProps/ctrlProp458.xml"/><Relationship Id="rId38" Type="http://schemas.openxmlformats.org/officeDocument/2006/relationships/ctrlProp" Target="../ctrlProps/ctrlProp463.xml"/><Relationship Id="rId59" Type="http://schemas.openxmlformats.org/officeDocument/2006/relationships/ctrlProp" Target="../ctrlProps/ctrlProp484.xml"/><Relationship Id="rId103" Type="http://schemas.openxmlformats.org/officeDocument/2006/relationships/ctrlProp" Target="../ctrlProps/ctrlProp528.xml"/><Relationship Id="rId108" Type="http://schemas.openxmlformats.org/officeDocument/2006/relationships/ctrlProp" Target="../ctrlProps/ctrlProp533.xml"/><Relationship Id="rId124" Type="http://schemas.openxmlformats.org/officeDocument/2006/relationships/ctrlProp" Target="../ctrlProps/ctrlProp549.xml"/><Relationship Id="rId129" Type="http://schemas.openxmlformats.org/officeDocument/2006/relationships/ctrlProp" Target="../ctrlProps/ctrlProp554.xml"/><Relationship Id="rId54" Type="http://schemas.openxmlformats.org/officeDocument/2006/relationships/ctrlProp" Target="../ctrlProps/ctrlProp479.xml"/><Relationship Id="rId70" Type="http://schemas.openxmlformats.org/officeDocument/2006/relationships/ctrlProp" Target="../ctrlProps/ctrlProp495.xml"/><Relationship Id="rId75" Type="http://schemas.openxmlformats.org/officeDocument/2006/relationships/ctrlProp" Target="../ctrlProps/ctrlProp500.xml"/><Relationship Id="rId91" Type="http://schemas.openxmlformats.org/officeDocument/2006/relationships/ctrlProp" Target="../ctrlProps/ctrlProp516.xml"/><Relationship Id="rId96" Type="http://schemas.openxmlformats.org/officeDocument/2006/relationships/ctrlProp" Target="../ctrlProps/ctrlProp521.xml"/><Relationship Id="rId140" Type="http://schemas.openxmlformats.org/officeDocument/2006/relationships/ctrlProp" Target="../ctrlProps/ctrlProp56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31.xml"/><Relationship Id="rId23" Type="http://schemas.openxmlformats.org/officeDocument/2006/relationships/ctrlProp" Target="../ctrlProps/ctrlProp448.xml"/><Relationship Id="rId28" Type="http://schemas.openxmlformats.org/officeDocument/2006/relationships/ctrlProp" Target="../ctrlProps/ctrlProp453.xml"/><Relationship Id="rId49" Type="http://schemas.openxmlformats.org/officeDocument/2006/relationships/ctrlProp" Target="../ctrlProps/ctrlProp474.xml"/><Relationship Id="rId114" Type="http://schemas.openxmlformats.org/officeDocument/2006/relationships/ctrlProp" Target="../ctrlProps/ctrlProp539.xml"/><Relationship Id="rId119" Type="http://schemas.openxmlformats.org/officeDocument/2006/relationships/ctrlProp" Target="../ctrlProps/ctrlProp544.xml"/><Relationship Id="rId44" Type="http://schemas.openxmlformats.org/officeDocument/2006/relationships/ctrlProp" Target="../ctrlProps/ctrlProp469.xml"/><Relationship Id="rId60" Type="http://schemas.openxmlformats.org/officeDocument/2006/relationships/ctrlProp" Target="../ctrlProps/ctrlProp485.xml"/><Relationship Id="rId65" Type="http://schemas.openxmlformats.org/officeDocument/2006/relationships/ctrlProp" Target="../ctrlProps/ctrlProp490.xml"/><Relationship Id="rId81" Type="http://schemas.openxmlformats.org/officeDocument/2006/relationships/ctrlProp" Target="../ctrlProps/ctrlProp506.xml"/><Relationship Id="rId86" Type="http://schemas.openxmlformats.org/officeDocument/2006/relationships/ctrlProp" Target="../ctrlProps/ctrlProp511.xml"/><Relationship Id="rId130" Type="http://schemas.openxmlformats.org/officeDocument/2006/relationships/ctrlProp" Target="../ctrlProps/ctrlProp555.xml"/><Relationship Id="rId135" Type="http://schemas.openxmlformats.org/officeDocument/2006/relationships/ctrlProp" Target="../ctrlProps/ctrlProp560.xml"/><Relationship Id="rId13" Type="http://schemas.openxmlformats.org/officeDocument/2006/relationships/ctrlProp" Target="../ctrlProps/ctrlProp438.xml"/><Relationship Id="rId18" Type="http://schemas.openxmlformats.org/officeDocument/2006/relationships/ctrlProp" Target="../ctrlProps/ctrlProp443.xml"/><Relationship Id="rId39" Type="http://schemas.openxmlformats.org/officeDocument/2006/relationships/ctrlProp" Target="../ctrlProps/ctrlProp464.xml"/><Relationship Id="rId109" Type="http://schemas.openxmlformats.org/officeDocument/2006/relationships/ctrlProp" Target="../ctrlProps/ctrlProp534.xml"/><Relationship Id="rId34" Type="http://schemas.openxmlformats.org/officeDocument/2006/relationships/ctrlProp" Target="../ctrlProps/ctrlProp459.xml"/><Relationship Id="rId50" Type="http://schemas.openxmlformats.org/officeDocument/2006/relationships/ctrlProp" Target="../ctrlProps/ctrlProp475.xml"/><Relationship Id="rId55" Type="http://schemas.openxmlformats.org/officeDocument/2006/relationships/ctrlProp" Target="../ctrlProps/ctrlProp480.xml"/><Relationship Id="rId76" Type="http://schemas.openxmlformats.org/officeDocument/2006/relationships/ctrlProp" Target="../ctrlProps/ctrlProp501.xml"/><Relationship Id="rId97" Type="http://schemas.openxmlformats.org/officeDocument/2006/relationships/ctrlProp" Target="../ctrlProps/ctrlProp522.xml"/><Relationship Id="rId104" Type="http://schemas.openxmlformats.org/officeDocument/2006/relationships/ctrlProp" Target="../ctrlProps/ctrlProp529.xml"/><Relationship Id="rId120" Type="http://schemas.openxmlformats.org/officeDocument/2006/relationships/ctrlProp" Target="../ctrlProps/ctrlProp545.xml"/><Relationship Id="rId125" Type="http://schemas.openxmlformats.org/officeDocument/2006/relationships/ctrlProp" Target="../ctrlProps/ctrlProp550.xml"/><Relationship Id="rId141" Type="http://schemas.openxmlformats.org/officeDocument/2006/relationships/ctrlProp" Target="../ctrlProps/ctrlProp566.xml"/><Relationship Id="rId7" Type="http://schemas.openxmlformats.org/officeDocument/2006/relationships/ctrlProp" Target="../ctrlProps/ctrlProp432.xml"/><Relationship Id="rId71" Type="http://schemas.openxmlformats.org/officeDocument/2006/relationships/ctrlProp" Target="../ctrlProps/ctrlProp496.xml"/><Relationship Id="rId92" Type="http://schemas.openxmlformats.org/officeDocument/2006/relationships/ctrlProp" Target="../ctrlProps/ctrlProp517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54.xml"/><Relationship Id="rId24" Type="http://schemas.openxmlformats.org/officeDocument/2006/relationships/ctrlProp" Target="../ctrlProps/ctrlProp449.xml"/><Relationship Id="rId40" Type="http://schemas.openxmlformats.org/officeDocument/2006/relationships/ctrlProp" Target="../ctrlProps/ctrlProp465.xml"/><Relationship Id="rId45" Type="http://schemas.openxmlformats.org/officeDocument/2006/relationships/ctrlProp" Target="../ctrlProps/ctrlProp470.xml"/><Relationship Id="rId66" Type="http://schemas.openxmlformats.org/officeDocument/2006/relationships/ctrlProp" Target="../ctrlProps/ctrlProp491.xml"/><Relationship Id="rId87" Type="http://schemas.openxmlformats.org/officeDocument/2006/relationships/ctrlProp" Target="../ctrlProps/ctrlProp512.xml"/><Relationship Id="rId110" Type="http://schemas.openxmlformats.org/officeDocument/2006/relationships/ctrlProp" Target="../ctrlProps/ctrlProp535.xml"/><Relationship Id="rId115" Type="http://schemas.openxmlformats.org/officeDocument/2006/relationships/ctrlProp" Target="../ctrlProps/ctrlProp540.xml"/><Relationship Id="rId131" Type="http://schemas.openxmlformats.org/officeDocument/2006/relationships/ctrlProp" Target="../ctrlProps/ctrlProp556.xml"/><Relationship Id="rId136" Type="http://schemas.openxmlformats.org/officeDocument/2006/relationships/ctrlProp" Target="../ctrlProps/ctrlProp561.xml"/><Relationship Id="rId61" Type="http://schemas.openxmlformats.org/officeDocument/2006/relationships/ctrlProp" Target="../ctrlProps/ctrlProp486.xml"/><Relationship Id="rId82" Type="http://schemas.openxmlformats.org/officeDocument/2006/relationships/ctrlProp" Target="../ctrlProps/ctrlProp507.xml"/><Relationship Id="rId19" Type="http://schemas.openxmlformats.org/officeDocument/2006/relationships/ctrlProp" Target="../ctrlProps/ctrlProp444.xml"/><Relationship Id="rId14" Type="http://schemas.openxmlformats.org/officeDocument/2006/relationships/ctrlProp" Target="../ctrlProps/ctrlProp439.xml"/><Relationship Id="rId30" Type="http://schemas.openxmlformats.org/officeDocument/2006/relationships/ctrlProp" Target="../ctrlProps/ctrlProp455.xml"/><Relationship Id="rId35" Type="http://schemas.openxmlformats.org/officeDocument/2006/relationships/ctrlProp" Target="../ctrlProps/ctrlProp460.xml"/><Relationship Id="rId56" Type="http://schemas.openxmlformats.org/officeDocument/2006/relationships/ctrlProp" Target="../ctrlProps/ctrlProp481.xml"/><Relationship Id="rId77" Type="http://schemas.openxmlformats.org/officeDocument/2006/relationships/ctrlProp" Target="../ctrlProps/ctrlProp502.xml"/><Relationship Id="rId100" Type="http://schemas.openxmlformats.org/officeDocument/2006/relationships/ctrlProp" Target="../ctrlProps/ctrlProp525.xml"/><Relationship Id="rId105" Type="http://schemas.openxmlformats.org/officeDocument/2006/relationships/ctrlProp" Target="../ctrlProps/ctrlProp530.xml"/><Relationship Id="rId126" Type="http://schemas.openxmlformats.org/officeDocument/2006/relationships/ctrlProp" Target="../ctrlProps/ctrlProp551.xml"/><Relationship Id="rId8" Type="http://schemas.openxmlformats.org/officeDocument/2006/relationships/ctrlProp" Target="../ctrlProps/ctrlProp433.xml"/><Relationship Id="rId51" Type="http://schemas.openxmlformats.org/officeDocument/2006/relationships/ctrlProp" Target="../ctrlProps/ctrlProp476.xml"/><Relationship Id="rId72" Type="http://schemas.openxmlformats.org/officeDocument/2006/relationships/ctrlProp" Target="../ctrlProps/ctrlProp497.xml"/><Relationship Id="rId93" Type="http://schemas.openxmlformats.org/officeDocument/2006/relationships/ctrlProp" Target="../ctrlProps/ctrlProp518.xml"/><Relationship Id="rId98" Type="http://schemas.openxmlformats.org/officeDocument/2006/relationships/ctrlProp" Target="../ctrlProps/ctrlProp523.xml"/><Relationship Id="rId121" Type="http://schemas.openxmlformats.org/officeDocument/2006/relationships/ctrlProp" Target="../ctrlProps/ctrlProp546.xml"/><Relationship Id="rId142" Type="http://schemas.openxmlformats.org/officeDocument/2006/relationships/ctrlProp" Target="../ctrlProps/ctrlProp567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50.xml"/><Relationship Id="rId46" Type="http://schemas.openxmlformats.org/officeDocument/2006/relationships/ctrlProp" Target="../ctrlProps/ctrlProp471.xml"/><Relationship Id="rId67" Type="http://schemas.openxmlformats.org/officeDocument/2006/relationships/ctrlProp" Target="../ctrlProps/ctrlProp492.xml"/><Relationship Id="rId116" Type="http://schemas.openxmlformats.org/officeDocument/2006/relationships/ctrlProp" Target="../ctrlProps/ctrlProp541.xml"/><Relationship Id="rId137" Type="http://schemas.openxmlformats.org/officeDocument/2006/relationships/ctrlProp" Target="../ctrlProps/ctrlProp562.xml"/><Relationship Id="rId20" Type="http://schemas.openxmlformats.org/officeDocument/2006/relationships/ctrlProp" Target="../ctrlProps/ctrlProp445.xml"/><Relationship Id="rId41" Type="http://schemas.openxmlformats.org/officeDocument/2006/relationships/ctrlProp" Target="../ctrlProps/ctrlProp466.xml"/><Relationship Id="rId62" Type="http://schemas.openxmlformats.org/officeDocument/2006/relationships/ctrlProp" Target="../ctrlProps/ctrlProp487.xml"/><Relationship Id="rId83" Type="http://schemas.openxmlformats.org/officeDocument/2006/relationships/ctrlProp" Target="../ctrlProps/ctrlProp508.xml"/><Relationship Id="rId88" Type="http://schemas.openxmlformats.org/officeDocument/2006/relationships/ctrlProp" Target="../ctrlProps/ctrlProp513.xml"/><Relationship Id="rId111" Type="http://schemas.openxmlformats.org/officeDocument/2006/relationships/ctrlProp" Target="../ctrlProps/ctrlProp536.xml"/><Relationship Id="rId132" Type="http://schemas.openxmlformats.org/officeDocument/2006/relationships/ctrlProp" Target="../ctrlProps/ctrlProp557.xml"/><Relationship Id="rId15" Type="http://schemas.openxmlformats.org/officeDocument/2006/relationships/ctrlProp" Target="../ctrlProps/ctrlProp440.xml"/><Relationship Id="rId36" Type="http://schemas.openxmlformats.org/officeDocument/2006/relationships/ctrlProp" Target="../ctrlProps/ctrlProp461.xml"/><Relationship Id="rId57" Type="http://schemas.openxmlformats.org/officeDocument/2006/relationships/ctrlProp" Target="../ctrlProps/ctrlProp482.xml"/><Relationship Id="rId106" Type="http://schemas.openxmlformats.org/officeDocument/2006/relationships/ctrlProp" Target="../ctrlProps/ctrlProp531.xml"/><Relationship Id="rId127" Type="http://schemas.openxmlformats.org/officeDocument/2006/relationships/ctrlProp" Target="../ctrlProps/ctrlProp552.xml"/><Relationship Id="rId10" Type="http://schemas.openxmlformats.org/officeDocument/2006/relationships/ctrlProp" Target="../ctrlProps/ctrlProp435.xml"/><Relationship Id="rId31" Type="http://schemas.openxmlformats.org/officeDocument/2006/relationships/ctrlProp" Target="../ctrlProps/ctrlProp456.xml"/><Relationship Id="rId52" Type="http://schemas.openxmlformats.org/officeDocument/2006/relationships/ctrlProp" Target="../ctrlProps/ctrlProp477.xml"/><Relationship Id="rId73" Type="http://schemas.openxmlformats.org/officeDocument/2006/relationships/ctrlProp" Target="../ctrlProps/ctrlProp498.xml"/><Relationship Id="rId78" Type="http://schemas.openxmlformats.org/officeDocument/2006/relationships/ctrlProp" Target="../ctrlProps/ctrlProp503.xml"/><Relationship Id="rId94" Type="http://schemas.openxmlformats.org/officeDocument/2006/relationships/ctrlProp" Target="../ctrlProps/ctrlProp519.xml"/><Relationship Id="rId99" Type="http://schemas.openxmlformats.org/officeDocument/2006/relationships/ctrlProp" Target="../ctrlProps/ctrlProp524.xml"/><Relationship Id="rId101" Type="http://schemas.openxmlformats.org/officeDocument/2006/relationships/ctrlProp" Target="../ctrlProps/ctrlProp526.xml"/><Relationship Id="rId122" Type="http://schemas.openxmlformats.org/officeDocument/2006/relationships/ctrlProp" Target="../ctrlProps/ctrlProp547.xml"/><Relationship Id="rId143" Type="http://schemas.openxmlformats.org/officeDocument/2006/relationships/ctrlProp" Target="../ctrlProps/ctrlProp568.xml"/><Relationship Id="rId4" Type="http://schemas.openxmlformats.org/officeDocument/2006/relationships/ctrlProp" Target="../ctrlProps/ctrlProp429.xml"/><Relationship Id="rId9" Type="http://schemas.openxmlformats.org/officeDocument/2006/relationships/ctrlProp" Target="../ctrlProps/ctrlProp434.xml"/><Relationship Id="rId26" Type="http://schemas.openxmlformats.org/officeDocument/2006/relationships/ctrlProp" Target="../ctrlProps/ctrlProp451.xml"/><Relationship Id="rId47" Type="http://schemas.openxmlformats.org/officeDocument/2006/relationships/ctrlProp" Target="../ctrlProps/ctrlProp472.xml"/><Relationship Id="rId68" Type="http://schemas.openxmlformats.org/officeDocument/2006/relationships/ctrlProp" Target="../ctrlProps/ctrlProp493.xml"/><Relationship Id="rId89" Type="http://schemas.openxmlformats.org/officeDocument/2006/relationships/ctrlProp" Target="../ctrlProps/ctrlProp514.xml"/><Relationship Id="rId112" Type="http://schemas.openxmlformats.org/officeDocument/2006/relationships/ctrlProp" Target="../ctrlProps/ctrlProp537.xml"/><Relationship Id="rId133" Type="http://schemas.openxmlformats.org/officeDocument/2006/relationships/ctrlProp" Target="../ctrlProps/ctrlProp558.xml"/><Relationship Id="rId16" Type="http://schemas.openxmlformats.org/officeDocument/2006/relationships/ctrlProp" Target="../ctrlProps/ctrlProp441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82.xml"/><Relationship Id="rId21" Type="http://schemas.openxmlformats.org/officeDocument/2006/relationships/ctrlProp" Target="../ctrlProps/ctrlProp586.xml"/><Relationship Id="rId42" Type="http://schemas.openxmlformats.org/officeDocument/2006/relationships/ctrlProp" Target="../ctrlProps/ctrlProp607.xml"/><Relationship Id="rId63" Type="http://schemas.openxmlformats.org/officeDocument/2006/relationships/ctrlProp" Target="../ctrlProps/ctrlProp628.xml"/><Relationship Id="rId84" Type="http://schemas.openxmlformats.org/officeDocument/2006/relationships/ctrlProp" Target="../ctrlProps/ctrlProp649.xml"/><Relationship Id="rId138" Type="http://schemas.openxmlformats.org/officeDocument/2006/relationships/ctrlProp" Target="../ctrlProps/ctrlProp703.xml"/><Relationship Id="rId107" Type="http://schemas.openxmlformats.org/officeDocument/2006/relationships/ctrlProp" Target="../ctrlProps/ctrlProp672.xml"/><Relationship Id="rId11" Type="http://schemas.openxmlformats.org/officeDocument/2006/relationships/ctrlProp" Target="../ctrlProps/ctrlProp576.xml"/><Relationship Id="rId32" Type="http://schemas.openxmlformats.org/officeDocument/2006/relationships/ctrlProp" Target="../ctrlProps/ctrlProp597.xml"/><Relationship Id="rId37" Type="http://schemas.openxmlformats.org/officeDocument/2006/relationships/ctrlProp" Target="../ctrlProps/ctrlProp602.xml"/><Relationship Id="rId53" Type="http://schemas.openxmlformats.org/officeDocument/2006/relationships/ctrlProp" Target="../ctrlProps/ctrlProp618.xml"/><Relationship Id="rId58" Type="http://schemas.openxmlformats.org/officeDocument/2006/relationships/ctrlProp" Target="../ctrlProps/ctrlProp623.xml"/><Relationship Id="rId74" Type="http://schemas.openxmlformats.org/officeDocument/2006/relationships/ctrlProp" Target="../ctrlProps/ctrlProp639.xml"/><Relationship Id="rId79" Type="http://schemas.openxmlformats.org/officeDocument/2006/relationships/ctrlProp" Target="../ctrlProps/ctrlProp644.xml"/><Relationship Id="rId102" Type="http://schemas.openxmlformats.org/officeDocument/2006/relationships/ctrlProp" Target="../ctrlProps/ctrlProp667.xml"/><Relationship Id="rId123" Type="http://schemas.openxmlformats.org/officeDocument/2006/relationships/ctrlProp" Target="../ctrlProps/ctrlProp688.xml"/><Relationship Id="rId128" Type="http://schemas.openxmlformats.org/officeDocument/2006/relationships/ctrlProp" Target="../ctrlProps/ctrlProp693.xml"/><Relationship Id="rId5" Type="http://schemas.openxmlformats.org/officeDocument/2006/relationships/ctrlProp" Target="../ctrlProps/ctrlProp570.xml"/><Relationship Id="rId90" Type="http://schemas.openxmlformats.org/officeDocument/2006/relationships/ctrlProp" Target="../ctrlProps/ctrlProp655.xml"/><Relationship Id="rId95" Type="http://schemas.openxmlformats.org/officeDocument/2006/relationships/ctrlProp" Target="../ctrlProps/ctrlProp660.xml"/><Relationship Id="rId22" Type="http://schemas.openxmlformats.org/officeDocument/2006/relationships/ctrlProp" Target="../ctrlProps/ctrlProp587.xml"/><Relationship Id="rId27" Type="http://schemas.openxmlformats.org/officeDocument/2006/relationships/ctrlProp" Target="../ctrlProps/ctrlProp592.xml"/><Relationship Id="rId43" Type="http://schemas.openxmlformats.org/officeDocument/2006/relationships/ctrlProp" Target="../ctrlProps/ctrlProp608.xml"/><Relationship Id="rId48" Type="http://schemas.openxmlformats.org/officeDocument/2006/relationships/ctrlProp" Target="../ctrlProps/ctrlProp613.xml"/><Relationship Id="rId64" Type="http://schemas.openxmlformats.org/officeDocument/2006/relationships/ctrlProp" Target="../ctrlProps/ctrlProp629.xml"/><Relationship Id="rId69" Type="http://schemas.openxmlformats.org/officeDocument/2006/relationships/ctrlProp" Target="../ctrlProps/ctrlProp634.xml"/><Relationship Id="rId113" Type="http://schemas.openxmlformats.org/officeDocument/2006/relationships/ctrlProp" Target="../ctrlProps/ctrlProp678.xml"/><Relationship Id="rId118" Type="http://schemas.openxmlformats.org/officeDocument/2006/relationships/ctrlProp" Target="../ctrlProps/ctrlProp683.xml"/><Relationship Id="rId134" Type="http://schemas.openxmlformats.org/officeDocument/2006/relationships/ctrlProp" Target="../ctrlProps/ctrlProp699.xml"/><Relationship Id="rId139" Type="http://schemas.openxmlformats.org/officeDocument/2006/relationships/ctrlProp" Target="../ctrlProps/ctrlProp704.xml"/><Relationship Id="rId80" Type="http://schemas.openxmlformats.org/officeDocument/2006/relationships/ctrlProp" Target="../ctrlProps/ctrlProp645.xml"/><Relationship Id="rId85" Type="http://schemas.openxmlformats.org/officeDocument/2006/relationships/ctrlProp" Target="../ctrlProps/ctrlProp650.xml"/><Relationship Id="rId12" Type="http://schemas.openxmlformats.org/officeDocument/2006/relationships/ctrlProp" Target="../ctrlProps/ctrlProp577.xml"/><Relationship Id="rId17" Type="http://schemas.openxmlformats.org/officeDocument/2006/relationships/ctrlProp" Target="../ctrlProps/ctrlProp582.xml"/><Relationship Id="rId33" Type="http://schemas.openxmlformats.org/officeDocument/2006/relationships/ctrlProp" Target="../ctrlProps/ctrlProp598.xml"/><Relationship Id="rId38" Type="http://schemas.openxmlformats.org/officeDocument/2006/relationships/ctrlProp" Target="../ctrlProps/ctrlProp603.xml"/><Relationship Id="rId59" Type="http://schemas.openxmlformats.org/officeDocument/2006/relationships/ctrlProp" Target="../ctrlProps/ctrlProp624.xml"/><Relationship Id="rId103" Type="http://schemas.openxmlformats.org/officeDocument/2006/relationships/ctrlProp" Target="../ctrlProps/ctrlProp668.xml"/><Relationship Id="rId108" Type="http://schemas.openxmlformats.org/officeDocument/2006/relationships/ctrlProp" Target="../ctrlProps/ctrlProp673.xml"/><Relationship Id="rId124" Type="http://schemas.openxmlformats.org/officeDocument/2006/relationships/ctrlProp" Target="../ctrlProps/ctrlProp689.xml"/><Relationship Id="rId129" Type="http://schemas.openxmlformats.org/officeDocument/2006/relationships/ctrlProp" Target="../ctrlProps/ctrlProp694.xml"/><Relationship Id="rId54" Type="http://schemas.openxmlformats.org/officeDocument/2006/relationships/ctrlProp" Target="../ctrlProps/ctrlProp619.xml"/><Relationship Id="rId70" Type="http://schemas.openxmlformats.org/officeDocument/2006/relationships/ctrlProp" Target="../ctrlProps/ctrlProp635.xml"/><Relationship Id="rId75" Type="http://schemas.openxmlformats.org/officeDocument/2006/relationships/ctrlProp" Target="../ctrlProps/ctrlProp640.xml"/><Relationship Id="rId91" Type="http://schemas.openxmlformats.org/officeDocument/2006/relationships/ctrlProp" Target="../ctrlProps/ctrlProp656.xml"/><Relationship Id="rId96" Type="http://schemas.openxmlformats.org/officeDocument/2006/relationships/ctrlProp" Target="../ctrlProps/ctrlProp661.xml"/><Relationship Id="rId140" Type="http://schemas.openxmlformats.org/officeDocument/2006/relationships/ctrlProp" Target="../ctrlProps/ctrlProp70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71.xml"/><Relationship Id="rId23" Type="http://schemas.openxmlformats.org/officeDocument/2006/relationships/ctrlProp" Target="../ctrlProps/ctrlProp588.xml"/><Relationship Id="rId28" Type="http://schemas.openxmlformats.org/officeDocument/2006/relationships/ctrlProp" Target="../ctrlProps/ctrlProp593.xml"/><Relationship Id="rId49" Type="http://schemas.openxmlformats.org/officeDocument/2006/relationships/ctrlProp" Target="../ctrlProps/ctrlProp614.xml"/><Relationship Id="rId114" Type="http://schemas.openxmlformats.org/officeDocument/2006/relationships/ctrlProp" Target="../ctrlProps/ctrlProp679.xml"/><Relationship Id="rId119" Type="http://schemas.openxmlformats.org/officeDocument/2006/relationships/ctrlProp" Target="../ctrlProps/ctrlProp684.xml"/><Relationship Id="rId44" Type="http://schemas.openxmlformats.org/officeDocument/2006/relationships/ctrlProp" Target="../ctrlProps/ctrlProp609.xml"/><Relationship Id="rId60" Type="http://schemas.openxmlformats.org/officeDocument/2006/relationships/ctrlProp" Target="../ctrlProps/ctrlProp625.xml"/><Relationship Id="rId65" Type="http://schemas.openxmlformats.org/officeDocument/2006/relationships/ctrlProp" Target="../ctrlProps/ctrlProp630.xml"/><Relationship Id="rId81" Type="http://schemas.openxmlformats.org/officeDocument/2006/relationships/ctrlProp" Target="../ctrlProps/ctrlProp646.xml"/><Relationship Id="rId86" Type="http://schemas.openxmlformats.org/officeDocument/2006/relationships/ctrlProp" Target="../ctrlProps/ctrlProp651.xml"/><Relationship Id="rId130" Type="http://schemas.openxmlformats.org/officeDocument/2006/relationships/ctrlProp" Target="../ctrlProps/ctrlProp695.xml"/><Relationship Id="rId135" Type="http://schemas.openxmlformats.org/officeDocument/2006/relationships/ctrlProp" Target="../ctrlProps/ctrlProp700.xml"/><Relationship Id="rId13" Type="http://schemas.openxmlformats.org/officeDocument/2006/relationships/ctrlProp" Target="../ctrlProps/ctrlProp578.xml"/><Relationship Id="rId18" Type="http://schemas.openxmlformats.org/officeDocument/2006/relationships/ctrlProp" Target="../ctrlProps/ctrlProp583.xml"/><Relationship Id="rId39" Type="http://schemas.openxmlformats.org/officeDocument/2006/relationships/ctrlProp" Target="../ctrlProps/ctrlProp604.xml"/><Relationship Id="rId109" Type="http://schemas.openxmlformats.org/officeDocument/2006/relationships/ctrlProp" Target="../ctrlProps/ctrlProp674.xml"/><Relationship Id="rId34" Type="http://schemas.openxmlformats.org/officeDocument/2006/relationships/ctrlProp" Target="../ctrlProps/ctrlProp599.xml"/><Relationship Id="rId50" Type="http://schemas.openxmlformats.org/officeDocument/2006/relationships/ctrlProp" Target="../ctrlProps/ctrlProp615.xml"/><Relationship Id="rId55" Type="http://schemas.openxmlformats.org/officeDocument/2006/relationships/ctrlProp" Target="../ctrlProps/ctrlProp620.xml"/><Relationship Id="rId76" Type="http://schemas.openxmlformats.org/officeDocument/2006/relationships/ctrlProp" Target="../ctrlProps/ctrlProp641.xml"/><Relationship Id="rId97" Type="http://schemas.openxmlformats.org/officeDocument/2006/relationships/ctrlProp" Target="../ctrlProps/ctrlProp662.xml"/><Relationship Id="rId104" Type="http://schemas.openxmlformats.org/officeDocument/2006/relationships/ctrlProp" Target="../ctrlProps/ctrlProp669.xml"/><Relationship Id="rId120" Type="http://schemas.openxmlformats.org/officeDocument/2006/relationships/ctrlProp" Target="../ctrlProps/ctrlProp685.xml"/><Relationship Id="rId125" Type="http://schemas.openxmlformats.org/officeDocument/2006/relationships/ctrlProp" Target="../ctrlProps/ctrlProp690.xml"/><Relationship Id="rId141" Type="http://schemas.openxmlformats.org/officeDocument/2006/relationships/ctrlProp" Target="../ctrlProps/ctrlProp706.xml"/><Relationship Id="rId7" Type="http://schemas.openxmlformats.org/officeDocument/2006/relationships/ctrlProp" Target="../ctrlProps/ctrlProp572.xml"/><Relationship Id="rId71" Type="http://schemas.openxmlformats.org/officeDocument/2006/relationships/ctrlProp" Target="../ctrlProps/ctrlProp636.xml"/><Relationship Id="rId92" Type="http://schemas.openxmlformats.org/officeDocument/2006/relationships/ctrlProp" Target="../ctrlProps/ctrlProp657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94.xml"/><Relationship Id="rId24" Type="http://schemas.openxmlformats.org/officeDocument/2006/relationships/ctrlProp" Target="../ctrlProps/ctrlProp589.xml"/><Relationship Id="rId40" Type="http://schemas.openxmlformats.org/officeDocument/2006/relationships/ctrlProp" Target="../ctrlProps/ctrlProp605.xml"/><Relationship Id="rId45" Type="http://schemas.openxmlformats.org/officeDocument/2006/relationships/ctrlProp" Target="../ctrlProps/ctrlProp610.xml"/><Relationship Id="rId66" Type="http://schemas.openxmlformats.org/officeDocument/2006/relationships/ctrlProp" Target="../ctrlProps/ctrlProp631.xml"/><Relationship Id="rId87" Type="http://schemas.openxmlformats.org/officeDocument/2006/relationships/ctrlProp" Target="../ctrlProps/ctrlProp652.xml"/><Relationship Id="rId110" Type="http://schemas.openxmlformats.org/officeDocument/2006/relationships/ctrlProp" Target="../ctrlProps/ctrlProp675.xml"/><Relationship Id="rId115" Type="http://schemas.openxmlformats.org/officeDocument/2006/relationships/ctrlProp" Target="../ctrlProps/ctrlProp680.xml"/><Relationship Id="rId131" Type="http://schemas.openxmlformats.org/officeDocument/2006/relationships/ctrlProp" Target="../ctrlProps/ctrlProp696.xml"/><Relationship Id="rId136" Type="http://schemas.openxmlformats.org/officeDocument/2006/relationships/ctrlProp" Target="../ctrlProps/ctrlProp701.xml"/><Relationship Id="rId61" Type="http://schemas.openxmlformats.org/officeDocument/2006/relationships/ctrlProp" Target="../ctrlProps/ctrlProp626.xml"/><Relationship Id="rId82" Type="http://schemas.openxmlformats.org/officeDocument/2006/relationships/ctrlProp" Target="../ctrlProps/ctrlProp647.xml"/><Relationship Id="rId19" Type="http://schemas.openxmlformats.org/officeDocument/2006/relationships/ctrlProp" Target="../ctrlProps/ctrlProp584.xml"/><Relationship Id="rId14" Type="http://schemas.openxmlformats.org/officeDocument/2006/relationships/ctrlProp" Target="../ctrlProps/ctrlProp579.xml"/><Relationship Id="rId30" Type="http://schemas.openxmlformats.org/officeDocument/2006/relationships/ctrlProp" Target="../ctrlProps/ctrlProp595.xml"/><Relationship Id="rId35" Type="http://schemas.openxmlformats.org/officeDocument/2006/relationships/ctrlProp" Target="../ctrlProps/ctrlProp600.xml"/><Relationship Id="rId56" Type="http://schemas.openxmlformats.org/officeDocument/2006/relationships/ctrlProp" Target="../ctrlProps/ctrlProp621.xml"/><Relationship Id="rId77" Type="http://schemas.openxmlformats.org/officeDocument/2006/relationships/ctrlProp" Target="../ctrlProps/ctrlProp642.xml"/><Relationship Id="rId100" Type="http://schemas.openxmlformats.org/officeDocument/2006/relationships/ctrlProp" Target="../ctrlProps/ctrlProp665.xml"/><Relationship Id="rId105" Type="http://schemas.openxmlformats.org/officeDocument/2006/relationships/ctrlProp" Target="../ctrlProps/ctrlProp670.xml"/><Relationship Id="rId126" Type="http://schemas.openxmlformats.org/officeDocument/2006/relationships/ctrlProp" Target="../ctrlProps/ctrlProp691.xml"/><Relationship Id="rId8" Type="http://schemas.openxmlformats.org/officeDocument/2006/relationships/ctrlProp" Target="../ctrlProps/ctrlProp573.xml"/><Relationship Id="rId51" Type="http://schemas.openxmlformats.org/officeDocument/2006/relationships/ctrlProp" Target="../ctrlProps/ctrlProp616.xml"/><Relationship Id="rId72" Type="http://schemas.openxmlformats.org/officeDocument/2006/relationships/ctrlProp" Target="../ctrlProps/ctrlProp637.xml"/><Relationship Id="rId93" Type="http://schemas.openxmlformats.org/officeDocument/2006/relationships/ctrlProp" Target="../ctrlProps/ctrlProp658.xml"/><Relationship Id="rId98" Type="http://schemas.openxmlformats.org/officeDocument/2006/relationships/ctrlProp" Target="../ctrlProps/ctrlProp663.xml"/><Relationship Id="rId121" Type="http://schemas.openxmlformats.org/officeDocument/2006/relationships/ctrlProp" Target="../ctrlProps/ctrlProp686.xml"/><Relationship Id="rId142" Type="http://schemas.openxmlformats.org/officeDocument/2006/relationships/ctrlProp" Target="../ctrlProps/ctrlProp707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90.xml"/><Relationship Id="rId46" Type="http://schemas.openxmlformats.org/officeDocument/2006/relationships/ctrlProp" Target="../ctrlProps/ctrlProp611.xml"/><Relationship Id="rId67" Type="http://schemas.openxmlformats.org/officeDocument/2006/relationships/ctrlProp" Target="../ctrlProps/ctrlProp632.xml"/><Relationship Id="rId116" Type="http://schemas.openxmlformats.org/officeDocument/2006/relationships/ctrlProp" Target="../ctrlProps/ctrlProp681.xml"/><Relationship Id="rId137" Type="http://schemas.openxmlformats.org/officeDocument/2006/relationships/ctrlProp" Target="../ctrlProps/ctrlProp702.xml"/><Relationship Id="rId20" Type="http://schemas.openxmlformats.org/officeDocument/2006/relationships/ctrlProp" Target="../ctrlProps/ctrlProp585.xml"/><Relationship Id="rId41" Type="http://schemas.openxmlformats.org/officeDocument/2006/relationships/ctrlProp" Target="../ctrlProps/ctrlProp606.xml"/><Relationship Id="rId62" Type="http://schemas.openxmlformats.org/officeDocument/2006/relationships/ctrlProp" Target="../ctrlProps/ctrlProp627.xml"/><Relationship Id="rId83" Type="http://schemas.openxmlformats.org/officeDocument/2006/relationships/ctrlProp" Target="../ctrlProps/ctrlProp648.xml"/><Relationship Id="rId88" Type="http://schemas.openxmlformats.org/officeDocument/2006/relationships/ctrlProp" Target="../ctrlProps/ctrlProp653.xml"/><Relationship Id="rId111" Type="http://schemas.openxmlformats.org/officeDocument/2006/relationships/ctrlProp" Target="../ctrlProps/ctrlProp676.xml"/><Relationship Id="rId132" Type="http://schemas.openxmlformats.org/officeDocument/2006/relationships/ctrlProp" Target="../ctrlProps/ctrlProp697.xml"/><Relationship Id="rId15" Type="http://schemas.openxmlformats.org/officeDocument/2006/relationships/ctrlProp" Target="../ctrlProps/ctrlProp580.xml"/><Relationship Id="rId36" Type="http://schemas.openxmlformats.org/officeDocument/2006/relationships/ctrlProp" Target="../ctrlProps/ctrlProp601.xml"/><Relationship Id="rId57" Type="http://schemas.openxmlformats.org/officeDocument/2006/relationships/ctrlProp" Target="../ctrlProps/ctrlProp622.xml"/><Relationship Id="rId106" Type="http://schemas.openxmlformats.org/officeDocument/2006/relationships/ctrlProp" Target="../ctrlProps/ctrlProp671.xml"/><Relationship Id="rId127" Type="http://schemas.openxmlformats.org/officeDocument/2006/relationships/ctrlProp" Target="../ctrlProps/ctrlProp692.xml"/><Relationship Id="rId10" Type="http://schemas.openxmlformats.org/officeDocument/2006/relationships/ctrlProp" Target="../ctrlProps/ctrlProp575.xml"/><Relationship Id="rId31" Type="http://schemas.openxmlformats.org/officeDocument/2006/relationships/ctrlProp" Target="../ctrlProps/ctrlProp596.xml"/><Relationship Id="rId52" Type="http://schemas.openxmlformats.org/officeDocument/2006/relationships/ctrlProp" Target="../ctrlProps/ctrlProp617.xml"/><Relationship Id="rId73" Type="http://schemas.openxmlformats.org/officeDocument/2006/relationships/ctrlProp" Target="../ctrlProps/ctrlProp638.xml"/><Relationship Id="rId78" Type="http://schemas.openxmlformats.org/officeDocument/2006/relationships/ctrlProp" Target="../ctrlProps/ctrlProp643.xml"/><Relationship Id="rId94" Type="http://schemas.openxmlformats.org/officeDocument/2006/relationships/ctrlProp" Target="../ctrlProps/ctrlProp659.xml"/><Relationship Id="rId99" Type="http://schemas.openxmlformats.org/officeDocument/2006/relationships/ctrlProp" Target="../ctrlProps/ctrlProp664.xml"/><Relationship Id="rId101" Type="http://schemas.openxmlformats.org/officeDocument/2006/relationships/ctrlProp" Target="../ctrlProps/ctrlProp666.xml"/><Relationship Id="rId122" Type="http://schemas.openxmlformats.org/officeDocument/2006/relationships/ctrlProp" Target="../ctrlProps/ctrlProp687.xml"/><Relationship Id="rId143" Type="http://schemas.openxmlformats.org/officeDocument/2006/relationships/ctrlProp" Target="../ctrlProps/ctrlProp708.xml"/><Relationship Id="rId4" Type="http://schemas.openxmlformats.org/officeDocument/2006/relationships/ctrlProp" Target="../ctrlProps/ctrlProp569.xml"/><Relationship Id="rId9" Type="http://schemas.openxmlformats.org/officeDocument/2006/relationships/ctrlProp" Target="../ctrlProps/ctrlProp574.xml"/><Relationship Id="rId26" Type="http://schemas.openxmlformats.org/officeDocument/2006/relationships/ctrlProp" Target="../ctrlProps/ctrlProp591.xml"/><Relationship Id="rId47" Type="http://schemas.openxmlformats.org/officeDocument/2006/relationships/ctrlProp" Target="../ctrlProps/ctrlProp612.xml"/><Relationship Id="rId68" Type="http://schemas.openxmlformats.org/officeDocument/2006/relationships/ctrlProp" Target="../ctrlProps/ctrlProp633.xml"/><Relationship Id="rId89" Type="http://schemas.openxmlformats.org/officeDocument/2006/relationships/ctrlProp" Target="../ctrlProps/ctrlProp654.xml"/><Relationship Id="rId112" Type="http://schemas.openxmlformats.org/officeDocument/2006/relationships/ctrlProp" Target="../ctrlProps/ctrlProp677.xml"/><Relationship Id="rId133" Type="http://schemas.openxmlformats.org/officeDocument/2006/relationships/ctrlProp" Target="../ctrlProps/ctrlProp698.xml"/><Relationship Id="rId16" Type="http://schemas.openxmlformats.org/officeDocument/2006/relationships/ctrlProp" Target="../ctrlProps/ctrlProp581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22.xml"/><Relationship Id="rId21" Type="http://schemas.openxmlformats.org/officeDocument/2006/relationships/ctrlProp" Target="../ctrlProps/ctrlProp726.xml"/><Relationship Id="rId42" Type="http://schemas.openxmlformats.org/officeDocument/2006/relationships/ctrlProp" Target="../ctrlProps/ctrlProp747.xml"/><Relationship Id="rId63" Type="http://schemas.openxmlformats.org/officeDocument/2006/relationships/ctrlProp" Target="../ctrlProps/ctrlProp768.xml"/><Relationship Id="rId84" Type="http://schemas.openxmlformats.org/officeDocument/2006/relationships/ctrlProp" Target="../ctrlProps/ctrlProp789.xml"/><Relationship Id="rId138" Type="http://schemas.openxmlformats.org/officeDocument/2006/relationships/ctrlProp" Target="../ctrlProps/ctrlProp843.xml"/><Relationship Id="rId107" Type="http://schemas.openxmlformats.org/officeDocument/2006/relationships/ctrlProp" Target="../ctrlProps/ctrlProp812.xml"/><Relationship Id="rId11" Type="http://schemas.openxmlformats.org/officeDocument/2006/relationships/ctrlProp" Target="../ctrlProps/ctrlProp716.xml"/><Relationship Id="rId32" Type="http://schemas.openxmlformats.org/officeDocument/2006/relationships/ctrlProp" Target="../ctrlProps/ctrlProp737.xml"/><Relationship Id="rId37" Type="http://schemas.openxmlformats.org/officeDocument/2006/relationships/ctrlProp" Target="../ctrlProps/ctrlProp742.xml"/><Relationship Id="rId53" Type="http://schemas.openxmlformats.org/officeDocument/2006/relationships/ctrlProp" Target="../ctrlProps/ctrlProp758.xml"/><Relationship Id="rId58" Type="http://schemas.openxmlformats.org/officeDocument/2006/relationships/ctrlProp" Target="../ctrlProps/ctrlProp763.xml"/><Relationship Id="rId74" Type="http://schemas.openxmlformats.org/officeDocument/2006/relationships/ctrlProp" Target="../ctrlProps/ctrlProp779.xml"/><Relationship Id="rId79" Type="http://schemas.openxmlformats.org/officeDocument/2006/relationships/ctrlProp" Target="../ctrlProps/ctrlProp784.xml"/><Relationship Id="rId102" Type="http://schemas.openxmlformats.org/officeDocument/2006/relationships/ctrlProp" Target="../ctrlProps/ctrlProp807.xml"/><Relationship Id="rId123" Type="http://schemas.openxmlformats.org/officeDocument/2006/relationships/ctrlProp" Target="../ctrlProps/ctrlProp828.xml"/><Relationship Id="rId128" Type="http://schemas.openxmlformats.org/officeDocument/2006/relationships/ctrlProp" Target="../ctrlProps/ctrlProp833.xml"/><Relationship Id="rId5" Type="http://schemas.openxmlformats.org/officeDocument/2006/relationships/ctrlProp" Target="../ctrlProps/ctrlProp710.xml"/><Relationship Id="rId90" Type="http://schemas.openxmlformats.org/officeDocument/2006/relationships/ctrlProp" Target="../ctrlProps/ctrlProp795.xml"/><Relationship Id="rId95" Type="http://schemas.openxmlformats.org/officeDocument/2006/relationships/ctrlProp" Target="../ctrlProps/ctrlProp800.xml"/><Relationship Id="rId22" Type="http://schemas.openxmlformats.org/officeDocument/2006/relationships/ctrlProp" Target="../ctrlProps/ctrlProp727.xml"/><Relationship Id="rId27" Type="http://schemas.openxmlformats.org/officeDocument/2006/relationships/ctrlProp" Target="../ctrlProps/ctrlProp732.xml"/><Relationship Id="rId43" Type="http://schemas.openxmlformats.org/officeDocument/2006/relationships/ctrlProp" Target="../ctrlProps/ctrlProp748.xml"/><Relationship Id="rId48" Type="http://schemas.openxmlformats.org/officeDocument/2006/relationships/ctrlProp" Target="../ctrlProps/ctrlProp753.xml"/><Relationship Id="rId64" Type="http://schemas.openxmlformats.org/officeDocument/2006/relationships/ctrlProp" Target="../ctrlProps/ctrlProp769.xml"/><Relationship Id="rId69" Type="http://schemas.openxmlformats.org/officeDocument/2006/relationships/ctrlProp" Target="../ctrlProps/ctrlProp774.xml"/><Relationship Id="rId113" Type="http://schemas.openxmlformats.org/officeDocument/2006/relationships/ctrlProp" Target="../ctrlProps/ctrlProp818.xml"/><Relationship Id="rId118" Type="http://schemas.openxmlformats.org/officeDocument/2006/relationships/ctrlProp" Target="../ctrlProps/ctrlProp823.xml"/><Relationship Id="rId134" Type="http://schemas.openxmlformats.org/officeDocument/2006/relationships/ctrlProp" Target="../ctrlProps/ctrlProp839.xml"/><Relationship Id="rId139" Type="http://schemas.openxmlformats.org/officeDocument/2006/relationships/ctrlProp" Target="../ctrlProps/ctrlProp844.xml"/><Relationship Id="rId80" Type="http://schemas.openxmlformats.org/officeDocument/2006/relationships/ctrlProp" Target="../ctrlProps/ctrlProp785.xml"/><Relationship Id="rId85" Type="http://schemas.openxmlformats.org/officeDocument/2006/relationships/ctrlProp" Target="../ctrlProps/ctrlProp790.xml"/><Relationship Id="rId12" Type="http://schemas.openxmlformats.org/officeDocument/2006/relationships/ctrlProp" Target="../ctrlProps/ctrlProp717.xml"/><Relationship Id="rId17" Type="http://schemas.openxmlformats.org/officeDocument/2006/relationships/ctrlProp" Target="../ctrlProps/ctrlProp722.xml"/><Relationship Id="rId33" Type="http://schemas.openxmlformats.org/officeDocument/2006/relationships/ctrlProp" Target="../ctrlProps/ctrlProp738.xml"/><Relationship Id="rId38" Type="http://schemas.openxmlformats.org/officeDocument/2006/relationships/ctrlProp" Target="../ctrlProps/ctrlProp743.xml"/><Relationship Id="rId59" Type="http://schemas.openxmlformats.org/officeDocument/2006/relationships/ctrlProp" Target="../ctrlProps/ctrlProp764.xml"/><Relationship Id="rId103" Type="http://schemas.openxmlformats.org/officeDocument/2006/relationships/ctrlProp" Target="../ctrlProps/ctrlProp808.xml"/><Relationship Id="rId108" Type="http://schemas.openxmlformats.org/officeDocument/2006/relationships/ctrlProp" Target="../ctrlProps/ctrlProp813.xml"/><Relationship Id="rId124" Type="http://schemas.openxmlformats.org/officeDocument/2006/relationships/ctrlProp" Target="../ctrlProps/ctrlProp829.xml"/><Relationship Id="rId129" Type="http://schemas.openxmlformats.org/officeDocument/2006/relationships/ctrlProp" Target="../ctrlProps/ctrlProp834.xml"/><Relationship Id="rId54" Type="http://schemas.openxmlformats.org/officeDocument/2006/relationships/ctrlProp" Target="../ctrlProps/ctrlProp759.xml"/><Relationship Id="rId70" Type="http://schemas.openxmlformats.org/officeDocument/2006/relationships/ctrlProp" Target="../ctrlProps/ctrlProp775.xml"/><Relationship Id="rId75" Type="http://schemas.openxmlformats.org/officeDocument/2006/relationships/ctrlProp" Target="../ctrlProps/ctrlProp780.xml"/><Relationship Id="rId91" Type="http://schemas.openxmlformats.org/officeDocument/2006/relationships/ctrlProp" Target="../ctrlProps/ctrlProp796.xml"/><Relationship Id="rId96" Type="http://schemas.openxmlformats.org/officeDocument/2006/relationships/ctrlProp" Target="../ctrlProps/ctrlProp801.xml"/><Relationship Id="rId140" Type="http://schemas.openxmlformats.org/officeDocument/2006/relationships/ctrlProp" Target="../ctrlProps/ctrlProp84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711.xml"/><Relationship Id="rId23" Type="http://schemas.openxmlformats.org/officeDocument/2006/relationships/ctrlProp" Target="../ctrlProps/ctrlProp728.xml"/><Relationship Id="rId28" Type="http://schemas.openxmlformats.org/officeDocument/2006/relationships/ctrlProp" Target="../ctrlProps/ctrlProp733.xml"/><Relationship Id="rId49" Type="http://schemas.openxmlformats.org/officeDocument/2006/relationships/ctrlProp" Target="../ctrlProps/ctrlProp754.xml"/><Relationship Id="rId114" Type="http://schemas.openxmlformats.org/officeDocument/2006/relationships/ctrlProp" Target="../ctrlProps/ctrlProp819.xml"/><Relationship Id="rId119" Type="http://schemas.openxmlformats.org/officeDocument/2006/relationships/ctrlProp" Target="../ctrlProps/ctrlProp824.xml"/><Relationship Id="rId44" Type="http://schemas.openxmlformats.org/officeDocument/2006/relationships/ctrlProp" Target="../ctrlProps/ctrlProp749.xml"/><Relationship Id="rId60" Type="http://schemas.openxmlformats.org/officeDocument/2006/relationships/ctrlProp" Target="../ctrlProps/ctrlProp765.xml"/><Relationship Id="rId65" Type="http://schemas.openxmlformats.org/officeDocument/2006/relationships/ctrlProp" Target="../ctrlProps/ctrlProp770.xml"/><Relationship Id="rId81" Type="http://schemas.openxmlformats.org/officeDocument/2006/relationships/ctrlProp" Target="../ctrlProps/ctrlProp786.xml"/><Relationship Id="rId86" Type="http://schemas.openxmlformats.org/officeDocument/2006/relationships/ctrlProp" Target="../ctrlProps/ctrlProp791.xml"/><Relationship Id="rId130" Type="http://schemas.openxmlformats.org/officeDocument/2006/relationships/ctrlProp" Target="../ctrlProps/ctrlProp835.xml"/><Relationship Id="rId135" Type="http://schemas.openxmlformats.org/officeDocument/2006/relationships/ctrlProp" Target="../ctrlProps/ctrlProp840.xml"/><Relationship Id="rId13" Type="http://schemas.openxmlformats.org/officeDocument/2006/relationships/ctrlProp" Target="../ctrlProps/ctrlProp718.xml"/><Relationship Id="rId18" Type="http://schemas.openxmlformats.org/officeDocument/2006/relationships/ctrlProp" Target="../ctrlProps/ctrlProp723.xml"/><Relationship Id="rId39" Type="http://schemas.openxmlformats.org/officeDocument/2006/relationships/ctrlProp" Target="../ctrlProps/ctrlProp744.xml"/><Relationship Id="rId109" Type="http://schemas.openxmlformats.org/officeDocument/2006/relationships/ctrlProp" Target="../ctrlProps/ctrlProp814.xml"/><Relationship Id="rId34" Type="http://schemas.openxmlformats.org/officeDocument/2006/relationships/ctrlProp" Target="../ctrlProps/ctrlProp739.xml"/><Relationship Id="rId50" Type="http://schemas.openxmlformats.org/officeDocument/2006/relationships/ctrlProp" Target="../ctrlProps/ctrlProp755.xml"/><Relationship Id="rId55" Type="http://schemas.openxmlformats.org/officeDocument/2006/relationships/ctrlProp" Target="../ctrlProps/ctrlProp760.xml"/><Relationship Id="rId76" Type="http://schemas.openxmlformats.org/officeDocument/2006/relationships/ctrlProp" Target="../ctrlProps/ctrlProp781.xml"/><Relationship Id="rId97" Type="http://schemas.openxmlformats.org/officeDocument/2006/relationships/ctrlProp" Target="../ctrlProps/ctrlProp802.xml"/><Relationship Id="rId104" Type="http://schemas.openxmlformats.org/officeDocument/2006/relationships/ctrlProp" Target="../ctrlProps/ctrlProp809.xml"/><Relationship Id="rId120" Type="http://schemas.openxmlformats.org/officeDocument/2006/relationships/ctrlProp" Target="../ctrlProps/ctrlProp825.xml"/><Relationship Id="rId125" Type="http://schemas.openxmlformats.org/officeDocument/2006/relationships/ctrlProp" Target="../ctrlProps/ctrlProp830.xml"/><Relationship Id="rId141" Type="http://schemas.openxmlformats.org/officeDocument/2006/relationships/ctrlProp" Target="../ctrlProps/ctrlProp846.xml"/><Relationship Id="rId7" Type="http://schemas.openxmlformats.org/officeDocument/2006/relationships/ctrlProp" Target="../ctrlProps/ctrlProp712.xml"/><Relationship Id="rId71" Type="http://schemas.openxmlformats.org/officeDocument/2006/relationships/ctrlProp" Target="../ctrlProps/ctrlProp776.xml"/><Relationship Id="rId92" Type="http://schemas.openxmlformats.org/officeDocument/2006/relationships/ctrlProp" Target="../ctrlProps/ctrlProp797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734.xml"/><Relationship Id="rId24" Type="http://schemas.openxmlformats.org/officeDocument/2006/relationships/ctrlProp" Target="../ctrlProps/ctrlProp729.xml"/><Relationship Id="rId40" Type="http://schemas.openxmlformats.org/officeDocument/2006/relationships/ctrlProp" Target="../ctrlProps/ctrlProp745.xml"/><Relationship Id="rId45" Type="http://schemas.openxmlformats.org/officeDocument/2006/relationships/ctrlProp" Target="../ctrlProps/ctrlProp750.xml"/><Relationship Id="rId66" Type="http://schemas.openxmlformats.org/officeDocument/2006/relationships/ctrlProp" Target="../ctrlProps/ctrlProp771.xml"/><Relationship Id="rId87" Type="http://schemas.openxmlformats.org/officeDocument/2006/relationships/ctrlProp" Target="../ctrlProps/ctrlProp792.xml"/><Relationship Id="rId110" Type="http://schemas.openxmlformats.org/officeDocument/2006/relationships/ctrlProp" Target="../ctrlProps/ctrlProp815.xml"/><Relationship Id="rId115" Type="http://schemas.openxmlformats.org/officeDocument/2006/relationships/ctrlProp" Target="../ctrlProps/ctrlProp820.xml"/><Relationship Id="rId131" Type="http://schemas.openxmlformats.org/officeDocument/2006/relationships/ctrlProp" Target="../ctrlProps/ctrlProp836.xml"/><Relationship Id="rId136" Type="http://schemas.openxmlformats.org/officeDocument/2006/relationships/ctrlProp" Target="../ctrlProps/ctrlProp841.xml"/><Relationship Id="rId61" Type="http://schemas.openxmlformats.org/officeDocument/2006/relationships/ctrlProp" Target="../ctrlProps/ctrlProp766.xml"/><Relationship Id="rId82" Type="http://schemas.openxmlformats.org/officeDocument/2006/relationships/ctrlProp" Target="../ctrlProps/ctrlProp787.xml"/><Relationship Id="rId19" Type="http://schemas.openxmlformats.org/officeDocument/2006/relationships/ctrlProp" Target="../ctrlProps/ctrlProp724.xml"/><Relationship Id="rId14" Type="http://schemas.openxmlformats.org/officeDocument/2006/relationships/ctrlProp" Target="../ctrlProps/ctrlProp719.xml"/><Relationship Id="rId30" Type="http://schemas.openxmlformats.org/officeDocument/2006/relationships/ctrlProp" Target="../ctrlProps/ctrlProp735.xml"/><Relationship Id="rId35" Type="http://schemas.openxmlformats.org/officeDocument/2006/relationships/ctrlProp" Target="../ctrlProps/ctrlProp740.xml"/><Relationship Id="rId56" Type="http://schemas.openxmlformats.org/officeDocument/2006/relationships/ctrlProp" Target="../ctrlProps/ctrlProp761.xml"/><Relationship Id="rId77" Type="http://schemas.openxmlformats.org/officeDocument/2006/relationships/ctrlProp" Target="../ctrlProps/ctrlProp782.xml"/><Relationship Id="rId100" Type="http://schemas.openxmlformats.org/officeDocument/2006/relationships/ctrlProp" Target="../ctrlProps/ctrlProp805.xml"/><Relationship Id="rId105" Type="http://schemas.openxmlformats.org/officeDocument/2006/relationships/ctrlProp" Target="../ctrlProps/ctrlProp810.xml"/><Relationship Id="rId126" Type="http://schemas.openxmlformats.org/officeDocument/2006/relationships/ctrlProp" Target="../ctrlProps/ctrlProp831.xml"/><Relationship Id="rId8" Type="http://schemas.openxmlformats.org/officeDocument/2006/relationships/ctrlProp" Target="../ctrlProps/ctrlProp713.xml"/><Relationship Id="rId51" Type="http://schemas.openxmlformats.org/officeDocument/2006/relationships/ctrlProp" Target="../ctrlProps/ctrlProp756.xml"/><Relationship Id="rId72" Type="http://schemas.openxmlformats.org/officeDocument/2006/relationships/ctrlProp" Target="../ctrlProps/ctrlProp777.xml"/><Relationship Id="rId93" Type="http://schemas.openxmlformats.org/officeDocument/2006/relationships/ctrlProp" Target="../ctrlProps/ctrlProp798.xml"/><Relationship Id="rId98" Type="http://schemas.openxmlformats.org/officeDocument/2006/relationships/ctrlProp" Target="../ctrlProps/ctrlProp803.xml"/><Relationship Id="rId121" Type="http://schemas.openxmlformats.org/officeDocument/2006/relationships/ctrlProp" Target="../ctrlProps/ctrlProp826.xml"/><Relationship Id="rId142" Type="http://schemas.openxmlformats.org/officeDocument/2006/relationships/ctrlProp" Target="../ctrlProps/ctrlProp847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730.xml"/><Relationship Id="rId46" Type="http://schemas.openxmlformats.org/officeDocument/2006/relationships/ctrlProp" Target="../ctrlProps/ctrlProp751.xml"/><Relationship Id="rId67" Type="http://schemas.openxmlformats.org/officeDocument/2006/relationships/ctrlProp" Target="../ctrlProps/ctrlProp772.xml"/><Relationship Id="rId116" Type="http://schemas.openxmlformats.org/officeDocument/2006/relationships/ctrlProp" Target="../ctrlProps/ctrlProp821.xml"/><Relationship Id="rId137" Type="http://schemas.openxmlformats.org/officeDocument/2006/relationships/ctrlProp" Target="../ctrlProps/ctrlProp842.xml"/><Relationship Id="rId20" Type="http://schemas.openxmlformats.org/officeDocument/2006/relationships/ctrlProp" Target="../ctrlProps/ctrlProp725.xml"/><Relationship Id="rId41" Type="http://schemas.openxmlformats.org/officeDocument/2006/relationships/ctrlProp" Target="../ctrlProps/ctrlProp746.xml"/><Relationship Id="rId62" Type="http://schemas.openxmlformats.org/officeDocument/2006/relationships/ctrlProp" Target="../ctrlProps/ctrlProp767.xml"/><Relationship Id="rId83" Type="http://schemas.openxmlformats.org/officeDocument/2006/relationships/ctrlProp" Target="../ctrlProps/ctrlProp788.xml"/><Relationship Id="rId88" Type="http://schemas.openxmlformats.org/officeDocument/2006/relationships/ctrlProp" Target="../ctrlProps/ctrlProp793.xml"/><Relationship Id="rId111" Type="http://schemas.openxmlformats.org/officeDocument/2006/relationships/ctrlProp" Target="../ctrlProps/ctrlProp816.xml"/><Relationship Id="rId132" Type="http://schemas.openxmlformats.org/officeDocument/2006/relationships/ctrlProp" Target="../ctrlProps/ctrlProp837.xml"/><Relationship Id="rId15" Type="http://schemas.openxmlformats.org/officeDocument/2006/relationships/ctrlProp" Target="../ctrlProps/ctrlProp720.xml"/><Relationship Id="rId36" Type="http://schemas.openxmlformats.org/officeDocument/2006/relationships/ctrlProp" Target="../ctrlProps/ctrlProp741.xml"/><Relationship Id="rId57" Type="http://schemas.openxmlformats.org/officeDocument/2006/relationships/ctrlProp" Target="../ctrlProps/ctrlProp762.xml"/><Relationship Id="rId106" Type="http://schemas.openxmlformats.org/officeDocument/2006/relationships/ctrlProp" Target="../ctrlProps/ctrlProp811.xml"/><Relationship Id="rId127" Type="http://schemas.openxmlformats.org/officeDocument/2006/relationships/ctrlProp" Target="../ctrlProps/ctrlProp832.xml"/><Relationship Id="rId10" Type="http://schemas.openxmlformats.org/officeDocument/2006/relationships/ctrlProp" Target="../ctrlProps/ctrlProp715.xml"/><Relationship Id="rId31" Type="http://schemas.openxmlformats.org/officeDocument/2006/relationships/ctrlProp" Target="../ctrlProps/ctrlProp736.xml"/><Relationship Id="rId52" Type="http://schemas.openxmlformats.org/officeDocument/2006/relationships/ctrlProp" Target="../ctrlProps/ctrlProp757.xml"/><Relationship Id="rId73" Type="http://schemas.openxmlformats.org/officeDocument/2006/relationships/ctrlProp" Target="../ctrlProps/ctrlProp778.xml"/><Relationship Id="rId78" Type="http://schemas.openxmlformats.org/officeDocument/2006/relationships/ctrlProp" Target="../ctrlProps/ctrlProp783.xml"/><Relationship Id="rId94" Type="http://schemas.openxmlformats.org/officeDocument/2006/relationships/ctrlProp" Target="../ctrlProps/ctrlProp799.xml"/><Relationship Id="rId99" Type="http://schemas.openxmlformats.org/officeDocument/2006/relationships/ctrlProp" Target="../ctrlProps/ctrlProp804.xml"/><Relationship Id="rId101" Type="http://schemas.openxmlformats.org/officeDocument/2006/relationships/ctrlProp" Target="../ctrlProps/ctrlProp806.xml"/><Relationship Id="rId122" Type="http://schemas.openxmlformats.org/officeDocument/2006/relationships/ctrlProp" Target="../ctrlProps/ctrlProp827.xml"/><Relationship Id="rId143" Type="http://schemas.openxmlformats.org/officeDocument/2006/relationships/ctrlProp" Target="../ctrlProps/ctrlProp848.xml"/><Relationship Id="rId4" Type="http://schemas.openxmlformats.org/officeDocument/2006/relationships/ctrlProp" Target="../ctrlProps/ctrlProp709.xml"/><Relationship Id="rId9" Type="http://schemas.openxmlformats.org/officeDocument/2006/relationships/ctrlProp" Target="../ctrlProps/ctrlProp714.xml"/><Relationship Id="rId26" Type="http://schemas.openxmlformats.org/officeDocument/2006/relationships/ctrlProp" Target="../ctrlProps/ctrlProp731.xml"/><Relationship Id="rId47" Type="http://schemas.openxmlformats.org/officeDocument/2006/relationships/ctrlProp" Target="../ctrlProps/ctrlProp752.xml"/><Relationship Id="rId68" Type="http://schemas.openxmlformats.org/officeDocument/2006/relationships/ctrlProp" Target="../ctrlProps/ctrlProp773.xml"/><Relationship Id="rId89" Type="http://schemas.openxmlformats.org/officeDocument/2006/relationships/ctrlProp" Target="../ctrlProps/ctrlProp794.xml"/><Relationship Id="rId112" Type="http://schemas.openxmlformats.org/officeDocument/2006/relationships/ctrlProp" Target="../ctrlProps/ctrlProp817.xml"/><Relationship Id="rId133" Type="http://schemas.openxmlformats.org/officeDocument/2006/relationships/ctrlProp" Target="../ctrlProps/ctrlProp838.xml"/><Relationship Id="rId16" Type="http://schemas.openxmlformats.org/officeDocument/2006/relationships/ctrlProp" Target="../ctrlProps/ctrlProp7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49" t="s">
        <v>0</v>
      </c>
      <c r="B1" s="150"/>
      <c r="C1" s="150"/>
      <c r="D1" s="150"/>
      <c r="E1" s="150"/>
      <c r="F1" s="151"/>
      <c r="G1" s="180">
        <v>44287</v>
      </c>
      <c r="H1" s="181"/>
      <c r="I1" s="182"/>
      <c r="J1" s="149" t="s">
        <v>1</v>
      </c>
      <c r="K1" s="150"/>
      <c r="L1" s="150"/>
      <c r="M1" s="150"/>
      <c r="N1" s="150"/>
      <c r="O1" s="151"/>
      <c r="Q1" s="149" t="s">
        <v>2</v>
      </c>
      <c r="R1" s="151"/>
    </row>
    <row r="2" spans="1:19" ht="17.25" customHeight="1">
      <c r="A2" s="1" t="s">
        <v>3</v>
      </c>
      <c r="B2" s="183" t="s">
        <v>4</v>
      </c>
      <c r="C2" s="184"/>
      <c r="D2" s="184"/>
      <c r="E2" s="184"/>
      <c r="F2" s="185"/>
      <c r="G2" s="177" t="s">
        <v>46</v>
      </c>
      <c r="H2" s="178"/>
      <c r="I2" s="179"/>
      <c r="J2" s="1" t="s">
        <v>3</v>
      </c>
      <c r="K2" s="183" t="s">
        <v>5</v>
      </c>
      <c r="L2" s="184"/>
      <c r="M2" s="184"/>
      <c r="N2" s="184"/>
      <c r="O2" s="185"/>
      <c r="Q2" s="2" t="s">
        <v>6</v>
      </c>
      <c r="R2" s="3">
        <v>0.375</v>
      </c>
    </row>
    <row r="3" spans="1:19" ht="17.25" customHeight="1" thickBot="1">
      <c r="A3" s="4" t="s">
        <v>7</v>
      </c>
      <c r="B3" s="174" t="s">
        <v>8</v>
      </c>
      <c r="C3" s="175"/>
      <c r="D3" s="175"/>
      <c r="E3" s="175"/>
      <c r="F3" s="176"/>
      <c r="G3" s="1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71"/>
      <c r="I3" s="172"/>
      <c r="J3" s="4" t="s">
        <v>7</v>
      </c>
      <c r="K3" s="174" t="s">
        <v>9</v>
      </c>
      <c r="L3" s="175"/>
      <c r="M3" s="175"/>
      <c r="N3" s="175"/>
      <c r="O3" s="17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74" t="s">
        <v>12</v>
      </c>
      <c r="C4" s="175"/>
      <c r="D4" s="175"/>
      <c r="E4" s="175"/>
      <c r="F4" s="176"/>
      <c r="G4" s="177" t="s">
        <v>44</v>
      </c>
      <c r="H4" s="178"/>
      <c r="I4" s="179"/>
      <c r="J4" s="4" t="s">
        <v>11</v>
      </c>
      <c r="K4" s="174" t="s">
        <v>13</v>
      </c>
      <c r="L4" s="175"/>
      <c r="M4" s="175"/>
      <c r="N4" s="175"/>
      <c r="O4" s="176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74" t="s">
        <v>16</v>
      </c>
      <c r="C5" s="175"/>
      <c r="D5" s="175"/>
      <c r="E5" s="175"/>
      <c r="F5" s="176"/>
      <c r="G5" s="1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71"/>
      <c r="I5" s="172"/>
      <c r="J5" s="4" t="s">
        <v>15</v>
      </c>
      <c r="K5" s="174" t="s">
        <v>17</v>
      </c>
      <c r="L5" s="175"/>
      <c r="M5" s="175"/>
      <c r="N5" s="175"/>
      <c r="O5" s="176"/>
    </row>
    <row r="6" spans="1:19">
      <c r="A6" s="4" t="s">
        <v>18</v>
      </c>
      <c r="B6" s="174" t="s">
        <v>19</v>
      </c>
      <c r="C6" s="175"/>
      <c r="D6" s="175"/>
      <c r="E6" s="175"/>
      <c r="F6" s="176"/>
      <c r="G6" s="177" t="s">
        <v>45</v>
      </c>
      <c r="H6" s="178"/>
      <c r="I6" s="179"/>
      <c r="J6" s="4" t="s">
        <v>18</v>
      </c>
      <c r="K6" s="174" t="s">
        <v>20</v>
      </c>
      <c r="L6" s="175"/>
      <c r="M6" s="175"/>
      <c r="N6" s="175"/>
      <c r="O6" s="176"/>
    </row>
    <row r="7" spans="1:19" ht="17.25" thickBot="1">
      <c r="A7" s="4" t="s">
        <v>21</v>
      </c>
      <c r="B7" s="174" t="s">
        <v>22</v>
      </c>
      <c r="C7" s="175"/>
      <c r="D7" s="175"/>
      <c r="E7" s="175"/>
      <c r="F7" s="176"/>
      <c r="G7" s="1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71"/>
      <c r="I7" s="172"/>
      <c r="J7" s="4" t="s">
        <v>21</v>
      </c>
      <c r="K7" s="174" t="s">
        <v>23</v>
      </c>
      <c r="L7" s="175"/>
      <c r="M7" s="175"/>
      <c r="N7" s="175"/>
      <c r="O7" s="176"/>
    </row>
    <row r="8" spans="1:19" ht="17.25" thickBot="1">
      <c r="A8" s="4" t="s">
        <v>24</v>
      </c>
      <c r="B8" s="174" t="s">
        <v>25</v>
      </c>
      <c r="C8" s="175"/>
      <c r="D8" s="175"/>
      <c r="E8" s="175"/>
      <c r="F8" s="176"/>
      <c r="G8" s="177" t="s">
        <v>285</v>
      </c>
      <c r="H8" s="178"/>
      <c r="I8" s="179"/>
      <c r="J8" s="4" t="s">
        <v>24</v>
      </c>
      <c r="K8" s="174" t="s">
        <v>26</v>
      </c>
      <c r="L8" s="175"/>
      <c r="M8" s="175"/>
      <c r="N8" s="175"/>
      <c r="O8" s="176"/>
      <c r="Q8" s="149" t="s">
        <v>27</v>
      </c>
      <c r="R8" s="151"/>
    </row>
    <row r="9" spans="1:19" ht="17.25" thickBot="1">
      <c r="A9" s="4" t="s">
        <v>28</v>
      </c>
      <c r="B9" s="174"/>
      <c r="C9" s="175"/>
      <c r="D9" s="175"/>
      <c r="E9" s="175"/>
      <c r="F9" s="176"/>
      <c r="G9" s="1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71"/>
      <c r="I9" s="172"/>
      <c r="J9" s="4" t="s">
        <v>28</v>
      </c>
      <c r="K9" s="174" t="s">
        <v>293</v>
      </c>
      <c r="L9" s="175"/>
      <c r="M9" s="175"/>
      <c r="N9" s="175"/>
      <c r="O9" s="176"/>
      <c r="Q9" s="2" t="s">
        <v>29</v>
      </c>
      <c r="R9" s="6">
        <v>10</v>
      </c>
    </row>
    <row r="10" spans="1:19">
      <c r="A10" s="4" t="s">
        <v>30</v>
      </c>
      <c r="B10" s="174"/>
      <c r="C10" s="175"/>
      <c r="D10" s="175"/>
      <c r="E10" s="175"/>
      <c r="F10" s="176"/>
      <c r="G10" s="177" t="s">
        <v>47</v>
      </c>
      <c r="H10" s="178"/>
      <c r="I10" s="179"/>
      <c r="J10" s="4" t="s">
        <v>30</v>
      </c>
      <c r="K10" s="174"/>
      <c r="L10" s="175"/>
      <c r="M10" s="175"/>
      <c r="N10" s="175"/>
      <c r="O10" s="176"/>
      <c r="Q10" s="2" t="s">
        <v>31</v>
      </c>
      <c r="R10" s="6">
        <v>100</v>
      </c>
    </row>
    <row r="11" spans="1:19" ht="17.25" thickBot="1">
      <c r="A11" s="7" t="s">
        <v>32</v>
      </c>
      <c r="B11" s="167"/>
      <c r="C11" s="168"/>
      <c r="D11" s="168"/>
      <c r="E11" s="168"/>
      <c r="F11" s="169"/>
      <c r="G11" s="1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1"/>
      <c r="I11" s="172"/>
      <c r="J11" s="7" t="s">
        <v>32</v>
      </c>
      <c r="K11" s="167"/>
      <c r="L11" s="168"/>
      <c r="M11" s="168"/>
      <c r="N11" s="168"/>
      <c r="O11" s="169"/>
      <c r="Q11" s="65" t="s">
        <v>33</v>
      </c>
      <c r="R11" s="8">
        <v>1000</v>
      </c>
    </row>
    <row r="12" spans="1:19" ht="17.25" thickBot="1"/>
    <row r="13" spans="1:19" ht="17.25" customHeight="1" thickBot="1">
      <c r="A13" s="149" t="s">
        <v>34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  <c r="M13" s="150"/>
      <c r="N13" s="150"/>
      <c r="O13" s="151"/>
      <c r="Q13" s="148"/>
      <c r="R13" s="148"/>
      <c r="S13" s="148"/>
    </row>
    <row r="14" spans="1:19" ht="17.25" customHeight="1" thickBot="1">
      <c r="A14" s="111" t="s">
        <v>35</v>
      </c>
      <c r="B14" s="149" t="s">
        <v>36</v>
      </c>
      <c r="C14" s="151"/>
      <c r="D14" s="149" t="s">
        <v>37</v>
      </c>
      <c r="E14" s="150"/>
      <c r="F14" s="151"/>
      <c r="G14" s="152">
        <f>_xlfn.IFNA(VLOOKUP(B14, 현재가테이블!$B$2:$D$200, 2, FALSE), "-")</f>
        <v>69894000</v>
      </c>
      <c r="H14" s="153"/>
      <c r="I14" s="154"/>
      <c r="J14" s="149" t="s">
        <v>38</v>
      </c>
      <c r="K14" s="150"/>
      <c r="L14" s="151"/>
      <c r="M14" s="155">
        <f>_xlfn.IFNA(VLOOKUP(B14, 현재가테이블!$B$2:$D$200, 3, FALSE), "-")</f>
        <v>2.1065856399999999E-2</v>
      </c>
      <c r="N14" s="156"/>
      <c r="O14" s="157"/>
      <c r="Q14" s="148"/>
      <c r="R14" s="148"/>
      <c r="S14" s="148"/>
    </row>
    <row r="15" spans="1:19" ht="17.25" customHeight="1" thickBot="1">
      <c r="A15" s="173" t="s">
        <v>39</v>
      </c>
      <c r="B15" s="165" t="str">
        <f>TEXT($G$1, "[$-ko-KR]yyyy-mm-dd(ddd) ") &amp; "오전 00:00"</f>
        <v>2021-04-01(목) 오전 00:00</v>
      </c>
      <c r="C15" s="166"/>
      <c r="D15" s="162" t="str">
        <f>TEXT($G$1, "[$-ko-KR]yyyy-mm-dd(ddd) ") &amp; "오후 14:00"</f>
        <v>2021-04-01(목) 오후 14:00</v>
      </c>
      <c r="E15" s="163"/>
      <c r="F15" s="164"/>
      <c r="G15" s="162" t="str">
        <f>TEXT($G$1, "[$-ko-KR]yyyy-mm-dd(ddd) ") &amp; "오후 19:00"</f>
        <v>2021-04-01(목) 오후 19:00</v>
      </c>
      <c r="H15" s="163"/>
      <c r="I15" s="164"/>
      <c r="J15" s="162" t="str">
        <f>TEXT($G$1, "[$-ko-KR]yyyy-mm-dd(ddd) ") &amp; "오후 21:00"</f>
        <v>2021-04-01(목) 오후 21:00</v>
      </c>
      <c r="K15" s="163"/>
      <c r="L15" s="164"/>
      <c r="M15" s="162" t="str">
        <f>TEXT($G$1+1, "[$-ko-KR]yyyy-mm-dd(ddd) ") &amp; "오전 00:00"</f>
        <v>2021-04-02(금) 오전 00:00</v>
      </c>
      <c r="N15" s="163"/>
      <c r="O15" s="164"/>
      <c r="Q15" s="148"/>
      <c r="R15" s="148"/>
      <c r="S15" s="148"/>
    </row>
    <row r="16" spans="1:19" ht="17.25" customHeight="1" thickBot="1">
      <c r="A16" s="17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38"/>
      <c r="R16" s="138"/>
      <c r="S16" s="138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48"/>
      <c r="R17" s="148"/>
      <c r="S17" s="14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48"/>
      <c r="R18" s="148"/>
      <c r="S18" s="14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38"/>
      <c r="R19" s="138"/>
      <c r="S19" s="138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38"/>
      <c r="R20" s="138"/>
      <c r="S20" s="138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38"/>
      <c r="R21" s="138"/>
      <c r="S21" s="138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38"/>
      <c r="R22" s="138"/>
      <c r="S22" s="13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38"/>
      <c r="R23" s="138"/>
      <c r="S23" s="13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38"/>
      <c r="R24" s="138"/>
      <c r="S24" s="13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39"/>
      <c r="R26" s="140"/>
      <c r="S26" s="14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42"/>
      <c r="R27" s="143"/>
      <c r="S27" s="14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45"/>
      <c r="R28" s="146"/>
      <c r="S28" s="14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38"/>
      <c r="R29" s="138"/>
      <c r="S29" s="13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48"/>
      <c r="R30" s="148"/>
      <c r="S30" s="14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48"/>
      <c r="R31" s="148"/>
      <c r="S31" s="14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38"/>
      <c r="R32" s="138"/>
      <c r="S32" s="13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38"/>
      <c r="R33" s="138"/>
      <c r="S33" s="13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38"/>
      <c r="R34" s="138"/>
      <c r="S34" s="13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27"/>
      <c r="R35" s="128"/>
      <c r="S35" s="12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30"/>
      <c r="R36" s="131"/>
      <c r="S36" s="132"/>
    </row>
    <row r="37" spans="1:19" ht="17.25" customHeight="1" thickBot="1">
      <c r="A37" s="26" t="s">
        <v>42</v>
      </c>
      <c r="B37" s="136">
        <v>300000</v>
      </c>
      <c r="C37" s="13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33"/>
      <c r="R37" s="134"/>
      <c r="S37" s="135"/>
    </row>
    <row r="38" spans="1:19" ht="17.25" customHeight="1"/>
    <row r="39" spans="1:19" ht="17.25" customHeight="1" thickBot="1"/>
    <row r="40" spans="1:19" ht="17.25" customHeight="1" thickBot="1">
      <c r="A40" s="149" t="s">
        <v>44</v>
      </c>
      <c r="B40" s="150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1"/>
      <c r="Q40" s="148"/>
      <c r="R40" s="148"/>
      <c r="S40" s="148"/>
    </row>
    <row r="41" spans="1:19" ht="17.25" customHeight="1" thickBot="1">
      <c r="A41" s="111" t="s">
        <v>298</v>
      </c>
      <c r="B41" s="149" t="s">
        <v>49</v>
      </c>
      <c r="C41" s="151"/>
      <c r="D41" s="149" t="s">
        <v>58</v>
      </c>
      <c r="E41" s="150"/>
      <c r="F41" s="151"/>
      <c r="G41" s="152">
        <f>_xlfn.IFNA(VLOOKUP(B41, 현재가테이블!$B$2:$D$200, 2, FALSE), "-")</f>
        <v>69894000</v>
      </c>
      <c r="H41" s="153"/>
      <c r="I41" s="154"/>
      <c r="J41" s="149" t="s">
        <v>59</v>
      </c>
      <c r="K41" s="150"/>
      <c r="L41" s="151"/>
      <c r="M41" s="155">
        <f>_xlfn.IFNA(VLOOKUP(B41, 현재가테이블!$B$2:$D$200, 3, FALSE), "-")</f>
        <v>2.1065856399999999E-2</v>
      </c>
      <c r="N41" s="156"/>
      <c r="O41" s="157"/>
      <c r="Q41" s="148"/>
      <c r="R41" s="148"/>
      <c r="S41" s="148"/>
    </row>
    <row r="42" spans="1:19" ht="17.25" customHeight="1" thickBot="1">
      <c r="A42" s="158" t="s">
        <v>55</v>
      </c>
      <c r="B42" s="160" t="str">
        <f>TEXT($G$1, "[$-ko-KR]yyyy-mm-dd(ddd) ") &amp; "오전 00:00"</f>
        <v>2021-04-01(목) 오전 00:00</v>
      </c>
      <c r="C42" s="161"/>
      <c r="D42" s="162" t="str">
        <f>TEXT($G$1, "[$-ko-KR]yyyy-mm-dd(ddd) ") &amp; "오후 14:00"</f>
        <v>2021-04-01(목) 오후 14:00</v>
      </c>
      <c r="E42" s="163"/>
      <c r="F42" s="164"/>
      <c r="G42" s="162" t="str">
        <f>TEXT($G$1, "[$-ko-KR]yyyy-mm-dd(ddd) ") &amp; "오후 19:00"</f>
        <v>2021-04-01(목) 오후 19:00</v>
      </c>
      <c r="H42" s="163"/>
      <c r="I42" s="164"/>
      <c r="J42" s="162" t="str">
        <f>TEXT($G$1, "[$-ko-KR]yyyy-mm-dd(ddd) ") &amp; "오후 21:00"</f>
        <v>2021-04-01(목) 오후 21:00</v>
      </c>
      <c r="K42" s="163"/>
      <c r="L42" s="164"/>
      <c r="M42" s="162" t="str">
        <f>TEXT($G$1+1, "[$-ko-KR]yyyy-mm-dd(ddd) ") &amp; "오전 00:00"</f>
        <v>2021-04-02(금) 오전 00:00</v>
      </c>
      <c r="N42" s="163"/>
      <c r="O42" s="164"/>
      <c r="Q42" s="148"/>
      <c r="R42" s="148"/>
      <c r="S42" s="148"/>
    </row>
    <row r="43" spans="1:19" ht="17.25" customHeight="1" thickBot="1">
      <c r="A43" s="159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38"/>
      <c r="R43" s="138"/>
      <c r="S43" s="138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48"/>
      <c r="R44" s="148"/>
      <c r="S44" s="14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48"/>
      <c r="R45" s="148"/>
      <c r="S45" s="14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38"/>
      <c r="R46" s="138"/>
      <c r="S46" s="138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38"/>
      <c r="R47" s="138"/>
      <c r="S47" s="138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38"/>
      <c r="R48" s="138"/>
      <c r="S48" s="138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38"/>
      <c r="R49" s="138"/>
      <c r="S49" s="138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38"/>
      <c r="R50" s="138"/>
      <c r="S50" s="138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38"/>
      <c r="R51" s="138"/>
      <c r="S51" s="138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39"/>
      <c r="R53" s="140"/>
      <c r="S53" s="141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42"/>
      <c r="R54" s="143"/>
      <c r="S54" s="144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45"/>
      <c r="R55" s="146"/>
      <c r="S55" s="147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38"/>
      <c r="R56" s="138"/>
      <c r="S56" s="138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48"/>
      <c r="R57" s="148"/>
      <c r="S57" s="14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48"/>
      <c r="R58" s="148"/>
      <c r="S58" s="148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38"/>
      <c r="R59" s="138"/>
      <c r="S59" s="138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38"/>
      <c r="R60" s="138"/>
      <c r="S60" s="138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38"/>
      <c r="R61" s="138"/>
      <c r="S61" s="138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27"/>
      <c r="R62" s="128"/>
      <c r="S62" s="12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30"/>
      <c r="R63" s="131"/>
      <c r="S63" s="132"/>
    </row>
    <row r="64" spans="1:19" ht="17.25" customHeight="1" thickBot="1">
      <c r="A64" s="26" t="s">
        <v>301</v>
      </c>
      <c r="B64" s="136">
        <f>$B$37</f>
        <v>300000</v>
      </c>
      <c r="C64" s="137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133"/>
      <c r="R64" s="134"/>
      <c r="S64" s="135"/>
    </row>
    <row r="65" spans="1:19" ht="17.25" customHeight="1"/>
    <row r="66" spans="1:19" ht="17.25" customHeight="1" thickBot="1"/>
    <row r="67" spans="1:19" ht="17.25" thickBot="1">
      <c r="A67" s="149" t="s">
        <v>45</v>
      </c>
      <c r="B67" s="150"/>
      <c r="C67" s="150"/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1"/>
      <c r="Q67" s="148"/>
      <c r="R67" s="148"/>
      <c r="S67" s="148"/>
    </row>
    <row r="68" spans="1:19" ht="17.25" thickBot="1">
      <c r="A68" s="111" t="s">
        <v>298</v>
      </c>
      <c r="B68" s="149" t="s">
        <v>49</v>
      </c>
      <c r="C68" s="151"/>
      <c r="D68" s="149" t="s">
        <v>58</v>
      </c>
      <c r="E68" s="150"/>
      <c r="F68" s="151"/>
      <c r="G68" s="152">
        <f>_xlfn.IFNA(VLOOKUP(B68, 현재가테이블!$B$2:$D$200, 2, FALSE), "-")</f>
        <v>69894000</v>
      </c>
      <c r="H68" s="153"/>
      <c r="I68" s="154"/>
      <c r="J68" s="149" t="s">
        <v>59</v>
      </c>
      <c r="K68" s="150"/>
      <c r="L68" s="151"/>
      <c r="M68" s="155">
        <f>_xlfn.IFNA(VLOOKUP(B68, 현재가테이블!$B$2:$D$200, 3, FALSE), "-")</f>
        <v>2.1065856399999999E-2</v>
      </c>
      <c r="N68" s="156"/>
      <c r="O68" s="157"/>
      <c r="Q68" s="148"/>
      <c r="R68" s="148"/>
      <c r="S68" s="148"/>
    </row>
    <row r="69" spans="1:19" ht="17.25" thickBot="1">
      <c r="A69" s="158" t="s">
        <v>55</v>
      </c>
      <c r="B69" s="160" t="str">
        <f>TEXT($G$1, "[$-ko-KR]yyyy-mm-dd(ddd) ") &amp; "오전 00:00"</f>
        <v>2021-04-01(목) 오전 00:00</v>
      </c>
      <c r="C69" s="161"/>
      <c r="D69" s="162" t="str">
        <f>TEXT($G$1, "[$-ko-KR]yyyy-mm-dd(ddd) ") &amp; "오후 14:00"</f>
        <v>2021-04-01(목) 오후 14:00</v>
      </c>
      <c r="E69" s="163"/>
      <c r="F69" s="164"/>
      <c r="G69" s="162" t="str">
        <f>TEXT($G$1, "[$-ko-KR]yyyy-mm-dd(ddd) ") &amp; "오후 19:00"</f>
        <v>2021-04-01(목) 오후 19:00</v>
      </c>
      <c r="H69" s="163"/>
      <c r="I69" s="164"/>
      <c r="J69" s="162" t="str">
        <f>TEXT($G$1, "[$-ko-KR]yyyy-mm-dd(ddd) ") &amp; "오후 21:00"</f>
        <v>2021-04-01(목) 오후 21:00</v>
      </c>
      <c r="K69" s="163"/>
      <c r="L69" s="164"/>
      <c r="M69" s="162" t="str">
        <f>TEXT($G$1+1, "[$-ko-KR]yyyy-mm-dd(ddd) ") &amp; "오전 00:00"</f>
        <v>2021-04-02(금) 오전 00:00</v>
      </c>
      <c r="N69" s="163"/>
      <c r="O69" s="164"/>
      <c r="Q69" s="148"/>
      <c r="R69" s="148"/>
      <c r="S69" s="148"/>
    </row>
    <row r="70" spans="1:19" ht="17.25" thickBot="1">
      <c r="A70" s="159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38"/>
      <c r="R70" s="138"/>
      <c r="S70" s="138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48"/>
      <c r="R71" s="148"/>
      <c r="S71" s="14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48"/>
      <c r="R72" s="148"/>
      <c r="S72" s="14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38"/>
      <c r="R73" s="138"/>
      <c r="S73" s="138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38"/>
      <c r="R74" s="138"/>
      <c r="S74" s="138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38"/>
      <c r="R75" s="138"/>
      <c r="S75" s="138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38"/>
      <c r="R76" s="138"/>
      <c r="S76" s="138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38"/>
      <c r="R77" s="138"/>
      <c r="S77" s="138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38"/>
      <c r="R78" s="138"/>
      <c r="S78" s="138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39"/>
      <c r="R80" s="140"/>
      <c r="S80" s="141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42"/>
      <c r="R81" s="143"/>
      <c r="S81" s="144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45"/>
      <c r="R82" s="146"/>
      <c r="S82" s="147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38"/>
      <c r="R83" s="138"/>
      <c r="S83" s="138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48"/>
      <c r="R84" s="148"/>
      <c r="S84" s="14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48"/>
      <c r="R85" s="148"/>
      <c r="S85" s="148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38"/>
      <c r="R86" s="138"/>
      <c r="S86" s="138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38"/>
      <c r="R87" s="138"/>
      <c r="S87" s="138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38"/>
      <c r="R88" s="138"/>
      <c r="S88" s="138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27"/>
      <c r="R89" s="128"/>
      <c r="S89" s="12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30"/>
      <c r="R90" s="131"/>
      <c r="S90" s="132"/>
    </row>
    <row r="91" spans="1:19" ht="17.25" thickBot="1">
      <c r="A91" s="26" t="s">
        <v>301</v>
      </c>
      <c r="B91" s="136">
        <f>$B$37</f>
        <v>300000</v>
      </c>
      <c r="C91" s="137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133"/>
      <c r="R91" s="134"/>
      <c r="S91" s="135"/>
    </row>
    <row r="93" spans="1:19" ht="17.25" thickBot="1"/>
    <row r="94" spans="1:19" ht="17.25" thickBot="1">
      <c r="A94" s="149" t="s">
        <v>46</v>
      </c>
      <c r="B94" s="150"/>
      <c r="C94" s="150"/>
      <c r="D94" s="150"/>
      <c r="E94" s="150"/>
      <c r="F94" s="150"/>
      <c r="G94" s="150"/>
      <c r="H94" s="150"/>
      <c r="I94" s="150"/>
      <c r="J94" s="150"/>
      <c r="K94" s="150"/>
      <c r="L94" s="150"/>
      <c r="M94" s="150"/>
      <c r="N94" s="150"/>
      <c r="O94" s="151"/>
      <c r="Q94" s="148"/>
      <c r="R94" s="148"/>
      <c r="S94" s="148"/>
    </row>
    <row r="95" spans="1:19" ht="17.25" thickBot="1">
      <c r="A95" s="111" t="s">
        <v>298</v>
      </c>
      <c r="B95" s="149" t="s">
        <v>49</v>
      </c>
      <c r="C95" s="151"/>
      <c r="D95" s="149" t="s">
        <v>58</v>
      </c>
      <c r="E95" s="150"/>
      <c r="F95" s="151"/>
      <c r="G95" s="152">
        <f>_xlfn.IFNA(VLOOKUP(B95, 현재가테이블!$B$2:$D$200, 2, FALSE), "-")</f>
        <v>69894000</v>
      </c>
      <c r="H95" s="153"/>
      <c r="I95" s="154"/>
      <c r="J95" s="149" t="s">
        <v>59</v>
      </c>
      <c r="K95" s="150"/>
      <c r="L95" s="151"/>
      <c r="M95" s="155">
        <f>_xlfn.IFNA(VLOOKUP(B95, 현재가테이블!$B$2:$D$200, 3, FALSE), "-")</f>
        <v>2.1065856399999999E-2</v>
      </c>
      <c r="N95" s="156"/>
      <c r="O95" s="157"/>
      <c r="Q95" s="148"/>
      <c r="R95" s="148"/>
      <c r="S95" s="148"/>
    </row>
    <row r="96" spans="1:19" ht="17.25" thickBot="1">
      <c r="A96" s="158" t="s">
        <v>55</v>
      </c>
      <c r="B96" s="160" t="str">
        <f>TEXT($G$1, "[$-ko-KR]yyyy-mm-dd(ddd) ") &amp; "오전 00:00"</f>
        <v>2021-04-01(목) 오전 00:00</v>
      </c>
      <c r="C96" s="161"/>
      <c r="D96" s="162" t="str">
        <f>TEXT($G$1, "[$-ko-KR]yyyy-mm-dd(ddd) ") &amp; "오후 14:00"</f>
        <v>2021-04-01(목) 오후 14:00</v>
      </c>
      <c r="E96" s="163"/>
      <c r="F96" s="164"/>
      <c r="G96" s="162" t="str">
        <f>TEXT($G$1, "[$-ko-KR]yyyy-mm-dd(ddd) ") &amp; "오후 19:00"</f>
        <v>2021-04-01(목) 오후 19:00</v>
      </c>
      <c r="H96" s="163"/>
      <c r="I96" s="164"/>
      <c r="J96" s="162" t="str">
        <f>TEXT($G$1, "[$-ko-KR]yyyy-mm-dd(ddd) ") &amp; "오후 21:00"</f>
        <v>2021-04-01(목) 오후 21:00</v>
      </c>
      <c r="K96" s="163"/>
      <c r="L96" s="164"/>
      <c r="M96" s="162" t="str">
        <f>TEXT($G$1+1, "[$-ko-KR]yyyy-mm-dd(ddd) ") &amp; "오전 00:00"</f>
        <v>2021-04-02(금) 오전 00:00</v>
      </c>
      <c r="N96" s="163"/>
      <c r="O96" s="164"/>
      <c r="Q96" s="148"/>
      <c r="R96" s="148"/>
      <c r="S96" s="148"/>
    </row>
    <row r="97" spans="1:19" ht="17.25" thickBot="1">
      <c r="A97" s="159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38"/>
      <c r="R97" s="138"/>
      <c r="S97" s="138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48"/>
      <c r="R98" s="148"/>
      <c r="S98" s="14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48"/>
      <c r="R99" s="148"/>
      <c r="S99" s="14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38"/>
      <c r="R100" s="138"/>
      <c r="S100" s="138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38"/>
      <c r="R101" s="138"/>
      <c r="S101" s="138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38"/>
      <c r="R102" s="138"/>
      <c r="S102" s="138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38"/>
      <c r="R103" s="138"/>
      <c r="S103" s="138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38"/>
      <c r="R104" s="138"/>
      <c r="S104" s="138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38"/>
      <c r="R105" s="138"/>
      <c r="S105" s="138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39"/>
      <c r="R107" s="140"/>
      <c r="S107" s="141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42"/>
      <c r="R108" s="143"/>
      <c r="S108" s="144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45"/>
      <c r="R109" s="146"/>
      <c r="S109" s="147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38"/>
      <c r="R110" s="138"/>
      <c r="S110" s="138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48"/>
      <c r="R111" s="148"/>
      <c r="S111" s="14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48"/>
      <c r="R112" s="148"/>
      <c r="S112" s="148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38"/>
      <c r="R113" s="138"/>
      <c r="S113" s="138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38"/>
      <c r="R114" s="138"/>
      <c r="S114" s="138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38"/>
      <c r="R115" s="138"/>
      <c r="S115" s="138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27"/>
      <c r="R116" s="128"/>
      <c r="S116" s="12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30"/>
      <c r="R117" s="131"/>
      <c r="S117" s="132"/>
    </row>
    <row r="118" spans="1:19" ht="17.25" thickBot="1">
      <c r="A118" s="26" t="s">
        <v>301</v>
      </c>
      <c r="B118" s="136">
        <f>$B$37</f>
        <v>300000</v>
      </c>
      <c r="C118" s="137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133"/>
      <c r="R118" s="134"/>
      <c r="S118" s="135"/>
    </row>
    <row r="120" spans="1:19" ht="17.25" thickBot="1"/>
    <row r="121" spans="1:19" ht="17.25" thickBot="1">
      <c r="A121" s="149" t="s">
        <v>288</v>
      </c>
      <c r="B121" s="150"/>
      <c r="C121" s="150"/>
      <c r="D121" s="150"/>
      <c r="E121" s="150"/>
      <c r="F121" s="150"/>
      <c r="G121" s="150"/>
      <c r="H121" s="150"/>
      <c r="I121" s="150"/>
      <c r="J121" s="150"/>
      <c r="K121" s="150"/>
      <c r="L121" s="150"/>
      <c r="M121" s="150"/>
      <c r="N121" s="150"/>
      <c r="O121" s="151"/>
      <c r="Q121" s="148"/>
      <c r="R121" s="148"/>
      <c r="S121" s="148"/>
    </row>
    <row r="122" spans="1:19" ht="17.25" thickBot="1">
      <c r="A122" s="111" t="s">
        <v>298</v>
      </c>
      <c r="B122" s="149" t="s">
        <v>49</v>
      </c>
      <c r="C122" s="151"/>
      <c r="D122" s="149" t="s">
        <v>58</v>
      </c>
      <c r="E122" s="150"/>
      <c r="F122" s="151"/>
      <c r="G122" s="152">
        <f>_xlfn.IFNA(VLOOKUP(B122, 현재가테이블!$B$2:$D$200, 2, FALSE), "-")</f>
        <v>69894000</v>
      </c>
      <c r="H122" s="153"/>
      <c r="I122" s="154"/>
      <c r="J122" s="149" t="s">
        <v>59</v>
      </c>
      <c r="K122" s="150"/>
      <c r="L122" s="151"/>
      <c r="M122" s="155">
        <f>_xlfn.IFNA(VLOOKUP(B122, 현재가테이블!$B$2:$D$200, 3, FALSE), "-")</f>
        <v>2.1065856399999999E-2</v>
      </c>
      <c r="N122" s="156"/>
      <c r="O122" s="157"/>
      <c r="Q122" s="148"/>
      <c r="R122" s="148"/>
      <c r="S122" s="148"/>
    </row>
    <row r="123" spans="1:19" ht="17.25" thickBot="1">
      <c r="A123" s="158" t="s">
        <v>55</v>
      </c>
      <c r="B123" s="160" t="str">
        <f>TEXT($G$1, "[$-ko-KR]yyyy-mm-dd(ddd) ") &amp; "오전 00:00"</f>
        <v>2021-04-01(목) 오전 00:00</v>
      </c>
      <c r="C123" s="161"/>
      <c r="D123" s="162" t="str">
        <f>TEXT($G$1, "[$-ko-KR]yyyy-mm-dd(ddd) ") &amp; "오후 14:00"</f>
        <v>2021-04-01(목) 오후 14:00</v>
      </c>
      <c r="E123" s="163"/>
      <c r="F123" s="164"/>
      <c r="G123" s="162" t="str">
        <f>TEXT($G$1, "[$-ko-KR]yyyy-mm-dd(ddd) ") &amp; "오후 19:00"</f>
        <v>2021-04-01(목) 오후 19:00</v>
      </c>
      <c r="H123" s="163"/>
      <c r="I123" s="164"/>
      <c r="J123" s="162" t="str">
        <f>TEXT($G$1, "[$-ko-KR]yyyy-mm-dd(ddd) ") &amp; "오후 21:00"</f>
        <v>2021-04-01(목) 오후 21:00</v>
      </c>
      <c r="K123" s="163"/>
      <c r="L123" s="164"/>
      <c r="M123" s="162" t="str">
        <f>TEXT($G$1+1, "[$-ko-KR]yyyy-mm-dd(ddd) ") &amp; "오전 00:00"</f>
        <v>2021-04-02(금) 오전 00:00</v>
      </c>
      <c r="N123" s="163"/>
      <c r="O123" s="164"/>
      <c r="Q123" s="148"/>
      <c r="R123" s="148"/>
      <c r="S123" s="148"/>
    </row>
    <row r="124" spans="1:19" ht="17.25" thickBot="1">
      <c r="A124" s="159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38"/>
      <c r="R124" s="138"/>
      <c r="S124" s="138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48"/>
      <c r="R125" s="148"/>
      <c r="S125" s="14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48"/>
      <c r="R126" s="148"/>
      <c r="S126" s="14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38"/>
      <c r="R127" s="138"/>
      <c r="S127" s="138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38"/>
      <c r="R128" s="138"/>
      <c r="S128" s="138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38"/>
      <c r="R129" s="138"/>
      <c r="S129" s="138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38"/>
      <c r="R130" s="138"/>
      <c r="S130" s="138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38"/>
      <c r="R131" s="138"/>
      <c r="S131" s="138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38"/>
      <c r="R132" s="138"/>
      <c r="S132" s="138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39"/>
      <c r="R134" s="140"/>
      <c r="S134" s="141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42"/>
      <c r="R135" s="143"/>
      <c r="S135" s="144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45"/>
      <c r="R136" s="146"/>
      <c r="S136" s="147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38"/>
      <c r="R137" s="138"/>
      <c r="S137" s="138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48"/>
      <c r="R138" s="148"/>
      <c r="S138" s="14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48"/>
      <c r="R139" s="148"/>
      <c r="S139" s="148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38"/>
      <c r="R140" s="138"/>
      <c r="S140" s="138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38"/>
      <c r="R141" s="138"/>
      <c r="S141" s="138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38"/>
      <c r="R142" s="138"/>
      <c r="S142" s="138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27"/>
      <c r="R143" s="128"/>
      <c r="S143" s="12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30"/>
      <c r="R144" s="131"/>
      <c r="S144" s="132"/>
    </row>
    <row r="145" spans="1:19" ht="17.25" thickBot="1">
      <c r="A145" s="26" t="s">
        <v>301</v>
      </c>
      <c r="B145" s="136">
        <f>$B$37</f>
        <v>300000</v>
      </c>
      <c r="C145" s="137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133"/>
      <c r="R145" s="134"/>
      <c r="S145" s="135"/>
    </row>
    <row r="147" spans="1:19" ht="17.25" thickBot="1"/>
    <row r="148" spans="1:19" ht="17.25" thickBot="1">
      <c r="A148" s="149" t="s">
        <v>289</v>
      </c>
      <c r="B148" s="150"/>
      <c r="C148" s="150"/>
      <c r="D148" s="150"/>
      <c r="E148" s="150"/>
      <c r="F148" s="150"/>
      <c r="G148" s="150"/>
      <c r="H148" s="150"/>
      <c r="I148" s="150"/>
      <c r="J148" s="150"/>
      <c r="K148" s="150"/>
      <c r="L148" s="150"/>
      <c r="M148" s="150"/>
      <c r="N148" s="150"/>
      <c r="O148" s="151"/>
      <c r="Q148" s="148"/>
      <c r="R148" s="148"/>
      <c r="S148" s="148"/>
    </row>
    <row r="149" spans="1:19" ht="17.25" thickBot="1">
      <c r="A149" s="111" t="s">
        <v>298</v>
      </c>
      <c r="B149" s="149" t="s">
        <v>49</v>
      </c>
      <c r="C149" s="151"/>
      <c r="D149" s="149" t="s">
        <v>58</v>
      </c>
      <c r="E149" s="150"/>
      <c r="F149" s="151"/>
      <c r="G149" s="152">
        <f>_xlfn.IFNA(VLOOKUP(B149, 현재가테이블!$B$2:$D$200, 2, FALSE), "-")</f>
        <v>69894000</v>
      </c>
      <c r="H149" s="153"/>
      <c r="I149" s="154"/>
      <c r="J149" s="149" t="s">
        <v>59</v>
      </c>
      <c r="K149" s="150"/>
      <c r="L149" s="151"/>
      <c r="M149" s="155">
        <f>_xlfn.IFNA(VLOOKUP(B149, 현재가테이블!$B$2:$D$200, 3, FALSE), "-")</f>
        <v>2.1065856399999999E-2</v>
      </c>
      <c r="N149" s="156"/>
      <c r="O149" s="157"/>
      <c r="Q149" s="148"/>
      <c r="R149" s="148"/>
      <c r="S149" s="148"/>
    </row>
    <row r="150" spans="1:19" ht="17.25" thickBot="1">
      <c r="A150" s="158" t="s">
        <v>55</v>
      </c>
      <c r="B150" s="160" t="str">
        <f>TEXT($G$1, "[$-ko-KR]yyyy-mm-dd(ddd) ") &amp; "오전 00:00"</f>
        <v>2021-04-01(목) 오전 00:00</v>
      </c>
      <c r="C150" s="161"/>
      <c r="D150" s="162" t="str">
        <f>TEXT($G$1, "[$-ko-KR]yyyy-mm-dd(ddd) ") &amp; "오후 14:00"</f>
        <v>2021-04-01(목) 오후 14:00</v>
      </c>
      <c r="E150" s="163"/>
      <c r="F150" s="164"/>
      <c r="G150" s="162" t="str">
        <f>TEXT($G$1, "[$-ko-KR]yyyy-mm-dd(ddd) ") &amp; "오후 19:00"</f>
        <v>2021-04-01(목) 오후 19:00</v>
      </c>
      <c r="H150" s="163"/>
      <c r="I150" s="164"/>
      <c r="J150" s="162" t="str">
        <f>TEXT($G$1, "[$-ko-KR]yyyy-mm-dd(ddd) ") &amp; "오후 21:00"</f>
        <v>2021-04-01(목) 오후 21:00</v>
      </c>
      <c r="K150" s="163"/>
      <c r="L150" s="164"/>
      <c r="M150" s="162" t="str">
        <f>TEXT($G$1+1, "[$-ko-KR]yyyy-mm-dd(ddd) ") &amp; "오전 00:00"</f>
        <v>2021-04-02(금) 오전 00:00</v>
      </c>
      <c r="N150" s="163"/>
      <c r="O150" s="164"/>
      <c r="Q150" s="148"/>
      <c r="R150" s="148"/>
      <c r="S150" s="148"/>
    </row>
    <row r="151" spans="1:19" ht="17.25" thickBot="1">
      <c r="A151" s="159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38"/>
      <c r="R151" s="138"/>
      <c r="S151" s="138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48"/>
      <c r="R152" s="148"/>
      <c r="S152" s="14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48"/>
      <c r="R153" s="148"/>
      <c r="S153" s="14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38"/>
      <c r="R154" s="138"/>
      <c r="S154" s="138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38"/>
      <c r="R155" s="138"/>
      <c r="S155" s="138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38"/>
      <c r="R156" s="138"/>
      <c r="S156" s="138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38"/>
      <c r="R157" s="138"/>
      <c r="S157" s="138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38"/>
      <c r="R158" s="138"/>
      <c r="S158" s="138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38"/>
      <c r="R159" s="138"/>
      <c r="S159" s="138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39"/>
      <c r="R161" s="140"/>
      <c r="S161" s="141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42"/>
      <c r="R162" s="143"/>
      <c r="S162" s="144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45"/>
      <c r="R163" s="146"/>
      <c r="S163" s="147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38"/>
      <c r="R164" s="138"/>
      <c r="S164" s="138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48"/>
      <c r="R165" s="148"/>
      <c r="S165" s="14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48"/>
      <c r="R166" s="148"/>
      <c r="S166" s="148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38"/>
      <c r="R167" s="138"/>
      <c r="S167" s="138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38"/>
      <c r="R168" s="138"/>
      <c r="S168" s="138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38"/>
      <c r="R169" s="138"/>
      <c r="S169" s="138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27"/>
      <c r="R170" s="128"/>
      <c r="S170" s="12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30"/>
      <c r="R171" s="131"/>
      <c r="S171" s="132"/>
    </row>
    <row r="172" spans="1:19" ht="17.25" thickBot="1">
      <c r="A172" s="26" t="s">
        <v>301</v>
      </c>
      <c r="B172" s="136">
        <f>$B$37</f>
        <v>300000</v>
      </c>
      <c r="C172" s="137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133"/>
      <c r="R172" s="134"/>
      <c r="S172" s="135"/>
    </row>
    <row r="174" spans="1:19" ht="17.25" thickBot="1"/>
    <row r="175" spans="1:19" ht="17.25" thickBot="1">
      <c r="A175" s="149" t="s">
        <v>285</v>
      </c>
      <c r="B175" s="150"/>
      <c r="C175" s="150"/>
      <c r="D175" s="150"/>
      <c r="E175" s="150"/>
      <c r="F175" s="150"/>
      <c r="G175" s="150"/>
      <c r="H175" s="150"/>
      <c r="I175" s="150"/>
      <c r="J175" s="150"/>
      <c r="K175" s="150"/>
      <c r="L175" s="150"/>
      <c r="M175" s="150"/>
      <c r="N175" s="150"/>
      <c r="O175" s="151"/>
      <c r="Q175" s="148"/>
      <c r="R175" s="148"/>
      <c r="S175" s="148"/>
    </row>
    <row r="176" spans="1:19" ht="17.25" thickBot="1">
      <c r="A176" s="111" t="s">
        <v>298</v>
      </c>
      <c r="B176" s="149" t="s">
        <v>49</v>
      </c>
      <c r="C176" s="151"/>
      <c r="D176" s="149" t="s">
        <v>58</v>
      </c>
      <c r="E176" s="150"/>
      <c r="F176" s="151"/>
      <c r="G176" s="152">
        <f>_xlfn.IFNA(VLOOKUP(B176, 현재가테이블!$B$2:$D$200, 2, FALSE), "-")</f>
        <v>69894000</v>
      </c>
      <c r="H176" s="153"/>
      <c r="I176" s="154"/>
      <c r="J176" s="149" t="s">
        <v>59</v>
      </c>
      <c r="K176" s="150"/>
      <c r="L176" s="151"/>
      <c r="M176" s="155">
        <f>_xlfn.IFNA(VLOOKUP(B176, 현재가테이블!$B$2:$D$200, 3, FALSE), "-")</f>
        <v>2.1065856399999999E-2</v>
      </c>
      <c r="N176" s="156"/>
      <c r="O176" s="157"/>
      <c r="Q176" s="148"/>
      <c r="R176" s="148"/>
      <c r="S176" s="148"/>
    </row>
    <row r="177" spans="1:19" ht="17.25" thickBot="1">
      <c r="A177" s="158" t="s">
        <v>55</v>
      </c>
      <c r="B177" s="160" t="str">
        <f>TEXT($G$1, "[$-ko-KR]yyyy-mm-dd(ddd) ") &amp; "오전 00:00"</f>
        <v>2021-04-01(목) 오전 00:00</v>
      </c>
      <c r="C177" s="161"/>
      <c r="D177" s="162" t="str">
        <f>TEXT($G$1, "[$-ko-KR]yyyy-mm-dd(ddd) ") &amp; "오후 14:00"</f>
        <v>2021-04-01(목) 오후 14:00</v>
      </c>
      <c r="E177" s="163"/>
      <c r="F177" s="164"/>
      <c r="G177" s="162" t="str">
        <f>TEXT($G$1, "[$-ko-KR]yyyy-mm-dd(ddd) ") &amp; "오후 19:00"</f>
        <v>2021-04-01(목) 오후 19:00</v>
      </c>
      <c r="H177" s="163"/>
      <c r="I177" s="164"/>
      <c r="J177" s="162" t="str">
        <f>TEXT($G$1, "[$-ko-KR]yyyy-mm-dd(ddd) ") &amp; "오후 21:00"</f>
        <v>2021-04-01(목) 오후 21:00</v>
      </c>
      <c r="K177" s="163"/>
      <c r="L177" s="164"/>
      <c r="M177" s="162" t="str">
        <f>TEXT($G$1+1, "[$-ko-KR]yyyy-mm-dd(ddd) ") &amp; "오전 00:00"</f>
        <v>2021-04-02(금) 오전 00:00</v>
      </c>
      <c r="N177" s="163"/>
      <c r="O177" s="164"/>
      <c r="Q177" s="148"/>
      <c r="R177" s="148"/>
      <c r="S177" s="148"/>
    </row>
    <row r="178" spans="1:19" ht="17.25" thickBot="1">
      <c r="A178" s="159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38"/>
      <c r="R178" s="138"/>
      <c r="S178" s="138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48"/>
      <c r="R179" s="148"/>
      <c r="S179" s="14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48"/>
      <c r="R180" s="148"/>
      <c r="S180" s="14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38"/>
      <c r="R181" s="138"/>
      <c r="S181" s="138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38"/>
      <c r="R182" s="138"/>
      <c r="S182" s="138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38"/>
      <c r="R183" s="138"/>
      <c r="S183" s="138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38"/>
      <c r="R184" s="138"/>
      <c r="S184" s="138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38"/>
      <c r="R185" s="138"/>
      <c r="S185" s="138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38"/>
      <c r="R186" s="138"/>
      <c r="S186" s="138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39"/>
      <c r="R188" s="140"/>
      <c r="S188" s="141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42"/>
      <c r="R189" s="143"/>
      <c r="S189" s="144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45"/>
      <c r="R190" s="146"/>
      <c r="S190" s="147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38"/>
      <c r="R191" s="138"/>
      <c r="S191" s="138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48"/>
      <c r="R192" s="148"/>
      <c r="S192" s="14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48"/>
      <c r="R193" s="148"/>
      <c r="S193" s="148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38"/>
      <c r="R194" s="138"/>
      <c r="S194" s="138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38"/>
      <c r="R195" s="138"/>
      <c r="S195" s="138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38"/>
      <c r="R196" s="138"/>
      <c r="S196" s="138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27"/>
      <c r="R197" s="128"/>
      <c r="S197" s="12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30"/>
      <c r="R198" s="131"/>
      <c r="S198" s="132"/>
    </row>
    <row r="199" spans="1:19" ht="17.25" thickBot="1">
      <c r="A199" s="26" t="s">
        <v>301</v>
      </c>
      <c r="B199" s="136">
        <f>$B$37</f>
        <v>300000</v>
      </c>
      <c r="C199" s="137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133"/>
      <c r="R199" s="134"/>
      <c r="S199" s="13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16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16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16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16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15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15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15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15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15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15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153" priority="157">
      <formula>AND($N17 &gt; 0, ISNUMBER($N17))</formula>
    </cfRule>
    <cfRule type="expression" dxfId="1152" priority="158">
      <formula>AND($N17 = 0 * ISNUMBER($N17))</formula>
    </cfRule>
    <cfRule type="expression" dxfId="1151" priority="159">
      <formula>AND($N17 &lt; 0, ISNUMBER($N17))</formula>
    </cfRule>
  </conditionalFormatting>
  <conditionalFormatting sqref="A17:F36">
    <cfRule type="expression" dxfId="1150" priority="166">
      <formula>AND($E17 &gt; 0, ISNUMBER($E17))</formula>
    </cfRule>
    <cfRule type="expression" dxfId="1149" priority="167">
      <formula>AND($E17 = 0 * ISNUMBER($E17))</formula>
    </cfRule>
    <cfRule type="expression" dxfId="1148" priority="168">
      <formula>AND($E17 &lt; 0, ISNUMBER($E17))</formula>
    </cfRule>
  </conditionalFormatting>
  <conditionalFormatting sqref="A17:C36 G17:I36">
    <cfRule type="expression" dxfId="1147" priority="163">
      <formula>AND($H17 &gt; 0, ISNUMBER($H17))</formula>
    </cfRule>
    <cfRule type="expression" dxfId="1146" priority="164">
      <formula>AND($H17 = 0 * ISNUMBER($H17))</formula>
    </cfRule>
    <cfRule type="expression" dxfId="1145" priority="165">
      <formula>AND($H17 &lt; 0, ISNUMBER($H17))</formula>
    </cfRule>
  </conditionalFormatting>
  <conditionalFormatting sqref="A17:C36 J17:L36">
    <cfRule type="expression" dxfId="1144" priority="160">
      <formula>AND($K17 &gt; 0, ISNUMBER($K17))</formula>
    </cfRule>
    <cfRule type="expression" dxfId="1143" priority="161">
      <formula>AND($K17 = 0 * ISNUMBER($K17))</formula>
    </cfRule>
    <cfRule type="expression" dxfId="1142" priority="162">
      <formula>AND($K17 &lt; 0, ISNUMBER($K17))</formula>
    </cfRule>
  </conditionalFormatting>
  <conditionalFormatting sqref="D15:F16 E37:F37">
    <cfRule type="expression" dxfId="1141" priority="154">
      <formula>$E$37 &gt; 0</formula>
    </cfRule>
    <cfRule type="expression" dxfId="1140" priority="155">
      <formula>$E$37 = 0</formula>
    </cfRule>
    <cfRule type="expression" dxfId="1139" priority="156">
      <formula>$E$37 &lt; 0</formula>
    </cfRule>
  </conditionalFormatting>
  <conditionalFormatting sqref="G15:I16 H37:I37">
    <cfRule type="expression" dxfId="1138" priority="151">
      <formula>$H$37 &gt; 0</formula>
    </cfRule>
    <cfRule type="expression" dxfId="1137" priority="152">
      <formula>$H$37 = 0</formula>
    </cfRule>
    <cfRule type="expression" dxfId="1136" priority="153">
      <formula>$H$37 &lt; 0</formula>
    </cfRule>
  </conditionalFormatting>
  <conditionalFormatting sqref="J15:L16 K37:L37">
    <cfRule type="expression" dxfId="1135" priority="148">
      <formula>$K$37 &gt; 0</formula>
    </cfRule>
    <cfRule type="expression" dxfId="1134" priority="149">
      <formula>$K$37 = 0</formula>
    </cfRule>
    <cfRule type="expression" dxfId="1133" priority="150">
      <formula>$K$37 &lt; 0</formula>
    </cfRule>
  </conditionalFormatting>
  <conditionalFormatting sqref="M15:O16 N37:O37">
    <cfRule type="expression" dxfId="1132" priority="145">
      <formula>$N$37 &gt; 0</formula>
    </cfRule>
    <cfRule type="expression" dxfId="1131" priority="146">
      <formula>$N$37 = 0</formula>
    </cfRule>
    <cfRule type="expression" dxfId="1130" priority="147">
      <formula>$N$37 &lt; 0</formula>
    </cfRule>
  </conditionalFormatting>
  <conditionalFormatting sqref="A44:C63 M44:O63">
    <cfRule type="expression" dxfId="1129" priority="133">
      <formula>AND($N44 &gt; 0, ISNUMBER($N44))</formula>
    </cfRule>
    <cfRule type="expression" dxfId="1128" priority="134">
      <formula>AND($N44 = 0 * ISNUMBER($N44))</formula>
    </cfRule>
    <cfRule type="expression" dxfId="1127" priority="135">
      <formula>AND($N44 &lt; 0, ISNUMBER($N44))</formula>
    </cfRule>
  </conditionalFormatting>
  <conditionalFormatting sqref="A44:F63">
    <cfRule type="expression" dxfId="1126" priority="142">
      <formula>AND($E44 &gt; 0, ISNUMBER($E44))</formula>
    </cfRule>
    <cfRule type="expression" dxfId="1125" priority="143">
      <formula>AND($E44 = 0 * ISNUMBER($E44))</formula>
    </cfRule>
    <cfRule type="expression" dxfId="1124" priority="144">
      <formula>AND($E44 &lt; 0, ISNUMBER($E44))</formula>
    </cfRule>
  </conditionalFormatting>
  <conditionalFormatting sqref="A44:C63 G44:I63">
    <cfRule type="expression" dxfId="1123" priority="139">
      <formula>AND($H44 &gt; 0, ISNUMBER($H44))</formula>
    </cfRule>
    <cfRule type="expression" dxfId="1122" priority="140">
      <formula>AND($H44 = 0 * ISNUMBER($H44))</formula>
    </cfRule>
    <cfRule type="expression" dxfId="1121" priority="141">
      <formula>AND($H44 &lt; 0, ISNUMBER($H44))</formula>
    </cfRule>
  </conditionalFormatting>
  <conditionalFormatting sqref="A44:C63 J44:L63">
    <cfRule type="expression" dxfId="1120" priority="136">
      <formula>AND($K44 &gt; 0, ISNUMBER($K44))</formula>
    </cfRule>
    <cfRule type="expression" dxfId="1119" priority="137">
      <formula>AND($K44 = 0 * ISNUMBER($K44))</formula>
    </cfRule>
    <cfRule type="expression" dxfId="1118" priority="138">
      <formula>AND($K44 &lt; 0, ISNUMBER($K44))</formula>
    </cfRule>
  </conditionalFormatting>
  <conditionalFormatting sqref="D42:F43 E64:F64">
    <cfRule type="expression" dxfId="1117" priority="130">
      <formula>$E$64 &gt; 0</formula>
    </cfRule>
    <cfRule type="expression" dxfId="1116" priority="131">
      <formula>$E$64 = 0</formula>
    </cfRule>
    <cfRule type="expression" dxfId="1115" priority="132">
      <formula>$E$64 &lt; 0</formula>
    </cfRule>
  </conditionalFormatting>
  <conditionalFormatting sqref="G42:I43 H64:I64">
    <cfRule type="expression" dxfId="1114" priority="127">
      <formula>$H$64 &gt; 0</formula>
    </cfRule>
    <cfRule type="expression" dxfId="1113" priority="128">
      <formula>$H$64 = 0</formula>
    </cfRule>
    <cfRule type="expression" dxfId="1112" priority="129">
      <formula>$H$64 &lt; 0</formula>
    </cfRule>
  </conditionalFormatting>
  <conditionalFormatting sqref="J42:L43 K64:L64">
    <cfRule type="expression" dxfId="1111" priority="124">
      <formula>$K$64 &gt; 0</formula>
    </cfRule>
    <cfRule type="expression" dxfId="1110" priority="125">
      <formula>$K$64 = 0</formula>
    </cfRule>
    <cfRule type="expression" dxfId="1109" priority="126">
      <formula>$K$64 &lt; 0</formula>
    </cfRule>
  </conditionalFormatting>
  <conditionalFormatting sqref="M42:O43 N64:O64">
    <cfRule type="expression" dxfId="1108" priority="121">
      <formula>$N$64 &gt; 0</formula>
    </cfRule>
    <cfRule type="expression" dxfId="1107" priority="122">
      <formula>$N$64 = 0</formula>
    </cfRule>
    <cfRule type="expression" dxfId="1106" priority="123">
      <formula>$N$64 &lt; 0</formula>
    </cfRule>
  </conditionalFormatting>
  <conditionalFormatting sqref="A71:C90 M71:O90">
    <cfRule type="expression" dxfId="1105" priority="109">
      <formula>AND($N71 &gt; 0, ISNUMBER($N71))</formula>
    </cfRule>
    <cfRule type="expression" dxfId="1104" priority="110">
      <formula>AND($N71 = 0 * ISNUMBER($N71))</formula>
    </cfRule>
    <cfRule type="expression" dxfId="1103" priority="111">
      <formula>AND($N71 &lt; 0, ISNUMBER($N71))</formula>
    </cfRule>
  </conditionalFormatting>
  <conditionalFormatting sqref="A71:F90">
    <cfRule type="expression" dxfId="1102" priority="118">
      <formula>AND($E71 &gt; 0, ISNUMBER($E71))</formula>
    </cfRule>
    <cfRule type="expression" dxfId="1101" priority="119">
      <formula>AND($E71 = 0 * ISNUMBER($E71))</formula>
    </cfRule>
    <cfRule type="expression" dxfId="1100" priority="120">
      <formula>AND($E71 &lt; 0, ISNUMBER($E71))</formula>
    </cfRule>
  </conditionalFormatting>
  <conditionalFormatting sqref="A71:C90 G71:I90">
    <cfRule type="expression" dxfId="1099" priority="115">
      <formula>AND($H71 &gt; 0, ISNUMBER($H71))</formula>
    </cfRule>
    <cfRule type="expression" dxfId="1098" priority="116">
      <formula>AND($H71 = 0 * ISNUMBER($H71))</formula>
    </cfRule>
    <cfRule type="expression" dxfId="1097" priority="117">
      <formula>AND($H71 &lt; 0, ISNUMBER($H71))</formula>
    </cfRule>
  </conditionalFormatting>
  <conditionalFormatting sqref="A71:C90 J71:L90">
    <cfRule type="expression" dxfId="1096" priority="112">
      <formula>AND($K71 &gt; 0, ISNUMBER($K71))</formula>
    </cfRule>
    <cfRule type="expression" dxfId="1095" priority="113">
      <formula>AND($K71 = 0 * ISNUMBER($K71))</formula>
    </cfRule>
    <cfRule type="expression" dxfId="1094" priority="114">
      <formula>AND($K71 &lt; 0, ISNUMBER($K71))</formula>
    </cfRule>
  </conditionalFormatting>
  <conditionalFormatting sqref="D69:F70 E91:F91">
    <cfRule type="expression" dxfId="1093" priority="106">
      <formula>$E$91 &gt; 0</formula>
    </cfRule>
    <cfRule type="expression" dxfId="1092" priority="107">
      <formula>$E$91 = 0</formula>
    </cfRule>
    <cfRule type="expression" dxfId="1091" priority="108">
      <formula>$E$91 &lt; 0</formula>
    </cfRule>
  </conditionalFormatting>
  <conditionalFormatting sqref="G69:I70 H91:I91">
    <cfRule type="expression" dxfId="1090" priority="103">
      <formula>$H$91 &gt; 0</formula>
    </cfRule>
    <cfRule type="expression" dxfId="1089" priority="104">
      <formula>$H$91 = 0</formula>
    </cfRule>
    <cfRule type="expression" dxfId="1088" priority="105">
      <formula>$H$91 &lt; 0</formula>
    </cfRule>
  </conditionalFormatting>
  <conditionalFormatting sqref="J69:L70 K91:L91">
    <cfRule type="expression" dxfId="1087" priority="100">
      <formula>$K$91 &gt; 0</formula>
    </cfRule>
    <cfRule type="expression" dxfId="1086" priority="101">
      <formula>$K$91 = 0</formula>
    </cfRule>
    <cfRule type="expression" dxfId="1085" priority="102">
      <formula>$K$91 &lt; 0</formula>
    </cfRule>
  </conditionalFormatting>
  <conditionalFormatting sqref="M69:O70 N91:O91">
    <cfRule type="expression" dxfId="1084" priority="97">
      <formula>$N$91 &gt; 0</formula>
    </cfRule>
    <cfRule type="expression" dxfId="1083" priority="98">
      <formula>$N$91 = 0</formula>
    </cfRule>
    <cfRule type="expression" dxfId="1082" priority="99">
      <formula>$N$91 &lt; 0</formula>
    </cfRule>
  </conditionalFormatting>
  <conditionalFormatting sqref="A98:C117 M98:O117">
    <cfRule type="expression" dxfId="1081" priority="85">
      <formula>AND($N98 &gt; 0, ISNUMBER($N98))</formula>
    </cfRule>
    <cfRule type="expression" dxfId="1080" priority="86">
      <formula>AND($N98 = 0 * ISNUMBER($N98))</formula>
    </cfRule>
    <cfRule type="expression" dxfId="1079" priority="87">
      <formula>AND($N98 &lt; 0, ISNUMBER($N98))</formula>
    </cfRule>
  </conditionalFormatting>
  <conditionalFormatting sqref="A98:F117">
    <cfRule type="expression" dxfId="1078" priority="94">
      <formula>AND($E98 &gt; 0, ISNUMBER($E98))</formula>
    </cfRule>
    <cfRule type="expression" dxfId="1077" priority="95">
      <formula>AND($E98 = 0 * ISNUMBER($E98))</formula>
    </cfRule>
    <cfRule type="expression" dxfId="1076" priority="96">
      <formula>AND($E98 &lt; 0, ISNUMBER($E98))</formula>
    </cfRule>
  </conditionalFormatting>
  <conditionalFormatting sqref="A98:C117 G98:I117">
    <cfRule type="expression" dxfId="1075" priority="91">
      <formula>AND($H98 &gt; 0, ISNUMBER($H98))</formula>
    </cfRule>
    <cfRule type="expression" dxfId="1074" priority="92">
      <formula>AND($H98 = 0 * ISNUMBER($H98))</formula>
    </cfRule>
    <cfRule type="expression" dxfId="1073" priority="93">
      <formula>AND($H98 &lt; 0, ISNUMBER($H98))</formula>
    </cfRule>
  </conditionalFormatting>
  <conditionalFormatting sqref="A98:C117 J98:L117">
    <cfRule type="expression" dxfId="1072" priority="88">
      <formula>AND($K98 &gt; 0, ISNUMBER($K98))</formula>
    </cfRule>
    <cfRule type="expression" dxfId="1071" priority="89">
      <formula>AND($K98 = 0 * ISNUMBER($K98))</formula>
    </cfRule>
    <cfRule type="expression" dxfId="1070" priority="90">
      <formula>AND($K98 &lt; 0, ISNUMBER($K98))</formula>
    </cfRule>
  </conditionalFormatting>
  <conditionalFormatting sqref="D96:F97 E118:F118">
    <cfRule type="expression" dxfId="1069" priority="82">
      <formula>$E$118 &gt; 0</formula>
    </cfRule>
    <cfRule type="expression" dxfId="1068" priority="83">
      <formula>$E$118 = 0</formula>
    </cfRule>
    <cfRule type="expression" dxfId="1067" priority="84">
      <formula>$E$118 &lt; 0</formula>
    </cfRule>
  </conditionalFormatting>
  <conditionalFormatting sqref="G96:I97 H118:I118">
    <cfRule type="expression" dxfId="1066" priority="79">
      <formula>$H$118 &gt; 0</formula>
    </cfRule>
    <cfRule type="expression" dxfId="1065" priority="80">
      <formula>$H$118 = 0</formula>
    </cfRule>
    <cfRule type="expression" dxfId="1064" priority="81">
      <formula>$H$118 &lt; 0</formula>
    </cfRule>
  </conditionalFormatting>
  <conditionalFormatting sqref="J96:L97 K118:L118">
    <cfRule type="expression" dxfId="1063" priority="76">
      <formula>$K$118 &gt; 0</formula>
    </cfRule>
    <cfRule type="expression" dxfId="1062" priority="77">
      <formula>$K$118 = 0</formula>
    </cfRule>
    <cfRule type="expression" dxfId="1061" priority="78">
      <formula>$K$118 &lt; 0</formula>
    </cfRule>
  </conditionalFormatting>
  <conditionalFormatting sqref="M96:O97 N118:O118">
    <cfRule type="expression" dxfId="1060" priority="73">
      <formula>$N$118 &gt; 0</formula>
    </cfRule>
    <cfRule type="expression" dxfId="1059" priority="74">
      <formula>$N$118 = 0</formula>
    </cfRule>
    <cfRule type="expression" dxfId="1058" priority="75">
      <formula>$N$118 &lt; 0</formula>
    </cfRule>
  </conditionalFormatting>
  <conditionalFormatting sqref="A125:C144 M125:O144">
    <cfRule type="expression" dxfId="1057" priority="61">
      <formula>AND($N125 &gt; 0, ISNUMBER($N125))</formula>
    </cfRule>
    <cfRule type="expression" dxfId="1056" priority="62">
      <formula>AND($N125 = 0 * ISNUMBER($N125))</formula>
    </cfRule>
    <cfRule type="expression" dxfId="1055" priority="63">
      <formula>AND($N125 &lt; 0, ISNUMBER($N125))</formula>
    </cfRule>
  </conditionalFormatting>
  <conditionalFormatting sqref="A125:F144">
    <cfRule type="expression" dxfId="1054" priority="70">
      <formula>AND($E125 &gt; 0, ISNUMBER($E125))</formula>
    </cfRule>
    <cfRule type="expression" dxfId="1053" priority="71">
      <formula>AND($E125 = 0 * ISNUMBER($E125))</formula>
    </cfRule>
    <cfRule type="expression" dxfId="1052" priority="72">
      <formula>AND($E125 &lt; 0, ISNUMBER($E125))</formula>
    </cfRule>
  </conditionalFormatting>
  <conditionalFormatting sqref="A125:C144 G125:I144">
    <cfRule type="expression" dxfId="1051" priority="67">
      <formula>AND($H125 &gt; 0, ISNUMBER($H125))</formula>
    </cfRule>
    <cfRule type="expression" dxfId="1050" priority="68">
      <formula>AND($H125 = 0 * ISNUMBER($H125))</formula>
    </cfRule>
    <cfRule type="expression" dxfId="1049" priority="69">
      <formula>AND($H125 &lt; 0, ISNUMBER($H125))</formula>
    </cfRule>
  </conditionalFormatting>
  <conditionalFormatting sqref="A125:C144 J125:L144">
    <cfRule type="expression" dxfId="1048" priority="64">
      <formula>AND($K125 &gt; 0, ISNUMBER($K125))</formula>
    </cfRule>
    <cfRule type="expression" dxfId="1047" priority="65">
      <formula>AND($K125 = 0 * ISNUMBER($K125))</formula>
    </cfRule>
    <cfRule type="expression" dxfId="1046" priority="66">
      <formula>AND($K125 &lt; 0, ISNUMBER($K125))</formula>
    </cfRule>
  </conditionalFormatting>
  <conditionalFormatting sqref="D123:F124 E145:F145">
    <cfRule type="expression" dxfId="1045" priority="58">
      <formula>$E$145 &gt; 0</formula>
    </cfRule>
    <cfRule type="expression" dxfId="1044" priority="59">
      <formula>$E$145 = 0</formula>
    </cfRule>
    <cfRule type="expression" dxfId="1043" priority="60">
      <formula>$E$145 &lt; 0</formula>
    </cfRule>
  </conditionalFormatting>
  <conditionalFormatting sqref="G123:I124 H145:I145">
    <cfRule type="expression" dxfId="1042" priority="55">
      <formula>$H$145 &gt; 0</formula>
    </cfRule>
    <cfRule type="expression" dxfId="1041" priority="56">
      <formula>$H$145 = 0</formula>
    </cfRule>
    <cfRule type="expression" dxfId="1040" priority="57">
      <formula>$H$145 &lt; 0</formula>
    </cfRule>
  </conditionalFormatting>
  <conditionalFormatting sqref="J123:L124 K145:L145">
    <cfRule type="expression" dxfId="1039" priority="52">
      <formula>$K$145 &gt; 0</formula>
    </cfRule>
    <cfRule type="expression" dxfId="1038" priority="53">
      <formula>$K$145 = 0</formula>
    </cfRule>
    <cfRule type="expression" dxfId="1037" priority="54">
      <formula>$K$145 &lt; 0</formula>
    </cfRule>
  </conditionalFormatting>
  <conditionalFormatting sqref="M123:O124 N145:O145">
    <cfRule type="expression" dxfId="1036" priority="49">
      <formula>$N$145 &gt; 0</formula>
    </cfRule>
    <cfRule type="expression" dxfId="1035" priority="50">
      <formula>$N$145 = 0</formula>
    </cfRule>
    <cfRule type="expression" dxfId="1034" priority="51">
      <formula>$N$145 &lt; 0</formula>
    </cfRule>
  </conditionalFormatting>
  <conditionalFormatting sqref="A152:C171 M152:O171">
    <cfRule type="expression" dxfId="1033" priority="37">
      <formula>AND($N152 &gt; 0, ISNUMBER($N152))</formula>
    </cfRule>
    <cfRule type="expression" dxfId="1032" priority="38">
      <formula>AND($N152 = 0 * ISNUMBER($N152))</formula>
    </cfRule>
    <cfRule type="expression" dxfId="1031" priority="39">
      <formula>AND($N152 &lt; 0, ISNUMBER($N152))</formula>
    </cfRule>
  </conditionalFormatting>
  <conditionalFormatting sqref="A152:F171">
    <cfRule type="expression" dxfId="1030" priority="46">
      <formula>AND($E152 &gt; 0, ISNUMBER($E152))</formula>
    </cfRule>
    <cfRule type="expression" dxfId="1029" priority="47">
      <formula>AND($E152 = 0 * ISNUMBER($E152))</formula>
    </cfRule>
    <cfRule type="expression" dxfId="1028" priority="48">
      <formula>AND($E152 &lt; 0, ISNUMBER($E152))</formula>
    </cfRule>
  </conditionalFormatting>
  <conditionalFormatting sqref="A152:C171 G152:I171">
    <cfRule type="expression" dxfId="1027" priority="43">
      <formula>AND($H152 &gt; 0, ISNUMBER($H152))</formula>
    </cfRule>
    <cfRule type="expression" dxfId="1026" priority="44">
      <formula>AND($H152 = 0 * ISNUMBER($H152))</formula>
    </cfRule>
    <cfRule type="expression" dxfId="1025" priority="45">
      <formula>AND($H152 &lt; 0, ISNUMBER($H152))</formula>
    </cfRule>
  </conditionalFormatting>
  <conditionalFormatting sqref="A152:C171 J152:L171">
    <cfRule type="expression" dxfId="1024" priority="40">
      <formula>AND($K152 &gt; 0, ISNUMBER($K152))</formula>
    </cfRule>
    <cfRule type="expression" dxfId="1023" priority="41">
      <formula>AND($K152 = 0 * ISNUMBER($K152))</formula>
    </cfRule>
    <cfRule type="expression" dxfId="1022" priority="42">
      <formula>AND($K152 &lt; 0, ISNUMBER($K152))</formula>
    </cfRule>
  </conditionalFormatting>
  <conditionalFormatting sqref="D150:F151 E172:F172">
    <cfRule type="expression" dxfId="1021" priority="34">
      <formula>$E$172 &gt; 0</formula>
    </cfRule>
    <cfRule type="expression" dxfId="1020" priority="35">
      <formula>$E$172 = 0</formula>
    </cfRule>
    <cfRule type="expression" dxfId="1019" priority="36">
      <formula>$E$172 &lt; 0</formula>
    </cfRule>
  </conditionalFormatting>
  <conditionalFormatting sqref="G150:I151 H172:I172">
    <cfRule type="expression" dxfId="1018" priority="31">
      <formula>$H$172 &gt; 0</formula>
    </cfRule>
    <cfRule type="expression" dxfId="1017" priority="32">
      <formula>$H$172 = 0</formula>
    </cfRule>
    <cfRule type="expression" dxfId="1016" priority="33">
      <formula>$H$172 &lt; 0</formula>
    </cfRule>
  </conditionalFormatting>
  <conditionalFormatting sqref="J150:L151 K172:L172">
    <cfRule type="expression" dxfId="1015" priority="28">
      <formula>$K$172 &gt; 0</formula>
    </cfRule>
    <cfRule type="expression" dxfId="1014" priority="29">
      <formula>$K$172 = 0</formula>
    </cfRule>
    <cfRule type="expression" dxfId="1013" priority="30">
      <formula>$K$172 &lt; 0</formula>
    </cfRule>
  </conditionalFormatting>
  <conditionalFormatting sqref="M150:O151 N172:O172">
    <cfRule type="expression" dxfId="1012" priority="25">
      <formula>$N$172 &gt; 0</formula>
    </cfRule>
    <cfRule type="expression" dxfId="1011" priority="26">
      <formula>$N$172 = 0</formula>
    </cfRule>
    <cfRule type="expression" dxfId="1010" priority="27">
      <formula>$N$172 &lt; 0</formula>
    </cfRule>
  </conditionalFormatting>
  <conditionalFormatting sqref="A179:C198 M179:O198">
    <cfRule type="expression" dxfId="1009" priority="13">
      <formula>AND($N179 &gt; 0, ISNUMBER($N179))</formula>
    </cfRule>
    <cfRule type="expression" dxfId="1008" priority="14">
      <formula>AND($N179 = 0 * ISNUMBER($N179))</formula>
    </cfRule>
    <cfRule type="expression" dxfId="1007" priority="15">
      <formula>AND($N179 &lt; 0, ISNUMBER($N179))</formula>
    </cfRule>
  </conditionalFormatting>
  <conditionalFormatting sqref="A179:F198">
    <cfRule type="expression" dxfId="1006" priority="22">
      <formula>AND($E179 &gt; 0, ISNUMBER($E179))</formula>
    </cfRule>
    <cfRule type="expression" dxfId="1005" priority="23">
      <formula>AND($E179 = 0 * ISNUMBER($E179))</formula>
    </cfRule>
    <cfRule type="expression" dxfId="1004" priority="24">
      <formula>AND($E179 &lt; 0, ISNUMBER($E179))</formula>
    </cfRule>
  </conditionalFormatting>
  <conditionalFormatting sqref="A179:C198 G179:I198">
    <cfRule type="expression" dxfId="1003" priority="19">
      <formula>AND($H179 &gt; 0, ISNUMBER($H179))</formula>
    </cfRule>
    <cfRule type="expression" dxfId="1002" priority="20">
      <formula>AND($H179 = 0 * ISNUMBER($H179))</formula>
    </cfRule>
    <cfRule type="expression" dxfId="1001" priority="21">
      <formula>AND($H179 &lt; 0, ISNUMBER($H179))</formula>
    </cfRule>
  </conditionalFormatting>
  <conditionalFormatting sqref="A179:C198 J179:L198">
    <cfRule type="expression" dxfId="1000" priority="16">
      <formula>AND($K179 &gt; 0, ISNUMBER($K179))</formula>
    </cfRule>
    <cfRule type="expression" dxfId="999" priority="17">
      <formula>AND($K179 = 0 * ISNUMBER($K179))</formula>
    </cfRule>
    <cfRule type="expression" dxfId="998" priority="18">
      <formula>AND($K179 &lt; 0, ISNUMBER($K179))</formula>
    </cfRule>
  </conditionalFormatting>
  <conditionalFormatting sqref="D177:F178 E199:F199">
    <cfRule type="expression" dxfId="997" priority="10">
      <formula>$E$199 &gt; 0</formula>
    </cfRule>
    <cfRule type="expression" dxfId="996" priority="11">
      <formula>$E$199 = 0</formula>
    </cfRule>
    <cfRule type="expression" dxfId="995" priority="12">
      <formula>$E$199 &lt; 0</formula>
    </cfRule>
  </conditionalFormatting>
  <conditionalFormatting sqref="G177:I178 H199:I199">
    <cfRule type="expression" dxfId="994" priority="7">
      <formula>$H$199 &gt; 0</formula>
    </cfRule>
    <cfRule type="expression" dxfId="993" priority="8">
      <formula>$H$199 = 0</formula>
    </cfRule>
    <cfRule type="expression" dxfId="992" priority="9">
      <formula>$H$199 &lt; 0</formula>
    </cfRule>
  </conditionalFormatting>
  <conditionalFormatting sqref="J177:L178 K199:L199">
    <cfRule type="expression" dxfId="991" priority="4">
      <formula>$K$199 &gt; 0</formula>
    </cfRule>
    <cfRule type="expression" dxfId="990" priority="5">
      <formula>$K$199 = 0</formula>
    </cfRule>
    <cfRule type="expression" dxfId="989" priority="6">
      <formula>$K$199 &lt; 0</formula>
    </cfRule>
  </conditionalFormatting>
  <conditionalFormatting sqref="M177:O178 N199:O199">
    <cfRule type="expression" dxfId="988" priority="1">
      <formula>$N$199 &gt; 0</formula>
    </cfRule>
    <cfRule type="expression" dxfId="987" priority="2">
      <formula>$N$199 = 0</formula>
    </cfRule>
    <cfRule type="expression" dxfId="98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1" sqref="G1:I1"/>
    </sheetView>
  </sheetViews>
  <sheetFormatPr defaultRowHeight="16.5"/>
  <cols>
    <col min="1" max="1" width="13" style="204" bestFit="1" customWidth="1"/>
    <col min="2" max="2" width="14.25" style="204" bestFit="1" customWidth="1"/>
    <col min="3" max="3" width="9.25" style="2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49" t="s">
        <v>0</v>
      </c>
      <c r="B1" s="150"/>
      <c r="C1" s="150"/>
      <c r="D1" s="150"/>
      <c r="E1" s="150"/>
      <c r="F1" s="151"/>
      <c r="G1" s="180">
        <v>44317</v>
      </c>
      <c r="H1" s="181"/>
      <c r="I1" s="182"/>
      <c r="J1" s="149" t="s">
        <v>1</v>
      </c>
      <c r="K1" s="150"/>
      <c r="L1" s="150"/>
      <c r="M1" s="150"/>
      <c r="N1" s="150"/>
      <c r="O1" s="151"/>
      <c r="Q1" s="149" t="s">
        <v>2</v>
      </c>
      <c r="R1" s="151"/>
    </row>
    <row r="2" spans="1:19" ht="17.25" customHeight="1">
      <c r="A2" s="201" t="s">
        <v>3</v>
      </c>
      <c r="B2" s="183" t="s">
        <v>4</v>
      </c>
      <c r="C2" s="184"/>
      <c r="D2" s="184"/>
      <c r="E2" s="184"/>
      <c r="F2" s="185"/>
      <c r="G2" s="177" t="s">
        <v>46</v>
      </c>
      <c r="H2" s="178"/>
      <c r="I2" s="179"/>
      <c r="J2" s="1" t="s">
        <v>3</v>
      </c>
      <c r="K2" s="183" t="s">
        <v>5</v>
      </c>
      <c r="L2" s="184"/>
      <c r="M2" s="184"/>
      <c r="N2" s="184"/>
      <c r="O2" s="185"/>
      <c r="Q2" s="2" t="s">
        <v>6</v>
      </c>
      <c r="R2" s="3">
        <v>0.375</v>
      </c>
    </row>
    <row r="3" spans="1:19" ht="17.25" customHeight="1" thickBot="1">
      <c r="A3" s="202" t="s">
        <v>7</v>
      </c>
      <c r="B3" s="174" t="s">
        <v>8</v>
      </c>
      <c r="C3" s="175"/>
      <c r="D3" s="175"/>
      <c r="E3" s="175"/>
      <c r="F3" s="176"/>
      <c r="G3" s="1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71"/>
      <c r="I3" s="172"/>
      <c r="J3" s="4" t="s">
        <v>7</v>
      </c>
      <c r="K3" s="174" t="s">
        <v>9</v>
      </c>
      <c r="L3" s="175"/>
      <c r="M3" s="175"/>
      <c r="N3" s="175"/>
      <c r="O3" s="176"/>
      <c r="Q3" s="2" t="s">
        <v>10</v>
      </c>
      <c r="R3" s="3">
        <v>0.79166666666666663</v>
      </c>
    </row>
    <row r="4" spans="1:19" ht="17.25" customHeight="1" thickBot="1">
      <c r="A4" s="202" t="s">
        <v>11</v>
      </c>
      <c r="B4" s="174" t="s">
        <v>12</v>
      </c>
      <c r="C4" s="175"/>
      <c r="D4" s="175"/>
      <c r="E4" s="175"/>
      <c r="F4" s="176"/>
      <c r="G4" s="177" t="s">
        <v>44</v>
      </c>
      <c r="H4" s="178"/>
      <c r="I4" s="179"/>
      <c r="J4" s="4" t="s">
        <v>11</v>
      </c>
      <c r="K4" s="174" t="s">
        <v>13</v>
      </c>
      <c r="L4" s="175"/>
      <c r="M4" s="175"/>
      <c r="N4" s="175"/>
      <c r="O4" s="176"/>
      <c r="Q4" s="65" t="s">
        <v>14</v>
      </c>
      <c r="R4" s="5">
        <v>0.95833333333333337</v>
      </c>
    </row>
    <row r="5" spans="1:19" ht="17.25" customHeight="1" thickBot="1">
      <c r="A5" s="202" t="s">
        <v>15</v>
      </c>
      <c r="B5" s="174" t="s">
        <v>16</v>
      </c>
      <c r="C5" s="175"/>
      <c r="D5" s="175"/>
      <c r="E5" s="175"/>
      <c r="F5" s="176"/>
      <c r="G5" s="1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71"/>
      <c r="I5" s="172"/>
      <c r="J5" s="4" t="s">
        <v>15</v>
      </c>
      <c r="K5" s="174" t="s">
        <v>17</v>
      </c>
      <c r="L5" s="175"/>
      <c r="M5" s="175"/>
      <c r="N5" s="175"/>
      <c r="O5" s="176"/>
    </row>
    <row r="6" spans="1:19">
      <c r="A6" s="202" t="s">
        <v>18</v>
      </c>
      <c r="B6" s="174" t="s">
        <v>19</v>
      </c>
      <c r="C6" s="175"/>
      <c r="D6" s="175"/>
      <c r="E6" s="175"/>
      <c r="F6" s="176"/>
      <c r="G6" s="177" t="s">
        <v>45</v>
      </c>
      <c r="H6" s="178"/>
      <c r="I6" s="179"/>
      <c r="J6" s="4" t="s">
        <v>18</v>
      </c>
      <c r="K6" s="174" t="s">
        <v>20</v>
      </c>
      <c r="L6" s="175"/>
      <c r="M6" s="175"/>
      <c r="N6" s="175"/>
      <c r="O6" s="176"/>
    </row>
    <row r="7" spans="1:19" ht="17.25" thickBot="1">
      <c r="A7" s="202" t="s">
        <v>21</v>
      </c>
      <c r="B7" s="174" t="s">
        <v>22</v>
      </c>
      <c r="C7" s="175"/>
      <c r="D7" s="175"/>
      <c r="E7" s="175"/>
      <c r="F7" s="176"/>
      <c r="G7" s="1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71"/>
      <c r="I7" s="172"/>
      <c r="J7" s="4" t="s">
        <v>21</v>
      </c>
      <c r="K7" s="174" t="s">
        <v>23</v>
      </c>
      <c r="L7" s="175"/>
      <c r="M7" s="175"/>
      <c r="N7" s="175"/>
      <c r="O7" s="176"/>
    </row>
    <row r="8" spans="1:19" ht="17.25" thickBot="1">
      <c r="A8" s="202" t="s">
        <v>24</v>
      </c>
      <c r="B8" s="174" t="s">
        <v>25</v>
      </c>
      <c r="C8" s="175"/>
      <c r="D8" s="175"/>
      <c r="E8" s="175"/>
      <c r="F8" s="176"/>
      <c r="G8" s="177" t="s">
        <v>285</v>
      </c>
      <c r="H8" s="178"/>
      <c r="I8" s="179"/>
      <c r="J8" s="4" t="s">
        <v>24</v>
      </c>
      <c r="K8" s="174" t="s">
        <v>26</v>
      </c>
      <c r="L8" s="175"/>
      <c r="M8" s="175"/>
      <c r="N8" s="175"/>
      <c r="O8" s="176"/>
      <c r="Q8" s="149" t="s">
        <v>27</v>
      </c>
      <c r="R8" s="151"/>
    </row>
    <row r="9" spans="1:19" ht="17.25" thickBot="1">
      <c r="A9" s="202" t="s">
        <v>28</v>
      </c>
      <c r="B9" s="174"/>
      <c r="C9" s="175"/>
      <c r="D9" s="175"/>
      <c r="E9" s="175"/>
      <c r="F9" s="176"/>
      <c r="G9" s="1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71"/>
      <c r="I9" s="172"/>
      <c r="J9" s="4" t="s">
        <v>28</v>
      </c>
      <c r="K9" s="174" t="s">
        <v>293</v>
      </c>
      <c r="L9" s="175"/>
      <c r="M9" s="175"/>
      <c r="N9" s="175"/>
      <c r="O9" s="176"/>
      <c r="Q9" s="2" t="s">
        <v>29</v>
      </c>
      <c r="R9" s="6">
        <v>10</v>
      </c>
    </row>
    <row r="10" spans="1:19">
      <c r="A10" s="202" t="s">
        <v>30</v>
      </c>
      <c r="B10" s="174"/>
      <c r="C10" s="175"/>
      <c r="D10" s="175"/>
      <c r="E10" s="175"/>
      <c r="F10" s="176"/>
      <c r="G10" s="177" t="s">
        <v>47</v>
      </c>
      <c r="H10" s="178"/>
      <c r="I10" s="179"/>
      <c r="J10" s="4" t="s">
        <v>30</v>
      </c>
      <c r="K10" s="174"/>
      <c r="L10" s="175"/>
      <c r="M10" s="175"/>
      <c r="N10" s="175"/>
      <c r="O10" s="176"/>
      <c r="Q10" s="2" t="s">
        <v>31</v>
      </c>
      <c r="R10" s="6">
        <v>100</v>
      </c>
    </row>
    <row r="11" spans="1:19" ht="17.25" thickBot="1">
      <c r="A11" s="203" t="s">
        <v>32</v>
      </c>
      <c r="B11" s="167"/>
      <c r="C11" s="168"/>
      <c r="D11" s="168"/>
      <c r="E11" s="168"/>
      <c r="F11" s="169"/>
      <c r="G11" s="1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1"/>
      <c r="I11" s="172"/>
      <c r="J11" s="7" t="s">
        <v>32</v>
      </c>
      <c r="K11" s="167"/>
      <c r="L11" s="168"/>
      <c r="M11" s="168"/>
      <c r="N11" s="168"/>
      <c r="O11" s="169"/>
      <c r="Q11" s="65" t="s">
        <v>33</v>
      </c>
      <c r="R11" s="8">
        <v>1000</v>
      </c>
    </row>
    <row r="12" spans="1:19" ht="17.25" thickBot="1"/>
    <row r="13" spans="1:19" ht="17.25" customHeight="1" thickBot="1">
      <c r="A13" s="149" t="s">
        <v>34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  <c r="M13" s="150"/>
      <c r="N13" s="150"/>
      <c r="O13" s="151"/>
      <c r="Q13" s="148"/>
      <c r="R13" s="148"/>
      <c r="S13" s="148"/>
    </row>
    <row r="14" spans="1:19" ht="17.25" customHeight="1" thickBot="1">
      <c r="A14" s="116" t="s">
        <v>35</v>
      </c>
      <c r="B14" s="149" t="s">
        <v>36</v>
      </c>
      <c r="C14" s="151"/>
      <c r="D14" s="149" t="s">
        <v>37</v>
      </c>
      <c r="E14" s="150"/>
      <c r="F14" s="151"/>
      <c r="G14" s="152">
        <f>_xlfn.IFNA(VLOOKUP(B14, 현재가테이블!$B$2:$D$200, 2, FALSE), "-")</f>
        <v>69894000</v>
      </c>
      <c r="H14" s="153"/>
      <c r="I14" s="154"/>
      <c r="J14" s="149" t="s">
        <v>38</v>
      </c>
      <c r="K14" s="150"/>
      <c r="L14" s="151"/>
      <c r="M14" s="155">
        <f>_xlfn.IFNA(VLOOKUP(B14, 현재가테이블!$B$2:$D$200, 3, FALSE), "-")</f>
        <v>2.1065856399999999E-2</v>
      </c>
      <c r="N14" s="156"/>
      <c r="O14" s="157"/>
      <c r="Q14" s="148"/>
      <c r="R14" s="148"/>
      <c r="S14" s="148"/>
    </row>
    <row r="15" spans="1:19" ht="17.25" customHeight="1" thickBot="1">
      <c r="A15" s="197" t="s">
        <v>39</v>
      </c>
      <c r="B15" s="205" t="str">
        <f>TEXT($G$1, "[$-ko-KR]yyyy-mm-dd(ddd) ") &amp; "오전 00:00"</f>
        <v>2021-05-01(토) 오전 00:00</v>
      </c>
      <c r="C15" s="206"/>
      <c r="D15" s="162" t="str">
        <f>TEXT($G$1, "[$-ko-KR]yyyy-mm-dd(ddd) ") &amp; "오후 14:00"</f>
        <v>2021-05-01(토) 오후 14:00</v>
      </c>
      <c r="E15" s="163"/>
      <c r="F15" s="164"/>
      <c r="G15" s="162" t="str">
        <f>TEXT($G$1, "[$-ko-KR]yyyy-mm-dd(ddd) ") &amp; "오후 19:00"</f>
        <v>2021-05-01(토) 오후 19:00</v>
      </c>
      <c r="H15" s="163"/>
      <c r="I15" s="164"/>
      <c r="J15" s="162" t="str">
        <f>TEXT($G$1, "[$-ko-KR]yyyy-mm-dd(ddd) ") &amp; "오후 21:00"</f>
        <v>2021-05-01(토) 오후 21:00</v>
      </c>
      <c r="K15" s="163"/>
      <c r="L15" s="164"/>
      <c r="M15" s="162" t="str">
        <f>TEXT($G$1+1, "[$-ko-KR]yyyy-mm-dd(ddd) ") &amp; "오전 00:00"</f>
        <v>2021-05-02(일) 오전 00:00</v>
      </c>
      <c r="N15" s="163"/>
      <c r="O15" s="164"/>
      <c r="Q15" s="148"/>
      <c r="R15" s="148"/>
      <c r="S15" s="148"/>
    </row>
    <row r="16" spans="1:19" ht="17.25" customHeight="1" thickBot="1">
      <c r="A16" s="197"/>
      <c r="B16" s="207" t="s">
        <v>37</v>
      </c>
      <c r="C16" s="208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38"/>
      <c r="R16" s="138"/>
      <c r="S16" s="138"/>
    </row>
    <row r="17" spans="1:19" ht="17.25" customHeight="1" thickBot="1">
      <c r="A17" s="209"/>
      <c r="B17" s="210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48"/>
      <c r="R17" s="148"/>
      <c r="S17" s="148"/>
    </row>
    <row r="18" spans="1:19" ht="17.25" customHeight="1" thickBot="1">
      <c r="A18" s="211"/>
      <c r="B18" s="212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48"/>
      <c r="R18" s="148"/>
      <c r="S18" s="148"/>
    </row>
    <row r="19" spans="1:19" ht="17.25" customHeight="1" thickBot="1">
      <c r="A19" s="211"/>
      <c r="B19" s="212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38"/>
      <c r="R19" s="138"/>
      <c r="S19" s="138"/>
    </row>
    <row r="20" spans="1:19" ht="17.25" customHeight="1" thickBot="1">
      <c r="A20" s="211"/>
      <c r="B20" s="212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38"/>
      <c r="R20" s="138"/>
      <c r="S20" s="138"/>
    </row>
    <row r="21" spans="1:19" ht="17.25" customHeight="1" thickBot="1">
      <c r="A21" s="213"/>
      <c r="B21" s="214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38"/>
      <c r="R21" s="138"/>
      <c r="S21" s="138"/>
    </row>
    <row r="22" spans="1:19" ht="17.25" customHeight="1" thickBot="1">
      <c r="A22" s="211"/>
      <c r="B22" s="215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38"/>
      <c r="R22" s="138"/>
      <c r="S22" s="138"/>
    </row>
    <row r="23" spans="1:19" ht="17.25" customHeight="1" thickBot="1">
      <c r="A23" s="211"/>
      <c r="B23" s="212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38"/>
      <c r="R23" s="138"/>
      <c r="S23" s="138"/>
    </row>
    <row r="24" spans="1:19" ht="17.25" customHeight="1" thickBot="1">
      <c r="A24" s="211"/>
      <c r="B24" s="212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38"/>
      <c r="R24" s="138"/>
      <c r="S24" s="138"/>
    </row>
    <row r="25" spans="1:19" ht="17.25" customHeight="1" thickBot="1">
      <c r="A25" s="211"/>
      <c r="B25" s="212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16"/>
      <c r="B26" s="217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39"/>
      <c r="R26" s="140"/>
      <c r="S26" s="141"/>
    </row>
    <row r="27" spans="1:19" ht="17.25" customHeight="1">
      <c r="A27" s="209"/>
      <c r="B27" s="210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42"/>
      <c r="R27" s="143"/>
      <c r="S27" s="144"/>
    </row>
    <row r="28" spans="1:19" ht="17.25" customHeight="1" thickBot="1">
      <c r="A28" s="211"/>
      <c r="B28" s="212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45"/>
      <c r="R28" s="146"/>
      <c r="S28" s="147"/>
    </row>
    <row r="29" spans="1:19" ht="17.25" customHeight="1" thickBot="1">
      <c r="A29" s="211"/>
      <c r="B29" s="212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38"/>
      <c r="R29" s="138"/>
      <c r="S29" s="138"/>
    </row>
    <row r="30" spans="1:19" ht="17.25" customHeight="1" thickBot="1">
      <c r="A30" s="211"/>
      <c r="B30" s="212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48"/>
      <c r="R30" s="148"/>
      <c r="S30" s="148"/>
    </row>
    <row r="31" spans="1:19" ht="17.25" customHeight="1" thickBot="1">
      <c r="A31" s="213"/>
      <c r="B31" s="214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48"/>
      <c r="R31" s="148"/>
      <c r="S31" s="148"/>
    </row>
    <row r="32" spans="1:19" ht="17.25" customHeight="1" thickBot="1">
      <c r="A32" s="211"/>
      <c r="B32" s="215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38"/>
      <c r="R32" s="138"/>
      <c r="S32" s="138"/>
    </row>
    <row r="33" spans="1:19" ht="17.25" customHeight="1" thickBot="1">
      <c r="A33" s="211"/>
      <c r="B33" s="212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38"/>
      <c r="R33" s="138"/>
      <c r="S33" s="138"/>
    </row>
    <row r="34" spans="1:19" ht="17.25" customHeight="1" thickBot="1">
      <c r="A34" s="211"/>
      <c r="B34" s="212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38"/>
      <c r="R34" s="138"/>
      <c r="S34" s="138"/>
    </row>
    <row r="35" spans="1:19" ht="17.25" customHeight="1">
      <c r="A35" s="211"/>
      <c r="B35" s="212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27"/>
      <c r="R35" s="128"/>
      <c r="S35" s="129"/>
    </row>
    <row r="36" spans="1:19" ht="17.25" customHeight="1" thickBot="1">
      <c r="A36" s="216"/>
      <c r="B36" s="217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30"/>
      <c r="R36" s="131"/>
      <c r="S36" s="132"/>
    </row>
    <row r="37" spans="1:19" ht="17.25" customHeight="1" thickBot="1">
      <c r="A37" s="218" t="s">
        <v>42</v>
      </c>
      <c r="B37" s="219">
        <v>300000</v>
      </c>
      <c r="C37" s="22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33"/>
      <c r="R37" s="134"/>
      <c r="S37" s="135"/>
    </row>
    <row r="38" spans="1:19" ht="17.25" customHeight="1"/>
    <row r="39" spans="1:19" ht="17.25" customHeight="1" thickBot="1"/>
    <row r="40" spans="1:19" ht="17.25" customHeight="1" thickBot="1">
      <c r="A40" s="149" t="s">
        <v>44</v>
      </c>
      <c r="B40" s="150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1"/>
      <c r="Q40" s="148"/>
      <c r="R40" s="148"/>
      <c r="S40" s="148"/>
    </row>
    <row r="41" spans="1:19" ht="17.25" customHeight="1" thickBot="1">
      <c r="A41" s="116" t="s">
        <v>298</v>
      </c>
      <c r="B41" s="149" t="s">
        <v>49</v>
      </c>
      <c r="C41" s="151"/>
      <c r="D41" s="149" t="s">
        <v>58</v>
      </c>
      <c r="E41" s="150"/>
      <c r="F41" s="151"/>
      <c r="G41" s="152">
        <f>_xlfn.IFNA(VLOOKUP(B41, 현재가테이블!$B$2:$D$200, 2, FALSE), "-")</f>
        <v>69894000</v>
      </c>
      <c r="H41" s="153"/>
      <c r="I41" s="154"/>
      <c r="J41" s="149" t="s">
        <v>59</v>
      </c>
      <c r="K41" s="150"/>
      <c r="L41" s="151"/>
      <c r="M41" s="155">
        <f>_xlfn.IFNA(VLOOKUP(B41, 현재가테이블!$B$2:$D$200, 3, FALSE), "-")</f>
        <v>2.1065856399999999E-2</v>
      </c>
      <c r="N41" s="156"/>
      <c r="O41" s="157"/>
      <c r="Q41" s="148"/>
      <c r="R41" s="148"/>
      <c r="S41" s="148"/>
    </row>
    <row r="42" spans="1:19" ht="17.25" customHeight="1" thickBot="1">
      <c r="A42" s="198" t="s">
        <v>55</v>
      </c>
      <c r="B42" s="221" t="str">
        <f>TEXT($G$1, "[$-ko-KR]yyyy-mm-dd(ddd) ") &amp; "오전 00:00"</f>
        <v>2021-05-01(토) 오전 00:00</v>
      </c>
      <c r="C42" s="222"/>
      <c r="D42" s="162" t="str">
        <f>TEXT($G$1, "[$-ko-KR]yyyy-mm-dd(ddd) ") &amp; "오후 14:00"</f>
        <v>2021-05-01(토) 오후 14:00</v>
      </c>
      <c r="E42" s="163"/>
      <c r="F42" s="164"/>
      <c r="G42" s="162" t="str">
        <f>TEXT($G$1, "[$-ko-KR]yyyy-mm-dd(ddd) ") &amp; "오후 19:00"</f>
        <v>2021-05-01(토) 오후 19:00</v>
      </c>
      <c r="H42" s="163"/>
      <c r="I42" s="164"/>
      <c r="J42" s="162" t="str">
        <f>TEXT($G$1, "[$-ko-KR]yyyy-mm-dd(ddd) ") &amp; "오후 21:00"</f>
        <v>2021-05-01(토) 오후 21:00</v>
      </c>
      <c r="K42" s="163"/>
      <c r="L42" s="164"/>
      <c r="M42" s="162" t="str">
        <f>TEXT($G$1+1, "[$-ko-KR]yyyy-mm-dd(ddd) ") &amp; "오전 00:00"</f>
        <v>2021-05-02(일) 오전 00:00</v>
      </c>
      <c r="N42" s="163"/>
      <c r="O42" s="164"/>
      <c r="Q42" s="148"/>
      <c r="R42" s="148"/>
      <c r="S42" s="148"/>
    </row>
    <row r="43" spans="1:19" ht="17.25" customHeight="1" thickBot="1">
      <c r="A43" s="193"/>
      <c r="B43" s="207" t="s">
        <v>58</v>
      </c>
      <c r="C43" s="208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38"/>
      <c r="R43" s="138"/>
      <c r="S43" s="138"/>
    </row>
    <row r="44" spans="1:19" ht="17.25" customHeight="1" thickBot="1">
      <c r="A44" s="209"/>
      <c r="B44" s="210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48"/>
      <c r="R44" s="148"/>
      <c r="S44" s="148"/>
    </row>
    <row r="45" spans="1:19" ht="17.25" customHeight="1" thickBot="1">
      <c r="A45" s="211"/>
      <c r="B45" s="212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48"/>
      <c r="R45" s="148"/>
      <c r="S45" s="148"/>
    </row>
    <row r="46" spans="1:19" ht="17.25" customHeight="1" thickBot="1">
      <c r="A46" s="211"/>
      <c r="B46" s="212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38"/>
      <c r="R46" s="138"/>
      <c r="S46" s="138"/>
    </row>
    <row r="47" spans="1:19" ht="17.25" customHeight="1" thickBot="1">
      <c r="A47" s="211"/>
      <c r="B47" s="212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38"/>
      <c r="R47" s="138"/>
      <c r="S47" s="138"/>
    </row>
    <row r="48" spans="1:19" ht="17.25" customHeight="1" thickBot="1">
      <c r="A48" s="213"/>
      <c r="B48" s="214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38"/>
      <c r="R48" s="138"/>
      <c r="S48" s="138"/>
    </row>
    <row r="49" spans="1:19" ht="17.25" customHeight="1" thickBot="1">
      <c r="A49" s="211"/>
      <c r="B49" s="215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38"/>
      <c r="R49" s="138"/>
      <c r="S49" s="138"/>
    </row>
    <row r="50" spans="1:19" ht="17.25" customHeight="1" thickBot="1">
      <c r="A50" s="211"/>
      <c r="B50" s="212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38"/>
      <c r="R50" s="138"/>
      <c r="S50" s="138"/>
    </row>
    <row r="51" spans="1:19" ht="17.25" customHeight="1" thickBot="1">
      <c r="A51" s="211"/>
      <c r="B51" s="212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38"/>
      <c r="R51" s="138"/>
      <c r="S51" s="138"/>
    </row>
    <row r="52" spans="1:19" ht="17.25" customHeight="1" thickBot="1">
      <c r="A52" s="211"/>
      <c r="B52" s="212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16"/>
      <c r="B53" s="217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39"/>
      <c r="R53" s="140"/>
      <c r="S53" s="141"/>
    </row>
    <row r="54" spans="1:19" ht="17.25" customHeight="1">
      <c r="A54" s="209"/>
      <c r="B54" s="210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42"/>
      <c r="R54" s="143"/>
      <c r="S54" s="144"/>
    </row>
    <row r="55" spans="1:19" ht="17.25" customHeight="1" thickBot="1">
      <c r="A55" s="211"/>
      <c r="B55" s="212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45"/>
      <c r="R55" s="146"/>
      <c r="S55" s="147"/>
    </row>
    <row r="56" spans="1:19" ht="17.25" customHeight="1" thickBot="1">
      <c r="A56" s="211"/>
      <c r="B56" s="212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38"/>
      <c r="R56" s="138"/>
      <c r="S56" s="138"/>
    </row>
    <row r="57" spans="1:19" ht="17.25" customHeight="1" thickBot="1">
      <c r="A57" s="211"/>
      <c r="B57" s="212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48"/>
      <c r="R57" s="148"/>
      <c r="S57" s="148"/>
    </row>
    <row r="58" spans="1:19" ht="17.25" customHeight="1" thickBot="1">
      <c r="A58" s="213"/>
      <c r="B58" s="214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48"/>
      <c r="R58" s="148"/>
      <c r="S58" s="148"/>
    </row>
    <row r="59" spans="1:19" ht="17.25" customHeight="1" thickBot="1">
      <c r="A59" s="211"/>
      <c r="B59" s="215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38"/>
      <c r="R59" s="138"/>
      <c r="S59" s="138"/>
    </row>
    <row r="60" spans="1:19" ht="17.25" customHeight="1" thickBot="1">
      <c r="A60" s="211"/>
      <c r="B60" s="212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38"/>
      <c r="R60" s="138"/>
      <c r="S60" s="138"/>
    </row>
    <row r="61" spans="1:19" ht="17.25" customHeight="1" thickBot="1">
      <c r="A61" s="211"/>
      <c r="B61" s="212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38"/>
      <c r="R61" s="138"/>
      <c r="S61" s="138"/>
    </row>
    <row r="62" spans="1:19" ht="17.25" customHeight="1">
      <c r="A62" s="211"/>
      <c r="B62" s="212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27"/>
      <c r="R62" s="128"/>
      <c r="S62" s="129"/>
    </row>
    <row r="63" spans="1:19" ht="17.25" customHeight="1" thickBot="1">
      <c r="A63" s="216"/>
      <c r="B63" s="217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30"/>
      <c r="R63" s="131"/>
      <c r="S63" s="132"/>
    </row>
    <row r="64" spans="1:19" ht="17.25" customHeight="1" thickBot="1">
      <c r="A64" s="218" t="s">
        <v>301</v>
      </c>
      <c r="B64" s="219">
        <f>$B$37</f>
        <v>300000</v>
      </c>
      <c r="C64" s="220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133"/>
      <c r="R64" s="134"/>
      <c r="S64" s="135"/>
    </row>
    <row r="65" spans="1:19" ht="17.25" customHeight="1"/>
    <row r="66" spans="1:19" ht="17.25" customHeight="1" thickBot="1"/>
    <row r="67" spans="1:19" ht="17.25" thickBot="1">
      <c r="A67" s="149" t="s">
        <v>45</v>
      </c>
      <c r="B67" s="150"/>
      <c r="C67" s="150"/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1"/>
      <c r="Q67" s="148"/>
      <c r="R67" s="148"/>
      <c r="S67" s="148"/>
    </row>
    <row r="68" spans="1:19" ht="17.25" thickBot="1">
      <c r="A68" s="116" t="s">
        <v>298</v>
      </c>
      <c r="B68" s="149" t="s">
        <v>49</v>
      </c>
      <c r="C68" s="151"/>
      <c r="D68" s="149" t="s">
        <v>58</v>
      </c>
      <c r="E68" s="150"/>
      <c r="F68" s="151"/>
      <c r="G68" s="152">
        <f>_xlfn.IFNA(VLOOKUP(B68, 현재가테이블!$B$2:$D$200, 2, FALSE), "-")</f>
        <v>69894000</v>
      </c>
      <c r="H68" s="153"/>
      <c r="I68" s="154"/>
      <c r="J68" s="149" t="s">
        <v>59</v>
      </c>
      <c r="K68" s="150"/>
      <c r="L68" s="151"/>
      <c r="M68" s="155">
        <f>_xlfn.IFNA(VLOOKUP(B68, 현재가테이블!$B$2:$D$200, 3, FALSE), "-")</f>
        <v>2.1065856399999999E-2</v>
      </c>
      <c r="N68" s="156"/>
      <c r="O68" s="157"/>
      <c r="Q68" s="148"/>
      <c r="R68" s="148"/>
      <c r="S68" s="148"/>
    </row>
    <row r="69" spans="1:19" ht="17.25" thickBot="1">
      <c r="A69" s="198" t="s">
        <v>55</v>
      </c>
      <c r="B69" s="221" t="str">
        <f>TEXT($G$1, "[$-ko-KR]yyyy-mm-dd(ddd) ") &amp; "오전 00:00"</f>
        <v>2021-05-01(토) 오전 00:00</v>
      </c>
      <c r="C69" s="222"/>
      <c r="D69" s="162" t="str">
        <f>TEXT($G$1, "[$-ko-KR]yyyy-mm-dd(ddd) ") &amp; "오후 14:00"</f>
        <v>2021-05-01(토) 오후 14:00</v>
      </c>
      <c r="E69" s="163"/>
      <c r="F69" s="164"/>
      <c r="G69" s="162" t="str">
        <f>TEXT($G$1, "[$-ko-KR]yyyy-mm-dd(ddd) ") &amp; "오후 19:00"</f>
        <v>2021-05-01(토) 오후 19:00</v>
      </c>
      <c r="H69" s="163"/>
      <c r="I69" s="164"/>
      <c r="J69" s="162" t="str">
        <f>TEXT($G$1, "[$-ko-KR]yyyy-mm-dd(ddd) ") &amp; "오후 21:00"</f>
        <v>2021-05-01(토) 오후 21:00</v>
      </c>
      <c r="K69" s="163"/>
      <c r="L69" s="164"/>
      <c r="M69" s="162" t="str">
        <f>TEXT($G$1+1, "[$-ko-KR]yyyy-mm-dd(ddd) ") &amp; "오전 00:00"</f>
        <v>2021-05-02(일) 오전 00:00</v>
      </c>
      <c r="N69" s="163"/>
      <c r="O69" s="164"/>
      <c r="Q69" s="148"/>
      <c r="R69" s="148"/>
      <c r="S69" s="148"/>
    </row>
    <row r="70" spans="1:19" ht="17.25" thickBot="1">
      <c r="A70" s="193"/>
      <c r="B70" s="207" t="s">
        <v>58</v>
      </c>
      <c r="C70" s="208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38"/>
      <c r="R70" s="138"/>
      <c r="S70" s="138"/>
    </row>
    <row r="71" spans="1:19" ht="17.25" thickBot="1">
      <c r="A71" s="209"/>
      <c r="B71" s="210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48"/>
      <c r="R71" s="148"/>
      <c r="S71" s="148"/>
    </row>
    <row r="72" spans="1:19" ht="17.25" thickBot="1">
      <c r="A72" s="211"/>
      <c r="B72" s="212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48"/>
      <c r="R72" s="148"/>
      <c r="S72" s="148"/>
    </row>
    <row r="73" spans="1:19" ht="17.25" thickBot="1">
      <c r="A73" s="211"/>
      <c r="B73" s="212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38"/>
      <c r="R73" s="138"/>
      <c r="S73" s="138"/>
    </row>
    <row r="74" spans="1:19" ht="17.25" thickBot="1">
      <c r="A74" s="211"/>
      <c r="B74" s="212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38"/>
      <c r="R74" s="138"/>
      <c r="S74" s="138"/>
    </row>
    <row r="75" spans="1:19" ht="17.25" thickBot="1">
      <c r="A75" s="213"/>
      <c r="B75" s="214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38"/>
      <c r="R75" s="138"/>
      <c r="S75" s="138"/>
    </row>
    <row r="76" spans="1:19" ht="17.25" thickBot="1">
      <c r="A76" s="211"/>
      <c r="B76" s="215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38"/>
      <c r="R76" s="138"/>
      <c r="S76" s="138"/>
    </row>
    <row r="77" spans="1:19" ht="17.25" thickBot="1">
      <c r="A77" s="211"/>
      <c r="B77" s="212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38"/>
      <c r="R77" s="138"/>
      <c r="S77" s="138"/>
    </row>
    <row r="78" spans="1:19" ht="17.25" thickBot="1">
      <c r="A78" s="211"/>
      <c r="B78" s="212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38"/>
      <c r="R78" s="138"/>
      <c r="S78" s="138"/>
    </row>
    <row r="79" spans="1:19" ht="17.25" thickBot="1">
      <c r="A79" s="211"/>
      <c r="B79" s="212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16"/>
      <c r="B80" s="217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39"/>
      <c r="R80" s="140"/>
      <c r="S80" s="141"/>
    </row>
    <row r="81" spans="1:19">
      <c r="A81" s="209"/>
      <c r="B81" s="210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42"/>
      <c r="R81" s="143"/>
      <c r="S81" s="144"/>
    </row>
    <row r="82" spans="1:19" ht="17.25" thickBot="1">
      <c r="A82" s="211"/>
      <c r="B82" s="212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45"/>
      <c r="R82" s="146"/>
      <c r="S82" s="147"/>
    </row>
    <row r="83" spans="1:19" ht="17.25" thickBot="1">
      <c r="A83" s="211"/>
      <c r="B83" s="212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38"/>
      <c r="R83" s="138"/>
      <c r="S83" s="138"/>
    </row>
    <row r="84" spans="1:19" ht="17.25" thickBot="1">
      <c r="A84" s="211"/>
      <c r="B84" s="212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48"/>
      <c r="R84" s="148"/>
      <c r="S84" s="148"/>
    </row>
    <row r="85" spans="1:19" ht="17.25" thickBot="1">
      <c r="A85" s="213"/>
      <c r="B85" s="214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48"/>
      <c r="R85" s="148"/>
      <c r="S85" s="148"/>
    </row>
    <row r="86" spans="1:19" ht="17.25" thickBot="1">
      <c r="A86" s="211"/>
      <c r="B86" s="215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38"/>
      <c r="R86" s="138"/>
      <c r="S86" s="138"/>
    </row>
    <row r="87" spans="1:19" ht="17.25" thickBot="1">
      <c r="A87" s="211"/>
      <c r="B87" s="212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38"/>
      <c r="R87" s="138"/>
      <c r="S87" s="138"/>
    </row>
    <row r="88" spans="1:19" ht="17.25" thickBot="1">
      <c r="A88" s="211"/>
      <c r="B88" s="212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38"/>
      <c r="R88" s="138"/>
      <c r="S88" s="138"/>
    </row>
    <row r="89" spans="1:19">
      <c r="A89" s="211"/>
      <c r="B89" s="212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27"/>
      <c r="R89" s="128"/>
      <c r="S89" s="129"/>
    </row>
    <row r="90" spans="1:19" ht="17.25" thickBot="1">
      <c r="A90" s="216"/>
      <c r="B90" s="217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30"/>
      <c r="R90" s="131"/>
      <c r="S90" s="132"/>
    </row>
    <row r="91" spans="1:19" ht="17.25" thickBot="1">
      <c r="A91" s="218" t="s">
        <v>301</v>
      </c>
      <c r="B91" s="219">
        <f>$B$37</f>
        <v>300000</v>
      </c>
      <c r="C91" s="220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133"/>
      <c r="R91" s="134"/>
      <c r="S91" s="135"/>
    </row>
    <row r="93" spans="1:19" ht="17.25" thickBot="1"/>
    <row r="94" spans="1:19" ht="17.25" thickBot="1">
      <c r="A94" s="149" t="s">
        <v>46</v>
      </c>
      <c r="B94" s="150"/>
      <c r="C94" s="150"/>
      <c r="D94" s="150"/>
      <c r="E94" s="150"/>
      <c r="F94" s="150"/>
      <c r="G94" s="150"/>
      <c r="H94" s="150"/>
      <c r="I94" s="150"/>
      <c r="J94" s="150"/>
      <c r="K94" s="150"/>
      <c r="L94" s="150"/>
      <c r="M94" s="150"/>
      <c r="N94" s="150"/>
      <c r="O94" s="151"/>
      <c r="Q94" s="148"/>
      <c r="R94" s="148"/>
      <c r="S94" s="148"/>
    </row>
    <row r="95" spans="1:19" ht="17.25" thickBot="1">
      <c r="A95" s="116" t="s">
        <v>298</v>
      </c>
      <c r="B95" s="149" t="s">
        <v>49</v>
      </c>
      <c r="C95" s="151"/>
      <c r="D95" s="149" t="s">
        <v>58</v>
      </c>
      <c r="E95" s="150"/>
      <c r="F95" s="151"/>
      <c r="G95" s="152">
        <f>_xlfn.IFNA(VLOOKUP(B95, 현재가테이블!$B$2:$D$200, 2, FALSE), "-")</f>
        <v>69894000</v>
      </c>
      <c r="H95" s="153"/>
      <c r="I95" s="154"/>
      <c r="J95" s="149" t="s">
        <v>59</v>
      </c>
      <c r="K95" s="150"/>
      <c r="L95" s="151"/>
      <c r="M95" s="155">
        <f>_xlfn.IFNA(VLOOKUP(B95, 현재가테이블!$B$2:$D$200, 3, FALSE), "-")</f>
        <v>2.1065856399999999E-2</v>
      </c>
      <c r="N95" s="156"/>
      <c r="O95" s="157"/>
      <c r="Q95" s="148"/>
      <c r="R95" s="148"/>
      <c r="S95" s="148"/>
    </row>
    <row r="96" spans="1:19" ht="17.25" thickBot="1">
      <c r="A96" s="198" t="s">
        <v>55</v>
      </c>
      <c r="B96" s="221" t="str">
        <f>TEXT($G$1, "[$-ko-KR]yyyy-mm-dd(ddd) ") &amp; "오전 00:00"</f>
        <v>2021-05-01(토) 오전 00:00</v>
      </c>
      <c r="C96" s="222"/>
      <c r="D96" s="162" t="str">
        <f>TEXT($G$1, "[$-ko-KR]yyyy-mm-dd(ddd) ") &amp; "오후 14:00"</f>
        <v>2021-05-01(토) 오후 14:00</v>
      </c>
      <c r="E96" s="163"/>
      <c r="F96" s="164"/>
      <c r="G96" s="162" t="str">
        <f>TEXT($G$1, "[$-ko-KR]yyyy-mm-dd(ddd) ") &amp; "오후 19:00"</f>
        <v>2021-05-01(토) 오후 19:00</v>
      </c>
      <c r="H96" s="163"/>
      <c r="I96" s="164"/>
      <c r="J96" s="162" t="str">
        <f>TEXT($G$1, "[$-ko-KR]yyyy-mm-dd(ddd) ") &amp; "오후 21:00"</f>
        <v>2021-05-01(토) 오후 21:00</v>
      </c>
      <c r="K96" s="163"/>
      <c r="L96" s="164"/>
      <c r="M96" s="162" t="str">
        <f>TEXT($G$1+1, "[$-ko-KR]yyyy-mm-dd(ddd) ") &amp; "오전 00:00"</f>
        <v>2021-05-02(일) 오전 00:00</v>
      </c>
      <c r="N96" s="163"/>
      <c r="O96" s="164"/>
      <c r="Q96" s="148"/>
      <c r="R96" s="148"/>
      <c r="S96" s="148"/>
    </row>
    <row r="97" spans="1:19" ht="17.25" thickBot="1">
      <c r="A97" s="193"/>
      <c r="B97" s="207" t="s">
        <v>58</v>
      </c>
      <c r="C97" s="208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38"/>
      <c r="R97" s="138"/>
      <c r="S97" s="138"/>
    </row>
    <row r="98" spans="1:19" ht="17.25" thickBot="1">
      <c r="A98" s="209"/>
      <c r="B98" s="210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48"/>
      <c r="R98" s="148"/>
      <c r="S98" s="148"/>
    </row>
    <row r="99" spans="1:19" ht="17.25" thickBot="1">
      <c r="A99" s="211"/>
      <c r="B99" s="212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48"/>
      <c r="R99" s="148"/>
      <c r="S99" s="148"/>
    </row>
    <row r="100" spans="1:19" ht="17.25" thickBot="1">
      <c r="A100" s="211"/>
      <c r="B100" s="212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38"/>
      <c r="R100" s="138"/>
      <c r="S100" s="138"/>
    </row>
    <row r="101" spans="1:19" ht="17.25" thickBot="1">
      <c r="A101" s="211"/>
      <c r="B101" s="212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38"/>
      <c r="R101" s="138"/>
      <c r="S101" s="138"/>
    </row>
    <row r="102" spans="1:19" ht="17.25" thickBot="1">
      <c r="A102" s="213"/>
      <c r="B102" s="214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38"/>
      <c r="R102" s="138"/>
      <c r="S102" s="138"/>
    </row>
    <row r="103" spans="1:19" ht="17.25" thickBot="1">
      <c r="A103" s="211"/>
      <c r="B103" s="215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38"/>
      <c r="R103" s="138"/>
      <c r="S103" s="138"/>
    </row>
    <row r="104" spans="1:19" ht="17.25" thickBot="1">
      <c r="A104" s="211"/>
      <c r="B104" s="212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38"/>
      <c r="R104" s="138"/>
      <c r="S104" s="138"/>
    </row>
    <row r="105" spans="1:19" ht="17.25" thickBot="1">
      <c r="A105" s="211"/>
      <c r="B105" s="212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38"/>
      <c r="R105" s="138"/>
      <c r="S105" s="138"/>
    </row>
    <row r="106" spans="1:19" ht="17.25" thickBot="1">
      <c r="A106" s="211"/>
      <c r="B106" s="212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16"/>
      <c r="B107" s="217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39"/>
      <c r="R107" s="140"/>
      <c r="S107" s="141"/>
    </row>
    <row r="108" spans="1:19">
      <c r="A108" s="209"/>
      <c r="B108" s="210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42"/>
      <c r="R108" s="143"/>
      <c r="S108" s="144"/>
    </row>
    <row r="109" spans="1:19" ht="17.25" thickBot="1">
      <c r="A109" s="211"/>
      <c r="B109" s="212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45"/>
      <c r="R109" s="146"/>
      <c r="S109" s="147"/>
    </row>
    <row r="110" spans="1:19" ht="17.25" thickBot="1">
      <c r="A110" s="211"/>
      <c r="B110" s="212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38"/>
      <c r="R110" s="138"/>
      <c r="S110" s="138"/>
    </row>
    <row r="111" spans="1:19" ht="17.25" thickBot="1">
      <c r="A111" s="211"/>
      <c r="B111" s="212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48"/>
      <c r="R111" s="148"/>
      <c r="S111" s="148"/>
    </row>
    <row r="112" spans="1:19" ht="17.25" thickBot="1">
      <c r="A112" s="213"/>
      <c r="B112" s="214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48"/>
      <c r="R112" s="148"/>
      <c r="S112" s="148"/>
    </row>
    <row r="113" spans="1:19" ht="17.25" thickBot="1">
      <c r="A113" s="211"/>
      <c r="B113" s="215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38"/>
      <c r="R113" s="138"/>
      <c r="S113" s="138"/>
    </row>
    <row r="114" spans="1:19" ht="17.25" thickBot="1">
      <c r="A114" s="211"/>
      <c r="B114" s="212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38"/>
      <c r="R114" s="138"/>
      <c r="S114" s="138"/>
    </row>
    <row r="115" spans="1:19" ht="17.25" thickBot="1">
      <c r="A115" s="211"/>
      <c r="B115" s="212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38"/>
      <c r="R115" s="138"/>
      <c r="S115" s="138"/>
    </row>
    <row r="116" spans="1:19">
      <c r="A116" s="211"/>
      <c r="B116" s="212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27"/>
      <c r="R116" s="128"/>
      <c r="S116" s="129"/>
    </row>
    <row r="117" spans="1:19" ht="17.25" thickBot="1">
      <c r="A117" s="216"/>
      <c r="B117" s="217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30"/>
      <c r="R117" s="131"/>
      <c r="S117" s="132"/>
    </row>
    <row r="118" spans="1:19" ht="17.25" thickBot="1">
      <c r="A118" s="218" t="s">
        <v>301</v>
      </c>
      <c r="B118" s="219">
        <f>$B$37</f>
        <v>300000</v>
      </c>
      <c r="C118" s="220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133"/>
      <c r="R118" s="134"/>
      <c r="S118" s="135"/>
    </row>
    <row r="120" spans="1:19" ht="17.25" thickBot="1"/>
    <row r="121" spans="1:19" ht="17.25" thickBot="1">
      <c r="A121" s="149" t="s">
        <v>288</v>
      </c>
      <c r="B121" s="150"/>
      <c r="C121" s="150"/>
      <c r="D121" s="150"/>
      <c r="E121" s="150"/>
      <c r="F121" s="150"/>
      <c r="G121" s="150"/>
      <c r="H121" s="150"/>
      <c r="I121" s="150"/>
      <c r="J121" s="150"/>
      <c r="K121" s="150"/>
      <c r="L121" s="150"/>
      <c r="M121" s="150"/>
      <c r="N121" s="150"/>
      <c r="O121" s="151"/>
      <c r="Q121" s="148"/>
      <c r="R121" s="148"/>
      <c r="S121" s="148"/>
    </row>
    <row r="122" spans="1:19" ht="17.25" thickBot="1">
      <c r="A122" s="116" t="s">
        <v>298</v>
      </c>
      <c r="B122" s="149" t="s">
        <v>49</v>
      </c>
      <c r="C122" s="151"/>
      <c r="D122" s="149" t="s">
        <v>58</v>
      </c>
      <c r="E122" s="150"/>
      <c r="F122" s="151"/>
      <c r="G122" s="152">
        <f>_xlfn.IFNA(VLOOKUP(B122, 현재가테이블!$B$2:$D$200, 2, FALSE), "-")</f>
        <v>69894000</v>
      </c>
      <c r="H122" s="153"/>
      <c r="I122" s="154"/>
      <c r="J122" s="149" t="s">
        <v>59</v>
      </c>
      <c r="K122" s="150"/>
      <c r="L122" s="151"/>
      <c r="M122" s="155">
        <f>_xlfn.IFNA(VLOOKUP(B122, 현재가테이블!$B$2:$D$200, 3, FALSE), "-")</f>
        <v>2.1065856399999999E-2</v>
      </c>
      <c r="N122" s="156"/>
      <c r="O122" s="157"/>
      <c r="Q122" s="148"/>
      <c r="R122" s="148"/>
      <c r="S122" s="148"/>
    </row>
    <row r="123" spans="1:19" ht="17.25" thickBot="1">
      <c r="A123" s="198" t="s">
        <v>55</v>
      </c>
      <c r="B123" s="221" t="str">
        <f>TEXT($G$1, "[$-ko-KR]yyyy-mm-dd(ddd) ") &amp; "오전 00:00"</f>
        <v>2021-05-01(토) 오전 00:00</v>
      </c>
      <c r="C123" s="222"/>
      <c r="D123" s="162" t="str">
        <f>TEXT($G$1, "[$-ko-KR]yyyy-mm-dd(ddd) ") &amp; "오후 14:00"</f>
        <v>2021-05-01(토) 오후 14:00</v>
      </c>
      <c r="E123" s="163"/>
      <c r="F123" s="164"/>
      <c r="G123" s="162" t="str">
        <f>TEXT($G$1, "[$-ko-KR]yyyy-mm-dd(ddd) ") &amp; "오후 19:00"</f>
        <v>2021-05-01(토) 오후 19:00</v>
      </c>
      <c r="H123" s="163"/>
      <c r="I123" s="164"/>
      <c r="J123" s="162" t="str">
        <f>TEXT($G$1, "[$-ko-KR]yyyy-mm-dd(ddd) ") &amp; "오후 21:00"</f>
        <v>2021-05-01(토) 오후 21:00</v>
      </c>
      <c r="K123" s="163"/>
      <c r="L123" s="164"/>
      <c r="M123" s="162" t="str">
        <f>TEXT($G$1+1, "[$-ko-KR]yyyy-mm-dd(ddd) ") &amp; "오전 00:00"</f>
        <v>2021-05-02(일) 오전 00:00</v>
      </c>
      <c r="N123" s="163"/>
      <c r="O123" s="164"/>
      <c r="Q123" s="148"/>
      <c r="R123" s="148"/>
      <c r="S123" s="148"/>
    </row>
    <row r="124" spans="1:19" ht="17.25" thickBot="1">
      <c r="A124" s="193"/>
      <c r="B124" s="207" t="s">
        <v>58</v>
      </c>
      <c r="C124" s="208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38"/>
      <c r="R124" s="138"/>
      <c r="S124" s="138"/>
    </row>
    <row r="125" spans="1:19" ht="17.25" thickBot="1">
      <c r="A125" s="209"/>
      <c r="B125" s="210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48"/>
      <c r="R125" s="148"/>
      <c r="S125" s="148"/>
    </row>
    <row r="126" spans="1:19" ht="17.25" thickBot="1">
      <c r="A126" s="211"/>
      <c r="B126" s="212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48"/>
      <c r="R126" s="148"/>
      <c r="S126" s="148"/>
    </row>
    <row r="127" spans="1:19" ht="17.25" thickBot="1">
      <c r="A127" s="211"/>
      <c r="B127" s="212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38"/>
      <c r="R127" s="138"/>
      <c r="S127" s="138"/>
    </row>
    <row r="128" spans="1:19" ht="17.25" thickBot="1">
      <c r="A128" s="211"/>
      <c r="B128" s="212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38"/>
      <c r="R128" s="138"/>
      <c r="S128" s="138"/>
    </row>
    <row r="129" spans="1:19" ht="17.25" thickBot="1">
      <c r="A129" s="213"/>
      <c r="B129" s="214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38"/>
      <c r="R129" s="138"/>
      <c r="S129" s="138"/>
    </row>
    <row r="130" spans="1:19" ht="17.25" thickBot="1">
      <c r="A130" s="211"/>
      <c r="B130" s="215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38"/>
      <c r="R130" s="138"/>
      <c r="S130" s="138"/>
    </row>
    <row r="131" spans="1:19" ht="17.25" thickBot="1">
      <c r="A131" s="211"/>
      <c r="B131" s="212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38"/>
      <c r="R131" s="138"/>
      <c r="S131" s="138"/>
    </row>
    <row r="132" spans="1:19" ht="17.25" thickBot="1">
      <c r="A132" s="211"/>
      <c r="B132" s="212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38"/>
      <c r="R132" s="138"/>
      <c r="S132" s="138"/>
    </row>
    <row r="133" spans="1:19" ht="17.25" thickBot="1">
      <c r="A133" s="211"/>
      <c r="B133" s="212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16"/>
      <c r="B134" s="217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39"/>
      <c r="R134" s="140"/>
      <c r="S134" s="141"/>
    </row>
    <row r="135" spans="1:19">
      <c r="A135" s="209"/>
      <c r="B135" s="210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42"/>
      <c r="R135" s="143"/>
      <c r="S135" s="144"/>
    </row>
    <row r="136" spans="1:19" ht="17.25" thickBot="1">
      <c r="A136" s="211"/>
      <c r="B136" s="212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45"/>
      <c r="R136" s="146"/>
      <c r="S136" s="147"/>
    </row>
    <row r="137" spans="1:19" ht="17.25" thickBot="1">
      <c r="A137" s="211"/>
      <c r="B137" s="212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38"/>
      <c r="R137" s="138"/>
      <c r="S137" s="138"/>
    </row>
    <row r="138" spans="1:19" ht="17.25" thickBot="1">
      <c r="A138" s="211"/>
      <c r="B138" s="212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48"/>
      <c r="R138" s="148"/>
      <c r="S138" s="148"/>
    </row>
    <row r="139" spans="1:19" ht="17.25" thickBot="1">
      <c r="A139" s="213"/>
      <c r="B139" s="214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48"/>
      <c r="R139" s="148"/>
      <c r="S139" s="148"/>
    </row>
    <row r="140" spans="1:19" ht="17.25" thickBot="1">
      <c r="A140" s="211"/>
      <c r="B140" s="215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38"/>
      <c r="R140" s="138"/>
      <c r="S140" s="138"/>
    </row>
    <row r="141" spans="1:19" ht="17.25" thickBot="1">
      <c r="A141" s="211"/>
      <c r="B141" s="212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38"/>
      <c r="R141" s="138"/>
      <c r="S141" s="138"/>
    </row>
    <row r="142" spans="1:19" ht="17.25" thickBot="1">
      <c r="A142" s="211"/>
      <c r="B142" s="212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38"/>
      <c r="R142" s="138"/>
      <c r="S142" s="138"/>
    </row>
    <row r="143" spans="1:19">
      <c r="A143" s="211"/>
      <c r="B143" s="212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27"/>
      <c r="R143" s="128"/>
      <c r="S143" s="129"/>
    </row>
    <row r="144" spans="1:19" ht="17.25" thickBot="1">
      <c r="A144" s="216"/>
      <c r="B144" s="217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30"/>
      <c r="R144" s="131"/>
      <c r="S144" s="132"/>
    </row>
    <row r="145" spans="1:19" ht="17.25" thickBot="1">
      <c r="A145" s="218" t="s">
        <v>301</v>
      </c>
      <c r="B145" s="219">
        <f>$B$37</f>
        <v>300000</v>
      </c>
      <c r="C145" s="220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133"/>
      <c r="R145" s="134"/>
      <c r="S145" s="135"/>
    </row>
    <row r="147" spans="1:19" ht="17.25" thickBot="1"/>
    <row r="148" spans="1:19" ht="17.25" thickBot="1">
      <c r="A148" s="149" t="s">
        <v>289</v>
      </c>
      <c r="B148" s="150"/>
      <c r="C148" s="150"/>
      <c r="D148" s="150"/>
      <c r="E148" s="150"/>
      <c r="F148" s="150"/>
      <c r="G148" s="150"/>
      <c r="H148" s="150"/>
      <c r="I148" s="150"/>
      <c r="J148" s="150"/>
      <c r="K148" s="150"/>
      <c r="L148" s="150"/>
      <c r="M148" s="150"/>
      <c r="N148" s="150"/>
      <c r="O148" s="151"/>
      <c r="Q148" s="148"/>
      <c r="R148" s="148"/>
      <c r="S148" s="148"/>
    </row>
    <row r="149" spans="1:19" ht="17.25" thickBot="1">
      <c r="A149" s="116" t="s">
        <v>298</v>
      </c>
      <c r="B149" s="149" t="s">
        <v>49</v>
      </c>
      <c r="C149" s="151"/>
      <c r="D149" s="149" t="s">
        <v>58</v>
      </c>
      <c r="E149" s="150"/>
      <c r="F149" s="151"/>
      <c r="G149" s="152">
        <f>_xlfn.IFNA(VLOOKUP(B149, 현재가테이블!$B$2:$D$200, 2, FALSE), "-")</f>
        <v>69894000</v>
      </c>
      <c r="H149" s="153"/>
      <c r="I149" s="154"/>
      <c r="J149" s="149" t="s">
        <v>59</v>
      </c>
      <c r="K149" s="150"/>
      <c r="L149" s="151"/>
      <c r="M149" s="155">
        <f>_xlfn.IFNA(VLOOKUP(B149, 현재가테이블!$B$2:$D$200, 3, FALSE), "-")</f>
        <v>2.1065856399999999E-2</v>
      </c>
      <c r="N149" s="156"/>
      <c r="O149" s="157"/>
      <c r="Q149" s="148"/>
      <c r="R149" s="148"/>
      <c r="S149" s="148"/>
    </row>
    <row r="150" spans="1:19" ht="17.25" thickBot="1">
      <c r="A150" s="198" t="s">
        <v>55</v>
      </c>
      <c r="B150" s="221" t="str">
        <f>TEXT($G$1, "[$-ko-KR]yyyy-mm-dd(ddd) ") &amp; "오전 00:00"</f>
        <v>2021-05-01(토) 오전 00:00</v>
      </c>
      <c r="C150" s="222"/>
      <c r="D150" s="162" t="str">
        <f>TEXT($G$1, "[$-ko-KR]yyyy-mm-dd(ddd) ") &amp; "오후 14:00"</f>
        <v>2021-05-01(토) 오후 14:00</v>
      </c>
      <c r="E150" s="163"/>
      <c r="F150" s="164"/>
      <c r="G150" s="162" t="str">
        <f>TEXT($G$1, "[$-ko-KR]yyyy-mm-dd(ddd) ") &amp; "오후 19:00"</f>
        <v>2021-05-01(토) 오후 19:00</v>
      </c>
      <c r="H150" s="163"/>
      <c r="I150" s="164"/>
      <c r="J150" s="162" t="str">
        <f>TEXT($G$1, "[$-ko-KR]yyyy-mm-dd(ddd) ") &amp; "오후 21:00"</f>
        <v>2021-05-01(토) 오후 21:00</v>
      </c>
      <c r="K150" s="163"/>
      <c r="L150" s="164"/>
      <c r="M150" s="162" t="str">
        <f>TEXT($G$1+1, "[$-ko-KR]yyyy-mm-dd(ddd) ") &amp; "오전 00:00"</f>
        <v>2021-05-02(일) 오전 00:00</v>
      </c>
      <c r="N150" s="163"/>
      <c r="O150" s="164"/>
      <c r="Q150" s="148"/>
      <c r="R150" s="148"/>
      <c r="S150" s="148"/>
    </row>
    <row r="151" spans="1:19" ht="17.25" thickBot="1">
      <c r="A151" s="193"/>
      <c r="B151" s="207" t="s">
        <v>58</v>
      </c>
      <c r="C151" s="208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38"/>
      <c r="R151" s="138"/>
      <c r="S151" s="138"/>
    </row>
    <row r="152" spans="1:19" ht="17.25" thickBot="1">
      <c r="A152" s="209"/>
      <c r="B152" s="210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48"/>
      <c r="R152" s="148"/>
      <c r="S152" s="148"/>
    </row>
    <row r="153" spans="1:19" ht="17.25" thickBot="1">
      <c r="A153" s="211"/>
      <c r="B153" s="212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48"/>
      <c r="R153" s="148"/>
      <c r="S153" s="148"/>
    </row>
    <row r="154" spans="1:19" ht="17.25" thickBot="1">
      <c r="A154" s="211"/>
      <c r="B154" s="212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38"/>
      <c r="R154" s="138"/>
      <c r="S154" s="138"/>
    </row>
    <row r="155" spans="1:19" ht="17.25" thickBot="1">
      <c r="A155" s="211"/>
      <c r="B155" s="212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38"/>
      <c r="R155" s="138"/>
      <c r="S155" s="138"/>
    </row>
    <row r="156" spans="1:19" ht="17.25" thickBot="1">
      <c r="A156" s="213"/>
      <c r="B156" s="214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38"/>
      <c r="R156" s="138"/>
      <c r="S156" s="138"/>
    </row>
    <row r="157" spans="1:19" ht="17.25" thickBot="1">
      <c r="A157" s="211"/>
      <c r="B157" s="215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38"/>
      <c r="R157" s="138"/>
      <c r="S157" s="138"/>
    </row>
    <row r="158" spans="1:19" ht="17.25" thickBot="1">
      <c r="A158" s="211"/>
      <c r="B158" s="212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38"/>
      <c r="R158" s="138"/>
      <c r="S158" s="138"/>
    </row>
    <row r="159" spans="1:19" ht="17.25" thickBot="1">
      <c r="A159" s="211"/>
      <c r="B159" s="212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38"/>
      <c r="R159" s="138"/>
      <c r="S159" s="138"/>
    </row>
    <row r="160" spans="1:19" ht="17.25" thickBot="1">
      <c r="A160" s="211"/>
      <c r="B160" s="212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16"/>
      <c r="B161" s="217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39"/>
      <c r="R161" s="140"/>
      <c r="S161" s="141"/>
    </row>
    <row r="162" spans="1:19">
      <c r="A162" s="209"/>
      <c r="B162" s="210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42"/>
      <c r="R162" s="143"/>
      <c r="S162" s="144"/>
    </row>
    <row r="163" spans="1:19" ht="17.25" thickBot="1">
      <c r="A163" s="211"/>
      <c r="B163" s="212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45"/>
      <c r="R163" s="146"/>
      <c r="S163" s="147"/>
    </row>
    <row r="164" spans="1:19" ht="17.25" thickBot="1">
      <c r="A164" s="211"/>
      <c r="B164" s="212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38"/>
      <c r="R164" s="138"/>
      <c r="S164" s="138"/>
    </row>
    <row r="165" spans="1:19" ht="17.25" thickBot="1">
      <c r="A165" s="211"/>
      <c r="B165" s="212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48"/>
      <c r="R165" s="148"/>
      <c r="S165" s="148"/>
    </row>
    <row r="166" spans="1:19" ht="17.25" thickBot="1">
      <c r="A166" s="213"/>
      <c r="B166" s="214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48"/>
      <c r="R166" s="148"/>
      <c r="S166" s="148"/>
    </row>
    <row r="167" spans="1:19" ht="17.25" thickBot="1">
      <c r="A167" s="211"/>
      <c r="B167" s="215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38"/>
      <c r="R167" s="138"/>
      <c r="S167" s="138"/>
    </row>
    <row r="168" spans="1:19" ht="17.25" thickBot="1">
      <c r="A168" s="211"/>
      <c r="B168" s="212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38"/>
      <c r="R168" s="138"/>
      <c r="S168" s="138"/>
    </row>
    <row r="169" spans="1:19" ht="17.25" thickBot="1">
      <c r="A169" s="211"/>
      <c r="B169" s="212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38"/>
      <c r="R169" s="138"/>
      <c r="S169" s="138"/>
    </row>
    <row r="170" spans="1:19">
      <c r="A170" s="211"/>
      <c r="B170" s="212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27"/>
      <c r="R170" s="128"/>
      <c r="S170" s="129"/>
    </row>
    <row r="171" spans="1:19" ht="17.25" thickBot="1">
      <c r="A171" s="216"/>
      <c r="B171" s="217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30"/>
      <c r="R171" s="131"/>
      <c r="S171" s="132"/>
    </row>
    <row r="172" spans="1:19" ht="17.25" thickBot="1">
      <c r="A172" s="218" t="s">
        <v>301</v>
      </c>
      <c r="B172" s="219">
        <f>$B$37</f>
        <v>300000</v>
      </c>
      <c r="C172" s="220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133"/>
      <c r="R172" s="134"/>
      <c r="S172" s="135"/>
    </row>
    <row r="174" spans="1:19" ht="17.25" thickBot="1"/>
    <row r="175" spans="1:19" ht="17.25" thickBot="1">
      <c r="A175" s="149" t="s">
        <v>285</v>
      </c>
      <c r="B175" s="150"/>
      <c r="C175" s="150"/>
      <c r="D175" s="150"/>
      <c r="E175" s="150"/>
      <c r="F175" s="150"/>
      <c r="G175" s="150"/>
      <c r="H175" s="150"/>
      <c r="I175" s="150"/>
      <c r="J175" s="150"/>
      <c r="K175" s="150"/>
      <c r="L175" s="150"/>
      <c r="M175" s="150"/>
      <c r="N175" s="150"/>
      <c r="O175" s="151"/>
      <c r="Q175" s="148"/>
      <c r="R175" s="148"/>
      <c r="S175" s="148"/>
    </row>
    <row r="176" spans="1:19" ht="17.25" thickBot="1">
      <c r="A176" s="116" t="s">
        <v>298</v>
      </c>
      <c r="B176" s="149" t="s">
        <v>49</v>
      </c>
      <c r="C176" s="151"/>
      <c r="D176" s="149" t="s">
        <v>58</v>
      </c>
      <c r="E176" s="150"/>
      <c r="F176" s="151"/>
      <c r="G176" s="152">
        <f>_xlfn.IFNA(VLOOKUP(B176, 현재가테이블!$B$2:$D$200, 2, FALSE), "-")</f>
        <v>69894000</v>
      </c>
      <c r="H176" s="153"/>
      <c r="I176" s="154"/>
      <c r="J176" s="149" t="s">
        <v>59</v>
      </c>
      <c r="K176" s="150"/>
      <c r="L176" s="151"/>
      <c r="M176" s="155">
        <f>_xlfn.IFNA(VLOOKUP(B176, 현재가테이블!$B$2:$D$200, 3, FALSE), "-")</f>
        <v>2.1065856399999999E-2</v>
      </c>
      <c r="N176" s="156"/>
      <c r="O176" s="157"/>
      <c r="Q176" s="148"/>
      <c r="R176" s="148"/>
      <c r="S176" s="148"/>
    </row>
    <row r="177" spans="1:19" ht="17.25" thickBot="1">
      <c r="A177" s="198" t="s">
        <v>55</v>
      </c>
      <c r="B177" s="221" t="str">
        <f>TEXT($G$1, "[$-ko-KR]yyyy-mm-dd(ddd) ") &amp; "오전 00:00"</f>
        <v>2021-05-01(토) 오전 00:00</v>
      </c>
      <c r="C177" s="222"/>
      <c r="D177" s="162" t="str">
        <f>TEXT($G$1, "[$-ko-KR]yyyy-mm-dd(ddd) ") &amp; "오후 14:00"</f>
        <v>2021-05-01(토) 오후 14:00</v>
      </c>
      <c r="E177" s="163"/>
      <c r="F177" s="164"/>
      <c r="G177" s="162" t="str">
        <f>TEXT($G$1, "[$-ko-KR]yyyy-mm-dd(ddd) ") &amp; "오후 19:00"</f>
        <v>2021-05-01(토) 오후 19:00</v>
      </c>
      <c r="H177" s="163"/>
      <c r="I177" s="164"/>
      <c r="J177" s="162" t="str">
        <f>TEXT($G$1, "[$-ko-KR]yyyy-mm-dd(ddd) ") &amp; "오후 21:00"</f>
        <v>2021-05-01(토) 오후 21:00</v>
      </c>
      <c r="K177" s="163"/>
      <c r="L177" s="164"/>
      <c r="M177" s="162" t="str">
        <f>TEXT($G$1+1, "[$-ko-KR]yyyy-mm-dd(ddd) ") &amp; "오전 00:00"</f>
        <v>2021-05-02(일) 오전 00:00</v>
      </c>
      <c r="N177" s="163"/>
      <c r="O177" s="164"/>
      <c r="Q177" s="148"/>
      <c r="R177" s="148"/>
      <c r="S177" s="148"/>
    </row>
    <row r="178" spans="1:19" ht="17.25" thickBot="1">
      <c r="A178" s="193"/>
      <c r="B178" s="207" t="s">
        <v>58</v>
      </c>
      <c r="C178" s="208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38"/>
      <c r="R178" s="138"/>
      <c r="S178" s="138"/>
    </row>
    <row r="179" spans="1:19" ht="17.25" thickBot="1">
      <c r="A179" s="209"/>
      <c r="B179" s="210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48"/>
      <c r="R179" s="148"/>
      <c r="S179" s="148"/>
    </row>
    <row r="180" spans="1:19" ht="17.25" thickBot="1">
      <c r="A180" s="211"/>
      <c r="B180" s="212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48"/>
      <c r="R180" s="148"/>
      <c r="S180" s="148"/>
    </row>
    <row r="181" spans="1:19" ht="17.25" thickBot="1">
      <c r="A181" s="211"/>
      <c r="B181" s="212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38"/>
      <c r="R181" s="138"/>
      <c r="S181" s="138"/>
    </row>
    <row r="182" spans="1:19" ht="17.25" thickBot="1">
      <c r="A182" s="211"/>
      <c r="B182" s="212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38"/>
      <c r="R182" s="138"/>
      <c r="S182" s="138"/>
    </row>
    <row r="183" spans="1:19" ht="17.25" thickBot="1">
      <c r="A183" s="213"/>
      <c r="B183" s="214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38"/>
      <c r="R183" s="138"/>
      <c r="S183" s="138"/>
    </row>
    <row r="184" spans="1:19" ht="17.25" thickBot="1">
      <c r="A184" s="211"/>
      <c r="B184" s="215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38"/>
      <c r="R184" s="138"/>
      <c r="S184" s="138"/>
    </row>
    <row r="185" spans="1:19" ht="17.25" thickBot="1">
      <c r="A185" s="211"/>
      <c r="B185" s="212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38"/>
      <c r="R185" s="138"/>
      <c r="S185" s="138"/>
    </row>
    <row r="186" spans="1:19" ht="17.25" thickBot="1">
      <c r="A186" s="211"/>
      <c r="B186" s="212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38"/>
      <c r="R186" s="138"/>
      <c r="S186" s="138"/>
    </row>
    <row r="187" spans="1:19" ht="17.25" thickBot="1">
      <c r="A187" s="211"/>
      <c r="B187" s="212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16"/>
      <c r="B188" s="217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39"/>
      <c r="R188" s="140"/>
      <c r="S188" s="141"/>
    </row>
    <row r="189" spans="1:19">
      <c r="A189" s="209"/>
      <c r="B189" s="210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42"/>
      <c r="R189" s="143"/>
      <c r="S189" s="144"/>
    </row>
    <row r="190" spans="1:19" ht="17.25" thickBot="1">
      <c r="A190" s="211"/>
      <c r="B190" s="212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45"/>
      <c r="R190" s="146"/>
      <c r="S190" s="147"/>
    </row>
    <row r="191" spans="1:19" ht="17.25" thickBot="1">
      <c r="A191" s="211"/>
      <c r="B191" s="212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38"/>
      <c r="R191" s="138"/>
      <c r="S191" s="138"/>
    </row>
    <row r="192" spans="1:19" ht="17.25" thickBot="1">
      <c r="A192" s="211"/>
      <c r="B192" s="212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48"/>
      <c r="R192" s="148"/>
      <c r="S192" s="148"/>
    </row>
    <row r="193" spans="1:19" ht="17.25" thickBot="1">
      <c r="A193" s="213"/>
      <c r="B193" s="214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48"/>
      <c r="R193" s="148"/>
      <c r="S193" s="148"/>
    </row>
    <row r="194" spans="1:19" ht="17.25" thickBot="1">
      <c r="A194" s="211"/>
      <c r="B194" s="215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38"/>
      <c r="R194" s="138"/>
      <c r="S194" s="138"/>
    </row>
    <row r="195" spans="1:19" ht="17.25" thickBot="1">
      <c r="A195" s="211"/>
      <c r="B195" s="212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38"/>
      <c r="R195" s="138"/>
      <c r="S195" s="138"/>
    </row>
    <row r="196" spans="1:19" ht="17.25" thickBot="1">
      <c r="A196" s="211"/>
      <c r="B196" s="212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38"/>
      <c r="R196" s="138"/>
      <c r="S196" s="138"/>
    </row>
    <row r="197" spans="1:19">
      <c r="A197" s="211"/>
      <c r="B197" s="212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27"/>
      <c r="R197" s="128"/>
      <c r="S197" s="129"/>
    </row>
    <row r="198" spans="1:19" ht="17.25" thickBot="1">
      <c r="A198" s="216"/>
      <c r="B198" s="217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30"/>
      <c r="R198" s="131"/>
      <c r="S198" s="132"/>
    </row>
    <row r="199" spans="1:19" ht="17.25" thickBot="1">
      <c r="A199" s="218" t="s">
        <v>301</v>
      </c>
      <c r="B199" s="219">
        <f>$B$37</f>
        <v>300000</v>
      </c>
      <c r="C199" s="220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133"/>
      <c r="R199" s="134"/>
      <c r="S199" s="135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98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8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8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8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8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98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97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97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97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97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975" priority="289">
      <formula>AND($N17 &gt; 0, ISNUMBER($N17))</formula>
    </cfRule>
    <cfRule type="expression" dxfId="974" priority="290">
      <formula>AND($N17 = 0 * ISNUMBER($N17))</formula>
    </cfRule>
    <cfRule type="expression" dxfId="973" priority="291">
      <formula>AND($N17 &lt; 0, ISNUMBER($N17))</formula>
    </cfRule>
  </conditionalFormatting>
  <conditionalFormatting sqref="A17:C36 D17:F36">
    <cfRule type="expression" dxfId="972" priority="298">
      <formula>AND($E17 &gt; 0, ISNUMBER($E17))</formula>
    </cfRule>
    <cfRule type="expression" dxfId="971" priority="299">
      <formula>AND($E17 = 0 * ISNUMBER($E17))</formula>
    </cfRule>
    <cfRule type="expression" dxfId="970" priority="300">
      <formula>AND($E17 &lt; 0, ISNUMBER($E17))</formula>
    </cfRule>
  </conditionalFormatting>
  <conditionalFormatting sqref="A17:C36 G17:I36">
    <cfRule type="expression" dxfId="969" priority="295">
      <formula>AND($H17 &gt; 0, ISNUMBER($H17))</formula>
    </cfRule>
    <cfRule type="expression" dxfId="968" priority="296">
      <formula>AND($H17 = 0 * ISNUMBER($H17))</formula>
    </cfRule>
    <cfRule type="expression" dxfId="967" priority="297">
      <formula>AND($H17 &lt; 0, ISNUMBER($H17))</formula>
    </cfRule>
  </conditionalFormatting>
  <conditionalFormatting sqref="A17:C36 J17:L36">
    <cfRule type="expression" dxfId="966" priority="292">
      <formula>AND($K17 &gt; 0, ISNUMBER($K17))</formula>
    </cfRule>
    <cfRule type="expression" dxfId="965" priority="293">
      <formula>AND($K17 = 0 * ISNUMBER($K17))</formula>
    </cfRule>
    <cfRule type="expression" dxfId="964" priority="294">
      <formula>AND($K17 &lt; 0, ISNUMBER($K17))</formula>
    </cfRule>
  </conditionalFormatting>
  <conditionalFormatting sqref="D15:F16 E37:F37">
    <cfRule type="expression" dxfId="963" priority="286">
      <formula>$E$37 &gt; 0</formula>
    </cfRule>
    <cfRule type="expression" dxfId="962" priority="287">
      <formula>$E$37 = 0</formula>
    </cfRule>
    <cfRule type="expression" dxfId="961" priority="288">
      <formula>$E$37 &lt; 0</formula>
    </cfRule>
  </conditionalFormatting>
  <conditionalFormatting sqref="G15:I16 H37:I37">
    <cfRule type="expression" dxfId="960" priority="283">
      <formula>$H$37 &gt; 0</formula>
    </cfRule>
    <cfRule type="expression" dxfId="959" priority="284">
      <formula>$H$37 = 0</formula>
    </cfRule>
    <cfRule type="expression" dxfId="958" priority="285">
      <formula>$H$37 &lt; 0</formula>
    </cfRule>
  </conditionalFormatting>
  <conditionalFormatting sqref="J15:L16 K37:L37">
    <cfRule type="expression" dxfId="957" priority="280">
      <formula>$K$37 &gt; 0</formula>
    </cfRule>
    <cfRule type="expression" dxfId="956" priority="281">
      <formula>$K$37 = 0</formula>
    </cfRule>
    <cfRule type="expression" dxfId="955" priority="282">
      <formula>$K$37 &lt; 0</formula>
    </cfRule>
  </conditionalFormatting>
  <conditionalFormatting sqref="M15:O16 N37:O37">
    <cfRule type="expression" dxfId="954" priority="277">
      <formula>$N$37 &gt; 0</formula>
    </cfRule>
    <cfRule type="expression" dxfId="953" priority="278">
      <formula>$N$37 = 0</formula>
    </cfRule>
    <cfRule type="expression" dxfId="952" priority="279">
      <formula>$N$37 &lt; 0</formula>
    </cfRule>
  </conditionalFormatting>
  <conditionalFormatting sqref="A44:C63 M44:O63">
    <cfRule type="expression" dxfId="951" priority="265">
      <formula>AND($N44 &gt; 0, ISNUMBER($N44))</formula>
    </cfRule>
    <cfRule type="expression" dxfId="950" priority="266">
      <formula>AND($N44 = 0 * ISNUMBER($N44))</formula>
    </cfRule>
    <cfRule type="expression" dxfId="949" priority="267">
      <formula>AND($N44 &lt; 0, ISNUMBER($N44))</formula>
    </cfRule>
  </conditionalFormatting>
  <conditionalFormatting sqref="A44:F63">
    <cfRule type="expression" dxfId="948" priority="274">
      <formula>AND($E44 &gt; 0, ISNUMBER($E44))</formula>
    </cfRule>
    <cfRule type="expression" dxfId="947" priority="275">
      <formula>AND($E44 = 0 * ISNUMBER($E44))</formula>
    </cfRule>
    <cfRule type="expression" dxfId="946" priority="276">
      <formula>AND($E44 &lt; 0, ISNUMBER($E44))</formula>
    </cfRule>
  </conditionalFormatting>
  <conditionalFormatting sqref="A44:C63 G44:I63">
    <cfRule type="expression" dxfId="945" priority="271">
      <formula>AND($H44 &gt; 0, ISNUMBER($H44))</formula>
    </cfRule>
    <cfRule type="expression" dxfId="944" priority="272">
      <formula>AND($H44 = 0 * ISNUMBER($H44))</formula>
    </cfRule>
    <cfRule type="expression" dxfId="943" priority="273">
      <formula>AND($H44 &lt; 0, ISNUMBER($H44))</formula>
    </cfRule>
  </conditionalFormatting>
  <conditionalFormatting sqref="A44:C63 J44:L63">
    <cfRule type="expression" dxfId="942" priority="268">
      <formula>AND($K44 &gt; 0, ISNUMBER($K44))</formula>
    </cfRule>
    <cfRule type="expression" dxfId="941" priority="269">
      <formula>AND($K44 = 0 * ISNUMBER($K44))</formula>
    </cfRule>
    <cfRule type="expression" dxfId="940" priority="270">
      <formula>AND($K44 &lt; 0, ISNUMBER($K44))</formula>
    </cfRule>
  </conditionalFormatting>
  <conditionalFormatting sqref="D42:F43 E64:F64">
    <cfRule type="expression" dxfId="939" priority="262">
      <formula>$E$64 &gt; 0</formula>
    </cfRule>
    <cfRule type="expression" dxfId="938" priority="263">
      <formula>$E$64 = 0</formula>
    </cfRule>
    <cfRule type="expression" dxfId="937" priority="264">
      <formula>$E$64 &lt; 0</formula>
    </cfRule>
  </conditionalFormatting>
  <conditionalFormatting sqref="G42:I43 H64:I64">
    <cfRule type="expression" dxfId="936" priority="259">
      <formula>$H$64 &gt; 0</formula>
    </cfRule>
    <cfRule type="expression" dxfId="935" priority="260">
      <formula>$H$64 = 0</formula>
    </cfRule>
    <cfRule type="expression" dxfId="934" priority="261">
      <formula>$H$64 &lt; 0</formula>
    </cfRule>
  </conditionalFormatting>
  <conditionalFormatting sqref="J42:L43 K64:L64">
    <cfRule type="expression" dxfId="933" priority="256">
      <formula>$K$64 &gt; 0</formula>
    </cfRule>
    <cfRule type="expression" dxfId="932" priority="257">
      <formula>$K$64 = 0</formula>
    </cfRule>
    <cfRule type="expression" dxfId="931" priority="258">
      <formula>$K$64 &lt; 0</formula>
    </cfRule>
  </conditionalFormatting>
  <conditionalFormatting sqref="M42:O43 N64:O64">
    <cfRule type="expression" dxfId="930" priority="253">
      <formula>$N$64 &gt; 0</formula>
    </cfRule>
    <cfRule type="expression" dxfId="929" priority="254">
      <formula>$N$64 = 0</formula>
    </cfRule>
    <cfRule type="expression" dxfId="928" priority="255">
      <formula>$N$64 &lt; 0</formula>
    </cfRule>
  </conditionalFormatting>
  <conditionalFormatting sqref="A71:C90 M71:O90">
    <cfRule type="expression" dxfId="927" priority="109">
      <formula>AND($N71 &gt; 0, ISNUMBER($N71))</formula>
    </cfRule>
    <cfRule type="expression" dxfId="926" priority="110">
      <formula>AND($N71 = 0 * ISNUMBER($N71))</formula>
    </cfRule>
    <cfRule type="expression" dxfId="925" priority="111">
      <formula>AND($N71 &lt; 0, ISNUMBER($N71))</formula>
    </cfRule>
  </conditionalFormatting>
  <conditionalFormatting sqref="A71:F90">
    <cfRule type="expression" dxfId="924" priority="118">
      <formula>AND($E71 &gt; 0, ISNUMBER($E71))</formula>
    </cfRule>
    <cfRule type="expression" dxfId="923" priority="119">
      <formula>AND($E71 = 0 * ISNUMBER($E71))</formula>
    </cfRule>
    <cfRule type="expression" dxfId="922" priority="120">
      <formula>AND($E71 &lt; 0, ISNUMBER($E71))</formula>
    </cfRule>
  </conditionalFormatting>
  <conditionalFormatting sqref="A71:C90 G71:I90">
    <cfRule type="expression" dxfId="921" priority="115">
      <formula>AND($H71 &gt; 0, ISNUMBER($H71))</formula>
    </cfRule>
    <cfRule type="expression" dxfId="920" priority="116">
      <formula>AND($H71 = 0 * ISNUMBER($H71))</formula>
    </cfRule>
    <cfRule type="expression" dxfId="919" priority="117">
      <formula>AND($H71 &lt; 0, ISNUMBER($H71))</formula>
    </cfRule>
  </conditionalFormatting>
  <conditionalFormatting sqref="A71:C90 J71:L90">
    <cfRule type="expression" dxfId="918" priority="112">
      <formula>AND($K71 &gt; 0, ISNUMBER($K71))</formula>
    </cfRule>
    <cfRule type="expression" dxfId="917" priority="113">
      <formula>AND($K71 = 0 * ISNUMBER($K71))</formula>
    </cfRule>
    <cfRule type="expression" dxfId="916" priority="114">
      <formula>AND($K71 &lt; 0, ISNUMBER($K71))</formula>
    </cfRule>
  </conditionalFormatting>
  <conditionalFormatting sqref="D69:F70 E91:F91">
    <cfRule type="expression" dxfId="915" priority="106">
      <formula>$E$91 &gt; 0</formula>
    </cfRule>
    <cfRule type="expression" dxfId="914" priority="107">
      <formula>$E$91 = 0</formula>
    </cfRule>
    <cfRule type="expression" dxfId="913" priority="108">
      <formula>$E$91 &lt; 0</formula>
    </cfRule>
  </conditionalFormatting>
  <conditionalFormatting sqref="G69:I70 H91:I91">
    <cfRule type="expression" dxfId="912" priority="103">
      <formula>$H$91 &gt; 0</formula>
    </cfRule>
    <cfRule type="expression" dxfId="911" priority="104">
      <formula>$H$91 = 0</formula>
    </cfRule>
    <cfRule type="expression" dxfId="910" priority="105">
      <formula>$H$91 &lt; 0</formula>
    </cfRule>
  </conditionalFormatting>
  <conditionalFormatting sqref="J69:L70 K91:L91">
    <cfRule type="expression" dxfId="909" priority="100">
      <formula>$K$91 &gt; 0</formula>
    </cfRule>
    <cfRule type="expression" dxfId="908" priority="101">
      <formula>$K$91 = 0</formula>
    </cfRule>
    <cfRule type="expression" dxfId="907" priority="102">
      <formula>$K$91 &lt; 0</formula>
    </cfRule>
  </conditionalFormatting>
  <conditionalFormatting sqref="M69:O70 N91:O91">
    <cfRule type="expression" dxfId="906" priority="97">
      <formula>$N$91 &gt; 0</formula>
    </cfRule>
    <cfRule type="expression" dxfId="905" priority="98">
      <formula>$N$91 = 0</formula>
    </cfRule>
    <cfRule type="expression" dxfId="904" priority="99">
      <formula>$N$91 &lt; 0</formula>
    </cfRule>
  </conditionalFormatting>
  <conditionalFormatting sqref="A98:C117 M98:O117">
    <cfRule type="expression" dxfId="903" priority="85">
      <formula>AND($N98 &gt; 0, ISNUMBER($N98))</formula>
    </cfRule>
    <cfRule type="expression" dxfId="902" priority="86">
      <formula>AND($N98 = 0 * ISNUMBER($N98))</formula>
    </cfRule>
    <cfRule type="expression" dxfId="901" priority="87">
      <formula>AND($N98 &lt; 0, ISNUMBER($N98))</formula>
    </cfRule>
  </conditionalFormatting>
  <conditionalFormatting sqref="A98:F117">
    <cfRule type="expression" dxfId="900" priority="94">
      <formula>AND($E98 &gt; 0, ISNUMBER($E98))</formula>
    </cfRule>
    <cfRule type="expression" dxfId="899" priority="95">
      <formula>AND($E98 = 0 * ISNUMBER($E98))</formula>
    </cfRule>
    <cfRule type="expression" dxfId="898" priority="96">
      <formula>AND($E98 &lt; 0, ISNUMBER($E98))</formula>
    </cfRule>
  </conditionalFormatting>
  <conditionalFormatting sqref="A98:C117 G98:I117">
    <cfRule type="expression" dxfId="897" priority="91">
      <formula>AND($H98 &gt; 0, ISNUMBER($H98))</formula>
    </cfRule>
    <cfRule type="expression" dxfId="896" priority="92">
      <formula>AND($H98 = 0 * ISNUMBER($H98))</formula>
    </cfRule>
    <cfRule type="expression" dxfId="895" priority="93">
      <formula>AND($H98 &lt; 0, ISNUMBER($H98))</formula>
    </cfRule>
  </conditionalFormatting>
  <conditionalFormatting sqref="A98:C117 J98:L117">
    <cfRule type="expression" dxfId="894" priority="88">
      <formula>AND($K98 &gt; 0, ISNUMBER($K98))</formula>
    </cfRule>
    <cfRule type="expression" dxfId="893" priority="89">
      <formula>AND($K98 = 0 * ISNUMBER($K98))</formula>
    </cfRule>
    <cfRule type="expression" dxfId="892" priority="90">
      <formula>AND($K98 &lt; 0, ISNUMBER($K98))</formula>
    </cfRule>
  </conditionalFormatting>
  <conditionalFormatting sqref="D96:F97 E118:F118">
    <cfRule type="expression" dxfId="891" priority="82">
      <formula>$E$118 &gt; 0</formula>
    </cfRule>
    <cfRule type="expression" dxfId="890" priority="83">
      <formula>$E$118 = 0</formula>
    </cfRule>
    <cfRule type="expression" dxfId="889" priority="84">
      <formula>$E$118 &lt; 0</formula>
    </cfRule>
  </conditionalFormatting>
  <conditionalFormatting sqref="G96:I97 H118:I118">
    <cfRule type="expression" dxfId="888" priority="79">
      <formula>$H$118 &gt; 0</formula>
    </cfRule>
    <cfRule type="expression" dxfId="887" priority="80">
      <formula>$H$118 = 0</formula>
    </cfRule>
    <cfRule type="expression" dxfId="886" priority="81">
      <formula>$H$118 &lt; 0</formula>
    </cfRule>
  </conditionalFormatting>
  <conditionalFormatting sqref="J96:L97 K118:L118">
    <cfRule type="expression" dxfId="885" priority="76">
      <formula>$K$118 &gt; 0</formula>
    </cfRule>
    <cfRule type="expression" dxfId="884" priority="77">
      <formula>$K$118 = 0</formula>
    </cfRule>
    <cfRule type="expression" dxfId="883" priority="78">
      <formula>$K$118 &lt; 0</formula>
    </cfRule>
  </conditionalFormatting>
  <conditionalFormatting sqref="M96:O97 N118:O118">
    <cfRule type="expression" dxfId="882" priority="73">
      <formula>$N$118 &gt; 0</formula>
    </cfRule>
    <cfRule type="expression" dxfId="881" priority="74">
      <formula>$N$118 = 0</formula>
    </cfRule>
    <cfRule type="expression" dxfId="880" priority="75">
      <formula>$N$118 &lt; 0</formula>
    </cfRule>
  </conditionalFormatting>
  <conditionalFormatting sqref="A125:C144 M125:O144">
    <cfRule type="expression" dxfId="879" priority="61">
      <formula>AND($N125 &gt; 0, ISNUMBER($N125))</formula>
    </cfRule>
    <cfRule type="expression" dxfId="878" priority="62">
      <formula>AND($N125 = 0 * ISNUMBER($N125))</formula>
    </cfRule>
    <cfRule type="expression" dxfId="877" priority="63">
      <formula>AND($N125 &lt; 0, ISNUMBER($N125))</formula>
    </cfRule>
  </conditionalFormatting>
  <conditionalFormatting sqref="A125:F144">
    <cfRule type="expression" dxfId="876" priority="70">
      <formula>AND($E125 &gt; 0, ISNUMBER($E125))</formula>
    </cfRule>
    <cfRule type="expression" dxfId="875" priority="71">
      <formula>AND($E125 = 0 * ISNUMBER($E125))</formula>
    </cfRule>
    <cfRule type="expression" dxfId="874" priority="72">
      <formula>AND($E125 &lt; 0, ISNUMBER($E125))</formula>
    </cfRule>
  </conditionalFormatting>
  <conditionalFormatting sqref="A125:C144 G125:I144">
    <cfRule type="expression" dxfId="873" priority="67">
      <formula>AND($H125 &gt; 0, ISNUMBER($H125))</formula>
    </cfRule>
    <cfRule type="expression" dxfId="872" priority="68">
      <formula>AND($H125 = 0 * ISNUMBER($H125))</formula>
    </cfRule>
    <cfRule type="expression" dxfId="871" priority="69">
      <formula>AND($H125 &lt; 0, ISNUMBER($H125))</formula>
    </cfRule>
  </conditionalFormatting>
  <conditionalFormatting sqref="A125:C144 J125:L144">
    <cfRule type="expression" dxfId="870" priority="64">
      <formula>AND($K125 &gt; 0, ISNUMBER($K125))</formula>
    </cfRule>
    <cfRule type="expression" dxfId="869" priority="65">
      <formula>AND($K125 = 0 * ISNUMBER($K125))</formula>
    </cfRule>
    <cfRule type="expression" dxfId="868" priority="66">
      <formula>AND($K125 &lt; 0, ISNUMBER($K125))</formula>
    </cfRule>
  </conditionalFormatting>
  <conditionalFormatting sqref="D123:F124 E145:F145">
    <cfRule type="expression" dxfId="867" priority="58">
      <formula>$E$145 &gt; 0</formula>
    </cfRule>
    <cfRule type="expression" dxfId="866" priority="59">
      <formula>$E$145 = 0</formula>
    </cfRule>
    <cfRule type="expression" dxfId="865" priority="60">
      <formula>$E$145 &lt; 0</formula>
    </cfRule>
  </conditionalFormatting>
  <conditionalFormatting sqref="G123:I124 H145:I145">
    <cfRule type="expression" dxfId="864" priority="55">
      <formula>$H$145 &gt; 0</formula>
    </cfRule>
    <cfRule type="expression" dxfId="863" priority="56">
      <formula>$H$145 = 0</formula>
    </cfRule>
    <cfRule type="expression" dxfId="862" priority="57">
      <formula>$H$145 &lt; 0</formula>
    </cfRule>
  </conditionalFormatting>
  <conditionalFormatting sqref="J123:L124 K145:L145">
    <cfRule type="expression" dxfId="861" priority="52">
      <formula>$K$145 &gt; 0</formula>
    </cfRule>
    <cfRule type="expression" dxfId="860" priority="53">
      <formula>$K$145 = 0</formula>
    </cfRule>
    <cfRule type="expression" dxfId="859" priority="54">
      <formula>$K$145 &lt; 0</formula>
    </cfRule>
  </conditionalFormatting>
  <conditionalFormatting sqref="M123:O124 N145:O145">
    <cfRule type="expression" dxfId="858" priority="49">
      <formula>$N$145 &gt; 0</formula>
    </cfRule>
    <cfRule type="expression" dxfId="857" priority="50">
      <formula>$N$145 = 0</formula>
    </cfRule>
    <cfRule type="expression" dxfId="856" priority="51">
      <formula>$N$145 &lt; 0</formula>
    </cfRule>
  </conditionalFormatting>
  <conditionalFormatting sqref="A152:C171 M152:O171">
    <cfRule type="expression" dxfId="855" priority="37">
      <formula>AND($N152 &gt; 0, ISNUMBER($N152))</formula>
    </cfRule>
    <cfRule type="expression" dxfId="854" priority="38">
      <formula>AND($N152 = 0 * ISNUMBER($N152))</formula>
    </cfRule>
    <cfRule type="expression" dxfId="853" priority="39">
      <formula>AND($N152 &lt; 0, ISNUMBER($N152))</formula>
    </cfRule>
  </conditionalFormatting>
  <conditionalFormatting sqref="A152:F171">
    <cfRule type="expression" dxfId="852" priority="46">
      <formula>AND($E152 &gt; 0, ISNUMBER($E152))</formula>
    </cfRule>
    <cfRule type="expression" dxfId="851" priority="47">
      <formula>AND($E152 = 0 * ISNUMBER($E152))</formula>
    </cfRule>
    <cfRule type="expression" dxfId="850" priority="48">
      <formula>AND($E152 &lt; 0, ISNUMBER($E152))</formula>
    </cfRule>
  </conditionalFormatting>
  <conditionalFormatting sqref="A152:C171 G152:I171">
    <cfRule type="expression" dxfId="849" priority="43">
      <formula>AND($H152 &gt; 0, ISNUMBER($H152))</formula>
    </cfRule>
    <cfRule type="expression" dxfId="848" priority="44">
      <formula>AND($H152 = 0 * ISNUMBER($H152))</formula>
    </cfRule>
    <cfRule type="expression" dxfId="847" priority="45">
      <formula>AND($H152 &lt; 0, ISNUMBER($H152))</formula>
    </cfRule>
  </conditionalFormatting>
  <conditionalFormatting sqref="A152:C171 J152:L171">
    <cfRule type="expression" dxfId="846" priority="40">
      <formula>AND($K152 &gt; 0, ISNUMBER($K152))</formula>
    </cfRule>
    <cfRule type="expression" dxfId="845" priority="41">
      <formula>AND($K152 = 0 * ISNUMBER($K152))</formula>
    </cfRule>
    <cfRule type="expression" dxfId="844" priority="42">
      <formula>AND($K152 &lt; 0, ISNUMBER($K152))</formula>
    </cfRule>
  </conditionalFormatting>
  <conditionalFormatting sqref="D150:F151 E172:F172">
    <cfRule type="expression" dxfId="843" priority="34">
      <formula>$E$172 &gt; 0</formula>
    </cfRule>
    <cfRule type="expression" dxfId="842" priority="35">
      <formula>$E$172 = 0</formula>
    </cfRule>
    <cfRule type="expression" dxfId="841" priority="36">
      <formula>$E$172 &lt; 0</formula>
    </cfRule>
  </conditionalFormatting>
  <conditionalFormatting sqref="G150:I151 H172:I172">
    <cfRule type="expression" dxfId="840" priority="31">
      <formula>$H$172 &gt; 0</formula>
    </cfRule>
    <cfRule type="expression" dxfId="839" priority="32">
      <formula>$H$172 = 0</formula>
    </cfRule>
    <cfRule type="expression" dxfId="838" priority="33">
      <formula>$H$172 &lt; 0</formula>
    </cfRule>
  </conditionalFormatting>
  <conditionalFormatting sqref="J150:L151 K172:L172">
    <cfRule type="expression" dxfId="837" priority="28">
      <formula>$K$172 &gt; 0</formula>
    </cfRule>
    <cfRule type="expression" dxfId="836" priority="29">
      <formula>$K$172 = 0</formula>
    </cfRule>
    <cfRule type="expression" dxfId="835" priority="30">
      <formula>$K$172 &lt; 0</formula>
    </cfRule>
  </conditionalFormatting>
  <conditionalFormatting sqref="M150:O151 N172:O172">
    <cfRule type="expression" dxfId="834" priority="25">
      <formula>$N$172 &gt; 0</formula>
    </cfRule>
    <cfRule type="expression" dxfId="833" priority="26">
      <formula>$N$172 = 0</formula>
    </cfRule>
    <cfRule type="expression" dxfId="832" priority="27">
      <formula>$N$172 &lt; 0</formula>
    </cfRule>
  </conditionalFormatting>
  <conditionalFormatting sqref="A179:C198 M179:O198">
    <cfRule type="expression" dxfId="831" priority="13">
      <formula>AND($N179 &gt; 0, ISNUMBER($N179))</formula>
    </cfRule>
    <cfRule type="expression" dxfId="830" priority="14">
      <formula>AND($N179 = 0 * ISNUMBER($N179))</formula>
    </cfRule>
    <cfRule type="expression" dxfId="829" priority="15">
      <formula>AND($N179 &lt; 0, ISNUMBER($N179))</formula>
    </cfRule>
  </conditionalFormatting>
  <conditionalFormatting sqref="A179:F198">
    <cfRule type="expression" dxfId="828" priority="22">
      <formula>AND($E179 &gt; 0, ISNUMBER($E179))</formula>
    </cfRule>
    <cfRule type="expression" dxfId="827" priority="23">
      <formula>AND($E179 = 0 * ISNUMBER($E179))</formula>
    </cfRule>
    <cfRule type="expression" dxfId="826" priority="24">
      <formula>AND($E179 &lt; 0, ISNUMBER($E179))</formula>
    </cfRule>
  </conditionalFormatting>
  <conditionalFormatting sqref="A179:C198 G179:I198">
    <cfRule type="expression" dxfId="825" priority="19">
      <formula>AND($H179 &gt; 0, ISNUMBER($H179))</formula>
    </cfRule>
    <cfRule type="expression" dxfId="824" priority="20">
      <formula>AND($H179 = 0 * ISNUMBER($H179))</formula>
    </cfRule>
    <cfRule type="expression" dxfId="823" priority="21">
      <formula>AND($H179 &lt; 0, ISNUMBER($H179))</formula>
    </cfRule>
  </conditionalFormatting>
  <conditionalFormatting sqref="A179:C198 J179:L198">
    <cfRule type="expression" dxfId="822" priority="16">
      <formula>AND($K179 &gt; 0, ISNUMBER($K179))</formula>
    </cfRule>
    <cfRule type="expression" dxfId="821" priority="17">
      <formula>AND($K179 = 0 * ISNUMBER($K179))</formula>
    </cfRule>
    <cfRule type="expression" dxfId="820" priority="18">
      <formula>AND($K179 &lt; 0, ISNUMBER($K179))</formula>
    </cfRule>
  </conditionalFormatting>
  <conditionalFormatting sqref="D177:F178 E199:F199">
    <cfRule type="expression" dxfId="819" priority="10">
      <formula>$E$199 &gt; 0</formula>
    </cfRule>
    <cfRule type="expression" dxfId="818" priority="11">
      <formula>$E$199 = 0</formula>
    </cfRule>
    <cfRule type="expression" dxfId="817" priority="12">
      <formula>$E$199 &lt; 0</formula>
    </cfRule>
  </conditionalFormatting>
  <conditionalFormatting sqref="G177:I178 H199:I199">
    <cfRule type="expression" dxfId="816" priority="7">
      <formula>$H$199 &gt; 0</formula>
    </cfRule>
    <cfRule type="expression" dxfId="815" priority="8">
      <formula>$H$199 = 0</formula>
    </cfRule>
    <cfRule type="expression" dxfId="814" priority="9">
      <formula>$H$199 &lt; 0</formula>
    </cfRule>
  </conditionalFormatting>
  <conditionalFormatting sqref="J177:L178 K199:L199">
    <cfRule type="expression" dxfId="813" priority="4">
      <formula>$K$199 &gt; 0</formula>
    </cfRule>
    <cfRule type="expression" dxfId="812" priority="5">
      <formula>$K$199 = 0</formula>
    </cfRule>
    <cfRule type="expression" dxfId="811" priority="6">
      <formula>$K$199 &lt; 0</formula>
    </cfRule>
  </conditionalFormatting>
  <conditionalFormatting sqref="M177:O178 N199:O199">
    <cfRule type="expression" dxfId="810" priority="1">
      <formula>$N$199 &gt; 0</formula>
    </cfRule>
    <cfRule type="expression" dxfId="809" priority="2">
      <formula>$N$199 = 0</formula>
    </cfRule>
    <cfRule type="expression" dxfId="80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11" sqref="K11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163</v>
      </c>
      <c r="B2" s="11" t="s">
        <v>164</v>
      </c>
      <c r="C2" s="95">
        <v>40570</v>
      </c>
      <c r="D2" s="92">
        <v>0.4111304348</v>
      </c>
      <c r="E2" s="93">
        <v>21410640.750606392</v>
      </c>
      <c r="F2" s="35"/>
      <c r="G2" s="54"/>
      <c r="H2" s="35"/>
      <c r="I2" s="35"/>
    </row>
    <row r="3" spans="1:18" ht="17.25" thickBot="1">
      <c r="A3" s="40" t="s">
        <v>117</v>
      </c>
      <c r="B3" s="11" t="s">
        <v>118</v>
      </c>
      <c r="C3" s="95">
        <v>7970</v>
      </c>
      <c r="D3" s="92">
        <v>0.16011644829999999</v>
      </c>
      <c r="E3" s="93">
        <v>18900894.020199519</v>
      </c>
      <c r="F3" s="35"/>
      <c r="G3" s="198" t="s">
        <v>290</v>
      </c>
      <c r="H3" s="199" t="s">
        <v>305</v>
      </c>
      <c r="I3" s="199"/>
      <c r="K3" s="149" t="s">
        <v>34</v>
      </c>
      <c r="L3" s="150"/>
      <c r="M3" s="150"/>
      <c r="N3" s="151"/>
      <c r="O3" s="149" t="s">
        <v>292</v>
      </c>
      <c r="P3" s="150"/>
      <c r="Q3" s="150"/>
      <c r="R3" s="151"/>
    </row>
    <row r="4" spans="1:18" ht="17.25" thickBot="1">
      <c r="A4" s="40" t="s">
        <v>143</v>
      </c>
      <c r="B4" s="11" t="s">
        <v>144</v>
      </c>
      <c r="C4" s="95">
        <v>10830</v>
      </c>
      <c r="D4" s="92">
        <v>0.1436114044</v>
      </c>
      <c r="E4" s="93">
        <v>15556152.57955466</v>
      </c>
      <c r="F4" s="35"/>
      <c r="G4" s="193"/>
      <c r="H4" s="200"/>
      <c r="I4" s="200"/>
      <c r="K4" s="197" t="s">
        <v>55</v>
      </c>
      <c r="L4" s="194">
        <f ca="1">NOW()</f>
        <v>44320.098231481483</v>
      </c>
      <c r="M4" s="195"/>
      <c r="N4" s="196"/>
      <c r="O4" s="192" t="s">
        <v>55</v>
      </c>
      <c r="P4" s="194">
        <f ca="1">NOW()</f>
        <v>44320.098231481483</v>
      </c>
      <c r="Q4" s="195"/>
      <c r="R4" s="196"/>
    </row>
    <row r="5" spans="1:18" ht="17.25" thickBot="1">
      <c r="A5" s="40" t="s">
        <v>68</v>
      </c>
      <c r="B5" s="11" t="s">
        <v>69</v>
      </c>
      <c r="C5" s="95">
        <v>14500</v>
      </c>
      <c r="D5" s="92">
        <v>0.1196911197</v>
      </c>
      <c r="E5" s="93">
        <v>22484203.583394948</v>
      </c>
      <c r="F5" s="35"/>
      <c r="K5" s="193"/>
      <c r="L5" s="36" t="s">
        <v>58</v>
      </c>
      <c r="M5" s="73" t="s">
        <v>59</v>
      </c>
      <c r="N5" s="69" t="s">
        <v>294</v>
      </c>
      <c r="O5" s="193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267</v>
      </c>
      <c r="B6" s="11" t="s">
        <v>268</v>
      </c>
      <c r="C6" s="95">
        <v>113</v>
      </c>
      <c r="D6" s="92">
        <v>0.1188118812</v>
      </c>
      <c r="E6" s="93">
        <v>910066441.1423353</v>
      </c>
      <c r="F6" s="35"/>
      <c r="G6" s="149" t="s">
        <v>52</v>
      </c>
      <c r="H6" s="150"/>
      <c r="I6" s="151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164</v>
      </c>
      <c r="M6" s="76">
        <f t="shared" ref="M6:M25" ca="1" si="1">_xlfn.IFNA(VLOOKUP(K6, $B$2:$E$200, 3, FALSE), "")</f>
        <v>1.8633540399999999E-2</v>
      </c>
      <c r="N6" s="85">
        <f ca="1">_xlfn.IFNA(VLOOKUP(K6, $B$2:$E$200, 4, FALSE), "")</f>
        <v>124878270.61087216</v>
      </c>
      <c r="O6" s="46" t="str">
        <f>INDEX($A$2:$D$200, MATCH(LARGE($D$2:$D$200, 1), $D$2:$D$200, 0), 2)</f>
        <v>웨이브</v>
      </c>
      <c r="P6" s="38">
        <f t="shared" ref="P6:P25" si="2">_xlfn.IFNA(VLOOKUP(O6, $B$2:$D$200, 2, FALSE), "")</f>
        <v>40570</v>
      </c>
      <c r="Q6" s="76">
        <f t="shared" ref="Q6:Q25" si="3">_xlfn.IFNA(VLOOKUP(O6, $B$2:$D$200, 3, FALSE), "")</f>
        <v>0.4111304348</v>
      </c>
      <c r="R6" s="85">
        <f>_xlfn.IFNA(VLOOKUP(O6, $B$2:$E$200, 4, FALSE), "")</f>
        <v>21410640.750606392</v>
      </c>
    </row>
    <row r="7" spans="1:18">
      <c r="A7" s="40" t="s">
        <v>115</v>
      </c>
      <c r="B7" s="11" t="s">
        <v>116</v>
      </c>
      <c r="C7" s="95">
        <v>784</v>
      </c>
      <c r="D7" s="92">
        <v>0.1136363636</v>
      </c>
      <c r="E7" s="93">
        <v>47477029.542752489</v>
      </c>
      <c r="F7" s="35"/>
      <c r="G7" s="177" t="s">
        <v>36</v>
      </c>
      <c r="H7" s="178"/>
      <c r="I7" s="179"/>
      <c r="K7" s="56" t="str">
        <f ca="1">IFERROR(OFFSET(INDIRECT($H$3 &amp; "!A17"), 1, 0), "")</f>
        <v>폴리매쓰</v>
      </c>
      <c r="L7" s="39">
        <f t="shared" ca="1" si="0"/>
        <v>493</v>
      </c>
      <c r="M7" s="77">
        <f t="shared" ca="1" si="1"/>
        <v>8.1799591000000001E-3</v>
      </c>
      <c r="N7" s="86">
        <f t="shared" ref="N7:N25" ca="1" si="4">_xlfn.IFNA(VLOOKUP(K7, $B$2:$E$200, 4, FALSE), "")</f>
        <v>25926173.56897375</v>
      </c>
      <c r="O7" s="47" t="str">
        <f>INDEX($A$2:$D$200, MATCH(LARGE($D$2:$D$200, 2), $D$2:$D$200, 0), 2)</f>
        <v>카바</v>
      </c>
      <c r="P7" s="39">
        <f t="shared" si="2"/>
        <v>7970</v>
      </c>
      <c r="Q7" s="77">
        <f t="shared" si="3"/>
        <v>0.16011644829999999</v>
      </c>
      <c r="R7" s="86">
        <f t="shared" ref="R7:R25" si="5">_xlfn.IFNA(VLOOKUP(O7, $B$2:$E$200, 4, FALSE), "")</f>
        <v>18900894.020199519</v>
      </c>
    </row>
    <row r="8" spans="1:18" ht="17.25" thickBot="1">
      <c r="A8" s="40" t="s">
        <v>179</v>
      </c>
      <c r="B8" s="11" t="s">
        <v>180</v>
      </c>
      <c r="C8" s="95">
        <v>5365</v>
      </c>
      <c r="D8" s="92">
        <v>0.1016427105</v>
      </c>
      <c r="E8" s="93">
        <v>36885090.310705982</v>
      </c>
      <c r="F8" s="35"/>
      <c r="G8" s="170"/>
      <c r="H8" s="171"/>
      <c r="I8" s="172"/>
      <c r="K8" s="56" t="str">
        <f ca="1">IFERROR(OFFSET(INDIRECT($H$3 &amp; "!A17"), 2, 0), "")</f>
        <v>헤데라해시그래프</v>
      </c>
      <c r="L8" s="39">
        <f t="shared" ca="1" si="0"/>
        <v>399</v>
      </c>
      <c r="M8" s="77">
        <f t="shared" ca="1" si="1"/>
        <v>2.5125628000000001E-3</v>
      </c>
      <c r="N8" s="86">
        <f t="shared" ca="1" si="4"/>
        <v>47759188.460980132</v>
      </c>
      <c r="O8" s="47" t="str">
        <f>INDEX($A$2:$D$200, MATCH(LARGE($D$2:$D$200, 3), $D$2:$D$200, 0), 2)</f>
        <v>오미세고</v>
      </c>
      <c r="P8" s="39">
        <f t="shared" si="2"/>
        <v>10830</v>
      </c>
      <c r="Q8" s="77">
        <f t="shared" si="3"/>
        <v>0.1436114044</v>
      </c>
      <c r="R8" s="86">
        <f t="shared" si="5"/>
        <v>15556152.57955466</v>
      </c>
    </row>
    <row r="9" spans="1:18" ht="17.25" thickBot="1">
      <c r="A9" s="40" t="s">
        <v>101</v>
      </c>
      <c r="B9" s="11" t="s">
        <v>102</v>
      </c>
      <c r="C9" s="95">
        <v>59680</v>
      </c>
      <c r="D9" s="92">
        <v>9.7462302299999998E-2</v>
      </c>
      <c r="E9" s="93">
        <v>29018101.25200513</v>
      </c>
      <c r="F9" s="35"/>
      <c r="G9" s="9" t="s">
        <v>38</v>
      </c>
      <c r="H9" s="150" t="s">
        <v>37</v>
      </c>
      <c r="I9" s="151"/>
      <c r="K9" s="56" t="str">
        <f ca="1">IFERROR(OFFSET(INDIRECT($H$3 &amp; "!A17"), 3, 0), "")</f>
        <v>헌트</v>
      </c>
      <c r="L9" s="39">
        <f t="shared" ca="1" si="0"/>
        <v>444</v>
      </c>
      <c r="M9" s="77">
        <f t="shared" ca="1" si="1"/>
        <v>0</v>
      </c>
      <c r="N9" s="86">
        <f t="shared" ca="1" si="4"/>
        <v>30195427.449813511</v>
      </c>
      <c r="O9" s="47" t="str">
        <f>INDEX($A$2:$D$200, MATCH(LARGE($D$2:$D$200, 4), $D$2:$D$200, 0), 2)</f>
        <v>세럼</v>
      </c>
      <c r="P9" s="39">
        <f t="shared" si="2"/>
        <v>14500</v>
      </c>
      <c r="Q9" s="77">
        <f t="shared" si="3"/>
        <v>0.1196911197</v>
      </c>
      <c r="R9" s="86">
        <f t="shared" si="5"/>
        <v>22484203.583394948</v>
      </c>
    </row>
    <row r="10" spans="1:18">
      <c r="A10" s="40" t="s">
        <v>219</v>
      </c>
      <c r="B10" s="11" t="s">
        <v>220</v>
      </c>
      <c r="C10" s="95">
        <v>24.6</v>
      </c>
      <c r="D10" s="92">
        <v>8.8495575199999996E-2</v>
      </c>
      <c r="E10" s="93">
        <v>1579058952.5117164</v>
      </c>
      <c r="F10" s="35"/>
      <c r="G10" s="186">
        <f>_xlfn.IFNA(VLOOKUP(G7, $B$2:$D$200, 3, FALSE), "-")</f>
        <v>2.1065856399999999E-2</v>
      </c>
      <c r="H10" s="188">
        <f>_xlfn.IFNA(VLOOKUP(G7, $B$2:$D$200, 2, FALSE), "-")</f>
        <v>69894000</v>
      </c>
      <c r="I10" s="189"/>
      <c r="K10" s="58" t="str">
        <f ca="1">IFERROR(OFFSET(INDIRECT($H$3 &amp; "!A17"), 4, 0), "")</f>
        <v>비체인</v>
      </c>
      <c r="L10" s="44">
        <f t="shared" ca="1" si="0"/>
        <v>259</v>
      </c>
      <c r="M10" s="78">
        <f t="shared" ca="1" si="1"/>
        <v>-3.8461538E-3</v>
      </c>
      <c r="N10" s="90">
        <f t="shared" ca="1" si="4"/>
        <v>795225788.62671161</v>
      </c>
      <c r="O10" s="47" t="str">
        <f>INDEX($A$2:$D$200, MATCH(LARGE($D$2:$D$200, 5), $D$2:$D$200, 0), 2)</f>
        <v>람다</v>
      </c>
      <c r="P10" s="39">
        <f t="shared" si="2"/>
        <v>113</v>
      </c>
      <c r="Q10" s="77">
        <f t="shared" si="3"/>
        <v>0.1188118812</v>
      </c>
      <c r="R10" s="90">
        <f t="shared" si="5"/>
        <v>910066441.1423353</v>
      </c>
    </row>
    <row r="11" spans="1:18" ht="17.25" thickBot="1">
      <c r="A11" s="40" t="s">
        <v>135</v>
      </c>
      <c r="B11" s="11" t="s">
        <v>136</v>
      </c>
      <c r="C11" s="95">
        <v>266</v>
      </c>
      <c r="D11" s="92">
        <v>8.1300813E-2</v>
      </c>
      <c r="E11" s="93">
        <v>97825545.099865913</v>
      </c>
      <c r="F11" s="35"/>
      <c r="G11" s="187"/>
      <c r="H11" s="190"/>
      <c r="I11" s="19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샌드박스</v>
      </c>
      <c r="P11" s="45">
        <f t="shared" si="2"/>
        <v>784</v>
      </c>
      <c r="Q11" s="80">
        <f t="shared" si="3"/>
        <v>0.1136363636</v>
      </c>
      <c r="R11" s="99">
        <f t="shared" si="5"/>
        <v>47477029.542752489</v>
      </c>
    </row>
    <row r="12" spans="1:18" ht="17.25" thickBot="1">
      <c r="A12" s="40" t="s">
        <v>89</v>
      </c>
      <c r="B12" s="11" t="s">
        <v>90</v>
      </c>
      <c r="C12" s="95">
        <v>432550</v>
      </c>
      <c r="D12" s="92">
        <v>8.0294705300000005E-2</v>
      </c>
      <c r="E12" s="93">
        <v>71398.177635180007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메탈</v>
      </c>
      <c r="P12" s="39">
        <f t="shared" si="2"/>
        <v>5365</v>
      </c>
      <c r="Q12" s="77">
        <f t="shared" si="3"/>
        <v>0.1016427105</v>
      </c>
      <c r="R12" s="86">
        <f t="shared" si="5"/>
        <v>36885090.310705982</v>
      </c>
    </row>
    <row r="13" spans="1:18" ht="17.25" thickBot="1">
      <c r="A13" s="40" t="s">
        <v>141</v>
      </c>
      <c r="B13" s="11" t="s">
        <v>142</v>
      </c>
      <c r="C13" s="95">
        <v>466</v>
      </c>
      <c r="D13" s="92">
        <v>7.8703703700000002E-2</v>
      </c>
      <c r="E13" s="93">
        <v>76800721.285237446</v>
      </c>
      <c r="F13" s="35"/>
      <c r="G13" s="149" t="s">
        <v>70</v>
      </c>
      <c r="H13" s="150"/>
      <c r="I13" s="15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이더리움클래식</v>
      </c>
      <c r="P13" s="39">
        <f t="shared" si="2"/>
        <v>59680</v>
      </c>
      <c r="Q13" s="77">
        <f t="shared" si="3"/>
        <v>9.7462302299999998E-2</v>
      </c>
      <c r="R13" s="86">
        <f t="shared" si="5"/>
        <v>29018101.25200513</v>
      </c>
    </row>
    <row r="14" spans="1:18">
      <c r="A14" s="40" t="s">
        <v>241</v>
      </c>
      <c r="B14" s="11" t="s">
        <v>242</v>
      </c>
      <c r="C14" s="95">
        <v>7330</v>
      </c>
      <c r="D14" s="92">
        <v>7.7149154999999997E-2</v>
      </c>
      <c r="E14" s="93">
        <v>8563188.8816633504</v>
      </c>
      <c r="F14" s="35"/>
      <c r="G14" s="177" t="s">
        <v>36</v>
      </c>
      <c r="H14" s="178"/>
      <c r="I14" s="179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메인프레임</v>
      </c>
      <c r="P14" s="39">
        <f t="shared" si="2"/>
        <v>24.6</v>
      </c>
      <c r="Q14" s="77">
        <f t="shared" si="3"/>
        <v>8.8495575199999996E-2</v>
      </c>
      <c r="R14" s="86">
        <f t="shared" si="5"/>
        <v>1579058952.5117164</v>
      </c>
    </row>
    <row r="15" spans="1:18" ht="17.25" thickBot="1">
      <c r="A15" s="40" t="s">
        <v>113</v>
      </c>
      <c r="B15" s="11" t="s">
        <v>114</v>
      </c>
      <c r="C15" s="95">
        <v>14250</v>
      </c>
      <c r="D15" s="92">
        <v>7.7097505699999999E-2</v>
      </c>
      <c r="E15" s="93">
        <v>1829124.5794235601</v>
      </c>
      <c r="F15" s="35"/>
      <c r="G15" s="170"/>
      <c r="H15" s="171"/>
      <c r="I15" s="17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질리카</v>
      </c>
      <c r="P15" s="37">
        <f t="shared" si="2"/>
        <v>266</v>
      </c>
      <c r="Q15" s="79">
        <f t="shared" si="3"/>
        <v>8.1300813E-2</v>
      </c>
      <c r="R15" s="87">
        <f t="shared" si="5"/>
        <v>97825545.099865913</v>
      </c>
    </row>
    <row r="16" spans="1:18" ht="17.25" thickBot="1">
      <c r="A16" s="40" t="s">
        <v>95</v>
      </c>
      <c r="B16" s="11" t="s">
        <v>96</v>
      </c>
      <c r="C16" s="95">
        <v>3836000</v>
      </c>
      <c r="D16" s="92">
        <v>7.6620825099999998E-2</v>
      </c>
      <c r="E16" s="93">
        <v>210215.49173556</v>
      </c>
      <c r="F16" s="35"/>
      <c r="G16" s="9" t="s">
        <v>38</v>
      </c>
      <c r="H16" s="150" t="s">
        <v>37</v>
      </c>
      <c r="I16" s="15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비트코인에스브이</v>
      </c>
      <c r="P16" s="38">
        <f t="shared" si="2"/>
        <v>432550</v>
      </c>
      <c r="Q16" s="76">
        <f t="shared" si="3"/>
        <v>8.0294705300000005E-2</v>
      </c>
      <c r="R16" s="85">
        <f t="shared" si="5"/>
        <v>71398.177635180007</v>
      </c>
    </row>
    <row r="17" spans="1:18">
      <c r="A17" s="40" t="s">
        <v>193</v>
      </c>
      <c r="B17" s="11" t="s">
        <v>194</v>
      </c>
      <c r="C17" s="95">
        <v>16130</v>
      </c>
      <c r="D17" s="92">
        <v>7.3901464700000002E-2</v>
      </c>
      <c r="E17" s="93">
        <v>6330291.6000830103</v>
      </c>
      <c r="F17" s="35"/>
      <c r="G17" s="186">
        <f>_xlfn.IFNA(VLOOKUP(G14, $B$2:$D$200, 3, FALSE), "-")</f>
        <v>2.1065856399999999E-2</v>
      </c>
      <c r="H17" s="188">
        <f>_xlfn.IFNA(VLOOKUP(G14, $B$2:$D$200, 2, FALSE), "-")</f>
        <v>69894000</v>
      </c>
      <c r="I17" s="18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쎄타퓨엘</v>
      </c>
      <c r="P17" s="39">
        <f t="shared" si="2"/>
        <v>466</v>
      </c>
      <c r="Q17" s="77">
        <f t="shared" si="3"/>
        <v>7.8703703700000002E-2</v>
      </c>
      <c r="R17" s="86">
        <f t="shared" si="5"/>
        <v>76800721.285237446</v>
      </c>
    </row>
    <row r="18" spans="1:18" ht="17.25" thickBot="1">
      <c r="A18" s="40" t="s">
        <v>275</v>
      </c>
      <c r="B18" s="11" t="s">
        <v>276</v>
      </c>
      <c r="C18" s="95">
        <v>4535</v>
      </c>
      <c r="D18" s="92">
        <v>6.8315665499999997E-2</v>
      </c>
      <c r="E18" s="93">
        <v>16448087.488512781</v>
      </c>
      <c r="F18" s="35"/>
      <c r="G18" s="187"/>
      <c r="H18" s="190"/>
      <c r="I18" s="19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리스크</v>
      </c>
      <c r="P18" s="39">
        <f t="shared" si="2"/>
        <v>7330</v>
      </c>
      <c r="Q18" s="77">
        <f t="shared" si="3"/>
        <v>7.7149154999999997E-2</v>
      </c>
      <c r="R18" s="86">
        <f t="shared" si="5"/>
        <v>8563188.8816633504</v>
      </c>
    </row>
    <row r="19" spans="1:18" ht="17.25" thickBot="1">
      <c r="A19" s="40" t="s">
        <v>127</v>
      </c>
      <c r="B19" s="11" t="s">
        <v>128</v>
      </c>
      <c r="C19" s="95">
        <v>731</v>
      </c>
      <c r="D19" s="92">
        <v>6.5597667600000006E-2</v>
      </c>
      <c r="E19" s="93">
        <v>68105943.763945013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쎄타토큰</v>
      </c>
      <c r="P19" s="39">
        <f t="shared" si="2"/>
        <v>14250</v>
      </c>
      <c r="Q19" s="77">
        <f t="shared" si="3"/>
        <v>7.7097505699999999E-2</v>
      </c>
      <c r="R19" s="86">
        <f t="shared" si="5"/>
        <v>1829124.5794235601</v>
      </c>
    </row>
    <row r="20" spans="1:18" ht="17.25" thickBot="1">
      <c r="A20" s="40" t="s">
        <v>295</v>
      </c>
      <c r="B20" s="11" t="s">
        <v>296</v>
      </c>
      <c r="C20" s="95">
        <v>482</v>
      </c>
      <c r="D20" s="92">
        <v>6.4017660000000004E-2</v>
      </c>
      <c r="E20" s="93">
        <v>2336169232.8285913</v>
      </c>
      <c r="F20" s="35"/>
      <c r="G20" s="149" t="s">
        <v>286</v>
      </c>
      <c r="H20" s="150"/>
      <c r="I20" s="15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이더리움</v>
      </c>
      <c r="P20" s="39">
        <f t="shared" si="2"/>
        <v>3836000</v>
      </c>
      <c r="Q20" s="77">
        <f t="shared" si="3"/>
        <v>7.6620825099999998E-2</v>
      </c>
      <c r="R20" s="90">
        <f t="shared" si="5"/>
        <v>210215.49173556</v>
      </c>
    </row>
    <row r="21" spans="1:18">
      <c r="A21" s="40" t="s">
        <v>149</v>
      </c>
      <c r="B21" s="11" t="s">
        <v>150</v>
      </c>
      <c r="C21" s="95">
        <v>6990</v>
      </c>
      <c r="D21" s="92">
        <v>5.9893859000000001E-2</v>
      </c>
      <c r="E21" s="93">
        <v>28776034.32421967</v>
      </c>
      <c r="F21" s="35"/>
      <c r="G21" s="177" t="s">
        <v>36</v>
      </c>
      <c r="H21" s="178"/>
      <c r="I21" s="179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톤</v>
      </c>
      <c r="P21" s="45">
        <f t="shared" si="2"/>
        <v>16130</v>
      </c>
      <c r="Q21" s="80">
        <f t="shared" si="3"/>
        <v>7.3901464700000002E-2</v>
      </c>
      <c r="R21" s="99">
        <f t="shared" si="5"/>
        <v>6330291.6000830103</v>
      </c>
    </row>
    <row r="22" spans="1:18" ht="17.25" thickBot="1">
      <c r="A22" s="40" t="s">
        <v>103</v>
      </c>
      <c r="B22" s="11" t="s">
        <v>104</v>
      </c>
      <c r="C22" s="95">
        <v>2405</v>
      </c>
      <c r="D22" s="92">
        <v>5.71428571E-2</v>
      </c>
      <c r="E22" s="93">
        <v>24643552.97538979</v>
      </c>
      <c r="F22" s="35"/>
      <c r="G22" s="170"/>
      <c r="H22" s="171"/>
      <c r="I22" s="17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스트라티스</v>
      </c>
      <c r="P22" s="39">
        <f t="shared" si="2"/>
        <v>4535</v>
      </c>
      <c r="Q22" s="77">
        <f t="shared" si="3"/>
        <v>6.8315665499999997E-2</v>
      </c>
      <c r="R22" s="86">
        <f t="shared" si="5"/>
        <v>16448087.488512781</v>
      </c>
    </row>
    <row r="23" spans="1:18" ht="17.25" thickBot="1">
      <c r="A23" s="40" t="s">
        <v>153</v>
      </c>
      <c r="B23" s="11" t="s">
        <v>154</v>
      </c>
      <c r="C23" s="95">
        <v>24.1</v>
      </c>
      <c r="D23" s="92">
        <v>5.7017543900000002E-2</v>
      </c>
      <c r="E23" s="93">
        <v>2250555579.0413489</v>
      </c>
      <c r="F23" s="35"/>
      <c r="G23" s="9" t="s">
        <v>38</v>
      </c>
      <c r="H23" s="150" t="s">
        <v>37</v>
      </c>
      <c r="I23" s="15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시빅</v>
      </c>
      <c r="P23" s="39">
        <f t="shared" si="2"/>
        <v>731</v>
      </c>
      <c r="Q23" s="77">
        <f t="shared" si="3"/>
        <v>6.5597667600000006E-2</v>
      </c>
      <c r="R23" s="86">
        <f t="shared" si="5"/>
        <v>68105943.763945013</v>
      </c>
    </row>
    <row r="24" spans="1:18">
      <c r="A24" s="40" t="s">
        <v>177</v>
      </c>
      <c r="B24" s="11" t="s">
        <v>178</v>
      </c>
      <c r="C24" s="95">
        <v>52450</v>
      </c>
      <c r="D24" s="92">
        <v>5.5969397999999997E-2</v>
      </c>
      <c r="E24" s="93">
        <v>970971.36687445</v>
      </c>
      <c r="F24" s="35"/>
      <c r="G24" s="186">
        <f>_xlfn.IFNA(VLOOKUP(G21, $B$2:$D$200, 3, FALSE), "-")</f>
        <v>2.1065856399999999E-2</v>
      </c>
      <c r="H24" s="188">
        <f>_xlfn.IFNA(VLOOKUP(G21, $B$2:$D$200, 2, FALSE), "-")</f>
        <v>69894000</v>
      </c>
      <c r="I24" s="18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도지코인</v>
      </c>
      <c r="P24" s="39">
        <f t="shared" si="2"/>
        <v>482</v>
      </c>
      <c r="Q24" s="77">
        <f t="shared" si="3"/>
        <v>6.4017660000000004E-2</v>
      </c>
      <c r="R24" s="86">
        <f t="shared" si="5"/>
        <v>2336169232.8285913</v>
      </c>
    </row>
    <row r="25" spans="1:18" ht="17.25" thickBot="1">
      <c r="A25" s="40" t="s">
        <v>129</v>
      </c>
      <c r="B25" s="11" t="s">
        <v>130</v>
      </c>
      <c r="C25" s="95">
        <v>342850</v>
      </c>
      <c r="D25" s="92">
        <v>5.5247768500000002E-2</v>
      </c>
      <c r="E25" s="93">
        <v>127098.35768966</v>
      </c>
      <c r="F25" s="35"/>
      <c r="G25" s="187"/>
      <c r="H25" s="190"/>
      <c r="I25" s="191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스와이프</v>
      </c>
      <c r="P25" s="37">
        <f t="shared" si="2"/>
        <v>6990</v>
      </c>
      <c r="Q25" s="79">
        <f t="shared" si="3"/>
        <v>5.9893859000000001E-2</v>
      </c>
      <c r="R25" s="87">
        <f t="shared" si="5"/>
        <v>28776034.32421967</v>
      </c>
    </row>
    <row r="26" spans="1:18">
      <c r="A26" s="40" t="s">
        <v>271</v>
      </c>
      <c r="B26" s="11" t="s">
        <v>272</v>
      </c>
      <c r="C26" s="95">
        <v>2565</v>
      </c>
      <c r="D26" s="92">
        <v>5.3388090300000003E-2</v>
      </c>
      <c r="E26" s="93">
        <v>6168973.9751142496</v>
      </c>
      <c r="F26" s="35"/>
    </row>
    <row r="27" spans="1:18" ht="17.25" thickBot="1">
      <c r="A27" s="40" t="s">
        <v>255</v>
      </c>
      <c r="B27" s="11" t="s">
        <v>256</v>
      </c>
      <c r="C27" s="95">
        <v>285</v>
      </c>
      <c r="D27" s="92">
        <v>5.1660516599999998E-2</v>
      </c>
      <c r="E27" s="93">
        <v>38089122.941768818</v>
      </c>
      <c r="F27" s="35"/>
    </row>
    <row r="28" spans="1:18" ht="17.25" thickBot="1">
      <c r="A28" s="40" t="s">
        <v>277</v>
      </c>
      <c r="B28" s="11" t="s">
        <v>278</v>
      </c>
      <c r="C28" s="95">
        <v>163</v>
      </c>
      <c r="D28" s="92">
        <v>5.1612903199999997E-2</v>
      </c>
      <c r="E28" s="93">
        <v>99037149.017304376</v>
      </c>
      <c r="F28" s="35"/>
      <c r="G28" s="149" t="s">
        <v>46</v>
      </c>
      <c r="H28" s="150"/>
      <c r="I28" s="150"/>
      <c r="J28" s="151"/>
      <c r="K28" s="149" t="s">
        <v>44</v>
      </c>
      <c r="L28" s="150"/>
      <c r="M28" s="150"/>
      <c r="N28" s="151"/>
      <c r="O28" s="149" t="s">
        <v>45</v>
      </c>
      <c r="P28" s="150"/>
      <c r="Q28" s="150"/>
      <c r="R28" s="151"/>
    </row>
    <row r="29" spans="1:18" ht="17.25" thickBot="1">
      <c r="A29" s="40" t="s">
        <v>64</v>
      </c>
      <c r="B29" s="11" t="s">
        <v>65</v>
      </c>
      <c r="C29" s="95">
        <v>79.8</v>
      </c>
      <c r="D29" s="92">
        <v>4.72440945E-2</v>
      </c>
      <c r="E29" s="93">
        <v>291588459.27520353</v>
      </c>
      <c r="F29" s="35"/>
      <c r="G29" s="197" t="s">
        <v>55</v>
      </c>
      <c r="H29" s="194">
        <f ca="1">NOW()</f>
        <v>44320.098231481483</v>
      </c>
      <c r="I29" s="195"/>
      <c r="J29" s="196"/>
      <c r="K29" s="192" t="s">
        <v>55</v>
      </c>
      <c r="L29" s="194">
        <f ca="1">NOW()</f>
        <v>44320.098231481483</v>
      </c>
      <c r="M29" s="195"/>
      <c r="N29" s="196"/>
      <c r="O29" s="192" t="s">
        <v>55</v>
      </c>
      <c r="P29" s="194">
        <f ca="1">NOW()</f>
        <v>44320.098231481483</v>
      </c>
      <c r="Q29" s="195"/>
      <c r="R29" s="196"/>
    </row>
    <row r="30" spans="1:18" ht="17.25" thickBot="1">
      <c r="A30" s="40" t="s">
        <v>121</v>
      </c>
      <c r="B30" s="11" t="s">
        <v>122</v>
      </c>
      <c r="C30" s="95">
        <v>135</v>
      </c>
      <c r="D30" s="92">
        <v>4.6511627899999998E-2</v>
      </c>
      <c r="E30" s="93">
        <v>357276470.53033769</v>
      </c>
      <c r="F30" s="35"/>
      <c r="G30" s="193"/>
      <c r="H30" s="36" t="s">
        <v>58</v>
      </c>
      <c r="I30" s="73" t="s">
        <v>59</v>
      </c>
      <c r="J30" s="69" t="s">
        <v>294</v>
      </c>
      <c r="K30" s="193"/>
      <c r="L30" s="36" t="s">
        <v>58</v>
      </c>
      <c r="M30" s="73" t="s">
        <v>59</v>
      </c>
      <c r="N30" s="69" t="s">
        <v>294</v>
      </c>
      <c r="O30" s="193"/>
      <c r="P30" s="36" t="s">
        <v>58</v>
      </c>
      <c r="Q30" s="73" t="s">
        <v>59</v>
      </c>
      <c r="R30" s="69" t="s">
        <v>294</v>
      </c>
    </row>
    <row r="31" spans="1:18">
      <c r="A31" s="40" t="s">
        <v>139</v>
      </c>
      <c r="B31" s="11" t="s">
        <v>140</v>
      </c>
      <c r="C31" s="95">
        <v>4015</v>
      </c>
      <c r="D31" s="92">
        <v>4.4213264000000002E-2</v>
      </c>
      <c r="E31" s="93">
        <v>6820068.8396897698</v>
      </c>
      <c r="F31" s="35"/>
      <c r="G31" s="55" t="str">
        <f ca="1">IFERROR(OFFSET(INDIRECT($H$3 &amp; "!A98"), 0, 0), "")</f>
        <v>웨이브</v>
      </c>
      <c r="H31" s="38">
        <f t="shared" ref="H31:H50" ca="1" si="7">_xlfn.IFNA(VLOOKUP(G31, $B$2:$D$200, 2, FALSE), "")</f>
        <v>40570</v>
      </c>
      <c r="I31" s="76">
        <f t="shared" ref="I31:I50" ca="1" si="8">_xlfn.IFNA(VLOOKUP(G31, $B$2:$D$200, 3, FALSE), "")</f>
        <v>0.4111304348</v>
      </c>
      <c r="J31" s="85">
        <f ca="1">_xlfn.IFNA(VLOOKUP(G31, $B$2:$E$200, 4, FALSE), "")</f>
        <v>21410640.750606392</v>
      </c>
      <c r="K31" s="55" t="str">
        <f ca="1">IFERROR(OFFSET(INDIRECT($H$3 &amp; "!A44"), 0, 0), "")</f>
        <v>메인프레임</v>
      </c>
      <c r="L31" s="38">
        <f t="shared" ref="L31:L50" ca="1" si="9">_xlfn.IFNA(VLOOKUP(K31, $B$2:$D$200, 2, FALSE), "")</f>
        <v>24.6</v>
      </c>
      <c r="M31" s="76">
        <f t="shared" ref="M31:M50" ca="1" si="10">_xlfn.IFNA(VLOOKUP(K31, $B$2:$D$200, 3, FALSE), "")</f>
        <v>8.8495575199999996E-2</v>
      </c>
      <c r="N31" s="85">
        <f ca="1">_xlfn.IFNA(VLOOKUP(K31, $B$2:$E$200, 4, FALSE), "")</f>
        <v>1579058952.5117164</v>
      </c>
      <c r="O31" s="55" t="str">
        <f ca="1">IFERROR(OFFSET(INDIRECT($H$3 &amp; "!A71"), 0, 0), "")</f>
        <v>람다</v>
      </c>
      <c r="P31" s="38">
        <f t="shared" ref="P31:P50" ca="1" si="11">_xlfn.IFNA(VLOOKUP(O31, $B$2:$D$200, 2, FALSE), "")</f>
        <v>113</v>
      </c>
      <c r="Q31" s="76">
        <f t="shared" ref="Q31:Q50" ca="1" si="12">_xlfn.IFNA(VLOOKUP(O31, $B$2:$D$200, 3, FALSE), "")</f>
        <v>0.1188118812</v>
      </c>
      <c r="R31" s="85">
        <f ca="1">_xlfn.IFNA(VLOOKUP(O31, $B$2:$E$200, 4, FALSE), "")</f>
        <v>910066441.1423353</v>
      </c>
    </row>
    <row r="32" spans="1:18">
      <c r="A32" s="40" t="s">
        <v>97</v>
      </c>
      <c r="B32" s="11" t="s">
        <v>98</v>
      </c>
      <c r="C32" s="95">
        <v>7065</v>
      </c>
      <c r="D32" s="92">
        <v>4.3574593799999999E-2</v>
      </c>
      <c r="E32" s="93">
        <v>3681384.5765664401</v>
      </c>
      <c r="F32" s="35"/>
      <c r="G32" s="56" t="str">
        <f ca="1">IFERROR(OFFSET(INDIRECT($H$3 &amp; "!A98"), 1, 0), "")</f>
        <v>카바</v>
      </c>
      <c r="H32" s="39">
        <f t="shared" ca="1" si="7"/>
        <v>7970</v>
      </c>
      <c r="I32" s="77">
        <f t="shared" ca="1" si="8"/>
        <v>0.16011644829999999</v>
      </c>
      <c r="J32" s="86">
        <f t="shared" ref="J32:J50" ca="1" si="13">_xlfn.IFNA(VLOOKUP(G32, $B$2:$E$200, 4, FALSE), "")</f>
        <v>18900894.020199519</v>
      </c>
      <c r="K32" s="56" t="str">
        <f ca="1">IFERROR(OFFSET(INDIRECT($H$3 &amp; "!A44"), 1, 0), "")</f>
        <v>캐리프로토콜</v>
      </c>
      <c r="L32" s="39">
        <f t="shared" ca="1" si="9"/>
        <v>24.1</v>
      </c>
      <c r="M32" s="77">
        <f t="shared" ca="1" si="10"/>
        <v>5.7017543900000002E-2</v>
      </c>
      <c r="N32" s="86">
        <f t="shared" ref="N32:N50" ca="1" si="14">_xlfn.IFNA(VLOOKUP(K32, $B$2:$E$200, 4, FALSE), "")</f>
        <v>2250555579.0413489</v>
      </c>
      <c r="O32" s="56" t="str">
        <f ca="1">IFERROR(OFFSET(INDIRECT($H$3 &amp; "!A71"), 1, 0), "")</f>
        <v>질리카</v>
      </c>
      <c r="P32" s="39">
        <f t="shared" ca="1" si="11"/>
        <v>266</v>
      </c>
      <c r="Q32" s="77">
        <f t="shared" ca="1" si="12"/>
        <v>8.1300813E-2</v>
      </c>
      <c r="R32" s="86">
        <f t="shared" ref="R32:R50" ca="1" si="15">_xlfn.IFNA(VLOOKUP(O32, $B$2:$E$200, 4, FALSE), "")</f>
        <v>97825545.099865913</v>
      </c>
    </row>
    <row r="33" spans="1:18">
      <c r="A33" s="40" t="s">
        <v>243</v>
      </c>
      <c r="B33" s="11" t="s">
        <v>244</v>
      </c>
      <c r="C33" s="95">
        <v>4145</v>
      </c>
      <c r="D33" s="92">
        <v>4.2767295599999998E-2</v>
      </c>
      <c r="E33" s="93">
        <v>25418746.560730878</v>
      </c>
      <c r="F33" s="35"/>
      <c r="G33" s="56" t="str">
        <f ca="1">IFERROR(OFFSET(INDIRECT($H$3 &amp; "!A98"), 2, 0), "")</f>
        <v>오미세고</v>
      </c>
      <c r="H33" s="39">
        <f t="shared" ca="1" si="7"/>
        <v>10830</v>
      </c>
      <c r="I33" s="77">
        <f t="shared" ca="1" si="8"/>
        <v>0.1436114044</v>
      </c>
      <c r="J33" s="86">
        <f t="shared" ca="1" si="13"/>
        <v>15556152.57955466</v>
      </c>
      <c r="K33" s="56" t="str">
        <f ca="1">IFERROR(OFFSET(INDIRECT($H$3 &amp; "!A44"), 2, 0), "")</f>
        <v>아이오에스티</v>
      </c>
      <c r="L33" s="39">
        <f t="shared" ca="1" si="9"/>
        <v>79.8</v>
      </c>
      <c r="M33" s="77">
        <f t="shared" ca="1" si="10"/>
        <v>4.72440945E-2</v>
      </c>
      <c r="N33" s="86">
        <f t="shared" ca="1" si="14"/>
        <v>291588459.27520353</v>
      </c>
      <c r="O33" s="56" t="str">
        <f ca="1">IFERROR(OFFSET(INDIRECT($H$3 &amp; "!A71"), 2, 0), "")</f>
        <v>쎄타퓨엘</v>
      </c>
      <c r="P33" s="39">
        <f t="shared" ca="1" si="11"/>
        <v>466</v>
      </c>
      <c r="Q33" s="77">
        <f t="shared" ca="1" si="12"/>
        <v>7.8703703700000002E-2</v>
      </c>
      <c r="R33" s="86">
        <f t="shared" ca="1" si="15"/>
        <v>76800721.285237446</v>
      </c>
    </row>
    <row r="34" spans="1:18">
      <c r="A34" s="40" t="s">
        <v>185</v>
      </c>
      <c r="B34" s="11" t="s">
        <v>186</v>
      </c>
      <c r="C34" s="95">
        <v>29.4</v>
      </c>
      <c r="D34" s="92">
        <v>4.2553191499999997E-2</v>
      </c>
      <c r="E34" s="93">
        <v>2246585266.4276047</v>
      </c>
      <c r="F34" s="35"/>
      <c r="G34" s="56" t="str">
        <f ca="1">IFERROR(OFFSET(INDIRECT($H$3 &amp; "!A98"), 3, 0), "")</f>
        <v>세럼</v>
      </c>
      <c r="H34" s="39">
        <f t="shared" ca="1" si="7"/>
        <v>14500</v>
      </c>
      <c r="I34" s="77">
        <f t="shared" ca="1" si="8"/>
        <v>0.1196911197</v>
      </c>
      <c r="J34" s="86">
        <f t="shared" ca="1" si="13"/>
        <v>22484203.583394948</v>
      </c>
      <c r="K34" s="56" t="str">
        <f ca="1">IFERROR(OFFSET(INDIRECT($H$3 &amp; "!A44"), 3, 0), "")</f>
        <v>에브리피디아</v>
      </c>
      <c r="L34" s="39">
        <f t="shared" ca="1" si="9"/>
        <v>29.4</v>
      </c>
      <c r="M34" s="77">
        <f t="shared" ca="1" si="10"/>
        <v>4.2553191499999997E-2</v>
      </c>
      <c r="N34" s="86">
        <f t="shared" ca="1" si="14"/>
        <v>2246585266.4276047</v>
      </c>
      <c r="O34" s="56" t="str">
        <f ca="1">IFERROR(OFFSET(INDIRECT($H$3 &amp; "!A71"), 3, 0), "")</f>
        <v>샌드박스</v>
      </c>
      <c r="P34" s="39">
        <f t="shared" ca="1" si="11"/>
        <v>784</v>
      </c>
      <c r="Q34" s="77">
        <f t="shared" ca="1" si="12"/>
        <v>0.1136363636</v>
      </c>
      <c r="R34" s="86">
        <f t="shared" ca="1" si="15"/>
        <v>47477029.542752489</v>
      </c>
    </row>
    <row r="35" spans="1:18">
      <c r="A35" s="40" t="s">
        <v>257</v>
      </c>
      <c r="B35" s="11" t="s">
        <v>258</v>
      </c>
      <c r="C35" s="95">
        <v>791</v>
      </c>
      <c r="D35" s="92">
        <v>3.9421813399999998E-2</v>
      </c>
      <c r="E35" s="93">
        <v>31385236.82259969</v>
      </c>
      <c r="F35" s="35"/>
      <c r="G35" s="58" t="str">
        <f ca="1">IFERROR(OFFSET(INDIRECT($H$3 &amp; "!A98"), 4, 0), "")</f>
        <v>람다</v>
      </c>
      <c r="H35" s="44">
        <f t="shared" ca="1" si="7"/>
        <v>113</v>
      </c>
      <c r="I35" s="78">
        <f t="shared" ca="1" si="8"/>
        <v>0.1188118812</v>
      </c>
      <c r="J35" s="90">
        <f t="shared" ca="1" si="13"/>
        <v>910066441.1423353</v>
      </c>
      <c r="K35" s="58" t="str">
        <f ca="1">IFERROR(OFFSET(INDIRECT($H$3 &amp; "!A44"), 4, 0), "")</f>
        <v>쿼크체인</v>
      </c>
      <c r="L35" s="44">
        <f t="shared" ca="1" si="9"/>
        <v>38.4</v>
      </c>
      <c r="M35" s="78">
        <f t="shared" ca="1" si="10"/>
        <v>3.2258064500000003E-2</v>
      </c>
      <c r="N35" s="90">
        <f t="shared" ca="1" si="14"/>
        <v>306148821.26277882</v>
      </c>
      <c r="O35" s="58" t="str">
        <f ca="1">IFERROR(OFFSET(INDIRECT($H$3 &amp; "!A71"), 4, 0), "")</f>
        <v>도지코인</v>
      </c>
      <c r="P35" s="44">
        <f t="shared" ca="1" si="11"/>
        <v>482</v>
      </c>
      <c r="Q35" s="78">
        <f t="shared" ca="1" si="12"/>
        <v>6.4017660000000004E-2</v>
      </c>
      <c r="R35" s="90">
        <f t="shared" ca="1" si="15"/>
        <v>2336169232.8285913</v>
      </c>
    </row>
    <row r="36" spans="1:18">
      <c r="A36" s="40" t="s">
        <v>167</v>
      </c>
      <c r="B36" s="11" t="s">
        <v>168</v>
      </c>
      <c r="C36" s="95">
        <v>216</v>
      </c>
      <c r="D36" s="92">
        <v>3.8461538500000003E-2</v>
      </c>
      <c r="E36" s="93">
        <v>239653511.1438289</v>
      </c>
      <c r="F36" s="35"/>
      <c r="G36" s="56" t="str">
        <f ca="1">IFERROR(OFFSET(INDIRECT($H$3 &amp; "!A98"), 5, 0), "")</f>
        <v>메탈</v>
      </c>
      <c r="H36" s="39">
        <f t="shared" ca="1" si="7"/>
        <v>5365</v>
      </c>
      <c r="I36" s="77">
        <f t="shared" ca="1" si="8"/>
        <v>0.1016427105</v>
      </c>
      <c r="J36" s="99">
        <f t="shared" ca="1" si="13"/>
        <v>36885090.310705982</v>
      </c>
      <c r="K36" s="56" t="str">
        <f ca="1">IFERROR(OFFSET(INDIRECT($H$3 &amp; "!A44"), 5, 0), "")</f>
        <v>퀴즈톡</v>
      </c>
      <c r="L36" s="39">
        <f t="shared" ca="1" si="9"/>
        <v>98.8</v>
      </c>
      <c r="M36" s="77">
        <f t="shared" ca="1" si="10"/>
        <v>2.1716649399999999E-2</v>
      </c>
      <c r="N36" s="99">
        <f t="shared" ca="1" si="14"/>
        <v>328814579.18128335</v>
      </c>
      <c r="O36" s="56" t="str">
        <f ca="1">IFERROR(OFFSET(INDIRECT($H$3 &amp; "!A71"), 5, 0), "")</f>
        <v>시빅</v>
      </c>
      <c r="P36" s="39">
        <f t="shared" ca="1" si="11"/>
        <v>731</v>
      </c>
      <c r="Q36" s="77">
        <f t="shared" ca="1" si="12"/>
        <v>6.5597667600000006E-2</v>
      </c>
      <c r="R36" s="99">
        <f t="shared" ca="1" si="15"/>
        <v>68105943.763945013</v>
      </c>
    </row>
    <row r="37" spans="1:18">
      <c r="A37" s="40" t="s">
        <v>79</v>
      </c>
      <c r="B37" s="11" t="s">
        <v>80</v>
      </c>
      <c r="C37" s="95">
        <v>1575</v>
      </c>
      <c r="D37" s="92">
        <v>3.6184210500000001E-2</v>
      </c>
      <c r="E37" s="93">
        <v>5761066.0614622002</v>
      </c>
      <c r="F37" s="35"/>
      <c r="G37" s="56" t="str">
        <f ca="1">IFERROR(OFFSET(INDIRECT($H$3 &amp; "!A98"), 6, 0), "")</f>
        <v>질리카</v>
      </c>
      <c r="H37" s="39">
        <f t="shared" ca="1" si="7"/>
        <v>266</v>
      </c>
      <c r="I37" s="77">
        <f t="shared" ca="1" si="8"/>
        <v>8.1300813E-2</v>
      </c>
      <c r="J37" s="86">
        <f t="shared" ca="1" si="13"/>
        <v>97825545.099865913</v>
      </c>
      <c r="K37" s="56" t="str">
        <f ca="1">IFERROR(OFFSET(INDIRECT($H$3 &amp; "!A44"), 6, 0), "")</f>
        <v>리퍼리움</v>
      </c>
      <c r="L37" s="39">
        <f t="shared" ca="1" si="9"/>
        <v>25.4</v>
      </c>
      <c r="M37" s="77">
        <f t="shared" ca="1" si="10"/>
        <v>2.0080321299999999E-2</v>
      </c>
      <c r="N37" s="86">
        <f t="shared" ca="1" si="14"/>
        <v>814213656.17805052</v>
      </c>
      <c r="O37" s="56" t="str">
        <f ca="1">IFERROR(OFFSET(INDIRECT($H$3 &amp; "!A71"), 6, 0), "")</f>
        <v>저스트</v>
      </c>
      <c r="P37" s="39">
        <f t="shared" ca="1" si="11"/>
        <v>163</v>
      </c>
      <c r="Q37" s="77">
        <f t="shared" ca="1" si="12"/>
        <v>5.1612903199999997E-2</v>
      </c>
      <c r="R37" s="86">
        <f t="shared" ca="1" si="15"/>
        <v>99037149.017304376</v>
      </c>
    </row>
    <row r="38" spans="1:18">
      <c r="A38" s="40" t="s">
        <v>265</v>
      </c>
      <c r="B38" s="11" t="s">
        <v>266</v>
      </c>
      <c r="C38" s="95">
        <v>99.2</v>
      </c>
      <c r="D38" s="92">
        <v>3.54906054E-2</v>
      </c>
      <c r="E38" s="93">
        <v>214562785.63347554</v>
      </c>
      <c r="F38" s="35"/>
      <c r="G38" s="56" t="str">
        <f ca="1">IFERROR(OFFSET(INDIRECT($H$3 &amp; "!A98"), 7, 0), "")</f>
        <v>이더리움클래식</v>
      </c>
      <c r="H38" s="39">
        <f t="shared" ca="1" si="7"/>
        <v>59680</v>
      </c>
      <c r="I38" s="77">
        <f t="shared" ca="1" si="8"/>
        <v>9.7462302299999998E-2</v>
      </c>
      <c r="J38" s="86">
        <f t="shared" ca="1" si="13"/>
        <v>29018101.25200513</v>
      </c>
      <c r="K38" s="56" t="str">
        <f ca="1">IFERROR(OFFSET(INDIRECT($H$3 &amp; "!A44"), 7, 0), "")</f>
        <v>엔도르</v>
      </c>
      <c r="L38" s="39">
        <f t="shared" ca="1" si="9"/>
        <v>78.400000000000006</v>
      </c>
      <c r="M38" s="77">
        <f t="shared" ca="1" si="10"/>
        <v>9.0090090000000001E-3</v>
      </c>
      <c r="N38" s="86">
        <f t="shared" ca="1" si="14"/>
        <v>221642569.17180285</v>
      </c>
      <c r="O38" s="56" t="str">
        <f ca="1">IFERROR(OFFSET(INDIRECT($H$3 &amp; "!A71"), 7, 0), "")</f>
        <v>에스티피</v>
      </c>
      <c r="P38" s="39">
        <f t="shared" ca="1" si="11"/>
        <v>99.2</v>
      </c>
      <c r="Q38" s="77">
        <f t="shared" ca="1" si="12"/>
        <v>3.54906054E-2</v>
      </c>
      <c r="R38" s="86">
        <f t="shared" ca="1" si="15"/>
        <v>214562785.63347554</v>
      </c>
    </row>
    <row r="39" spans="1:18">
      <c r="A39" s="40" t="s">
        <v>147</v>
      </c>
      <c r="B39" s="11" t="s">
        <v>148</v>
      </c>
      <c r="C39" s="95">
        <v>215</v>
      </c>
      <c r="D39" s="92">
        <v>3.3653846199999997E-2</v>
      </c>
      <c r="E39" s="93">
        <v>97292126.782741368</v>
      </c>
      <c r="F39" s="35"/>
      <c r="G39" s="56" t="str">
        <f ca="1">IFERROR(OFFSET(INDIRECT($H$3 &amp; "!A98"), 8, 0), "")</f>
        <v>리스크</v>
      </c>
      <c r="H39" s="39">
        <f t="shared" ca="1" si="7"/>
        <v>7330</v>
      </c>
      <c r="I39" s="77">
        <f t="shared" ca="1" si="8"/>
        <v>7.7149154999999997E-2</v>
      </c>
      <c r="J39" s="86">
        <f t="shared" ca="1" si="13"/>
        <v>8563188.8816633504</v>
      </c>
      <c r="K39" s="56" t="str">
        <f ca="1">IFERROR(OFFSET(INDIRECT($H$3 &amp; "!A44"), 8, 0), "")</f>
        <v>썬더토큰</v>
      </c>
      <c r="L39" s="39">
        <f t="shared" ca="1" si="9"/>
        <v>22.7</v>
      </c>
      <c r="M39" s="77">
        <f t="shared" ca="1" si="10"/>
        <v>8.8888888999999992E-3</v>
      </c>
      <c r="N39" s="86">
        <f t="shared" ca="1" si="14"/>
        <v>727111492.57098389</v>
      </c>
      <c r="O39" s="56" t="str">
        <f ca="1">IFERROR(OFFSET(INDIRECT($H$3 &amp; "!A71"), 8, 0), "")</f>
        <v>왁스</v>
      </c>
      <c r="P39" s="39">
        <f t="shared" ca="1" si="11"/>
        <v>285</v>
      </c>
      <c r="Q39" s="77">
        <f t="shared" ca="1" si="12"/>
        <v>5.1660516599999998E-2</v>
      </c>
      <c r="R39" s="86">
        <f t="shared" ca="1" si="15"/>
        <v>38089122.941768818</v>
      </c>
    </row>
    <row r="40" spans="1:18" ht="17.25" thickBot="1">
      <c r="A40" s="40" t="s">
        <v>155</v>
      </c>
      <c r="B40" s="11" t="s">
        <v>156</v>
      </c>
      <c r="C40" s="95">
        <v>160</v>
      </c>
      <c r="D40" s="92">
        <v>3.2258064500000003E-2</v>
      </c>
      <c r="E40" s="93">
        <v>631899111.88711941</v>
      </c>
      <c r="F40" s="35"/>
      <c r="G40" s="57" t="str">
        <f ca="1">IFERROR(OFFSET(INDIRECT($H$3 &amp; "!A98"), 9, 0), "")</f>
        <v>쎄타퓨엘</v>
      </c>
      <c r="H40" s="37">
        <f t="shared" ca="1" si="7"/>
        <v>466</v>
      </c>
      <c r="I40" s="79">
        <f t="shared" ca="1" si="8"/>
        <v>7.8703703700000002E-2</v>
      </c>
      <c r="J40" s="87">
        <f t="shared" ca="1" si="13"/>
        <v>76800721.285237446</v>
      </c>
      <c r="K40" s="57" t="str">
        <f ca="1">IFERROR(OFFSET(INDIRECT($H$3 &amp; "!A44"), 9, 0), "")</f>
        <v>비트토렌트</v>
      </c>
      <c r="L40" s="37">
        <f t="shared" ca="1" si="9"/>
        <v>8.4700000000000006</v>
      </c>
      <c r="M40" s="79">
        <f t="shared" ca="1" si="10"/>
        <v>3.5545023999999999E-3</v>
      </c>
      <c r="N40" s="87">
        <f t="shared" ca="1" si="14"/>
        <v>31550528625.510895</v>
      </c>
      <c r="O40" s="57" t="str">
        <f ca="1">IFERROR(OFFSET(INDIRECT($H$3 &amp; "!A71"), 9, 0), "")</f>
        <v>픽셀</v>
      </c>
      <c r="P40" s="37">
        <f t="shared" ca="1" si="11"/>
        <v>135</v>
      </c>
      <c r="Q40" s="79">
        <f t="shared" ca="1" si="12"/>
        <v>4.6511627899999998E-2</v>
      </c>
      <c r="R40" s="87">
        <f t="shared" ca="1" si="15"/>
        <v>357276470.53033769</v>
      </c>
    </row>
    <row r="41" spans="1:18">
      <c r="A41" s="40" t="s">
        <v>71</v>
      </c>
      <c r="B41" s="11" t="s">
        <v>72</v>
      </c>
      <c r="C41" s="95">
        <v>38.4</v>
      </c>
      <c r="D41" s="92">
        <v>3.2258064500000003E-2</v>
      </c>
      <c r="E41" s="93">
        <v>306148821.26277882</v>
      </c>
      <c r="F41" s="35"/>
      <c r="G41" s="59" t="str">
        <f ca="1">IFERROR(OFFSET(INDIRECT($H$3 &amp; "!A98"), 10, 0), "")</f>
        <v>톤</v>
      </c>
      <c r="H41" s="38">
        <f t="shared" ca="1" si="7"/>
        <v>16130</v>
      </c>
      <c r="I41" s="76">
        <f t="shared" ca="1" si="8"/>
        <v>7.3901464700000002E-2</v>
      </c>
      <c r="J41" s="85">
        <f t="shared" ca="1" si="13"/>
        <v>6330291.6000830103</v>
      </c>
      <c r="K41" s="55" t="str">
        <f ca="1">IFERROR(OFFSET(INDIRECT($H$3 &amp; "!A44"), 10, 0), "")</f>
        <v>트웰브쉽스</v>
      </c>
      <c r="L41" s="38">
        <f t="shared" ca="1" si="9"/>
        <v>28.7</v>
      </c>
      <c r="M41" s="76">
        <f t="shared" ca="1" si="10"/>
        <v>3.4965034999999999E-3</v>
      </c>
      <c r="N41" s="85">
        <f t="shared" ca="1" si="14"/>
        <v>507625977.80221796</v>
      </c>
      <c r="O41" s="55" t="str">
        <f ca="1">IFERROR(OFFSET(INDIRECT($H$3 &amp; "!A71"), 10, 0), "")</f>
        <v>스테이터스네트워크토큰</v>
      </c>
      <c r="P41" s="38">
        <f t="shared" ca="1" si="11"/>
        <v>216</v>
      </c>
      <c r="Q41" s="76">
        <f t="shared" ca="1" si="12"/>
        <v>3.8461538500000003E-2</v>
      </c>
      <c r="R41" s="85">
        <f t="shared" ca="1" si="15"/>
        <v>239653511.1438289</v>
      </c>
    </row>
    <row r="42" spans="1:18">
      <c r="A42" s="40" t="s">
        <v>77</v>
      </c>
      <c r="B42" s="11" t="s">
        <v>78</v>
      </c>
      <c r="C42" s="95">
        <v>1212500</v>
      </c>
      <c r="D42" s="92">
        <v>3.1037414999999999E-2</v>
      </c>
      <c r="E42" s="93">
        <v>92604.468037269995</v>
      </c>
      <c r="F42" s="35"/>
      <c r="G42" s="56" t="str">
        <f ca="1">IFERROR(OFFSET(INDIRECT($H$3 &amp; "!A98"), 11, 0), "")</f>
        <v>샌드박스</v>
      </c>
      <c r="H42" s="39">
        <f t="shared" ca="1" si="7"/>
        <v>784</v>
      </c>
      <c r="I42" s="77">
        <f t="shared" ca="1" si="8"/>
        <v>0.1136363636</v>
      </c>
      <c r="J42" s="86">
        <f t="shared" ca="1" si="13"/>
        <v>47477029.542752489</v>
      </c>
      <c r="K42" s="56" t="str">
        <f ca="1">IFERROR(OFFSET(INDIRECT($H$3 &amp; "!A44"), 11, 0), "")</f>
        <v>무비블록</v>
      </c>
      <c r="L42" s="39">
        <f t="shared" ca="1" si="9"/>
        <v>21.2</v>
      </c>
      <c r="M42" s="77">
        <f t="shared" ca="1" si="10"/>
        <v>4.7393365E-3</v>
      </c>
      <c r="N42" s="86">
        <f t="shared" ca="1" si="14"/>
        <v>1353209982.0372171</v>
      </c>
      <c r="O42" s="56" t="str">
        <f ca="1">IFERROR(OFFSET(INDIRECT($H$3 &amp; "!A71"), 11, 0), "")</f>
        <v>앵커</v>
      </c>
      <c r="P42" s="39">
        <f t="shared" ca="1" si="11"/>
        <v>215</v>
      </c>
      <c r="Q42" s="77">
        <f t="shared" ca="1" si="12"/>
        <v>3.3653846199999997E-2</v>
      </c>
      <c r="R42" s="86">
        <f t="shared" ca="1" si="15"/>
        <v>97292126.782741368</v>
      </c>
    </row>
    <row r="43" spans="1:18">
      <c r="A43" s="40" t="s">
        <v>105</v>
      </c>
      <c r="B43" s="11" t="s">
        <v>106</v>
      </c>
      <c r="C43" s="95">
        <v>2330</v>
      </c>
      <c r="D43" s="92">
        <v>3.09734513E-2</v>
      </c>
      <c r="E43" s="93">
        <v>6247104.8679726198</v>
      </c>
      <c r="F43" s="35"/>
      <c r="G43" s="56" t="str">
        <f ca="1">IFERROR(OFFSET(INDIRECT($H$3 &amp; "!A98"), 12, 0), "")</f>
        <v>이더리움</v>
      </c>
      <c r="H43" s="39">
        <f t="shared" ca="1" si="7"/>
        <v>3836000</v>
      </c>
      <c r="I43" s="77">
        <f t="shared" ca="1" si="8"/>
        <v>7.6620825099999998E-2</v>
      </c>
      <c r="J43" s="86">
        <f t="shared" ca="1" si="13"/>
        <v>210215.49173556</v>
      </c>
      <c r="K43" s="56" t="str">
        <f ca="1">IFERROR(OFFSET(INDIRECT($H$3 &amp; "!A44"), 12, 0), "")</f>
        <v>아하토큰</v>
      </c>
      <c r="L43" s="39">
        <f t="shared" ca="1" si="9"/>
        <v>20.8</v>
      </c>
      <c r="M43" s="77">
        <f t="shared" ca="1" si="10"/>
        <v>4.8309179000000004E-3</v>
      </c>
      <c r="N43" s="86">
        <f t="shared" ca="1" si="14"/>
        <v>731237436.56828988</v>
      </c>
      <c r="O43" s="56" t="str">
        <f ca="1">IFERROR(OFFSET(INDIRECT($H$3 &amp; "!A71"), 12, 0), "")</f>
        <v>트론</v>
      </c>
      <c r="P43" s="39">
        <f t="shared" ca="1" si="11"/>
        <v>160</v>
      </c>
      <c r="Q43" s="77">
        <f t="shared" ca="1" si="12"/>
        <v>3.2258064500000003E-2</v>
      </c>
      <c r="R43" s="86">
        <f t="shared" ca="1" si="15"/>
        <v>631899111.88711941</v>
      </c>
    </row>
    <row r="44" spans="1:18">
      <c r="A44" s="40" t="s">
        <v>233</v>
      </c>
      <c r="B44" s="11" t="s">
        <v>234</v>
      </c>
      <c r="C44" s="95">
        <v>1525</v>
      </c>
      <c r="D44" s="92">
        <v>3.0405405399999998E-2</v>
      </c>
      <c r="E44" s="93">
        <v>10180379.97965323</v>
      </c>
      <c r="F44" s="35"/>
      <c r="G44" s="56" t="str">
        <f ca="1">IFERROR(OFFSET(INDIRECT($H$3 &amp; "!A98"), 13, 0), "")</f>
        <v>스트라티스</v>
      </c>
      <c r="H44" s="39">
        <f t="shared" ca="1" si="7"/>
        <v>4535</v>
      </c>
      <c r="I44" s="77">
        <f t="shared" ca="1" si="8"/>
        <v>6.8315665499999997E-2</v>
      </c>
      <c r="J44" s="86">
        <f t="shared" ca="1" si="13"/>
        <v>16448087.488512781</v>
      </c>
      <c r="K44" s="56" t="str">
        <f ca="1">IFERROR(OFFSET(INDIRECT($H$3 &amp; "!A44"), 13, 0), "")</f>
        <v>엠블</v>
      </c>
      <c r="L44" s="39">
        <f t="shared" ca="1" si="9"/>
        <v>32.5</v>
      </c>
      <c r="M44" s="77">
        <f t="shared" ca="1" si="10"/>
        <v>3.0864197999999998E-3</v>
      </c>
      <c r="N44" s="86">
        <f t="shared" ca="1" si="14"/>
        <v>890018744.15792608</v>
      </c>
      <c r="O44" s="56" t="str">
        <f ca="1">IFERROR(OFFSET(INDIRECT($H$3 &amp; "!A71"), 13, 0), "")</f>
        <v>하이브</v>
      </c>
      <c r="P44" s="39">
        <f t="shared" ca="1" si="11"/>
        <v>791</v>
      </c>
      <c r="Q44" s="77">
        <f t="shared" ca="1" si="12"/>
        <v>3.9421813399999998E-2</v>
      </c>
      <c r="R44" s="86">
        <f t="shared" ca="1" si="15"/>
        <v>31385236.82259969</v>
      </c>
    </row>
    <row r="45" spans="1:18">
      <c r="A45" s="40" t="s">
        <v>187</v>
      </c>
      <c r="B45" s="11" t="s">
        <v>188</v>
      </c>
      <c r="C45" s="95">
        <v>19000</v>
      </c>
      <c r="D45" s="92">
        <v>3.0368763600000001E-2</v>
      </c>
      <c r="E45" s="93">
        <v>6817320.1351463301</v>
      </c>
      <c r="F45" s="35"/>
      <c r="G45" s="58" t="str">
        <f ca="1">IFERROR(OFFSET(INDIRECT($H$3 &amp; "!A98"), 14, 0), "")</f>
        <v>쎄타토큰</v>
      </c>
      <c r="H45" s="44">
        <f t="shared" ca="1" si="7"/>
        <v>14250</v>
      </c>
      <c r="I45" s="78">
        <f t="shared" ca="1" si="8"/>
        <v>7.7097505699999999E-2</v>
      </c>
      <c r="J45" s="90">
        <f t="shared" ca="1" si="13"/>
        <v>1829124.5794235601</v>
      </c>
      <c r="K45" s="58" t="str">
        <f ca="1">IFERROR(OFFSET(INDIRECT($H$3 &amp; "!A44"), 14, 0), "")</f>
        <v>시아코인</v>
      </c>
      <c r="L45" s="44">
        <f t="shared" ca="1" si="9"/>
        <v>49.9</v>
      </c>
      <c r="M45" s="78">
        <f t="shared" ca="1" si="10"/>
        <v>0</v>
      </c>
      <c r="N45" s="90">
        <f t="shared" ca="1" si="14"/>
        <v>931650284.56975043</v>
      </c>
      <c r="O45" s="58" t="str">
        <f ca="1">IFERROR(OFFSET(INDIRECT($H$3 &amp; "!A71"), 14, 0), "")</f>
        <v>솔브케어</v>
      </c>
      <c r="P45" s="44">
        <f t="shared" ca="1" si="11"/>
        <v>333</v>
      </c>
      <c r="Q45" s="78">
        <f t="shared" ca="1" si="12"/>
        <v>2.4615384600000002E-2</v>
      </c>
      <c r="R45" s="90">
        <f t="shared" ca="1" si="15"/>
        <v>85973362.652402833</v>
      </c>
    </row>
    <row r="46" spans="1:18">
      <c r="A46" s="40" t="s">
        <v>263</v>
      </c>
      <c r="B46" s="11" t="s">
        <v>264</v>
      </c>
      <c r="C46" s="95">
        <v>194</v>
      </c>
      <c r="D46" s="92">
        <v>2.6455026499999999E-2</v>
      </c>
      <c r="E46" s="93">
        <v>39809386.105809003</v>
      </c>
      <c r="F46" s="35"/>
      <c r="G46" s="56" t="str">
        <f ca="1">IFERROR(OFFSET(INDIRECT($H$3 &amp; "!A98"), 15, 0), "")</f>
        <v>메인프레임</v>
      </c>
      <c r="H46" s="39">
        <f t="shared" ca="1" si="7"/>
        <v>24.6</v>
      </c>
      <c r="I46" s="77">
        <f t="shared" ca="1" si="8"/>
        <v>8.8495575199999996E-2</v>
      </c>
      <c r="J46" s="99">
        <f t="shared" ca="1" si="13"/>
        <v>1579058952.5117164</v>
      </c>
      <c r="K46" s="56" t="str">
        <f ca="1">IFERROR(OFFSET(INDIRECT($H$3 &amp; "!A44"), 15, 0), "")</f>
        <v>옵저버</v>
      </c>
      <c r="L46" s="39">
        <f t="shared" ca="1" si="9"/>
        <v>32.9</v>
      </c>
      <c r="M46" s="77">
        <f t="shared" ca="1" si="10"/>
        <v>0</v>
      </c>
      <c r="N46" s="99">
        <f t="shared" ca="1" si="14"/>
        <v>752791526.61842513</v>
      </c>
      <c r="O46" s="56" t="str">
        <f ca="1">IFERROR(OFFSET(INDIRECT($H$3 &amp; "!A71"), 15, 0), "")</f>
        <v>골렘</v>
      </c>
      <c r="P46" s="39">
        <f t="shared" ca="1" si="11"/>
        <v>597</v>
      </c>
      <c r="Q46" s="77">
        <f t="shared" ca="1" si="12"/>
        <v>1.87713311E-2</v>
      </c>
      <c r="R46" s="99">
        <f t="shared" ca="1" si="15"/>
        <v>30229107.718670201</v>
      </c>
    </row>
    <row r="47" spans="1:18">
      <c r="A47" s="40" t="s">
        <v>62</v>
      </c>
      <c r="B47" s="11" t="s">
        <v>63</v>
      </c>
      <c r="C47" s="95">
        <v>132400</v>
      </c>
      <c r="D47" s="92">
        <v>2.5164537399999999E-2</v>
      </c>
      <c r="E47" s="93">
        <v>1726838.44587461</v>
      </c>
      <c r="F47" s="35"/>
      <c r="G47" s="56" t="str">
        <f ca="1">IFERROR(OFFSET(INDIRECT($H$3 &amp; "!A98"), 16, 0), "")</f>
        <v>도지코인</v>
      </c>
      <c r="H47" s="39">
        <f t="shared" ca="1" si="7"/>
        <v>482</v>
      </c>
      <c r="I47" s="77">
        <f t="shared" ca="1" si="8"/>
        <v>6.4017660000000004E-2</v>
      </c>
      <c r="J47" s="86">
        <f t="shared" ca="1" si="13"/>
        <v>2336169232.8285913</v>
      </c>
      <c r="K47" s="56" t="str">
        <f ca="1">IFERROR(OFFSET(INDIRECT($H$3 &amp; "!A44"), 16, 0), "")</f>
        <v>스톰엑스</v>
      </c>
      <c r="L47" s="39">
        <f t="shared" ca="1" si="9"/>
        <v>69</v>
      </c>
      <c r="M47" s="77">
        <f t="shared" ca="1" si="10"/>
        <v>-2.8901733999999999E-3</v>
      </c>
      <c r="N47" s="86">
        <f t="shared" ca="1" si="14"/>
        <v>425027112.42370385</v>
      </c>
      <c r="O47" s="56" t="str">
        <f ca="1">IFERROR(OFFSET(INDIRECT($H$3 &amp; "!A71"), 16, 0), "")</f>
        <v>룸네트워크</v>
      </c>
      <c r="P47" s="39">
        <f t="shared" ca="1" si="11"/>
        <v>194</v>
      </c>
      <c r="Q47" s="77">
        <f t="shared" ca="1" si="12"/>
        <v>2.6455026499999999E-2</v>
      </c>
      <c r="R47" s="86">
        <f t="shared" ca="1" si="15"/>
        <v>39809386.105809003</v>
      </c>
    </row>
    <row r="48" spans="1:18">
      <c r="A48" s="40" t="s">
        <v>81</v>
      </c>
      <c r="B48" s="11" t="s">
        <v>82</v>
      </c>
      <c r="C48" s="95">
        <v>1665</v>
      </c>
      <c r="D48" s="92">
        <v>2.4615384600000002E-2</v>
      </c>
      <c r="E48" s="93">
        <v>9726464.1699557006</v>
      </c>
      <c r="F48" s="35"/>
      <c r="G48" s="56" t="str">
        <f ca="1">IFERROR(OFFSET(INDIRECT($H$3 &amp; "!A98"), 17, 0), "")</f>
        <v>어거</v>
      </c>
      <c r="H48" s="39">
        <f t="shared" ca="1" si="7"/>
        <v>52450</v>
      </c>
      <c r="I48" s="77">
        <f t="shared" ca="1" si="8"/>
        <v>5.5969397999999997E-2</v>
      </c>
      <c r="J48" s="86">
        <f t="shared" ca="1" si="13"/>
        <v>970971.36687445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파워렛저</v>
      </c>
      <c r="P48" s="39">
        <f t="shared" ca="1" si="11"/>
        <v>505</v>
      </c>
      <c r="Q48" s="77">
        <f t="shared" ca="1" si="12"/>
        <v>1.81451613E-2</v>
      </c>
      <c r="R48" s="86">
        <f t="shared" ca="1" si="15"/>
        <v>17685195.25435425</v>
      </c>
    </row>
    <row r="49" spans="1:18">
      <c r="A49" s="40" t="s">
        <v>237</v>
      </c>
      <c r="B49" s="11" t="s">
        <v>238</v>
      </c>
      <c r="C49" s="95">
        <v>333</v>
      </c>
      <c r="D49" s="92">
        <v>2.4615384600000002E-2</v>
      </c>
      <c r="E49" s="93">
        <v>85973362.652402833</v>
      </c>
      <c r="F49" s="35"/>
      <c r="G49" s="56" t="str">
        <f ca="1">IFERROR(OFFSET(INDIRECT($H$3 &amp; "!A98"), 18, 0), "")</f>
        <v>시빅</v>
      </c>
      <c r="H49" s="39">
        <f t="shared" ca="1" si="7"/>
        <v>731</v>
      </c>
      <c r="I49" s="77">
        <f t="shared" ca="1" si="8"/>
        <v>6.5597667600000006E-2</v>
      </c>
      <c r="J49" s="86">
        <f t="shared" ca="1" si="13"/>
        <v>68105943.763945013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넴</v>
      </c>
      <c r="P49" s="39">
        <f t="shared" ca="1" si="11"/>
        <v>418</v>
      </c>
      <c r="Q49" s="77">
        <f t="shared" ca="1" si="12"/>
        <v>1.45631068E-2</v>
      </c>
      <c r="R49" s="86">
        <f t="shared" ca="1" si="15"/>
        <v>111149509.77527933</v>
      </c>
    </row>
    <row r="50" spans="1:18" ht="17.25" thickBot="1">
      <c r="A50" s="40" t="s">
        <v>189</v>
      </c>
      <c r="B50" s="11" t="s">
        <v>190</v>
      </c>
      <c r="C50" s="95">
        <v>79720</v>
      </c>
      <c r="D50" s="92">
        <v>2.3363286300000001E-2</v>
      </c>
      <c r="E50" s="93">
        <v>1616940.92108376</v>
      </c>
      <c r="F50" s="35"/>
      <c r="G50" s="57" t="str">
        <f ca="1">IFERROR(OFFSET(INDIRECT($H$3 &amp; "!A98"), 19, 0), "")</f>
        <v>캐리프로토콜</v>
      </c>
      <c r="H50" s="37">
        <f t="shared" ca="1" si="7"/>
        <v>24.1</v>
      </c>
      <c r="I50" s="79">
        <f t="shared" ca="1" si="8"/>
        <v>5.7017543900000002E-2</v>
      </c>
      <c r="J50" s="87">
        <f t="shared" ca="1" si="13"/>
        <v>2250555579.0413489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크립토닷컴체인</v>
      </c>
      <c r="P50" s="37">
        <f t="shared" ca="1" si="11"/>
        <v>230</v>
      </c>
      <c r="Q50" s="79">
        <f t="shared" ca="1" si="12"/>
        <v>1.3215859E-2</v>
      </c>
      <c r="R50" s="87">
        <f t="shared" ca="1" si="15"/>
        <v>80415714.333964154</v>
      </c>
    </row>
    <row r="51" spans="1:18">
      <c r="A51" s="40" t="s">
        <v>85</v>
      </c>
      <c r="B51" s="11" t="s">
        <v>86</v>
      </c>
      <c r="C51" s="95">
        <v>8075</v>
      </c>
      <c r="D51" s="92">
        <v>2.2799239999999998E-2</v>
      </c>
      <c r="E51" s="93">
        <v>17548135.670562562</v>
      </c>
      <c r="F51" s="35"/>
    </row>
    <row r="52" spans="1:18" ht="17.25" thickBot="1">
      <c r="A52" s="40" t="s">
        <v>261</v>
      </c>
      <c r="B52" s="11" t="s">
        <v>262</v>
      </c>
      <c r="C52" s="95">
        <v>1135</v>
      </c>
      <c r="D52" s="92">
        <v>2.2522522499999999E-2</v>
      </c>
      <c r="E52" s="93">
        <v>21657562.398588061</v>
      </c>
      <c r="F52" s="35"/>
    </row>
    <row r="53" spans="1:18" ht="17.25" thickBot="1">
      <c r="A53" s="40" t="s">
        <v>273</v>
      </c>
      <c r="B53" s="11" t="s">
        <v>274</v>
      </c>
      <c r="C53" s="95">
        <v>9570</v>
      </c>
      <c r="D53" s="92">
        <v>2.1890016000000002E-2</v>
      </c>
      <c r="E53" s="93">
        <v>2523708.6346413498</v>
      </c>
      <c r="F53" s="35"/>
      <c r="G53" s="149" t="s">
        <v>285</v>
      </c>
      <c r="H53" s="150"/>
      <c r="I53" s="150"/>
      <c r="J53" s="151"/>
      <c r="K53" s="149" t="s">
        <v>288</v>
      </c>
      <c r="L53" s="150"/>
      <c r="M53" s="150"/>
      <c r="N53" s="151"/>
      <c r="O53" s="149" t="s">
        <v>289</v>
      </c>
      <c r="P53" s="150"/>
      <c r="Q53" s="150"/>
      <c r="R53" s="151"/>
    </row>
    <row r="54" spans="1:18" ht="17.25" thickBot="1">
      <c r="A54" s="40" t="s">
        <v>253</v>
      </c>
      <c r="B54" s="11" t="s">
        <v>254</v>
      </c>
      <c r="C54" s="95">
        <v>98.8</v>
      </c>
      <c r="D54" s="92">
        <v>2.1716649399999999E-2</v>
      </c>
      <c r="E54" s="93">
        <v>328814579.18128335</v>
      </c>
      <c r="F54" s="35"/>
      <c r="G54" s="197" t="s">
        <v>55</v>
      </c>
      <c r="H54" s="194">
        <f ca="1">NOW()</f>
        <v>44320.098231481483</v>
      </c>
      <c r="I54" s="195"/>
      <c r="J54" s="196"/>
      <c r="K54" s="192" t="s">
        <v>55</v>
      </c>
      <c r="L54" s="194">
        <f ca="1">NOW()</f>
        <v>44320.098231481483</v>
      </c>
      <c r="M54" s="195"/>
      <c r="N54" s="196"/>
      <c r="O54" s="192" t="s">
        <v>55</v>
      </c>
      <c r="P54" s="194">
        <f ca="1">NOW()</f>
        <v>44320.098231481483</v>
      </c>
      <c r="Q54" s="195"/>
      <c r="R54" s="196"/>
    </row>
    <row r="55" spans="1:18" ht="17.25" thickBot="1">
      <c r="A55" s="40" t="s">
        <v>48</v>
      </c>
      <c r="B55" s="11" t="s">
        <v>49</v>
      </c>
      <c r="C55" s="95">
        <v>69894000</v>
      </c>
      <c r="D55" s="92">
        <v>2.1065856399999999E-2</v>
      </c>
      <c r="E55" s="93">
        <v>7194.7170987899999</v>
      </c>
      <c r="F55" s="35"/>
      <c r="G55" s="193"/>
      <c r="H55" s="36" t="s">
        <v>58</v>
      </c>
      <c r="I55" s="73" t="s">
        <v>59</v>
      </c>
      <c r="J55" s="69" t="s">
        <v>294</v>
      </c>
      <c r="K55" s="193"/>
      <c r="L55" s="36" t="s">
        <v>58</v>
      </c>
      <c r="M55" s="73" t="s">
        <v>59</v>
      </c>
      <c r="N55" s="69" t="s">
        <v>294</v>
      </c>
      <c r="O55" s="193"/>
      <c r="P55" s="36" t="s">
        <v>58</v>
      </c>
      <c r="Q55" s="73" t="s">
        <v>59</v>
      </c>
      <c r="R55" s="69" t="s">
        <v>294</v>
      </c>
    </row>
    <row r="56" spans="1:18">
      <c r="A56" s="40" t="s">
        <v>60</v>
      </c>
      <c r="B56" s="11" t="s">
        <v>61</v>
      </c>
      <c r="C56" s="95">
        <v>1735</v>
      </c>
      <c r="D56" s="92">
        <v>2.05882353E-2</v>
      </c>
      <c r="E56" s="93">
        <v>27936845.899275061</v>
      </c>
      <c r="F56" s="35"/>
      <c r="G56" s="55" t="str">
        <f ca="1">IFERROR(OFFSET(INDIRECT($H$3 &amp; "!A179"), 0, 0), "")</f>
        <v>코스모스</v>
      </c>
      <c r="H56" s="38">
        <f t="shared" ref="H56:H65" ca="1" si="16">_xlfn.IFNA(VLOOKUP(G56, $B$2:$D$200, 2, FALSE), "")</f>
        <v>28020</v>
      </c>
      <c r="I56" s="76">
        <f t="shared" ref="I56:I65" ca="1" si="17">_xlfn.IFNA(VLOOKUP(G56, $B$2:$D$200, 3, FALSE), "")</f>
        <v>4.3010753000000002E-3</v>
      </c>
      <c r="J56" s="85">
        <f ca="1">_xlfn.IFNA(VLOOKUP(G56, $B$2:$E$200, 4, FALSE), "")</f>
        <v>327106.26883781003</v>
      </c>
      <c r="K56" s="55" t="str">
        <f ca="1">IFERROR(OFFSET(INDIRECT($H$3 &amp; "!A125"), 0, 0), "")</f>
        <v>메인프레임</v>
      </c>
      <c r="L56" s="38">
        <f t="shared" ref="L56:L75" ca="1" si="18">_xlfn.IFNA(VLOOKUP(K56, $B$2:$D$200, 2, FALSE), "")</f>
        <v>24.6</v>
      </c>
      <c r="M56" s="76">
        <f t="shared" ref="M56:M75" ca="1" si="19">_xlfn.IFNA(VLOOKUP(K56, $B$2:$D$200, 3, FALSE), "")</f>
        <v>8.8495575199999996E-2</v>
      </c>
      <c r="N56" s="85">
        <f ca="1">_xlfn.IFNA(VLOOKUP(K56, $B$2:$E$200, 4, FALSE), "")</f>
        <v>1579058952.5117164</v>
      </c>
      <c r="O56" s="55" t="str">
        <f ca="1">IFERROR(OFFSET(INDIRECT($H$3 &amp; "!A152"), 0, 0), "")</f>
        <v>썸씽</v>
      </c>
      <c r="P56" s="38">
        <f t="shared" ref="P56:P75" ca="1" si="20">_xlfn.IFNA(VLOOKUP(O56, $B$2:$D$200, 2, FALSE), "")</f>
        <v>139</v>
      </c>
      <c r="Q56" s="76">
        <f t="shared" ref="Q56:Q75" ca="1" si="21">_xlfn.IFNA(VLOOKUP(O56, $B$2:$D$200, 3, FALSE), "")</f>
        <v>0</v>
      </c>
      <c r="R56" s="85">
        <f ca="1">_xlfn.IFNA(VLOOKUP(O56, $B$2:$E$200, 4, FALSE), "")</f>
        <v>233405570.48585016</v>
      </c>
    </row>
    <row r="57" spans="1:18">
      <c r="A57" s="40" t="s">
        <v>159</v>
      </c>
      <c r="B57" s="11" t="s">
        <v>160</v>
      </c>
      <c r="C57" s="95">
        <v>3240</v>
      </c>
      <c r="D57" s="92">
        <v>2.04724409E-2</v>
      </c>
      <c r="E57" s="93">
        <v>4450783.01571716</v>
      </c>
      <c r="F57" s="35"/>
      <c r="G57" s="56" t="str">
        <f ca="1">IFERROR(OFFSET(INDIRECT($H$3 &amp; "!A179"), 1, 0), "")</f>
        <v>무비블록</v>
      </c>
      <c r="H57" s="39">
        <f t="shared" ca="1" si="16"/>
        <v>21.2</v>
      </c>
      <c r="I57" s="77">
        <f t="shared" ca="1" si="17"/>
        <v>4.7393365E-3</v>
      </c>
      <c r="J57" s="86">
        <f t="shared" ref="J57:J75" ca="1" si="22">_xlfn.IFNA(VLOOKUP(G57, $B$2:$E$200, 4, FALSE), "")</f>
        <v>1353209982.0372171</v>
      </c>
      <c r="K57" s="56" t="str">
        <f ca="1">IFERROR(OFFSET(INDIRECT($H$3 &amp; "!A125"), 1, 0), "")</f>
        <v>캐리프로토콜</v>
      </c>
      <c r="L57" s="39">
        <f t="shared" ca="1" si="18"/>
        <v>24.1</v>
      </c>
      <c r="M57" s="77">
        <f t="shared" ca="1" si="19"/>
        <v>5.7017543900000002E-2</v>
      </c>
      <c r="N57" s="86">
        <f t="shared" ref="N57:N75" ca="1" si="23">_xlfn.IFNA(VLOOKUP(K57, $B$2:$E$200, 4, FALSE), "")</f>
        <v>2250555579.0413489</v>
      </c>
      <c r="O57" s="56" t="str">
        <f ca="1">IFERROR(OFFSET(INDIRECT($H$3 &amp; "!A152"), 1, 0), "")</f>
        <v>오브스</v>
      </c>
      <c r="P57" s="39">
        <f t="shared" ca="1" si="20"/>
        <v>164</v>
      </c>
      <c r="Q57" s="77">
        <f t="shared" ca="1" si="21"/>
        <v>1.8633540399999999E-2</v>
      </c>
      <c r="R57" s="86">
        <f t="shared" ref="R57:R75" ca="1" si="24">_xlfn.IFNA(VLOOKUP(O57, $B$2:$E$200, 4, FALSE), "")</f>
        <v>124878270.61087216</v>
      </c>
    </row>
    <row r="58" spans="1:18">
      <c r="A58" s="40" t="s">
        <v>213</v>
      </c>
      <c r="B58" s="11" t="s">
        <v>214</v>
      </c>
      <c r="C58" s="95">
        <v>25.4</v>
      </c>
      <c r="D58" s="92">
        <v>2.0080321299999999E-2</v>
      </c>
      <c r="E58" s="93">
        <v>814213656.17805052</v>
      </c>
      <c r="F58" s="35"/>
      <c r="G58" s="56" t="str">
        <f ca="1">IFERROR(OFFSET(INDIRECT($H$3 &amp; "!A179"), 2, 0), "")</f>
        <v>메디블록</v>
      </c>
      <c r="H58" s="39">
        <f t="shared" ca="1" si="16"/>
        <v>179</v>
      </c>
      <c r="I58" s="77">
        <f t="shared" ca="1" si="17"/>
        <v>0</v>
      </c>
      <c r="J58" s="86">
        <f t="shared" ca="1" si="22"/>
        <v>1133269901.4081242</v>
      </c>
      <c r="K58" s="56" t="str">
        <f ca="1">IFERROR(OFFSET(INDIRECT($H$3 &amp; "!A125"), 2, 0), "")</f>
        <v>아이오에스티</v>
      </c>
      <c r="L58" s="39">
        <f t="shared" ca="1" si="18"/>
        <v>79.8</v>
      </c>
      <c r="M58" s="77">
        <f t="shared" ca="1" si="19"/>
        <v>4.72440945E-2</v>
      </c>
      <c r="N58" s="86">
        <f t="shared" ca="1" si="23"/>
        <v>291588459.27520353</v>
      </c>
      <c r="O58" s="56" t="str">
        <f ca="1">IFERROR(OFFSET(INDIRECT($H$3 &amp; "!A152"), 2, 0), "")</f>
        <v>폴리매쓰</v>
      </c>
      <c r="P58" s="39">
        <f t="shared" ca="1" si="20"/>
        <v>493</v>
      </c>
      <c r="Q58" s="77">
        <f t="shared" ca="1" si="21"/>
        <v>8.1799591000000001E-3</v>
      </c>
      <c r="R58" s="86">
        <f t="shared" ca="1" si="24"/>
        <v>25926173.56897375</v>
      </c>
    </row>
    <row r="59" spans="1:18">
      <c r="A59" s="40" t="s">
        <v>269</v>
      </c>
      <c r="B59" s="11" t="s">
        <v>270</v>
      </c>
      <c r="C59" s="95">
        <v>597</v>
      </c>
      <c r="D59" s="92">
        <v>1.87713311E-2</v>
      </c>
      <c r="E59" s="93">
        <v>30229107.718670201</v>
      </c>
      <c r="F59" s="35"/>
      <c r="G59" s="56" t="str">
        <f ca="1">IFERROR(OFFSET(INDIRECT($H$3 &amp; "!A179"), 3, 0), "")</f>
        <v>아하토큰</v>
      </c>
      <c r="H59" s="39">
        <f t="shared" ca="1" si="16"/>
        <v>20.8</v>
      </c>
      <c r="I59" s="77">
        <f t="shared" ca="1" si="17"/>
        <v>4.8309179000000004E-3</v>
      </c>
      <c r="J59" s="86">
        <f t="shared" ca="1" si="22"/>
        <v>731237436.56828988</v>
      </c>
      <c r="K59" s="56" t="str">
        <f ca="1">IFERROR(OFFSET(INDIRECT($H$3 &amp; "!A125"), 3, 0), "")</f>
        <v>에브리피디아</v>
      </c>
      <c r="L59" s="39">
        <f t="shared" ca="1" si="18"/>
        <v>29.4</v>
      </c>
      <c r="M59" s="77">
        <f t="shared" ca="1" si="19"/>
        <v>4.2553191499999997E-2</v>
      </c>
      <c r="N59" s="86">
        <f t="shared" ca="1" si="23"/>
        <v>2246585266.4276047</v>
      </c>
      <c r="O59" s="56" t="str">
        <f ca="1">IFERROR(OFFSET(INDIRECT($H$3 &amp; "!A152"), 3, 0), "")</f>
        <v>이그니스</v>
      </c>
      <c r="P59" s="39">
        <f t="shared" ca="1" si="20"/>
        <v>182</v>
      </c>
      <c r="Q59" s="77">
        <f t="shared" ca="1" si="21"/>
        <v>5.5248618999999997E-3</v>
      </c>
      <c r="R59" s="86">
        <f t="shared" ca="1" si="24"/>
        <v>33597891.588786043</v>
      </c>
    </row>
    <row r="60" spans="1:18">
      <c r="A60" s="40" t="s">
        <v>83</v>
      </c>
      <c r="B60" s="11" t="s">
        <v>84</v>
      </c>
      <c r="C60" s="95">
        <v>1630</v>
      </c>
      <c r="D60" s="92">
        <v>1.8749999999999999E-2</v>
      </c>
      <c r="E60" s="93">
        <v>31984112.921981178</v>
      </c>
      <c r="F60" s="35"/>
      <c r="G60" s="56" t="str">
        <f ca="1">IFERROR(OFFSET(INDIRECT($H$3 &amp; "!A179"), 4, 0), "")</f>
        <v>엠블</v>
      </c>
      <c r="H60" s="39">
        <f t="shared" ca="1" si="16"/>
        <v>32.5</v>
      </c>
      <c r="I60" s="77">
        <f t="shared" ca="1" si="17"/>
        <v>3.0864197999999998E-3</v>
      </c>
      <c r="J60" s="90">
        <f t="shared" ca="1" si="22"/>
        <v>890018744.15792608</v>
      </c>
      <c r="K60" s="58" t="str">
        <f ca="1">IFERROR(OFFSET(INDIRECT($H$3 &amp; "!A125"), 4, 0), "")</f>
        <v>쿼크체인</v>
      </c>
      <c r="L60" s="44">
        <f t="shared" ca="1" si="18"/>
        <v>38.4</v>
      </c>
      <c r="M60" s="78">
        <f t="shared" ca="1" si="19"/>
        <v>3.2258064500000003E-2</v>
      </c>
      <c r="N60" s="90">
        <f t="shared" ca="1" si="23"/>
        <v>306148821.26277882</v>
      </c>
      <c r="O60" s="58" t="str">
        <f ca="1">IFERROR(OFFSET(INDIRECT($H$3 &amp; "!A152"), 4, 0), "")</f>
        <v>헤데라해시그래프</v>
      </c>
      <c r="P60" s="44">
        <f t="shared" ca="1" si="20"/>
        <v>399</v>
      </c>
      <c r="Q60" s="78">
        <f t="shared" ca="1" si="21"/>
        <v>2.5125628000000001E-3</v>
      </c>
      <c r="R60" s="90">
        <f t="shared" ca="1" si="24"/>
        <v>47759188.460980132</v>
      </c>
    </row>
    <row r="61" spans="1:18">
      <c r="A61" s="40" t="s">
        <v>133</v>
      </c>
      <c r="B61" s="11" t="s">
        <v>134</v>
      </c>
      <c r="C61" s="95">
        <v>164</v>
      </c>
      <c r="D61" s="92">
        <v>1.8633540399999999E-2</v>
      </c>
      <c r="E61" s="93">
        <v>124878270.61087216</v>
      </c>
      <c r="F61" s="35"/>
      <c r="G61" s="60" t="str">
        <f ca="1">IFERROR(OFFSET(INDIRECT($H$3 &amp; "!A179"), 5, 0), "")</f>
        <v>페이코인</v>
      </c>
      <c r="H61" s="45">
        <f t="shared" ca="1" si="16"/>
        <v>2215</v>
      </c>
      <c r="I61" s="80">
        <f t="shared" ca="1" si="17"/>
        <v>4.5351473999999999E-3</v>
      </c>
      <c r="J61" s="99">
        <f t="shared" ca="1" si="22"/>
        <v>15444919.46174502</v>
      </c>
      <c r="K61" s="56" t="str">
        <f ca="1">IFERROR(OFFSET(INDIRECT($H$3 &amp; "!A125"), 5, 0), "")</f>
        <v>퀴즈톡</v>
      </c>
      <c r="L61" s="39">
        <f t="shared" ca="1" si="18"/>
        <v>98.8</v>
      </c>
      <c r="M61" s="77">
        <f t="shared" ca="1" si="19"/>
        <v>2.1716649399999999E-2</v>
      </c>
      <c r="N61" s="99">
        <f t="shared" ca="1" si="23"/>
        <v>328814579.18128335</v>
      </c>
      <c r="O61" s="56" t="str">
        <f ca="1">IFERROR(OFFSET(INDIRECT($H$3 &amp; "!A152"), 5, 0), "")</f>
        <v>휴먼스케이프</v>
      </c>
      <c r="P61" s="39">
        <f t="shared" ca="1" si="20"/>
        <v>201</v>
      </c>
      <c r="Q61" s="77">
        <f t="shared" ca="1" si="21"/>
        <v>1.00502513E-2</v>
      </c>
      <c r="R61" s="99">
        <f t="shared" ca="1" si="24"/>
        <v>105383753.27920452</v>
      </c>
    </row>
    <row r="62" spans="1:18">
      <c r="A62" s="40" t="s">
        <v>75</v>
      </c>
      <c r="B62" s="11" t="s">
        <v>76</v>
      </c>
      <c r="C62" s="95">
        <v>48670</v>
      </c>
      <c r="D62" s="92">
        <v>1.8413894100000001E-2</v>
      </c>
      <c r="E62" s="93">
        <v>778543.24479331996</v>
      </c>
      <c r="F62" s="35"/>
      <c r="G62" s="56" t="str">
        <f ca="1">IFERROR(OFFSET(INDIRECT($H$3 &amp; "!A179"), 6, 0), "")</f>
        <v>엘비알와이크레딧</v>
      </c>
      <c r="H62" s="39">
        <f t="shared" ca="1" si="16"/>
        <v>243</v>
      </c>
      <c r="I62" s="77">
        <f t="shared" ca="1" si="17"/>
        <v>-4.0983607000000003E-3</v>
      </c>
      <c r="J62" s="86">
        <f t="shared" ca="1" si="22"/>
        <v>42830364.59572763</v>
      </c>
      <c r="K62" s="56" t="str">
        <f ca="1">IFERROR(OFFSET(INDIRECT($H$3 &amp; "!A125"), 6, 0), "")</f>
        <v>리퍼리움</v>
      </c>
      <c r="L62" s="39">
        <f t="shared" ca="1" si="18"/>
        <v>25.4</v>
      </c>
      <c r="M62" s="77">
        <f t="shared" ca="1" si="19"/>
        <v>2.0080321299999999E-2</v>
      </c>
      <c r="N62" s="86">
        <f t="shared" ca="1" si="23"/>
        <v>814213656.17805052</v>
      </c>
      <c r="O62" s="56" t="str">
        <f ca="1">IFERROR(OFFSET(INDIRECT($H$3 &amp; "!A152"), 6, 0), "")</f>
        <v>피르마체인</v>
      </c>
      <c r="P62" s="39">
        <f t="shared" ca="1" si="20"/>
        <v>222</v>
      </c>
      <c r="Q62" s="77">
        <f t="shared" ca="1" si="21"/>
        <v>0</v>
      </c>
      <c r="R62" s="86">
        <f t="shared" ca="1" si="24"/>
        <v>44264063.529836781</v>
      </c>
    </row>
    <row r="63" spans="1:18">
      <c r="A63" s="40" t="s">
        <v>137</v>
      </c>
      <c r="B63" s="11" t="s">
        <v>138</v>
      </c>
      <c r="C63" s="95">
        <v>44810</v>
      </c>
      <c r="D63" s="92">
        <v>1.8409090900000001E-2</v>
      </c>
      <c r="E63" s="93">
        <v>736234.80190375994</v>
      </c>
      <c r="F63" s="35"/>
      <c r="G63" s="56" t="str">
        <f ca="1">IFERROR(OFFSET(INDIRECT($H$3 &amp; "!A179"), 7, 0), "")</f>
        <v>시아코인</v>
      </c>
      <c r="H63" s="39">
        <f t="shared" ca="1" si="16"/>
        <v>49.9</v>
      </c>
      <c r="I63" s="77">
        <f t="shared" ca="1" si="17"/>
        <v>0</v>
      </c>
      <c r="J63" s="86">
        <f t="shared" ca="1" si="22"/>
        <v>931650284.56975043</v>
      </c>
      <c r="K63" s="56" t="str">
        <f ca="1">IFERROR(OFFSET(INDIRECT($H$3 &amp; "!A125"), 7, 0), "")</f>
        <v>엔도르</v>
      </c>
      <c r="L63" s="39">
        <f t="shared" ca="1" si="18"/>
        <v>78.400000000000006</v>
      </c>
      <c r="M63" s="77">
        <f t="shared" ca="1" si="19"/>
        <v>9.0090090000000001E-3</v>
      </c>
      <c r="N63" s="86">
        <f t="shared" ca="1" si="23"/>
        <v>221642569.17180285</v>
      </c>
      <c r="O63" s="56" t="str">
        <f ca="1">IFERROR(OFFSET(INDIRECT($H$3 &amp; "!A152"), 7, 0), "")</f>
        <v>스텔라루멘</v>
      </c>
      <c r="P63" s="39">
        <f t="shared" ca="1" si="20"/>
        <v>674</v>
      </c>
      <c r="Q63" s="77">
        <f t="shared" ca="1" si="21"/>
        <v>5.9701492999999998E-3</v>
      </c>
      <c r="R63" s="86">
        <f t="shared" ca="1" si="24"/>
        <v>74938633.945356846</v>
      </c>
    </row>
    <row r="64" spans="1:18">
      <c r="A64" s="40" t="s">
        <v>181</v>
      </c>
      <c r="B64" s="11" t="s">
        <v>182</v>
      </c>
      <c r="C64" s="95">
        <v>505</v>
      </c>
      <c r="D64" s="92">
        <v>1.81451613E-2</v>
      </c>
      <c r="E64" s="93">
        <v>17685195.25435425</v>
      </c>
      <c r="F64" s="35"/>
      <c r="G64" s="56" t="str">
        <f ca="1">IFERROR(OFFSET(INDIRECT($H$3 &amp; "!A179"), 8, 0), "")</f>
        <v>헌트</v>
      </c>
      <c r="H64" s="39">
        <f t="shared" ca="1" si="16"/>
        <v>444</v>
      </c>
      <c r="I64" s="77">
        <f t="shared" ca="1" si="17"/>
        <v>0</v>
      </c>
      <c r="J64" s="86">
        <f t="shared" ca="1" si="22"/>
        <v>30195427.449813511</v>
      </c>
      <c r="K64" s="56" t="str">
        <f ca="1">IFERROR(OFFSET(INDIRECT($H$3 &amp; "!A125"), 8, 0), "")</f>
        <v>썬더토큰</v>
      </c>
      <c r="L64" s="39">
        <f t="shared" ca="1" si="18"/>
        <v>22.7</v>
      </c>
      <c r="M64" s="77">
        <f t="shared" ca="1" si="19"/>
        <v>8.8888888999999992E-3</v>
      </c>
      <c r="N64" s="86">
        <f t="shared" ca="1" si="23"/>
        <v>727111492.57098389</v>
      </c>
      <c r="O64" s="56" t="str">
        <f ca="1">IFERROR(OFFSET(INDIRECT($H$3 &amp; "!A152"), 8, 0), "")</f>
        <v>아르고</v>
      </c>
      <c r="P64" s="39">
        <f t="shared" ca="1" si="20"/>
        <v>414</v>
      </c>
      <c r="Q64" s="77">
        <f t="shared" ca="1" si="21"/>
        <v>9.7560975999999994E-3</v>
      </c>
      <c r="R64" s="86">
        <f t="shared" ca="1" si="24"/>
        <v>33626391.123741783</v>
      </c>
    </row>
    <row r="65" spans="1:18" ht="17.25" thickBot="1">
      <c r="A65" s="40" t="s">
        <v>247</v>
      </c>
      <c r="B65" s="11" t="s">
        <v>248</v>
      </c>
      <c r="C65" s="95">
        <v>3395</v>
      </c>
      <c r="D65" s="92">
        <v>1.7991004500000001E-2</v>
      </c>
      <c r="E65" s="93">
        <v>5380062.3079059198</v>
      </c>
      <c r="F65" s="35"/>
      <c r="G65" s="57" t="str">
        <f ca="1">IFERROR(OFFSET(INDIRECT($H$3 &amp; "!A179"), 9, 0), "")</f>
        <v>옵저버</v>
      </c>
      <c r="H65" s="37">
        <f t="shared" ca="1" si="16"/>
        <v>32.9</v>
      </c>
      <c r="I65" s="79">
        <f t="shared" ca="1" si="17"/>
        <v>0</v>
      </c>
      <c r="J65" s="87">
        <f t="shared" ca="1" si="22"/>
        <v>752791526.61842513</v>
      </c>
      <c r="K65" s="57" t="str">
        <f ca="1">IFERROR(OFFSET(INDIRECT($H$3 &amp; "!A125"), 9, 0), "")</f>
        <v>비트토렌트</v>
      </c>
      <c r="L65" s="37">
        <f t="shared" ca="1" si="18"/>
        <v>8.4700000000000006</v>
      </c>
      <c r="M65" s="79">
        <f t="shared" ca="1" si="19"/>
        <v>3.5545023999999999E-3</v>
      </c>
      <c r="N65" s="87">
        <f t="shared" ca="1" si="23"/>
        <v>31550528625.510895</v>
      </c>
      <c r="O65" s="57" t="str">
        <f ca="1">IFERROR(OFFSET(INDIRECT($H$3 &amp; "!A152"), 9, 0), "")</f>
        <v>플레이댑</v>
      </c>
      <c r="P65" s="37">
        <f t="shared" ca="1" si="20"/>
        <v>559</v>
      </c>
      <c r="Q65" s="79">
        <f t="shared" ca="1" si="21"/>
        <v>1.7921147000000001E-3</v>
      </c>
      <c r="R65" s="87">
        <f t="shared" ca="1" si="24"/>
        <v>15841905.69708401</v>
      </c>
    </row>
    <row r="66" spans="1:18">
      <c r="A66" s="40" t="s">
        <v>183</v>
      </c>
      <c r="B66" s="11" t="s">
        <v>184</v>
      </c>
      <c r="C66" s="95">
        <v>2660</v>
      </c>
      <c r="D66" s="92">
        <v>1.52671756E-2</v>
      </c>
      <c r="E66" s="93">
        <v>1965964.37484187</v>
      </c>
      <c r="F66" s="35"/>
      <c r="G66" s="56" t="str">
        <f ca="1">IFERROR(OFFSET(INDIRECT($H$3 &amp; "!A179"), 10, 0), "")</f>
        <v>아이콘</v>
      </c>
      <c r="H66" s="38">
        <f t="shared" ref="H66:H75" ca="1" si="25">_xlfn.IFNA(VLOOKUP(G66, $B$2:$D$200, 2, FALSE), "")</f>
        <v>3035</v>
      </c>
      <c r="I66" s="76">
        <f t="shared" ref="I66:I75" ca="1" si="26">_xlfn.IFNA(VLOOKUP(G66, $B$2:$D$200, 3, FALSE), "")</f>
        <v>1.6501650000000001E-3</v>
      </c>
      <c r="J66" s="85">
        <f t="shared" ca="1" si="22"/>
        <v>3017418.76891312</v>
      </c>
      <c r="K66" s="55" t="str">
        <f ca="1">IFERROR(OFFSET(INDIRECT($H$3 &amp; "!A125"), 10, 0), "")</f>
        <v>트웰브쉽스</v>
      </c>
      <c r="L66" s="38">
        <f t="shared" ca="1" si="18"/>
        <v>28.7</v>
      </c>
      <c r="M66" s="76">
        <f t="shared" ca="1" si="19"/>
        <v>3.4965034999999999E-3</v>
      </c>
      <c r="N66" s="85">
        <f t="shared" ca="1" si="23"/>
        <v>507625977.80221796</v>
      </c>
      <c r="O66" s="55" t="str">
        <f ca="1">IFERROR(OFFSET(INDIRECT($H$3 &amp; "!A152"), 10, 0), "")</f>
        <v>아더</v>
      </c>
      <c r="P66" s="38">
        <f t="shared" ca="1" si="20"/>
        <v>481</v>
      </c>
      <c r="Q66" s="76">
        <f t="shared" ca="1" si="21"/>
        <v>2.0833332999999998E-3</v>
      </c>
      <c r="R66" s="85">
        <f t="shared" ca="1" si="24"/>
        <v>38087243.978440322</v>
      </c>
    </row>
    <row r="67" spans="1:18">
      <c r="A67" s="40" t="s">
        <v>56</v>
      </c>
      <c r="B67" s="11" t="s">
        <v>57</v>
      </c>
      <c r="C67" s="95">
        <v>418</v>
      </c>
      <c r="D67" s="92">
        <v>1.45631068E-2</v>
      </c>
      <c r="E67" s="93">
        <v>111149509.77527933</v>
      </c>
      <c r="F67" s="35"/>
      <c r="G67" s="56" t="str">
        <f ca="1">IFERROR(OFFSET(INDIRECT($H$3 &amp; "!A179"), 11, 0), "")</f>
        <v>엑시인피니티</v>
      </c>
      <c r="H67" s="39">
        <f t="shared" ca="1" si="25"/>
        <v>11220</v>
      </c>
      <c r="I67" s="77">
        <f t="shared" ca="1" si="26"/>
        <v>-4.4365571999999999E-3</v>
      </c>
      <c r="J67" s="86">
        <f t="shared" ca="1" si="22"/>
        <v>2895370.7136580902</v>
      </c>
      <c r="K67" s="56" t="str">
        <f ca="1">IFERROR(OFFSET(INDIRECT($H$3 &amp; "!A125"), 11, 0), "")</f>
        <v>무비블록</v>
      </c>
      <c r="L67" s="39">
        <f t="shared" ca="1" si="18"/>
        <v>21.2</v>
      </c>
      <c r="M67" s="77">
        <f t="shared" ca="1" si="19"/>
        <v>4.7393365E-3</v>
      </c>
      <c r="N67" s="86">
        <f t="shared" ca="1" si="23"/>
        <v>1353209982.0372171</v>
      </c>
      <c r="O67" s="56" t="str">
        <f ca="1">IFERROR(OFFSET(INDIRECT($H$3 &amp; "!A152"), 11, 0), "")</f>
        <v>모스코인</v>
      </c>
      <c r="P67" s="39">
        <f t="shared" ca="1" si="20"/>
        <v>213</v>
      </c>
      <c r="Q67" s="77">
        <f t="shared" ca="1" si="21"/>
        <v>4.7169810999999999E-3</v>
      </c>
      <c r="R67" s="86">
        <f t="shared" ca="1" si="24"/>
        <v>54586752.979698978</v>
      </c>
    </row>
    <row r="68" spans="1:18">
      <c r="A68" s="40" t="s">
        <v>119</v>
      </c>
      <c r="B68" s="11" t="s">
        <v>120</v>
      </c>
      <c r="C68" s="95">
        <v>230</v>
      </c>
      <c r="D68" s="92">
        <v>1.3215859E-2</v>
      </c>
      <c r="E68" s="93">
        <v>80415714.333964154</v>
      </c>
      <c r="F68" s="35"/>
      <c r="G68" s="56" t="str">
        <f ca="1">IFERROR(OFFSET(INDIRECT($H$3 &amp; "!A179"), 12, 0), "")</f>
        <v>메타디움</v>
      </c>
      <c r="H68" s="39">
        <f t="shared" ca="1" si="25"/>
        <v>250</v>
      </c>
      <c r="I68" s="77">
        <f t="shared" ca="1" si="26"/>
        <v>-3.9840637000000002E-3</v>
      </c>
      <c r="J68" s="86">
        <f t="shared" ca="1" si="22"/>
        <v>431125251.23179609</v>
      </c>
      <c r="K68" s="56" t="str">
        <f ca="1">IFERROR(OFFSET(INDIRECT($H$3 &amp; "!A125"), 12, 0), "")</f>
        <v>아하토큰</v>
      </c>
      <c r="L68" s="39">
        <f t="shared" ca="1" si="18"/>
        <v>20.8</v>
      </c>
      <c r="M68" s="77">
        <f t="shared" ca="1" si="19"/>
        <v>4.8309179000000004E-3</v>
      </c>
      <c r="N68" s="86">
        <f t="shared" ca="1" si="23"/>
        <v>731237436.56828988</v>
      </c>
      <c r="O68" s="56" t="str">
        <f ca="1">IFERROR(OFFSET(INDIRECT($H$3 &amp; "!A152"), 12, 0), "")</f>
        <v>메디블록</v>
      </c>
      <c r="P68" s="39">
        <f t="shared" ca="1" si="20"/>
        <v>179</v>
      </c>
      <c r="Q68" s="77">
        <f t="shared" ca="1" si="21"/>
        <v>0</v>
      </c>
      <c r="R68" s="86">
        <f t="shared" ca="1" si="24"/>
        <v>1133269901.4081242</v>
      </c>
    </row>
    <row r="69" spans="1:18">
      <c r="A69" s="40" t="s">
        <v>107</v>
      </c>
      <c r="B69" s="11" t="s">
        <v>108</v>
      </c>
      <c r="C69" s="95">
        <v>50500</v>
      </c>
      <c r="D69" s="92">
        <v>1.30391174E-2</v>
      </c>
      <c r="E69" s="93">
        <v>663468.16737272998</v>
      </c>
      <c r="F69" s="35"/>
      <c r="G69" s="56" t="str">
        <f ca="1">IFERROR(OFFSET(INDIRECT($H$3 &amp; "!A179"), 13, 0), "")</f>
        <v>리플</v>
      </c>
      <c r="H69" s="39">
        <f t="shared" ca="1" si="25"/>
        <v>1885</v>
      </c>
      <c r="I69" s="77">
        <f t="shared" ca="1" si="26"/>
        <v>-2.6455025999999999E-3</v>
      </c>
      <c r="J69" s="86">
        <f t="shared" ca="1" si="22"/>
        <v>417596872.58722699</v>
      </c>
      <c r="K69" s="56" t="str">
        <f ca="1">IFERROR(OFFSET(INDIRECT($H$3 &amp; "!A125"), 13, 0), "")</f>
        <v>엠블</v>
      </c>
      <c r="L69" s="39">
        <f t="shared" ca="1" si="18"/>
        <v>32.5</v>
      </c>
      <c r="M69" s="77">
        <f t="shared" ca="1" si="19"/>
        <v>3.0864197999999998E-3</v>
      </c>
      <c r="N69" s="86">
        <f t="shared" ca="1" si="23"/>
        <v>890018744.15792608</v>
      </c>
      <c r="O69" s="56" t="str">
        <f ca="1">IFERROR(OFFSET(INDIRECT($H$3 &amp; "!A152"), 13, 0), "")</f>
        <v>엘비알와이크레딧</v>
      </c>
      <c r="P69" s="39">
        <f t="shared" ca="1" si="20"/>
        <v>243</v>
      </c>
      <c r="Q69" s="77">
        <f t="shared" ca="1" si="21"/>
        <v>-4.0983607000000003E-3</v>
      </c>
      <c r="R69" s="86">
        <f t="shared" ca="1" si="24"/>
        <v>42830364.59572763</v>
      </c>
    </row>
    <row r="70" spans="1:18">
      <c r="A70" s="40" t="s">
        <v>145</v>
      </c>
      <c r="B70" s="11" t="s">
        <v>146</v>
      </c>
      <c r="C70" s="95">
        <v>19980</v>
      </c>
      <c r="D70" s="92">
        <v>1.11336032E-2</v>
      </c>
      <c r="E70" s="93">
        <v>5948928.0954608005</v>
      </c>
      <c r="F70" s="35"/>
      <c r="G70" s="56" t="str">
        <f ca="1">IFERROR(OFFSET(INDIRECT($H$3 &amp; "!A179"), 14, 0), "")</f>
        <v>보라</v>
      </c>
      <c r="H70" s="39">
        <f t="shared" ca="1" si="25"/>
        <v>306</v>
      </c>
      <c r="I70" s="77">
        <f t="shared" ca="1" si="26"/>
        <v>-3.2573290000000002E-3</v>
      </c>
      <c r="J70" s="90">
        <f t="shared" ca="1" si="22"/>
        <v>65544325.0397067</v>
      </c>
      <c r="K70" s="58" t="str">
        <f ca="1">IFERROR(OFFSET(INDIRECT($H$3 &amp; "!A125"), 14, 0), "")</f>
        <v>시아코인</v>
      </c>
      <c r="L70" s="44">
        <f t="shared" ca="1" si="18"/>
        <v>49.9</v>
      </c>
      <c r="M70" s="78">
        <f t="shared" ca="1" si="19"/>
        <v>0</v>
      </c>
      <c r="N70" s="90">
        <f t="shared" ca="1" si="23"/>
        <v>931650284.56975043</v>
      </c>
      <c r="O70" s="58" t="str">
        <f ca="1">IFERROR(OFFSET(INDIRECT($H$3 &amp; "!A152"), 14, 0), "")</f>
        <v>헌트</v>
      </c>
      <c r="P70" s="44">
        <f t="shared" ca="1" si="20"/>
        <v>444</v>
      </c>
      <c r="Q70" s="78">
        <f t="shared" ca="1" si="21"/>
        <v>0</v>
      </c>
      <c r="R70" s="90">
        <f t="shared" ca="1" si="24"/>
        <v>30195427.449813511</v>
      </c>
    </row>
    <row r="71" spans="1:18">
      <c r="A71" s="40" t="s">
        <v>279</v>
      </c>
      <c r="B71" s="11" t="s">
        <v>280</v>
      </c>
      <c r="C71" s="95">
        <v>1830</v>
      </c>
      <c r="D71" s="92">
        <v>1.1049723799999999E-2</v>
      </c>
      <c r="E71" s="93">
        <v>32845368.833860949</v>
      </c>
      <c r="F71" s="35"/>
      <c r="G71" s="60" t="str">
        <f ca="1">IFERROR(OFFSET(INDIRECT($H$3 &amp; "!A179"), 15, 0), "")</f>
        <v>스톰엑스</v>
      </c>
      <c r="H71" s="45">
        <f t="shared" ca="1" si="25"/>
        <v>69</v>
      </c>
      <c r="I71" s="80">
        <f t="shared" ca="1" si="26"/>
        <v>-2.8901733999999999E-3</v>
      </c>
      <c r="J71" s="99">
        <f t="shared" ca="1" si="22"/>
        <v>425027112.42370385</v>
      </c>
      <c r="K71" s="56" t="str">
        <f ca="1">IFERROR(OFFSET(INDIRECT($H$3 &amp; "!A125"), 15, 0), "")</f>
        <v>옵저버</v>
      </c>
      <c r="L71" s="39">
        <f t="shared" ca="1" si="18"/>
        <v>32.9</v>
      </c>
      <c r="M71" s="77">
        <f t="shared" ca="1" si="19"/>
        <v>0</v>
      </c>
      <c r="N71" s="99">
        <f t="shared" ca="1" si="23"/>
        <v>752791526.61842513</v>
      </c>
      <c r="O71" s="56" t="str">
        <f ca="1">IFERROR(OFFSET(INDIRECT($H$3 &amp; "!A152"), 15, 0), "")</f>
        <v>메타디움</v>
      </c>
      <c r="P71" s="39">
        <f t="shared" ca="1" si="20"/>
        <v>250</v>
      </c>
      <c r="Q71" s="77">
        <f t="shared" ca="1" si="21"/>
        <v>-3.9840637000000002E-3</v>
      </c>
      <c r="R71" s="99">
        <f t="shared" ca="1" si="24"/>
        <v>431125251.23179609</v>
      </c>
    </row>
    <row r="72" spans="1:18">
      <c r="A72" s="40" t="s">
        <v>87</v>
      </c>
      <c r="B72" s="11" t="s">
        <v>88</v>
      </c>
      <c r="C72" s="95">
        <v>649</v>
      </c>
      <c r="D72" s="92">
        <v>1.0903426799999999E-2</v>
      </c>
      <c r="E72" s="93">
        <v>118987320.00249431</v>
      </c>
      <c r="F72" s="35"/>
      <c r="G72" s="56" t="str">
        <f ca="1">IFERROR(OFFSET(INDIRECT($H$3 &amp; "!A179"), 16, 0), "")</f>
        <v>비체인</v>
      </c>
      <c r="H72" s="39">
        <f t="shared" ca="1" si="25"/>
        <v>259</v>
      </c>
      <c r="I72" s="77">
        <f t="shared" ca="1" si="26"/>
        <v>-3.8461538E-3</v>
      </c>
      <c r="J72" s="86">
        <f t="shared" ca="1" si="22"/>
        <v>795225788.62671161</v>
      </c>
      <c r="K72" s="56" t="str">
        <f ca="1">IFERROR(OFFSET(INDIRECT($H$3 &amp; "!A125"), 16, 0), "")</f>
        <v>스톰엑스</v>
      </c>
      <c r="L72" s="39">
        <f t="shared" ca="1" si="18"/>
        <v>69</v>
      </c>
      <c r="M72" s="77">
        <f t="shared" ca="1" si="19"/>
        <v>-2.8901733999999999E-3</v>
      </c>
      <c r="N72" s="86">
        <f t="shared" ca="1" si="23"/>
        <v>425027112.42370385</v>
      </c>
      <c r="O72" s="56" t="str">
        <f ca="1">IFERROR(OFFSET(INDIRECT($H$3 &amp; "!A152"), 16, 0), "")</f>
        <v>보라</v>
      </c>
      <c r="P72" s="39">
        <f t="shared" ca="1" si="20"/>
        <v>306</v>
      </c>
      <c r="Q72" s="77">
        <f t="shared" ca="1" si="21"/>
        <v>-3.2573290000000002E-3</v>
      </c>
      <c r="R72" s="86">
        <f t="shared" ca="1" si="24"/>
        <v>65544325.0397067</v>
      </c>
    </row>
    <row r="73" spans="1:18">
      <c r="A73" s="40" t="s">
        <v>123</v>
      </c>
      <c r="B73" s="11" t="s">
        <v>124</v>
      </c>
      <c r="C73" s="95">
        <v>7865</v>
      </c>
      <c r="D73" s="92">
        <v>1.02761721E-2</v>
      </c>
      <c r="E73" s="93">
        <v>2454251.61710065</v>
      </c>
      <c r="F73" s="35"/>
      <c r="G73" s="56" t="str">
        <f ca="1">IFERROR(OFFSET(INDIRECT($H$3 &amp; "!A179"), 17, 0), "")</f>
        <v>마로</v>
      </c>
      <c r="H73" s="39">
        <f t="shared" ca="1" si="25"/>
        <v>550</v>
      </c>
      <c r="I73" s="77">
        <f t="shared" ca="1" si="26"/>
        <v>-9.0090090000000001E-3</v>
      </c>
      <c r="J73" s="86">
        <f t="shared" ca="1" si="22"/>
        <v>91159580.431531191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비체인</v>
      </c>
      <c r="P73" s="39">
        <f t="shared" ca="1" si="20"/>
        <v>259</v>
      </c>
      <c r="Q73" s="77">
        <f t="shared" ca="1" si="21"/>
        <v>-3.8461538E-3</v>
      </c>
      <c r="R73" s="86">
        <f t="shared" ca="1" si="24"/>
        <v>795225788.62671161</v>
      </c>
    </row>
    <row r="74" spans="1:18">
      <c r="A74" s="40" t="s">
        <v>231</v>
      </c>
      <c r="B74" s="11" t="s">
        <v>232</v>
      </c>
      <c r="C74" s="95">
        <v>198</v>
      </c>
      <c r="D74" s="92">
        <v>1.02040816E-2</v>
      </c>
      <c r="E74" s="93">
        <v>58307497.42966155</v>
      </c>
      <c r="F74" s="35"/>
      <c r="G74" s="56" t="str">
        <f ca="1">IFERROR(OFFSET(INDIRECT($H$3 &amp; "!A179"), 18, 0), "")</f>
        <v>엘프</v>
      </c>
      <c r="H74" s="39">
        <f t="shared" ca="1" si="25"/>
        <v>550</v>
      </c>
      <c r="I74" s="77">
        <f t="shared" ca="1" si="26"/>
        <v>-7.2202166E-3</v>
      </c>
      <c r="J74" s="86">
        <f t="shared" ca="1" si="22"/>
        <v>21221680.866927698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마로</v>
      </c>
      <c r="P74" s="39">
        <f t="shared" ca="1" si="20"/>
        <v>550</v>
      </c>
      <c r="Q74" s="77">
        <f t="shared" ca="1" si="21"/>
        <v>-9.0090090000000001E-3</v>
      </c>
      <c r="R74" s="86">
        <f t="shared" ca="1" si="24"/>
        <v>91159580.431531191</v>
      </c>
    </row>
    <row r="75" spans="1:18" ht="17.25" thickBot="1">
      <c r="A75" s="40" t="s">
        <v>93</v>
      </c>
      <c r="B75" s="11" t="s">
        <v>94</v>
      </c>
      <c r="C75" s="95">
        <v>114850</v>
      </c>
      <c r="D75" s="92">
        <v>1.0114336E-2</v>
      </c>
      <c r="E75" s="93">
        <v>979073.35135105997</v>
      </c>
      <c r="F75" s="35"/>
      <c r="G75" s="57" t="str">
        <f ca="1">IFERROR(OFFSET(INDIRECT($H$3 &amp; "!A179"), 19, 0), "")</f>
        <v>던프로토콜</v>
      </c>
      <c r="H75" s="37">
        <f t="shared" ca="1" si="25"/>
        <v>9945</v>
      </c>
      <c r="I75" s="79">
        <f t="shared" ca="1" si="26"/>
        <v>-6.4935065000000002E-3</v>
      </c>
      <c r="J75" s="87">
        <f t="shared" ca="1" si="22"/>
        <v>26378007.711792681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엘프</v>
      </c>
      <c r="P75" s="37">
        <f t="shared" ca="1" si="20"/>
        <v>550</v>
      </c>
      <c r="Q75" s="79">
        <f t="shared" ca="1" si="21"/>
        <v>-7.2202166E-3</v>
      </c>
      <c r="R75" s="87">
        <f t="shared" ca="1" si="24"/>
        <v>21221680.866927698</v>
      </c>
    </row>
    <row r="76" spans="1:18">
      <c r="A76" s="40" t="s">
        <v>229</v>
      </c>
      <c r="B76" s="11" t="s">
        <v>230</v>
      </c>
      <c r="C76" s="95">
        <v>201</v>
      </c>
      <c r="D76" s="92">
        <v>1.00502513E-2</v>
      </c>
      <c r="E76" s="93">
        <v>105383753.27920452</v>
      </c>
      <c r="F76" s="35"/>
      <c r="G76" s="35"/>
      <c r="H76" s="35"/>
      <c r="I76" s="35"/>
    </row>
    <row r="77" spans="1:18">
      <c r="A77" s="40" t="s">
        <v>165</v>
      </c>
      <c r="B77" s="11" t="s">
        <v>166</v>
      </c>
      <c r="C77" s="95">
        <v>2555</v>
      </c>
      <c r="D77" s="92">
        <v>9.8814229000000007E-3</v>
      </c>
      <c r="E77" s="93">
        <v>6801761.3228197098</v>
      </c>
      <c r="F77" s="35"/>
      <c r="G77" s="35"/>
      <c r="H77" s="35"/>
      <c r="I77" s="35"/>
    </row>
    <row r="78" spans="1:18">
      <c r="A78" s="40" t="s">
        <v>199</v>
      </c>
      <c r="B78" s="11" t="s">
        <v>200</v>
      </c>
      <c r="C78" s="95">
        <v>414</v>
      </c>
      <c r="D78" s="92">
        <v>9.7560975999999994E-3</v>
      </c>
      <c r="E78" s="93">
        <v>33626391.123741783</v>
      </c>
      <c r="F78" s="35"/>
      <c r="G78" s="35"/>
      <c r="H78" s="35"/>
      <c r="I78" s="35"/>
    </row>
    <row r="79" spans="1:18">
      <c r="A79" s="40" t="s">
        <v>235</v>
      </c>
      <c r="B79" s="11" t="s">
        <v>236</v>
      </c>
      <c r="C79" s="95">
        <v>78.400000000000006</v>
      </c>
      <c r="D79" s="92">
        <v>9.0090090000000001E-3</v>
      </c>
      <c r="E79" s="93">
        <v>221642569.17180285</v>
      </c>
      <c r="F79" s="35"/>
      <c r="G79" s="35"/>
      <c r="H79" s="35"/>
      <c r="I79" s="35"/>
    </row>
    <row r="80" spans="1:18">
      <c r="A80" s="40" t="s">
        <v>195</v>
      </c>
      <c r="B80" s="11" t="s">
        <v>196</v>
      </c>
      <c r="C80" s="95">
        <v>22.7</v>
      </c>
      <c r="D80" s="92">
        <v>8.8888888999999992E-3</v>
      </c>
      <c r="E80" s="93">
        <v>727111492.57098389</v>
      </c>
      <c r="F80" s="35"/>
      <c r="G80" s="35"/>
      <c r="H80" s="35"/>
      <c r="I80" s="35"/>
    </row>
    <row r="81" spans="1:9">
      <c r="A81" s="40" t="s">
        <v>205</v>
      </c>
      <c r="B81" s="11" t="s">
        <v>206</v>
      </c>
      <c r="C81" s="95">
        <v>38380</v>
      </c>
      <c r="D81" s="92">
        <v>8.6727989000000005E-3</v>
      </c>
      <c r="E81" s="93">
        <v>709631.62337431998</v>
      </c>
      <c r="F81" s="35"/>
      <c r="G81" s="35"/>
      <c r="H81" s="35"/>
      <c r="I81" s="35"/>
    </row>
    <row r="82" spans="1:9">
      <c r="A82" s="40" t="s">
        <v>251</v>
      </c>
      <c r="B82" s="11" t="s">
        <v>252</v>
      </c>
      <c r="C82" s="95">
        <v>598</v>
      </c>
      <c r="D82" s="92">
        <v>8.4317031999999997E-3</v>
      </c>
      <c r="E82" s="93">
        <v>36925050.549233861</v>
      </c>
      <c r="F82" s="35"/>
      <c r="G82" s="35"/>
      <c r="H82" s="35"/>
      <c r="I82" s="35"/>
    </row>
    <row r="83" spans="1:9">
      <c r="A83" s="40" t="s">
        <v>215</v>
      </c>
      <c r="B83" s="11" t="s">
        <v>216</v>
      </c>
      <c r="C83" s="95">
        <v>493</v>
      </c>
      <c r="D83" s="92">
        <v>8.1799591000000001E-3</v>
      </c>
      <c r="E83" s="93">
        <v>25926173.56897375</v>
      </c>
      <c r="F83" s="35"/>
      <c r="G83" s="35"/>
      <c r="H83" s="35"/>
      <c r="I83" s="35"/>
    </row>
    <row r="84" spans="1:9">
      <c r="A84" s="40" t="s">
        <v>111</v>
      </c>
      <c r="B84" s="11" t="s">
        <v>112</v>
      </c>
      <c r="C84" s="95">
        <v>288</v>
      </c>
      <c r="D84" s="92">
        <v>6.9930069999999999E-3</v>
      </c>
      <c r="E84" s="93">
        <v>100620769.09498429</v>
      </c>
      <c r="F84" s="35"/>
      <c r="G84" s="35"/>
      <c r="H84" s="35"/>
      <c r="I84" s="35"/>
    </row>
    <row r="85" spans="1:9">
      <c r="A85" s="40" t="s">
        <v>50</v>
      </c>
      <c r="B85" s="11" t="s">
        <v>51</v>
      </c>
      <c r="C85" s="95">
        <v>674</v>
      </c>
      <c r="D85" s="92">
        <v>5.9701492999999998E-3</v>
      </c>
      <c r="E85" s="93">
        <v>74938633.945356846</v>
      </c>
      <c r="F85" s="35"/>
      <c r="G85" s="35"/>
      <c r="H85" s="35"/>
      <c r="I85" s="35"/>
    </row>
    <row r="86" spans="1:9">
      <c r="A86" s="40" t="s">
        <v>175</v>
      </c>
      <c r="B86" s="11" t="s">
        <v>176</v>
      </c>
      <c r="C86" s="95">
        <v>2530</v>
      </c>
      <c r="D86" s="92">
        <v>5.9642146999999996E-3</v>
      </c>
      <c r="E86" s="93">
        <v>7339793.77285574</v>
      </c>
      <c r="F86" s="35"/>
      <c r="G86" s="35"/>
      <c r="H86" s="35"/>
      <c r="I86" s="35"/>
    </row>
    <row r="87" spans="1:9">
      <c r="A87" s="40" t="s">
        <v>281</v>
      </c>
      <c r="B87" s="11" t="s">
        <v>282</v>
      </c>
      <c r="C87" s="95">
        <v>182</v>
      </c>
      <c r="D87" s="92">
        <v>5.5248618999999997E-3</v>
      </c>
      <c r="E87" s="93">
        <v>33597891.588786043</v>
      </c>
      <c r="F87" s="35"/>
      <c r="G87" s="35"/>
      <c r="H87" s="35"/>
      <c r="I87" s="35"/>
    </row>
    <row r="88" spans="1:9">
      <c r="A88" s="40" t="s">
        <v>66</v>
      </c>
      <c r="B88" s="11" t="s">
        <v>67</v>
      </c>
      <c r="C88" s="95">
        <v>9970</v>
      </c>
      <c r="D88" s="92">
        <v>5.0403226000000001E-3</v>
      </c>
      <c r="E88" s="93">
        <v>5184209.1124398699</v>
      </c>
      <c r="F88" s="35"/>
      <c r="G88" s="35"/>
      <c r="H88" s="35"/>
      <c r="I88" s="35"/>
    </row>
    <row r="89" spans="1:9">
      <c r="A89" s="40" t="s">
        <v>221</v>
      </c>
      <c r="B89" s="11" t="s">
        <v>222</v>
      </c>
      <c r="C89" s="95">
        <v>20.8</v>
      </c>
      <c r="D89" s="92">
        <v>4.8309179000000004E-3</v>
      </c>
      <c r="E89" s="93">
        <v>731237436.56828988</v>
      </c>
      <c r="F89" s="35"/>
      <c r="G89" s="35"/>
      <c r="H89" s="35"/>
      <c r="I89" s="35"/>
    </row>
    <row r="90" spans="1:9">
      <c r="A90" s="40" t="s">
        <v>227</v>
      </c>
      <c r="B90" s="11" t="s">
        <v>228</v>
      </c>
      <c r="C90" s="95">
        <v>21.2</v>
      </c>
      <c r="D90" s="92">
        <v>4.7393365E-3</v>
      </c>
      <c r="E90" s="93">
        <v>1353209982.0372171</v>
      </c>
      <c r="F90" s="35"/>
      <c r="G90" s="35"/>
      <c r="H90" s="35"/>
      <c r="I90" s="35"/>
    </row>
    <row r="91" spans="1:9">
      <c r="A91" s="40" t="s">
        <v>239</v>
      </c>
      <c r="B91" s="11" t="s">
        <v>240</v>
      </c>
      <c r="C91" s="95">
        <v>213</v>
      </c>
      <c r="D91" s="92">
        <v>4.7169810999999999E-3</v>
      </c>
      <c r="E91" s="93">
        <v>54586752.979698978</v>
      </c>
      <c r="F91" s="35"/>
      <c r="G91" s="35"/>
      <c r="H91" s="35"/>
      <c r="I91" s="35"/>
    </row>
    <row r="92" spans="1:9">
      <c r="A92" s="40" t="s">
        <v>161</v>
      </c>
      <c r="B92" s="11" t="s">
        <v>162</v>
      </c>
      <c r="C92" s="95">
        <v>2215</v>
      </c>
      <c r="D92" s="92">
        <v>4.5351473999999999E-3</v>
      </c>
      <c r="E92" s="93">
        <v>15444919.46174502</v>
      </c>
      <c r="F92" s="35"/>
      <c r="G92" s="35"/>
      <c r="H92" s="35"/>
      <c r="I92" s="35"/>
    </row>
    <row r="93" spans="1:9">
      <c r="A93" s="40" t="s">
        <v>223</v>
      </c>
      <c r="B93" s="11" t="s">
        <v>224</v>
      </c>
      <c r="C93" s="95">
        <v>2285</v>
      </c>
      <c r="D93" s="92">
        <v>4.3956044000000001E-3</v>
      </c>
      <c r="E93" s="93">
        <v>24479198.129681248</v>
      </c>
      <c r="F93" s="35"/>
      <c r="G93" s="35"/>
      <c r="H93" s="35"/>
      <c r="I93" s="35"/>
    </row>
    <row r="94" spans="1:9">
      <c r="A94" s="40" t="s">
        <v>73</v>
      </c>
      <c r="B94" s="11" t="s">
        <v>74</v>
      </c>
      <c r="C94" s="95">
        <v>28020</v>
      </c>
      <c r="D94" s="92">
        <v>4.3010753000000002E-3</v>
      </c>
      <c r="E94" s="93">
        <v>327106.26883781003</v>
      </c>
      <c r="F94" s="35"/>
      <c r="G94" s="35"/>
      <c r="H94" s="35"/>
      <c r="I94" s="35"/>
    </row>
    <row r="95" spans="1:9">
      <c r="A95" s="40" t="s">
        <v>191</v>
      </c>
      <c r="B95" s="11" t="s">
        <v>192</v>
      </c>
      <c r="C95" s="95">
        <v>1220</v>
      </c>
      <c r="D95" s="92">
        <v>4.1152263000000001E-3</v>
      </c>
      <c r="E95" s="93">
        <v>14937139.197316431</v>
      </c>
      <c r="F95" s="35"/>
      <c r="G95" s="35"/>
      <c r="H95" s="35"/>
      <c r="I95" s="35"/>
    </row>
    <row r="96" spans="1:9">
      <c r="A96" s="40" t="s">
        <v>99</v>
      </c>
      <c r="B96" s="11" t="s">
        <v>100</v>
      </c>
      <c r="C96" s="95">
        <v>8.4700000000000006</v>
      </c>
      <c r="D96" s="92">
        <v>3.5545023999999999E-3</v>
      </c>
      <c r="E96" s="93">
        <v>31550528625.510895</v>
      </c>
      <c r="F96" s="35"/>
      <c r="G96" s="35"/>
      <c r="H96" s="35"/>
      <c r="I96" s="35"/>
    </row>
    <row r="97" spans="1:9">
      <c r="A97" s="40" t="s">
        <v>171</v>
      </c>
      <c r="B97" s="11" t="s">
        <v>172</v>
      </c>
      <c r="C97" s="95">
        <v>28.7</v>
      </c>
      <c r="D97" s="92">
        <v>3.4965034999999999E-3</v>
      </c>
      <c r="E97" s="93">
        <v>507625977.80221796</v>
      </c>
      <c r="F97" s="35"/>
      <c r="G97" s="35"/>
      <c r="H97" s="35"/>
      <c r="I97" s="35"/>
    </row>
    <row r="98" spans="1:9">
      <c r="A98" s="40" t="s">
        <v>197</v>
      </c>
      <c r="B98" s="11" t="s">
        <v>198</v>
      </c>
      <c r="C98" s="95">
        <v>32.5</v>
      </c>
      <c r="D98" s="92">
        <v>3.0864197999999998E-3</v>
      </c>
      <c r="E98" s="93">
        <v>890018744.15792608</v>
      </c>
      <c r="F98" s="35"/>
      <c r="G98" s="35"/>
      <c r="H98" s="35"/>
      <c r="I98" s="35"/>
    </row>
    <row r="99" spans="1:9">
      <c r="A99" s="40" t="s">
        <v>53</v>
      </c>
      <c r="B99" s="11" t="s">
        <v>54</v>
      </c>
      <c r="C99" s="95">
        <v>399</v>
      </c>
      <c r="D99" s="92">
        <v>2.5125628000000001E-3</v>
      </c>
      <c r="E99" s="93">
        <v>47759188.460980132</v>
      </c>
      <c r="F99" s="35"/>
      <c r="G99" s="35"/>
      <c r="H99" s="35"/>
      <c r="I99" s="35"/>
    </row>
    <row r="100" spans="1:9">
      <c r="A100" s="40" t="s">
        <v>283</v>
      </c>
      <c r="B100" s="11" t="s">
        <v>284</v>
      </c>
      <c r="C100" s="95">
        <v>481</v>
      </c>
      <c r="D100" s="92">
        <v>2.0833332999999998E-3</v>
      </c>
      <c r="E100" s="93">
        <v>38087243.978440322</v>
      </c>
      <c r="F100" s="35"/>
      <c r="G100" s="35"/>
      <c r="H100" s="35"/>
      <c r="I100" s="35"/>
    </row>
    <row r="101" spans="1:9">
      <c r="A101" s="40" t="s">
        <v>225</v>
      </c>
      <c r="B101" s="11" t="s">
        <v>226</v>
      </c>
      <c r="C101" s="95">
        <v>559</v>
      </c>
      <c r="D101" s="92">
        <v>1.7921147000000001E-3</v>
      </c>
      <c r="E101" s="93">
        <v>15841905.69708401</v>
      </c>
      <c r="F101" s="35"/>
      <c r="G101" s="35"/>
      <c r="H101" s="35"/>
      <c r="I101" s="35"/>
    </row>
    <row r="102" spans="1:9">
      <c r="A102" s="40" t="s">
        <v>109</v>
      </c>
      <c r="B102" s="11" t="s">
        <v>110</v>
      </c>
      <c r="C102" s="95">
        <v>3035</v>
      </c>
      <c r="D102" s="92">
        <v>1.6501650000000001E-3</v>
      </c>
      <c r="E102" s="93">
        <v>3017418.76891312</v>
      </c>
      <c r="F102" s="35"/>
      <c r="G102" s="35"/>
      <c r="H102" s="35"/>
      <c r="I102" s="35"/>
    </row>
    <row r="103" spans="1:9">
      <c r="A103" s="40" t="s">
        <v>151</v>
      </c>
      <c r="B103" s="11" t="s">
        <v>152</v>
      </c>
      <c r="C103" s="95">
        <v>49.9</v>
      </c>
      <c r="D103" s="92">
        <v>0</v>
      </c>
      <c r="E103" s="93">
        <v>931650284.56975043</v>
      </c>
      <c r="F103" s="35"/>
      <c r="G103" s="35"/>
      <c r="H103" s="35"/>
      <c r="I103" s="35"/>
    </row>
    <row r="104" spans="1:9">
      <c r="A104" s="40" t="s">
        <v>211</v>
      </c>
      <c r="B104" s="11" t="s">
        <v>212</v>
      </c>
      <c r="C104" s="95">
        <v>179</v>
      </c>
      <c r="D104" s="92">
        <v>0</v>
      </c>
      <c r="E104" s="93">
        <v>1133269901.4081242</v>
      </c>
      <c r="F104" s="35"/>
      <c r="G104" s="35"/>
      <c r="H104" s="35"/>
      <c r="I104" s="35"/>
    </row>
    <row r="105" spans="1:9">
      <c r="A105" s="40" t="s">
        <v>245</v>
      </c>
      <c r="B105" s="11" t="s">
        <v>246</v>
      </c>
      <c r="C105" s="95">
        <v>444</v>
      </c>
      <c r="D105" s="92">
        <v>0</v>
      </c>
      <c r="E105" s="93">
        <v>30195427.449813511</v>
      </c>
      <c r="F105" s="35"/>
      <c r="G105" s="35"/>
      <c r="H105" s="35"/>
      <c r="I105" s="35"/>
    </row>
    <row r="106" spans="1:9">
      <c r="A106" s="40" t="s">
        <v>259</v>
      </c>
      <c r="B106" s="11" t="s">
        <v>260</v>
      </c>
      <c r="C106" s="95">
        <v>139</v>
      </c>
      <c r="D106" s="92">
        <v>0</v>
      </c>
      <c r="E106" s="93">
        <v>233405570.48585016</v>
      </c>
      <c r="F106" s="35"/>
      <c r="G106" s="35"/>
      <c r="H106" s="35"/>
      <c r="I106" s="35"/>
    </row>
    <row r="107" spans="1:9">
      <c r="A107" s="40" t="s">
        <v>217</v>
      </c>
      <c r="B107" s="11" t="s">
        <v>218</v>
      </c>
      <c r="C107" s="95">
        <v>32.9</v>
      </c>
      <c r="D107" s="92">
        <v>0</v>
      </c>
      <c r="E107" s="93">
        <v>752791526.61842513</v>
      </c>
      <c r="F107" s="35"/>
      <c r="G107" s="35"/>
      <c r="H107" s="35"/>
      <c r="I107" s="35"/>
    </row>
    <row r="108" spans="1:9">
      <c r="A108" s="40" t="s">
        <v>209</v>
      </c>
      <c r="B108" s="11" t="s">
        <v>210</v>
      </c>
      <c r="C108" s="95">
        <v>222</v>
      </c>
      <c r="D108" s="92">
        <v>0</v>
      </c>
      <c r="E108" s="93">
        <v>44264063.529836781</v>
      </c>
      <c r="F108" s="35"/>
      <c r="G108" s="35"/>
      <c r="H108" s="35"/>
      <c r="I108" s="35"/>
    </row>
    <row r="109" spans="1:9">
      <c r="A109" s="40" t="s">
        <v>91</v>
      </c>
      <c r="B109" s="11" t="s">
        <v>92</v>
      </c>
      <c r="C109" s="95">
        <v>1885</v>
      </c>
      <c r="D109" s="92">
        <v>-2.6455025999999999E-3</v>
      </c>
      <c r="E109" s="41">
        <v>417596872.58722699</v>
      </c>
    </row>
    <row r="110" spans="1:9">
      <c r="A110" s="40" t="s">
        <v>125</v>
      </c>
      <c r="B110" s="11" t="s">
        <v>126</v>
      </c>
      <c r="C110" s="95">
        <v>69</v>
      </c>
      <c r="D110" s="92">
        <v>-2.8901733999999999E-3</v>
      </c>
      <c r="E110" s="41">
        <v>425027112.42370385</v>
      </c>
    </row>
    <row r="111" spans="1:9">
      <c r="A111" s="40" t="s">
        <v>173</v>
      </c>
      <c r="B111" s="11" t="s">
        <v>174</v>
      </c>
      <c r="C111" s="95">
        <v>306</v>
      </c>
      <c r="D111" s="92">
        <v>-3.2573290000000002E-3</v>
      </c>
      <c r="E111" s="41">
        <v>65544325.0397067</v>
      </c>
    </row>
    <row r="112" spans="1:9">
      <c r="A112" s="40" t="s">
        <v>131</v>
      </c>
      <c r="B112" s="11" t="s">
        <v>132</v>
      </c>
      <c r="C112" s="95">
        <v>259</v>
      </c>
      <c r="D112" s="92">
        <v>-3.8461538E-3</v>
      </c>
      <c r="E112" s="41">
        <v>795225788.62671161</v>
      </c>
    </row>
    <row r="113" spans="1:5">
      <c r="A113" s="40" t="s">
        <v>201</v>
      </c>
      <c r="B113" s="11" t="s">
        <v>202</v>
      </c>
      <c r="C113" s="95">
        <v>250</v>
      </c>
      <c r="D113" s="92">
        <v>-3.9840637000000002E-3</v>
      </c>
      <c r="E113" s="41">
        <v>431125251.23179609</v>
      </c>
    </row>
    <row r="114" spans="1:5">
      <c r="A114" s="40" t="s">
        <v>249</v>
      </c>
      <c r="B114" s="11" t="s">
        <v>250</v>
      </c>
      <c r="C114" s="95">
        <v>243</v>
      </c>
      <c r="D114" s="92">
        <v>-4.0983607000000003E-3</v>
      </c>
      <c r="E114" s="41">
        <v>42830364.59572763</v>
      </c>
    </row>
    <row r="115" spans="1:5">
      <c r="A115" s="40" t="s">
        <v>157</v>
      </c>
      <c r="B115" s="11" t="s">
        <v>158</v>
      </c>
      <c r="C115" s="95">
        <v>11220</v>
      </c>
      <c r="D115" s="92">
        <v>-4.4365571999999999E-3</v>
      </c>
      <c r="E115" s="41">
        <v>2895370.7136580902</v>
      </c>
    </row>
    <row r="116" spans="1:5">
      <c r="A116" s="40" t="s">
        <v>203</v>
      </c>
      <c r="B116" s="11" t="s">
        <v>204</v>
      </c>
      <c r="C116" s="95">
        <v>9945</v>
      </c>
      <c r="D116" s="92">
        <v>-6.4935065000000002E-3</v>
      </c>
      <c r="E116" s="41">
        <v>26378007.711792681</v>
      </c>
    </row>
    <row r="117" spans="1:5">
      <c r="A117" s="40" t="s">
        <v>169</v>
      </c>
      <c r="B117" s="11" t="s">
        <v>170</v>
      </c>
      <c r="C117" s="95">
        <v>550</v>
      </c>
      <c r="D117" s="92">
        <v>-7.2202166E-3</v>
      </c>
      <c r="E117" s="41">
        <v>21221680.866927698</v>
      </c>
    </row>
    <row r="118" spans="1:5">
      <c r="A118" s="40" t="s">
        <v>207</v>
      </c>
      <c r="B118" s="11" t="s">
        <v>208</v>
      </c>
      <c r="C118" s="95">
        <v>550</v>
      </c>
      <c r="D118" s="92">
        <v>-9.0090090000000001E-3</v>
      </c>
      <c r="E118" s="41">
        <v>91159580.431531191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5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7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163</v>
      </c>
      <c r="B2" s="11" t="s">
        <v>164</v>
      </c>
      <c r="C2" s="95">
        <v>40570</v>
      </c>
      <c r="D2" s="92">
        <v>0.4111304348</v>
      </c>
      <c r="E2" s="93">
        <v>21410640.750606392</v>
      </c>
      <c r="F2" s="35"/>
      <c r="G2" s="54"/>
      <c r="H2" s="35"/>
      <c r="I2" s="35"/>
    </row>
    <row r="3" spans="1:18" ht="17.25" thickBot="1">
      <c r="A3" s="40" t="s">
        <v>117</v>
      </c>
      <c r="B3" s="11" t="s">
        <v>118</v>
      </c>
      <c r="C3" s="95">
        <v>7970</v>
      </c>
      <c r="D3" s="92">
        <v>0.16011644829999999</v>
      </c>
      <c r="E3" s="93">
        <v>18900894.020199519</v>
      </c>
      <c r="F3" s="35"/>
      <c r="G3" s="198" t="s">
        <v>290</v>
      </c>
      <c r="H3" s="199" t="s">
        <v>305</v>
      </c>
      <c r="I3" s="199"/>
      <c r="K3" s="149" t="s">
        <v>34</v>
      </c>
      <c r="L3" s="150"/>
      <c r="M3" s="150"/>
      <c r="N3" s="151"/>
      <c r="O3" s="149" t="s">
        <v>291</v>
      </c>
      <c r="P3" s="150"/>
      <c r="Q3" s="150"/>
      <c r="R3" s="151"/>
    </row>
    <row r="4" spans="1:18" ht="17.25" thickBot="1">
      <c r="A4" s="40" t="s">
        <v>143</v>
      </c>
      <c r="B4" s="11" t="s">
        <v>144</v>
      </c>
      <c r="C4" s="95">
        <v>10830</v>
      </c>
      <c r="D4" s="92">
        <v>0.1436114044</v>
      </c>
      <c r="E4" s="93">
        <v>15556152.57955466</v>
      </c>
      <c r="F4" s="35"/>
      <c r="G4" s="193"/>
      <c r="H4" s="200"/>
      <c r="I4" s="200"/>
      <c r="K4" s="197" t="s">
        <v>55</v>
      </c>
      <c r="L4" s="194">
        <f ca="1">NOW()</f>
        <v>44320.098231481483</v>
      </c>
      <c r="M4" s="195"/>
      <c r="N4" s="196"/>
      <c r="O4" s="192" t="s">
        <v>55</v>
      </c>
      <c r="P4" s="194">
        <f ca="1">NOW()</f>
        <v>44320.098231481483</v>
      </c>
      <c r="Q4" s="195"/>
      <c r="R4" s="196"/>
    </row>
    <row r="5" spans="1:18" ht="17.25" thickBot="1">
      <c r="A5" s="40" t="s">
        <v>68</v>
      </c>
      <c r="B5" s="11" t="s">
        <v>69</v>
      </c>
      <c r="C5" s="95">
        <v>14500</v>
      </c>
      <c r="D5" s="92">
        <v>0.1196911197</v>
      </c>
      <c r="E5" s="93">
        <v>22484203.583394948</v>
      </c>
      <c r="F5" s="35"/>
      <c r="K5" s="193"/>
      <c r="L5" s="51" t="s">
        <v>58</v>
      </c>
      <c r="M5" s="73" t="s">
        <v>59</v>
      </c>
      <c r="N5" s="69" t="s">
        <v>294</v>
      </c>
      <c r="O5" s="172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267</v>
      </c>
      <c r="B6" s="11" t="s">
        <v>268</v>
      </c>
      <c r="C6" s="95">
        <v>113</v>
      </c>
      <c r="D6" s="92">
        <v>0.1188118812</v>
      </c>
      <c r="E6" s="93">
        <v>910066441.1423353</v>
      </c>
      <c r="F6" s="35"/>
      <c r="G6" s="149" t="s">
        <v>52</v>
      </c>
      <c r="H6" s="150"/>
      <c r="I6" s="151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164</v>
      </c>
      <c r="M6" s="76">
        <f t="shared" ref="M6:M25" ca="1" si="1">_xlfn.IFNA(VLOOKUP(K6, $B$2:$D$200, 3, FALSE), "")</f>
        <v>1.8633540399999999E-2</v>
      </c>
      <c r="N6" s="85">
        <f ca="1">_xlfn.IFNA(VLOOKUP(K6, $B$2:$E$200, 4, FALSE), "")</f>
        <v>124878270.61087216</v>
      </c>
      <c r="O6" s="72" t="s">
        <v>164</v>
      </c>
      <c r="P6" s="38">
        <f t="shared" ref="P6:P25" si="2">_xlfn.IFNA(VLOOKUP(O6, $B$2:$D$200, 2, FALSE), "")</f>
        <v>40570</v>
      </c>
      <c r="Q6" s="76">
        <f t="shared" ref="Q6:Q25" si="3">_xlfn.IFNA(VLOOKUP(O6, $B$2:$D$200, 3, FALSE), "")</f>
        <v>0.4111304348</v>
      </c>
      <c r="R6" s="85">
        <f>_xlfn.IFNA(VLOOKUP(O6, $B$2:$E$200, 4, FALSE), "")</f>
        <v>21410640.750606392</v>
      </c>
    </row>
    <row r="7" spans="1:18">
      <c r="A7" s="40" t="s">
        <v>115</v>
      </c>
      <c r="B7" s="11" t="s">
        <v>116</v>
      </c>
      <c r="C7" s="95">
        <v>784</v>
      </c>
      <c r="D7" s="92">
        <v>0.1136363636</v>
      </c>
      <c r="E7" s="93">
        <v>47477029.542752489</v>
      </c>
      <c r="F7" s="35"/>
      <c r="G7" s="177" t="s">
        <v>36</v>
      </c>
      <c r="H7" s="178"/>
      <c r="I7" s="179"/>
      <c r="K7" s="56" t="str">
        <f ca="1">IFERROR(OFFSET(INDIRECT($H$3 &amp; "!A17"), 1, 0), "")</f>
        <v>폴리매쓰</v>
      </c>
      <c r="L7" s="39">
        <f t="shared" ca="1" si="0"/>
        <v>493</v>
      </c>
      <c r="M7" s="77">
        <f t="shared" ca="1" si="1"/>
        <v>8.1799591000000001E-3</v>
      </c>
      <c r="N7" s="86">
        <f t="shared" ref="N7:N25" ca="1" si="4">_xlfn.IFNA(VLOOKUP(K7, $B$2:$E$200, 4, FALSE), "")</f>
        <v>25926173.56897375</v>
      </c>
      <c r="O7" s="88" t="s">
        <v>118</v>
      </c>
      <c r="P7" s="39">
        <f t="shared" si="2"/>
        <v>7970</v>
      </c>
      <c r="Q7" s="77">
        <f t="shared" si="3"/>
        <v>0.16011644829999999</v>
      </c>
      <c r="R7" s="86">
        <f t="shared" ref="R7:R25" si="5">_xlfn.IFNA(VLOOKUP(O7, $B$2:$E$200, 4, FALSE), "")</f>
        <v>18900894.020199519</v>
      </c>
    </row>
    <row r="8" spans="1:18" ht="17.25" thickBot="1">
      <c r="A8" s="40" t="s">
        <v>179</v>
      </c>
      <c r="B8" s="11" t="s">
        <v>180</v>
      </c>
      <c r="C8" s="95">
        <v>5365</v>
      </c>
      <c r="D8" s="92">
        <v>0.1016427105</v>
      </c>
      <c r="E8" s="93">
        <v>36885090.310705982</v>
      </c>
      <c r="F8" s="35"/>
      <c r="G8" s="170"/>
      <c r="H8" s="171"/>
      <c r="I8" s="172"/>
      <c r="K8" s="56" t="str">
        <f ca="1">IFERROR(OFFSET(INDIRECT($H$3 &amp; "!A17"), 2, 0), "")</f>
        <v>헤데라해시그래프</v>
      </c>
      <c r="L8" s="39">
        <f t="shared" ca="1" si="0"/>
        <v>399</v>
      </c>
      <c r="M8" s="77">
        <f t="shared" ca="1" si="1"/>
        <v>2.5125628000000001E-3</v>
      </c>
      <c r="N8" s="86">
        <f t="shared" ca="1" si="4"/>
        <v>47759188.460980132</v>
      </c>
      <c r="O8" s="88" t="s">
        <v>144</v>
      </c>
      <c r="P8" s="39">
        <f t="shared" si="2"/>
        <v>10830</v>
      </c>
      <c r="Q8" s="77">
        <f t="shared" si="3"/>
        <v>0.1436114044</v>
      </c>
      <c r="R8" s="86">
        <f t="shared" si="5"/>
        <v>15556152.57955466</v>
      </c>
    </row>
    <row r="9" spans="1:18" ht="17.25" thickBot="1">
      <c r="A9" s="40" t="s">
        <v>101</v>
      </c>
      <c r="B9" s="11" t="s">
        <v>102</v>
      </c>
      <c r="C9" s="95">
        <v>59680</v>
      </c>
      <c r="D9" s="92">
        <v>9.7462302299999998E-2</v>
      </c>
      <c r="E9" s="93">
        <v>29018101.25200513</v>
      </c>
      <c r="F9" s="35"/>
      <c r="G9" s="50" t="s">
        <v>38</v>
      </c>
      <c r="H9" s="150" t="s">
        <v>37</v>
      </c>
      <c r="I9" s="151"/>
      <c r="K9" s="56" t="str">
        <f ca="1">IFERROR(OFFSET(INDIRECT($H$3 &amp; "!A17"), 3, 0), "")</f>
        <v>헌트</v>
      </c>
      <c r="L9" s="39">
        <f t="shared" ca="1" si="0"/>
        <v>444</v>
      </c>
      <c r="M9" s="77">
        <f t="shared" ca="1" si="1"/>
        <v>0</v>
      </c>
      <c r="N9" s="86">
        <f t="shared" ca="1" si="4"/>
        <v>30195427.449813511</v>
      </c>
      <c r="O9" s="88" t="s">
        <v>69</v>
      </c>
      <c r="P9" s="39">
        <f t="shared" si="2"/>
        <v>14500</v>
      </c>
      <c r="Q9" s="77">
        <f t="shared" si="3"/>
        <v>0.1196911197</v>
      </c>
      <c r="R9" s="86">
        <f t="shared" si="5"/>
        <v>22484203.583394948</v>
      </c>
    </row>
    <row r="10" spans="1:18">
      <c r="A10" s="40" t="s">
        <v>219</v>
      </c>
      <c r="B10" s="11" t="s">
        <v>220</v>
      </c>
      <c r="C10" s="95">
        <v>24.6</v>
      </c>
      <c r="D10" s="92">
        <v>8.8495575199999996E-2</v>
      </c>
      <c r="E10" s="93">
        <v>1579058952.5117164</v>
      </c>
      <c r="F10" s="35"/>
      <c r="G10" s="186">
        <f>_xlfn.IFNA(VLOOKUP(G7, $B$2:$D$200, 3, FALSE), "-")</f>
        <v>2.1065856399999999E-2</v>
      </c>
      <c r="H10" s="188">
        <f>_xlfn.IFNA(VLOOKUP(G7, $B$2:$D$200, 2, FALSE), "-")</f>
        <v>69894000</v>
      </c>
      <c r="I10" s="189"/>
      <c r="K10" s="58" t="str">
        <f ca="1">IFERROR(OFFSET(INDIRECT($H$3 &amp; "!A17"), 4, 0), "")</f>
        <v>비체인</v>
      </c>
      <c r="L10" s="44">
        <f t="shared" ca="1" si="0"/>
        <v>259</v>
      </c>
      <c r="M10" s="78">
        <f t="shared" ca="1" si="1"/>
        <v>-3.8461538E-3</v>
      </c>
      <c r="N10" s="90">
        <f t="shared" ca="1" si="4"/>
        <v>795225788.62671161</v>
      </c>
      <c r="O10" s="88" t="s">
        <v>268</v>
      </c>
      <c r="P10" s="39">
        <f t="shared" si="2"/>
        <v>113</v>
      </c>
      <c r="Q10" s="77">
        <f t="shared" si="3"/>
        <v>0.1188118812</v>
      </c>
      <c r="R10" s="90">
        <f t="shared" si="5"/>
        <v>910066441.1423353</v>
      </c>
    </row>
    <row r="11" spans="1:18" ht="17.25" thickBot="1">
      <c r="A11" s="40" t="s">
        <v>135</v>
      </c>
      <c r="B11" s="11" t="s">
        <v>136</v>
      </c>
      <c r="C11" s="95">
        <v>266</v>
      </c>
      <c r="D11" s="92">
        <v>8.1300813E-2</v>
      </c>
      <c r="E11" s="93">
        <v>97825545.099865913</v>
      </c>
      <c r="F11" s="35"/>
      <c r="G11" s="187"/>
      <c r="H11" s="190"/>
      <c r="I11" s="19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116</v>
      </c>
      <c r="P11" s="45">
        <f t="shared" si="2"/>
        <v>784</v>
      </c>
      <c r="Q11" s="80">
        <f t="shared" si="3"/>
        <v>0.1136363636</v>
      </c>
      <c r="R11" s="99">
        <f t="shared" si="5"/>
        <v>47477029.542752489</v>
      </c>
    </row>
    <row r="12" spans="1:18" ht="17.25" thickBot="1">
      <c r="A12" s="40" t="s">
        <v>89</v>
      </c>
      <c r="B12" s="11" t="s">
        <v>90</v>
      </c>
      <c r="C12" s="95">
        <v>432550</v>
      </c>
      <c r="D12" s="92">
        <v>8.0294705300000005E-2</v>
      </c>
      <c r="E12" s="93">
        <v>71398.177635180007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180</v>
      </c>
      <c r="P12" s="39">
        <f t="shared" si="2"/>
        <v>5365</v>
      </c>
      <c r="Q12" s="77">
        <f t="shared" si="3"/>
        <v>0.1016427105</v>
      </c>
      <c r="R12" s="86">
        <f t="shared" si="5"/>
        <v>36885090.310705982</v>
      </c>
    </row>
    <row r="13" spans="1:18" ht="17.25" thickBot="1">
      <c r="A13" s="40" t="s">
        <v>141</v>
      </c>
      <c r="B13" s="11" t="s">
        <v>142</v>
      </c>
      <c r="C13" s="95">
        <v>466</v>
      </c>
      <c r="D13" s="92">
        <v>7.8703703700000002E-2</v>
      </c>
      <c r="E13" s="93">
        <v>76800721.285237446</v>
      </c>
      <c r="F13" s="35"/>
      <c r="G13" s="149" t="s">
        <v>70</v>
      </c>
      <c r="H13" s="150"/>
      <c r="I13" s="15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102</v>
      </c>
      <c r="P13" s="39">
        <f t="shared" si="2"/>
        <v>59680</v>
      </c>
      <c r="Q13" s="77">
        <f t="shared" si="3"/>
        <v>9.7462302299999998E-2</v>
      </c>
      <c r="R13" s="86">
        <f t="shared" si="5"/>
        <v>29018101.25200513</v>
      </c>
    </row>
    <row r="14" spans="1:18">
      <c r="A14" s="40" t="s">
        <v>241</v>
      </c>
      <c r="B14" s="11" t="s">
        <v>242</v>
      </c>
      <c r="C14" s="95">
        <v>7330</v>
      </c>
      <c r="D14" s="92">
        <v>7.7149154999999997E-2</v>
      </c>
      <c r="E14" s="93">
        <v>8563188.8816633504</v>
      </c>
      <c r="F14" s="35"/>
      <c r="G14" s="177" t="s">
        <v>36</v>
      </c>
      <c r="H14" s="178"/>
      <c r="I14" s="179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220</v>
      </c>
      <c r="P14" s="39">
        <f t="shared" si="2"/>
        <v>24.6</v>
      </c>
      <c r="Q14" s="77">
        <f t="shared" si="3"/>
        <v>8.8495575199999996E-2</v>
      </c>
      <c r="R14" s="86">
        <f t="shared" si="5"/>
        <v>1579058952.5117164</v>
      </c>
    </row>
    <row r="15" spans="1:18" ht="17.25" thickBot="1">
      <c r="A15" s="40" t="s">
        <v>113</v>
      </c>
      <c r="B15" s="11" t="s">
        <v>114</v>
      </c>
      <c r="C15" s="95">
        <v>14250</v>
      </c>
      <c r="D15" s="92">
        <v>7.7097505699999999E-2</v>
      </c>
      <c r="E15" s="93">
        <v>1829124.5794235601</v>
      </c>
      <c r="F15" s="35"/>
      <c r="G15" s="170"/>
      <c r="H15" s="171"/>
      <c r="I15" s="17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136</v>
      </c>
      <c r="P15" s="37">
        <f t="shared" si="2"/>
        <v>266</v>
      </c>
      <c r="Q15" s="79">
        <f t="shared" si="3"/>
        <v>8.1300813E-2</v>
      </c>
      <c r="R15" s="87">
        <f t="shared" si="5"/>
        <v>97825545.099865913</v>
      </c>
    </row>
    <row r="16" spans="1:18" ht="17.25" thickBot="1">
      <c r="A16" s="40" t="s">
        <v>95</v>
      </c>
      <c r="B16" s="11" t="s">
        <v>96</v>
      </c>
      <c r="C16" s="95">
        <v>3836000</v>
      </c>
      <c r="D16" s="92">
        <v>7.6620825099999998E-2</v>
      </c>
      <c r="E16" s="93">
        <v>210215.49173556</v>
      </c>
      <c r="F16" s="35"/>
      <c r="G16" s="50" t="s">
        <v>38</v>
      </c>
      <c r="H16" s="150" t="s">
        <v>37</v>
      </c>
      <c r="I16" s="15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90</v>
      </c>
      <c r="P16" s="38">
        <f t="shared" si="2"/>
        <v>432550</v>
      </c>
      <c r="Q16" s="76">
        <f t="shared" si="3"/>
        <v>8.0294705300000005E-2</v>
      </c>
      <c r="R16" s="85">
        <f t="shared" si="5"/>
        <v>71398.177635180007</v>
      </c>
    </row>
    <row r="17" spans="1:18">
      <c r="A17" s="40" t="s">
        <v>193</v>
      </c>
      <c r="B17" s="11" t="s">
        <v>194</v>
      </c>
      <c r="C17" s="95">
        <v>16130</v>
      </c>
      <c r="D17" s="92">
        <v>7.3901464700000002E-2</v>
      </c>
      <c r="E17" s="93">
        <v>6330291.6000830103</v>
      </c>
      <c r="F17" s="35"/>
      <c r="G17" s="186">
        <f>_xlfn.IFNA(VLOOKUP(G14, $B$2:$D$200, 3, FALSE), "-")</f>
        <v>2.1065856399999999E-2</v>
      </c>
      <c r="H17" s="188">
        <f>_xlfn.IFNA(VLOOKUP(G14, $B$2:$D$200, 2, FALSE), "-")</f>
        <v>69894000</v>
      </c>
      <c r="I17" s="18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142</v>
      </c>
      <c r="P17" s="39">
        <f t="shared" si="2"/>
        <v>466</v>
      </c>
      <c r="Q17" s="77">
        <f t="shared" si="3"/>
        <v>7.8703703700000002E-2</v>
      </c>
      <c r="R17" s="86">
        <f t="shared" si="5"/>
        <v>76800721.285237446</v>
      </c>
    </row>
    <row r="18" spans="1:18" ht="17.25" thickBot="1">
      <c r="A18" s="40" t="s">
        <v>275</v>
      </c>
      <c r="B18" s="11" t="s">
        <v>276</v>
      </c>
      <c r="C18" s="95">
        <v>4535</v>
      </c>
      <c r="D18" s="92">
        <v>6.8315665499999997E-2</v>
      </c>
      <c r="E18" s="93">
        <v>16448087.488512781</v>
      </c>
      <c r="F18" s="35"/>
      <c r="G18" s="187"/>
      <c r="H18" s="190"/>
      <c r="I18" s="19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242</v>
      </c>
      <c r="P18" s="39">
        <f t="shared" si="2"/>
        <v>7330</v>
      </c>
      <c r="Q18" s="77">
        <f t="shared" si="3"/>
        <v>7.7149154999999997E-2</v>
      </c>
      <c r="R18" s="86">
        <f t="shared" si="5"/>
        <v>8563188.8816633504</v>
      </c>
    </row>
    <row r="19" spans="1:18" ht="17.25" thickBot="1">
      <c r="A19" s="40" t="s">
        <v>127</v>
      </c>
      <c r="B19" s="11" t="s">
        <v>128</v>
      </c>
      <c r="C19" s="95">
        <v>731</v>
      </c>
      <c r="D19" s="92">
        <v>6.5597667600000006E-2</v>
      </c>
      <c r="E19" s="93">
        <v>68105943.763945013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114</v>
      </c>
      <c r="P19" s="39">
        <f t="shared" si="2"/>
        <v>14250</v>
      </c>
      <c r="Q19" s="77">
        <f t="shared" si="3"/>
        <v>7.7097505699999999E-2</v>
      </c>
      <c r="R19" s="86">
        <f t="shared" si="5"/>
        <v>1829124.5794235601</v>
      </c>
    </row>
    <row r="20" spans="1:18" ht="17.25" thickBot="1">
      <c r="A20" s="40" t="s">
        <v>295</v>
      </c>
      <c r="B20" s="11" t="s">
        <v>296</v>
      </c>
      <c r="C20" s="95">
        <v>482</v>
      </c>
      <c r="D20" s="92">
        <v>6.4017660000000004E-2</v>
      </c>
      <c r="E20" s="93">
        <v>2336169232.8285913</v>
      </c>
      <c r="F20" s="35"/>
      <c r="G20" s="149" t="s">
        <v>286</v>
      </c>
      <c r="H20" s="150"/>
      <c r="I20" s="15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96</v>
      </c>
      <c r="P20" s="39">
        <f t="shared" si="2"/>
        <v>3836000</v>
      </c>
      <c r="Q20" s="77">
        <f t="shared" si="3"/>
        <v>7.6620825099999998E-2</v>
      </c>
      <c r="R20" s="90">
        <f t="shared" si="5"/>
        <v>210215.49173556</v>
      </c>
    </row>
    <row r="21" spans="1:18">
      <c r="A21" s="40" t="s">
        <v>149</v>
      </c>
      <c r="B21" s="11" t="s">
        <v>150</v>
      </c>
      <c r="C21" s="95">
        <v>6990</v>
      </c>
      <c r="D21" s="92">
        <v>5.9893859000000001E-2</v>
      </c>
      <c r="E21" s="93">
        <v>28776034.32421967</v>
      </c>
      <c r="F21" s="35"/>
      <c r="G21" s="177" t="s">
        <v>36</v>
      </c>
      <c r="H21" s="178"/>
      <c r="I21" s="179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194</v>
      </c>
      <c r="P21" s="45">
        <f t="shared" si="2"/>
        <v>16130</v>
      </c>
      <c r="Q21" s="80">
        <f t="shared" si="3"/>
        <v>7.3901464700000002E-2</v>
      </c>
      <c r="R21" s="99">
        <f t="shared" si="5"/>
        <v>6330291.6000830103</v>
      </c>
    </row>
    <row r="22" spans="1:18" ht="17.25" thickBot="1">
      <c r="A22" s="40" t="s">
        <v>103</v>
      </c>
      <c r="B22" s="11" t="s">
        <v>104</v>
      </c>
      <c r="C22" s="95">
        <v>2405</v>
      </c>
      <c r="D22" s="92">
        <v>5.71428571E-2</v>
      </c>
      <c r="E22" s="93">
        <v>24643552.97538979</v>
      </c>
      <c r="F22" s="35"/>
      <c r="G22" s="170"/>
      <c r="H22" s="171"/>
      <c r="I22" s="17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276</v>
      </c>
      <c r="P22" s="39">
        <f t="shared" si="2"/>
        <v>4535</v>
      </c>
      <c r="Q22" s="77">
        <f t="shared" si="3"/>
        <v>6.8315665499999997E-2</v>
      </c>
      <c r="R22" s="86">
        <f t="shared" si="5"/>
        <v>16448087.488512781</v>
      </c>
    </row>
    <row r="23" spans="1:18" ht="17.25" thickBot="1">
      <c r="A23" s="40" t="s">
        <v>153</v>
      </c>
      <c r="B23" s="11" t="s">
        <v>154</v>
      </c>
      <c r="C23" s="95">
        <v>24.1</v>
      </c>
      <c r="D23" s="92">
        <v>5.7017543900000002E-2</v>
      </c>
      <c r="E23" s="93">
        <v>2250555579.0413489</v>
      </c>
      <c r="F23" s="35"/>
      <c r="G23" s="50" t="s">
        <v>38</v>
      </c>
      <c r="H23" s="150" t="s">
        <v>37</v>
      </c>
      <c r="I23" s="15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128</v>
      </c>
      <c r="P23" s="39">
        <f t="shared" si="2"/>
        <v>731</v>
      </c>
      <c r="Q23" s="77">
        <f t="shared" si="3"/>
        <v>6.5597667600000006E-2</v>
      </c>
      <c r="R23" s="86">
        <f t="shared" si="5"/>
        <v>68105943.763945013</v>
      </c>
    </row>
    <row r="24" spans="1:18">
      <c r="A24" s="40" t="s">
        <v>177</v>
      </c>
      <c r="B24" s="11" t="s">
        <v>178</v>
      </c>
      <c r="C24" s="95">
        <v>52450</v>
      </c>
      <c r="D24" s="92">
        <v>5.5969397999999997E-2</v>
      </c>
      <c r="E24" s="93">
        <v>970971.36687445</v>
      </c>
      <c r="F24" s="35"/>
      <c r="G24" s="186">
        <f>_xlfn.IFNA(VLOOKUP(G21, $B$2:$D$200, 3, FALSE), "-")</f>
        <v>2.1065856399999999E-2</v>
      </c>
      <c r="H24" s="188">
        <f>_xlfn.IFNA(VLOOKUP(G21, $B$2:$D$200, 2, FALSE), "-")</f>
        <v>69894000</v>
      </c>
      <c r="I24" s="18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296</v>
      </c>
      <c r="P24" s="39">
        <f t="shared" si="2"/>
        <v>482</v>
      </c>
      <c r="Q24" s="77">
        <f t="shared" si="3"/>
        <v>6.4017660000000004E-2</v>
      </c>
      <c r="R24" s="86">
        <f t="shared" si="5"/>
        <v>2336169232.8285913</v>
      </c>
    </row>
    <row r="25" spans="1:18" ht="17.25" thickBot="1">
      <c r="A25" s="40" t="s">
        <v>129</v>
      </c>
      <c r="B25" s="11" t="s">
        <v>130</v>
      </c>
      <c r="C25" s="95">
        <v>342850</v>
      </c>
      <c r="D25" s="92">
        <v>5.5247768500000002E-2</v>
      </c>
      <c r="E25" s="93">
        <v>127098.35768966</v>
      </c>
      <c r="F25" s="35"/>
      <c r="G25" s="187"/>
      <c r="H25" s="190"/>
      <c r="I25" s="191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150</v>
      </c>
      <c r="P25" s="37">
        <f t="shared" si="2"/>
        <v>6990</v>
      </c>
      <c r="Q25" s="79">
        <f t="shared" si="3"/>
        <v>5.9893859000000001E-2</v>
      </c>
      <c r="R25" s="87">
        <f t="shared" si="5"/>
        <v>28776034.32421967</v>
      </c>
    </row>
    <row r="26" spans="1:18">
      <c r="A26" s="40" t="s">
        <v>271</v>
      </c>
      <c r="B26" s="11" t="s">
        <v>272</v>
      </c>
      <c r="C26" s="95">
        <v>2565</v>
      </c>
      <c r="D26" s="92">
        <v>5.3388090300000003E-2</v>
      </c>
      <c r="E26" s="93">
        <v>6168973.9751142496</v>
      </c>
      <c r="F26" s="35"/>
    </row>
    <row r="27" spans="1:18" ht="17.25" thickBot="1">
      <c r="A27" s="40" t="s">
        <v>255</v>
      </c>
      <c r="B27" s="11" t="s">
        <v>256</v>
      </c>
      <c r="C27" s="95">
        <v>285</v>
      </c>
      <c r="D27" s="92">
        <v>5.1660516599999998E-2</v>
      </c>
      <c r="E27" s="93">
        <v>38089122.941768818</v>
      </c>
      <c r="F27" s="35"/>
    </row>
    <row r="28" spans="1:18" ht="17.25" thickBot="1">
      <c r="A28" s="40" t="s">
        <v>277</v>
      </c>
      <c r="B28" s="11" t="s">
        <v>278</v>
      </c>
      <c r="C28" s="95">
        <v>163</v>
      </c>
      <c r="D28" s="92">
        <v>5.1612903199999997E-2</v>
      </c>
      <c r="E28" s="93">
        <v>99037149.017304376</v>
      </c>
      <c r="F28" s="35"/>
      <c r="G28" s="149" t="s">
        <v>46</v>
      </c>
      <c r="H28" s="150"/>
      <c r="I28" s="150"/>
      <c r="J28" s="151"/>
      <c r="K28" s="149" t="s">
        <v>44</v>
      </c>
      <c r="L28" s="150"/>
      <c r="M28" s="150"/>
      <c r="N28" s="151"/>
      <c r="O28" s="149" t="s">
        <v>45</v>
      </c>
      <c r="P28" s="150"/>
      <c r="Q28" s="150"/>
      <c r="R28" s="151"/>
    </row>
    <row r="29" spans="1:18" ht="17.25" thickBot="1">
      <c r="A29" s="40" t="s">
        <v>64</v>
      </c>
      <c r="B29" s="11" t="s">
        <v>65</v>
      </c>
      <c r="C29" s="95">
        <v>79.8</v>
      </c>
      <c r="D29" s="92">
        <v>4.72440945E-2</v>
      </c>
      <c r="E29" s="93">
        <v>291588459.27520353</v>
      </c>
      <c r="F29" s="35"/>
      <c r="G29" s="197" t="s">
        <v>55</v>
      </c>
      <c r="H29" s="194">
        <f ca="1">NOW()</f>
        <v>44320.098231481483</v>
      </c>
      <c r="I29" s="195"/>
      <c r="J29" s="196"/>
      <c r="K29" s="192" t="s">
        <v>55</v>
      </c>
      <c r="L29" s="194">
        <f ca="1">NOW()</f>
        <v>44320.098231481483</v>
      </c>
      <c r="M29" s="195"/>
      <c r="N29" s="196"/>
      <c r="O29" s="192" t="s">
        <v>55</v>
      </c>
      <c r="P29" s="194">
        <f ca="1">NOW()</f>
        <v>44320.098231481483</v>
      </c>
      <c r="Q29" s="195"/>
      <c r="R29" s="196"/>
    </row>
    <row r="30" spans="1:18" ht="17.25" thickBot="1">
      <c r="A30" s="40" t="s">
        <v>121</v>
      </c>
      <c r="B30" s="11" t="s">
        <v>122</v>
      </c>
      <c r="C30" s="95">
        <v>135</v>
      </c>
      <c r="D30" s="92">
        <v>4.6511627899999998E-2</v>
      </c>
      <c r="E30" s="93">
        <v>357276470.53033769</v>
      </c>
      <c r="F30" s="35"/>
      <c r="G30" s="193"/>
      <c r="H30" s="51" t="s">
        <v>58</v>
      </c>
      <c r="I30" s="73" t="s">
        <v>59</v>
      </c>
      <c r="J30" s="69" t="s">
        <v>294</v>
      </c>
      <c r="K30" s="172"/>
      <c r="L30" s="51" t="s">
        <v>58</v>
      </c>
      <c r="M30" s="73" t="s">
        <v>59</v>
      </c>
      <c r="N30" s="91" t="s">
        <v>294</v>
      </c>
      <c r="O30" s="172"/>
      <c r="P30" s="51" t="s">
        <v>58</v>
      </c>
      <c r="Q30" s="73" t="s">
        <v>59</v>
      </c>
      <c r="R30" s="91" t="s">
        <v>294</v>
      </c>
    </row>
    <row r="31" spans="1:18">
      <c r="A31" s="40" t="s">
        <v>139</v>
      </c>
      <c r="B31" s="11" t="s">
        <v>140</v>
      </c>
      <c r="C31" s="95">
        <v>4015</v>
      </c>
      <c r="D31" s="92">
        <v>4.4213264000000002E-2</v>
      </c>
      <c r="E31" s="93">
        <v>6820068.8396897698</v>
      </c>
      <c r="F31" s="35"/>
      <c r="G31" s="52" t="s">
        <v>164</v>
      </c>
      <c r="H31" s="38">
        <f t="shared" ref="H31:H50" si="6">_xlfn.IFNA(VLOOKUP(G31, $B$2:$D$200, 2, FALSE), "")</f>
        <v>40570</v>
      </c>
      <c r="I31" s="76">
        <f t="shared" ref="I31:I50" si="7">_xlfn.IFNA(VLOOKUP(G31, $B$2:$D$200, 3, FALSE), "")</f>
        <v>0.4111304348</v>
      </c>
      <c r="J31" s="85">
        <f>_xlfn.IFNA(VLOOKUP(G31, $B$2:$E$200, 4, FALSE), "")</f>
        <v>21410640.750606392</v>
      </c>
      <c r="K31" s="81" t="s">
        <v>220</v>
      </c>
      <c r="L31" s="38">
        <f t="shared" ref="L31:L50" si="8">_xlfn.IFNA(VLOOKUP(K31, $B$2:$D$200, 2, FALSE), "")</f>
        <v>24.6</v>
      </c>
      <c r="M31" s="76">
        <f t="shared" ref="M31:M50" si="9">_xlfn.IFNA(VLOOKUP(K31, $B$2:$D$200, 3, FALSE), "")</f>
        <v>8.8495575199999996E-2</v>
      </c>
      <c r="N31" s="85">
        <f>_xlfn.IFNA(VLOOKUP(K31, $B$2:$E$200, 4, FALSE), "")</f>
        <v>1579058952.5117164</v>
      </c>
      <c r="O31" s="81" t="s">
        <v>268</v>
      </c>
      <c r="P31" s="38">
        <f t="shared" ref="P31:P50" si="10">_xlfn.IFNA(VLOOKUP(O31, $B$2:$D$200, 2, FALSE), "")</f>
        <v>113</v>
      </c>
      <c r="Q31" s="76">
        <f t="shared" ref="Q31:Q50" si="11">_xlfn.IFNA(VLOOKUP(O31, $B$2:$D$200, 3, FALSE), "")</f>
        <v>0.1188118812</v>
      </c>
      <c r="R31" s="85">
        <f>_xlfn.IFNA(VLOOKUP(O31, $B$2:$E$200, 4, FALSE), "")</f>
        <v>910066441.1423353</v>
      </c>
    </row>
    <row r="32" spans="1:18">
      <c r="A32" s="40" t="s">
        <v>97</v>
      </c>
      <c r="B32" s="11" t="s">
        <v>98</v>
      </c>
      <c r="C32" s="95">
        <v>7065</v>
      </c>
      <c r="D32" s="92">
        <v>4.3574593799999999E-2</v>
      </c>
      <c r="E32" s="93">
        <v>3681384.5765664401</v>
      </c>
      <c r="F32" s="35"/>
      <c r="G32" s="47" t="s">
        <v>118</v>
      </c>
      <c r="H32" s="39">
        <f t="shared" si="6"/>
        <v>7970</v>
      </c>
      <c r="I32" s="77">
        <f t="shared" si="7"/>
        <v>0.16011644829999999</v>
      </c>
      <c r="J32" s="86">
        <f t="shared" ref="J32:J50" si="12">_xlfn.IFNA(VLOOKUP(G32, $B$2:$E$200, 4, FALSE), "")</f>
        <v>18900894.020199519</v>
      </c>
      <c r="K32" s="82" t="s">
        <v>154</v>
      </c>
      <c r="L32" s="39">
        <f t="shared" si="8"/>
        <v>24.1</v>
      </c>
      <c r="M32" s="77">
        <f t="shared" si="9"/>
        <v>5.7017543900000002E-2</v>
      </c>
      <c r="N32" s="86">
        <f t="shared" ref="N32:N50" si="13">_xlfn.IFNA(VLOOKUP(K32, $B$2:$E$200, 4, FALSE), "")</f>
        <v>2250555579.0413489</v>
      </c>
      <c r="O32" s="82" t="s">
        <v>116</v>
      </c>
      <c r="P32" s="39">
        <f t="shared" si="10"/>
        <v>784</v>
      </c>
      <c r="Q32" s="77">
        <f t="shared" si="11"/>
        <v>0.1136363636</v>
      </c>
      <c r="R32" s="86">
        <f t="shared" ref="R32:R50" si="14">_xlfn.IFNA(VLOOKUP(O32, $B$2:$E$200, 4, FALSE), "")</f>
        <v>47477029.542752489</v>
      </c>
    </row>
    <row r="33" spans="1:18">
      <c r="A33" s="40" t="s">
        <v>243</v>
      </c>
      <c r="B33" s="11" t="s">
        <v>244</v>
      </c>
      <c r="C33" s="95">
        <v>4145</v>
      </c>
      <c r="D33" s="92">
        <v>4.2767295599999998E-2</v>
      </c>
      <c r="E33" s="93">
        <v>25418746.560730878</v>
      </c>
      <c r="F33" s="35"/>
      <c r="G33" s="47" t="s">
        <v>144</v>
      </c>
      <c r="H33" s="39">
        <f t="shared" si="6"/>
        <v>10830</v>
      </c>
      <c r="I33" s="77">
        <f t="shared" si="7"/>
        <v>0.1436114044</v>
      </c>
      <c r="J33" s="86">
        <f t="shared" si="12"/>
        <v>15556152.57955466</v>
      </c>
      <c r="K33" s="82" t="s">
        <v>65</v>
      </c>
      <c r="L33" s="39">
        <f t="shared" si="8"/>
        <v>79.8</v>
      </c>
      <c r="M33" s="77">
        <f t="shared" si="9"/>
        <v>4.72440945E-2</v>
      </c>
      <c r="N33" s="86">
        <f t="shared" si="13"/>
        <v>291588459.27520353</v>
      </c>
      <c r="O33" s="82" t="s">
        <v>136</v>
      </c>
      <c r="P33" s="39">
        <f t="shared" si="10"/>
        <v>266</v>
      </c>
      <c r="Q33" s="77">
        <f t="shared" si="11"/>
        <v>8.1300813E-2</v>
      </c>
      <c r="R33" s="86">
        <f t="shared" si="14"/>
        <v>97825545.099865913</v>
      </c>
    </row>
    <row r="34" spans="1:18">
      <c r="A34" s="40" t="s">
        <v>185</v>
      </c>
      <c r="B34" s="11" t="s">
        <v>186</v>
      </c>
      <c r="C34" s="95">
        <v>29.4</v>
      </c>
      <c r="D34" s="92">
        <v>4.2553191499999997E-2</v>
      </c>
      <c r="E34" s="93">
        <v>2246585266.4276047</v>
      </c>
      <c r="F34" s="35"/>
      <c r="G34" s="47" t="s">
        <v>69</v>
      </c>
      <c r="H34" s="39">
        <f t="shared" si="6"/>
        <v>14500</v>
      </c>
      <c r="I34" s="77">
        <f t="shared" si="7"/>
        <v>0.1196911197</v>
      </c>
      <c r="J34" s="86">
        <f t="shared" si="12"/>
        <v>22484203.583394948</v>
      </c>
      <c r="K34" s="82" t="s">
        <v>186</v>
      </c>
      <c r="L34" s="39">
        <f t="shared" si="8"/>
        <v>29.4</v>
      </c>
      <c r="M34" s="77">
        <f t="shared" si="9"/>
        <v>4.2553191499999997E-2</v>
      </c>
      <c r="N34" s="86">
        <f t="shared" si="13"/>
        <v>2246585266.4276047</v>
      </c>
      <c r="O34" s="82" t="s">
        <v>142</v>
      </c>
      <c r="P34" s="39">
        <f t="shared" si="10"/>
        <v>466</v>
      </c>
      <c r="Q34" s="77">
        <f t="shared" si="11"/>
        <v>7.8703703700000002E-2</v>
      </c>
      <c r="R34" s="86">
        <f t="shared" si="14"/>
        <v>76800721.285237446</v>
      </c>
    </row>
    <row r="35" spans="1:18">
      <c r="A35" s="40" t="s">
        <v>257</v>
      </c>
      <c r="B35" s="11" t="s">
        <v>258</v>
      </c>
      <c r="C35" s="95">
        <v>791</v>
      </c>
      <c r="D35" s="92">
        <v>3.9421813399999998E-2</v>
      </c>
      <c r="E35" s="93">
        <v>31385236.82259969</v>
      </c>
      <c r="F35" s="35"/>
      <c r="G35" s="47" t="s">
        <v>268</v>
      </c>
      <c r="H35" s="44">
        <f t="shared" si="6"/>
        <v>113</v>
      </c>
      <c r="I35" s="78">
        <f t="shared" si="7"/>
        <v>0.1188118812</v>
      </c>
      <c r="J35" s="90">
        <f t="shared" si="12"/>
        <v>910066441.1423353</v>
      </c>
      <c r="K35" s="83" t="s">
        <v>266</v>
      </c>
      <c r="L35" s="44">
        <f t="shared" si="8"/>
        <v>99.2</v>
      </c>
      <c r="M35" s="78">
        <f t="shared" si="9"/>
        <v>3.54906054E-2</v>
      </c>
      <c r="N35" s="90">
        <f t="shared" si="13"/>
        <v>214562785.63347554</v>
      </c>
      <c r="O35" s="83" t="s">
        <v>128</v>
      </c>
      <c r="P35" s="44">
        <f t="shared" si="10"/>
        <v>731</v>
      </c>
      <c r="Q35" s="78">
        <f t="shared" si="11"/>
        <v>6.5597667600000006E-2</v>
      </c>
      <c r="R35" s="90">
        <f t="shared" si="14"/>
        <v>68105943.763945013</v>
      </c>
    </row>
    <row r="36" spans="1:18">
      <c r="A36" s="40" t="s">
        <v>167</v>
      </c>
      <c r="B36" s="11" t="s">
        <v>168</v>
      </c>
      <c r="C36" s="95">
        <v>216</v>
      </c>
      <c r="D36" s="92">
        <v>3.8461538500000003E-2</v>
      </c>
      <c r="E36" s="93">
        <v>239653511.1438289</v>
      </c>
      <c r="F36" s="35"/>
      <c r="G36" s="49" t="s">
        <v>116</v>
      </c>
      <c r="H36" s="39">
        <f t="shared" si="6"/>
        <v>784</v>
      </c>
      <c r="I36" s="77">
        <f t="shared" si="7"/>
        <v>0.1136363636</v>
      </c>
      <c r="J36" s="99">
        <f t="shared" si="12"/>
        <v>47477029.542752489</v>
      </c>
      <c r="K36" s="82" t="s">
        <v>72</v>
      </c>
      <c r="L36" s="39">
        <f t="shared" si="8"/>
        <v>38.4</v>
      </c>
      <c r="M36" s="77">
        <f t="shared" si="9"/>
        <v>3.2258064500000003E-2</v>
      </c>
      <c r="N36" s="99">
        <f t="shared" si="13"/>
        <v>306148821.26277882</v>
      </c>
      <c r="O36" s="82" t="s">
        <v>296</v>
      </c>
      <c r="P36" s="39">
        <f t="shared" si="10"/>
        <v>482</v>
      </c>
      <c r="Q36" s="77">
        <f t="shared" si="11"/>
        <v>6.4017660000000004E-2</v>
      </c>
      <c r="R36" s="99">
        <f t="shared" si="14"/>
        <v>2336169232.8285913</v>
      </c>
    </row>
    <row r="37" spans="1:18">
      <c r="A37" s="40" t="s">
        <v>79</v>
      </c>
      <c r="B37" s="11" t="s">
        <v>80</v>
      </c>
      <c r="C37" s="95">
        <v>1575</v>
      </c>
      <c r="D37" s="92">
        <v>3.6184210500000001E-2</v>
      </c>
      <c r="E37" s="93">
        <v>5761066.0614622002</v>
      </c>
      <c r="F37" s="35"/>
      <c r="G37" s="47" t="s">
        <v>180</v>
      </c>
      <c r="H37" s="39">
        <f t="shared" si="6"/>
        <v>5365</v>
      </c>
      <c r="I37" s="77">
        <f t="shared" si="7"/>
        <v>0.1016427105</v>
      </c>
      <c r="J37" s="86">
        <f t="shared" si="12"/>
        <v>36885090.310705982</v>
      </c>
      <c r="K37" s="82" t="s">
        <v>254</v>
      </c>
      <c r="L37" s="39">
        <f t="shared" si="8"/>
        <v>98.8</v>
      </c>
      <c r="M37" s="77">
        <f t="shared" si="9"/>
        <v>2.1716649399999999E-2</v>
      </c>
      <c r="N37" s="86">
        <f t="shared" si="13"/>
        <v>328814579.18128335</v>
      </c>
      <c r="O37" s="82" t="s">
        <v>256</v>
      </c>
      <c r="P37" s="39">
        <f t="shared" si="10"/>
        <v>285</v>
      </c>
      <c r="Q37" s="77">
        <f t="shared" si="11"/>
        <v>5.1660516599999998E-2</v>
      </c>
      <c r="R37" s="86">
        <f t="shared" si="14"/>
        <v>38089122.941768818</v>
      </c>
    </row>
    <row r="38" spans="1:18">
      <c r="A38" s="40" t="s">
        <v>265</v>
      </c>
      <c r="B38" s="11" t="s">
        <v>266</v>
      </c>
      <c r="C38" s="95">
        <v>99.2</v>
      </c>
      <c r="D38" s="92">
        <v>3.54906054E-2</v>
      </c>
      <c r="E38" s="93">
        <v>214562785.63347554</v>
      </c>
      <c r="F38" s="35"/>
      <c r="G38" s="47" t="s">
        <v>102</v>
      </c>
      <c r="H38" s="39">
        <f t="shared" si="6"/>
        <v>59680</v>
      </c>
      <c r="I38" s="77">
        <f t="shared" si="7"/>
        <v>9.7462302299999998E-2</v>
      </c>
      <c r="J38" s="86">
        <f t="shared" si="12"/>
        <v>29018101.25200513</v>
      </c>
      <c r="K38" s="82" t="s">
        <v>214</v>
      </c>
      <c r="L38" s="39">
        <f t="shared" si="8"/>
        <v>25.4</v>
      </c>
      <c r="M38" s="77">
        <f t="shared" si="9"/>
        <v>2.0080321299999999E-2</v>
      </c>
      <c r="N38" s="86">
        <f t="shared" si="13"/>
        <v>814213656.17805052</v>
      </c>
      <c r="O38" s="82" t="s">
        <v>278</v>
      </c>
      <c r="P38" s="39">
        <f t="shared" si="10"/>
        <v>163</v>
      </c>
      <c r="Q38" s="77">
        <f t="shared" si="11"/>
        <v>5.1612903199999997E-2</v>
      </c>
      <c r="R38" s="86">
        <f t="shared" si="14"/>
        <v>99037149.017304376</v>
      </c>
    </row>
    <row r="39" spans="1:18">
      <c r="A39" s="40" t="s">
        <v>147</v>
      </c>
      <c r="B39" s="11" t="s">
        <v>148</v>
      </c>
      <c r="C39" s="95">
        <v>215</v>
      </c>
      <c r="D39" s="92">
        <v>3.3653846199999997E-2</v>
      </c>
      <c r="E39" s="93">
        <v>97292126.782741368</v>
      </c>
      <c r="F39" s="35"/>
      <c r="G39" s="47" t="s">
        <v>220</v>
      </c>
      <c r="H39" s="39">
        <f t="shared" si="6"/>
        <v>24.6</v>
      </c>
      <c r="I39" s="77">
        <f t="shared" si="7"/>
        <v>8.8495575199999996E-2</v>
      </c>
      <c r="J39" s="86">
        <f t="shared" si="12"/>
        <v>1579058952.5117164</v>
      </c>
      <c r="K39" s="82" t="s">
        <v>236</v>
      </c>
      <c r="L39" s="39">
        <f t="shared" si="8"/>
        <v>78.400000000000006</v>
      </c>
      <c r="M39" s="77">
        <f t="shared" si="9"/>
        <v>9.0090090000000001E-3</v>
      </c>
      <c r="N39" s="86">
        <f t="shared" si="13"/>
        <v>221642569.17180285</v>
      </c>
      <c r="O39" s="82" t="s">
        <v>122</v>
      </c>
      <c r="P39" s="39">
        <f t="shared" si="10"/>
        <v>135</v>
      </c>
      <c r="Q39" s="77">
        <f t="shared" si="11"/>
        <v>4.6511627899999998E-2</v>
      </c>
      <c r="R39" s="86">
        <f t="shared" si="14"/>
        <v>357276470.53033769</v>
      </c>
    </row>
    <row r="40" spans="1:18" ht="17.25" thickBot="1">
      <c r="A40" s="40" t="s">
        <v>155</v>
      </c>
      <c r="B40" s="11" t="s">
        <v>156</v>
      </c>
      <c r="C40" s="95">
        <v>160</v>
      </c>
      <c r="D40" s="92">
        <v>3.2258064500000003E-2</v>
      </c>
      <c r="E40" s="93">
        <v>631899111.88711941</v>
      </c>
      <c r="F40" s="35"/>
      <c r="G40" s="53" t="s">
        <v>136</v>
      </c>
      <c r="H40" s="37">
        <f t="shared" si="6"/>
        <v>266</v>
      </c>
      <c r="I40" s="79">
        <f t="shared" si="7"/>
        <v>8.1300813E-2</v>
      </c>
      <c r="J40" s="87">
        <f t="shared" si="12"/>
        <v>97825545.099865913</v>
      </c>
      <c r="K40" s="84" t="s">
        <v>196</v>
      </c>
      <c r="L40" s="37">
        <f t="shared" si="8"/>
        <v>22.7</v>
      </c>
      <c r="M40" s="79">
        <f t="shared" si="9"/>
        <v>8.8888888999999992E-3</v>
      </c>
      <c r="N40" s="87">
        <f t="shared" si="13"/>
        <v>727111492.57098389</v>
      </c>
      <c r="O40" s="84" t="s">
        <v>258</v>
      </c>
      <c r="P40" s="37">
        <f t="shared" si="10"/>
        <v>791</v>
      </c>
      <c r="Q40" s="79">
        <f t="shared" si="11"/>
        <v>3.9421813399999998E-2</v>
      </c>
      <c r="R40" s="87">
        <f t="shared" si="14"/>
        <v>31385236.82259969</v>
      </c>
    </row>
    <row r="41" spans="1:18">
      <c r="A41" s="40" t="s">
        <v>71</v>
      </c>
      <c r="B41" s="11" t="s">
        <v>72</v>
      </c>
      <c r="C41" s="95">
        <v>38.4</v>
      </c>
      <c r="D41" s="92">
        <v>3.2258064500000003E-2</v>
      </c>
      <c r="E41" s="93">
        <v>306148821.26277882</v>
      </c>
      <c r="F41" s="35"/>
      <c r="G41" s="52" t="s">
        <v>90</v>
      </c>
      <c r="H41" s="38">
        <f t="shared" si="6"/>
        <v>432550</v>
      </c>
      <c r="I41" s="76">
        <f t="shared" si="7"/>
        <v>8.0294705300000005E-2</v>
      </c>
      <c r="J41" s="85">
        <f t="shared" si="12"/>
        <v>71398.177635180007</v>
      </c>
      <c r="K41" s="81" t="s">
        <v>222</v>
      </c>
      <c r="L41" s="38">
        <f t="shared" si="8"/>
        <v>20.8</v>
      </c>
      <c r="M41" s="76">
        <f t="shared" si="9"/>
        <v>4.8309179000000004E-3</v>
      </c>
      <c r="N41" s="85">
        <f t="shared" si="13"/>
        <v>731237436.56828988</v>
      </c>
      <c r="O41" s="81" t="s">
        <v>168</v>
      </c>
      <c r="P41" s="38">
        <f t="shared" si="10"/>
        <v>216</v>
      </c>
      <c r="Q41" s="76">
        <f t="shared" si="11"/>
        <v>3.8461538500000003E-2</v>
      </c>
      <c r="R41" s="85">
        <f t="shared" si="14"/>
        <v>239653511.1438289</v>
      </c>
    </row>
    <row r="42" spans="1:18">
      <c r="A42" s="40" t="s">
        <v>77</v>
      </c>
      <c r="B42" s="11" t="s">
        <v>78</v>
      </c>
      <c r="C42" s="95">
        <v>1212500</v>
      </c>
      <c r="D42" s="92">
        <v>3.1037414999999999E-2</v>
      </c>
      <c r="E42" s="93">
        <v>92604.468037269995</v>
      </c>
      <c r="F42" s="35"/>
      <c r="G42" s="47" t="s">
        <v>142</v>
      </c>
      <c r="H42" s="39">
        <f t="shared" si="6"/>
        <v>466</v>
      </c>
      <c r="I42" s="77">
        <f t="shared" si="7"/>
        <v>7.8703703700000002E-2</v>
      </c>
      <c r="J42" s="86">
        <f t="shared" si="12"/>
        <v>76800721.285237446</v>
      </c>
      <c r="K42" s="82" t="s">
        <v>228</v>
      </c>
      <c r="L42" s="39">
        <f t="shared" si="8"/>
        <v>21.2</v>
      </c>
      <c r="M42" s="77">
        <f t="shared" si="9"/>
        <v>4.7393365E-3</v>
      </c>
      <c r="N42" s="86">
        <f t="shared" si="13"/>
        <v>1353209982.0372171</v>
      </c>
      <c r="O42" s="82" t="s">
        <v>148</v>
      </c>
      <c r="P42" s="39">
        <f t="shared" si="10"/>
        <v>215</v>
      </c>
      <c r="Q42" s="77">
        <f t="shared" si="11"/>
        <v>3.3653846199999997E-2</v>
      </c>
      <c r="R42" s="86">
        <f t="shared" si="14"/>
        <v>97292126.782741368</v>
      </c>
    </row>
    <row r="43" spans="1:18">
      <c r="A43" s="40" t="s">
        <v>105</v>
      </c>
      <c r="B43" s="11" t="s">
        <v>106</v>
      </c>
      <c r="C43" s="95">
        <v>2330</v>
      </c>
      <c r="D43" s="92">
        <v>3.09734513E-2</v>
      </c>
      <c r="E43" s="93">
        <v>6247104.8679726198</v>
      </c>
      <c r="F43" s="35"/>
      <c r="G43" s="47" t="s">
        <v>242</v>
      </c>
      <c r="H43" s="39">
        <f t="shared" si="6"/>
        <v>7330</v>
      </c>
      <c r="I43" s="77">
        <f t="shared" si="7"/>
        <v>7.7149154999999997E-2</v>
      </c>
      <c r="J43" s="86">
        <f t="shared" si="12"/>
        <v>8563188.8816633504</v>
      </c>
      <c r="K43" s="82" t="s">
        <v>100</v>
      </c>
      <c r="L43" s="39">
        <f t="shared" si="8"/>
        <v>8.4700000000000006</v>
      </c>
      <c r="M43" s="77">
        <f t="shared" si="9"/>
        <v>3.5545023999999999E-3</v>
      </c>
      <c r="N43" s="86">
        <f t="shared" si="13"/>
        <v>31550528625.510895</v>
      </c>
      <c r="O43" s="82" t="s">
        <v>156</v>
      </c>
      <c r="P43" s="39">
        <f t="shared" si="10"/>
        <v>160</v>
      </c>
      <c r="Q43" s="77">
        <f t="shared" si="11"/>
        <v>3.2258064500000003E-2</v>
      </c>
      <c r="R43" s="86">
        <f t="shared" si="14"/>
        <v>631899111.88711941</v>
      </c>
    </row>
    <row r="44" spans="1:18">
      <c r="A44" s="40" t="s">
        <v>233</v>
      </c>
      <c r="B44" s="11" t="s">
        <v>234</v>
      </c>
      <c r="C44" s="95">
        <v>1525</v>
      </c>
      <c r="D44" s="92">
        <v>3.0405405399999998E-2</v>
      </c>
      <c r="E44" s="93">
        <v>10180379.97965323</v>
      </c>
      <c r="F44" s="35"/>
      <c r="G44" s="47" t="s">
        <v>114</v>
      </c>
      <c r="H44" s="39">
        <f t="shared" si="6"/>
        <v>14250</v>
      </c>
      <c r="I44" s="77">
        <f t="shared" si="7"/>
        <v>7.7097505699999999E-2</v>
      </c>
      <c r="J44" s="86">
        <f t="shared" si="12"/>
        <v>1829124.5794235601</v>
      </c>
      <c r="K44" s="82" t="s">
        <v>172</v>
      </c>
      <c r="L44" s="39">
        <f t="shared" si="8"/>
        <v>28.7</v>
      </c>
      <c r="M44" s="77">
        <f t="shared" si="9"/>
        <v>3.4965034999999999E-3</v>
      </c>
      <c r="N44" s="86">
        <f t="shared" si="13"/>
        <v>507625977.80221796</v>
      </c>
      <c r="O44" s="82" t="s">
        <v>264</v>
      </c>
      <c r="P44" s="39">
        <f t="shared" si="10"/>
        <v>194</v>
      </c>
      <c r="Q44" s="77">
        <f t="shared" si="11"/>
        <v>2.6455026499999999E-2</v>
      </c>
      <c r="R44" s="86">
        <f t="shared" si="14"/>
        <v>39809386.105809003</v>
      </c>
    </row>
    <row r="45" spans="1:18">
      <c r="A45" s="40" t="s">
        <v>187</v>
      </c>
      <c r="B45" s="11" t="s">
        <v>188</v>
      </c>
      <c r="C45" s="95">
        <v>19000</v>
      </c>
      <c r="D45" s="92">
        <v>3.0368763600000001E-2</v>
      </c>
      <c r="E45" s="93">
        <v>6817320.1351463301</v>
      </c>
      <c r="F45" s="35"/>
      <c r="G45" s="47" t="s">
        <v>96</v>
      </c>
      <c r="H45" s="44">
        <f t="shared" si="6"/>
        <v>3836000</v>
      </c>
      <c r="I45" s="78">
        <f t="shared" si="7"/>
        <v>7.6620825099999998E-2</v>
      </c>
      <c r="J45" s="90">
        <f t="shared" si="12"/>
        <v>210215.49173556</v>
      </c>
      <c r="K45" s="83" t="s">
        <v>198</v>
      </c>
      <c r="L45" s="44">
        <f t="shared" si="8"/>
        <v>32.5</v>
      </c>
      <c r="M45" s="78">
        <f t="shared" si="9"/>
        <v>3.0864197999999998E-3</v>
      </c>
      <c r="N45" s="90">
        <f t="shared" si="13"/>
        <v>890018744.15792608</v>
      </c>
      <c r="O45" s="83" t="s">
        <v>238</v>
      </c>
      <c r="P45" s="44">
        <f t="shared" si="10"/>
        <v>333</v>
      </c>
      <c r="Q45" s="78">
        <f t="shared" si="11"/>
        <v>2.4615384600000002E-2</v>
      </c>
      <c r="R45" s="90">
        <f t="shared" si="14"/>
        <v>85973362.652402833</v>
      </c>
    </row>
    <row r="46" spans="1:18">
      <c r="A46" s="40" t="s">
        <v>263</v>
      </c>
      <c r="B46" s="11" t="s">
        <v>264</v>
      </c>
      <c r="C46" s="95">
        <v>194</v>
      </c>
      <c r="D46" s="92">
        <v>2.6455026499999999E-2</v>
      </c>
      <c r="E46" s="93">
        <v>39809386.105809003</v>
      </c>
      <c r="F46" s="35"/>
      <c r="G46" s="49" t="s">
        <v>194</v>
      </c>
      <c r="H46" s="39">
        <f t="shared" si="6"/>
        <v>16130</v>
      </c>
      <c r="I46" s="77">
        <f t="shared" si="7"/>
        <v>7.3901464700000002E-2</v>
      </c>
      <c r="J46" s="99">
        <f t="shared" si="12"/>
        <v>6330291.6000830103</v>
      </c>
      <c r="K46" s="82" t="s">
        <v>152</v>
      </c>
      <c r="L46" s="39">
        <f t="shared" si="8"/>
        <v>49.9</v>
      </c>
      <c r="M46" s="77">
        <f t="shared" si="9"/>
        <v>0</v>
      </c>
      <c r="N46" s="99">
        <f t="shared" si="13"/>
        <v>931650284.56975043</v>
      </c>
      <c r="O46" s="82" t="s">
        <v>270</v>
      </c>
      <c r="P46" s="39">
        <f t="shared" si="10"/>
        <v>597</v>
      </c>
      <c r="Q46" s="77">
        <f t="shared" si="11"/>
        <v>1.87713311E-2</v>
      </c>
      <c r="R46" s="99">
        <f t="shared" si="14"/>
        <v>30229107.718670201</v>
      </c>
    </row>
    <row r="47" spans="1:18">
      <c r="A47" s="40" t="s">
        <v>62</v>
      </c>
      <c r="B47" s="11" t="s">
        <v>63</v>
      </c>
      <c r="C47" s="95">
        <v>132400</v>
      </c>
      <c r="D47" s="92">
        <v>2.5164537399999999E-2</v>
      </c>
      <c r="E47" s="93">
        <v>1726838.44587461</v>
      </c>
      <c r="F47" s="35"/>
      <c r="G47" s="47" t="s">
        <v>276</v>
      </c>
      <c r="H47" s="39">
        <f t="shared" si="6"/>
        <v>4535</v>
      </c>
      <c r="I47" s="77">
        <f t="shared" si="7"/>
        <v>6.8315665499999997E-2</v>
      </c>
      <c r="J47" s="86">
        <f t="shared" si="12"/>
        <v>16448087.488512781</v>
      </c>
      <c r="K47" s="82" t="s">
        <v>218</v>
      </c>
      <c r="L47" s="39">
        <f t="shared" si="8"/>
        <v>32.9</v>
      </c>
      <c r="M47" s="77">
        <f t="shared" si="9"/>
        <v>0</v>
      </c>
      <c r="N47" s="86">
        <f t="shared" si="13"/>
        <v>752791526.61842513</v>
      </c>
      <c r="O47" s="82" t="s">
        <v>134</v>
      </c>
      <c r="P47" s="39">
        <f t="shared" si="10"/>
        <v>164</v>
      </c>
      <c r="Q47" s="77">
        <f t="shared" si="11"/>
        <v>1.8633540399999999E-2</v>
      </c>
      <c r="R47" s="86">
        <f t="shared" si="14"/>
        <v>124878270.61087216</v>
      </c>
    </row>
    <row r="48" spans="1:18">
      <c r="A48" s="40" t="s">
        <v>81</v>
      </c>
      <c r="B48" s="11" t="s">
        <v>82</v>
      </c>
      <c r="C48" s="95">
        <v>1665</v>
      </c>
      <c r="D48" s="92">
        <v>2.4615384600000002E-2</v>
      </c>
      <c r="E48" s="93">
        <v>9726464.1699557006</v>
      </c>
      <c r="F48" s="35"/>
      <c r="G48" s="47" t="s">
        <v>128</v>
      </c>
      <c r="H48" s="39">
        <f t="shared" si="6"/>
        <v>731</v>
      </c>
      <c r="I48" s="77">
        <f t="shared" si="7"/>
        <v>6.5597667600000006E-2</v>
      </c>
      <c r="J48" s="86">
        <f t="shared" si="12"/>
        <v>68105943.763945013</v>
      </c>
      <c r="K48" s="82" t="s">
        <v>126</v>
      </c>
      <c r="L48" s="39">
        <f t="shared" si="8"/>
        <v>69</v>
      </c>
      <c r="M48" s="77">
        <f t="shared" si="9"/>
        <v>-2.8901733999999999E-3</v>
      </c>
      <c r="N48" s="86">
        <f t="shared" si="13"/>
        <v>425027112.42370385</v>
      </c>
      <c r="O48" s="82" t="s">
        <v>182</v>
      </c>
      <c r="P48" s="39">
        <f t="shared" si="10"/>
        <v>505</v>
      </c>
      <c r="Q48" s="77">
        <f t="shared" si="11"/>
        <v>1.81451613E-2</v>
      </c>
      <c r="R48" s="86">
        <f t="shared" si="14"/>
        <v>17685195.25435425</v>
      </c>
    </row>
    <row r="49" spans="1:18">
      <c r="A49" s="40" t="s">
        <v>237</v>
      </c>
      <c r="B49" s="11" t="s">
        <v>238</v>
      </c>
      <c r="C49" s="95">
        <v>333</v>
      </c>
      <c r="D49" s="92">
        <v>2.4615384600000002E-2</v>
      </c>
      <c r="E49" s="93">
        <v>85973362.652402833</v>
      </c>
      <c r="F49" s="35"/>
      <c r="G49" s="47" t="s">
        <v>296</v>
      </c>
      <c r="H49" s="39">
        <f t="shared" si="6"/>
        <v>482</v>
      </c>
      <c r="I49" s="77">
        <f t="shared" si="7"/>
        <v>6.4017660000000004E-2</v>
      </c>
      <c r="J49" s="86">
        <f t="shared" si="12"/>
        <v>2336169232.8285913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57</v>
      </c>
      <c r="P49" s="39">
        <f t="shared" si="10"/>
        <v>418</v>
      </c>
      <c r="Q49" s="77">
        <f t="shared" si="11"/>
        <v>1.45631068E-2</v>
      </c>
      <c r="R49" s="86">
        <f t="shared" si="14"/>
        <v>111149509.77527933</v>
      </c>
    </row>
    <row r="50" spans="1:18" ht="17.25" thickBot="1">
      <c r="A50" s="40" t="s">
        <v>189</v>
      </c>
      <c r="B50" s="11" t="s">
        <v>190</v>
      </c>
      <c r="C50" s="95">
        <v>79720</v>
      </c>
      <c r="D50" s="92">
        <v>2.3363286300000001E-2</v>
      </c>
      <c r="E50" s="93">
        <v>1616940.92108376</v>
      </c>
      <c r="F50" s="35"/>
      <c r="G50" s="53" t="s">
        <v>150</v>
      </c>
      <c r="H50" s="37">
        <f t="shared" si="6"/>
        <v>6990</v>
      </c>
      <c r="I50" s="79">
        <f t="shared" si="7"/>
        <v>5.9893859000000001E-2</v>
      </c>
      <c r="J50" s="87">
        <f t="shared" si="12"/>
        <v>28776034.32421967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120</v>
      </c>
      <c r="P50" s="37">
        <f t="shared" si="10"/>
        <v>230</v>
      </c>
      <c r="Q50" s="79">
        <f t="shared" si="11"/>
        <v>1.3215859E-2</v>
      </c>
      <c r="R50" s="87">
        <f t="shared" si="14"/>
        <v>80415714.333964154</v>
      </c>
    </row>
    <row r="51" spans="1:18">
      <c r="A51" s="40" t="s">
        <v>85</v>
      </c>
      <c r="B51" s="11" t="s">
        <v>86</v>
      </c>
      <c r="C51" s="95">
        <v>8075</v>
      </c>
      <c r="D51" s="92">
        <v>2.2799239999999998E-2</v>
      </c>
      <c r="E51" s="93">
        <v>17548135.670562562</v>
      </c>
      <c r="F51" s="35"/>
    </row>
    <row r="52" spans="1:18" ht="17.25" thickBot="1">
      <c r="A52" s="40" t="s">
        <v>261</v>
      </c>
      <c r="B52" s="11" t="s">
        <v>262</v>
      </c>
      <c r="C52" s="95">
        <v>1135</v>
      </c>
      <c r="D52" s="92">
        <v>2.2522522499999999E-2</v>
      </c>
      <c r="E52" s="93">
        <v>21657562.398588061</v>
      </c>
      <c r="F52" s="35"/>
    </row>
    <row r="53" spans="1:18" ht="17.25" thickBot="1">
      <c r="A53" s="40" t="s">
        <v>273</v>
      </c>
      <c r="B53" s="11" t="s">
        <v>274</v>
      </c>
      <c r="C53" s="95">
        <v>9570</v>
      </c>
      <c r="D53" s="92">
        <v>2.1890016000000002E-2</v>
      </c>
      <c r="E53" s="93">
        <v>2523708.6346413498</v>
      </c>
      <c r="F53" s="35"/>
      <c r="G53" s="149" t="s">
        <v>285</v>
      </c>
      <c r="H53" s="150"/>
      <c r="I53" s="150"/>
      <c r="J53" s="151"/>
      <c r="K53" s="149" t="s">
        <v>288</v>
      </c>
      <c r="L53" s="150"/>
      <c r="M53" s="150"/>
      <c r="N53" s="151"/>
      <c r="O53" s="149" t="s">
        <v>289</v>
      </c>
      <c r="P53" s="150"/>
      <c r="Q53" s="150"/>
      <c r="R53" s="151"/>
    </row>
    <row r="54" spans="1:18" ht="17.25" thickBot="1">
      <c r="A54" s="40" t="s">
        <v>253</v>
      </c>
      <c r="B54" s="11" t="s">
        <v>254</v>
      </c>
      <c r="C54" s="95">
        <v>98.8</v>
      </c>
      <c r="D54" s="92">
        <v>2.1716649399999999E-2</v>
      </c>
      <c r="E54" s="93">
        <v>328814579.18128335</v>
      </c>
      <c r="F54" s="35"/>
      <c r="G54" s="197" t="s">
        <v>55</v>
      </c>
      <c r="H54" s="194">
        <f ca="1">NOW()</f>
        <v>44320.098231481483</v>
      </c>
      <c r="I54" s="195"/>
      <c r="J54" s="196"/>
      <c r="K54" s="192" t="s">
        <v>55</v>
      </c>
      <c r="L54" s="194">
        <f ca="1">NOW()</f>
        <v>44320.098231481483</v>
      </c>
      <c r="M54" s="195"/>
      <c r="N54" s="196"/>
      <c r="O54" s="192" t="s">
        <v>55</v>
      </c>
      <c r="P54" s="194">
        <f ca="1">NOW()</f>
        <v>44320.098231481483</v>
      </c>
      <c r="Q54" s="195"/>
      <c r="R54" s="196"/>
    </row>
    <row r="55" spans="1:18" ht="17.25" thickBot="1">
      <c r="A55" s="40" t="s">
        <v>48</v>
      </c>
      <c r="B55" s="11" t="s">
        <v>49</v>
      </c>
      <c r="C55" s="95">
        <v>69894000</v>
      </c>
      <c r="D55" s="92">
        <v>2.1065856399999999E-2</v>
      </c>
      <c r="E55" s="93">
        <v>7194.7170987899999</v>
      </c>
      <c r="F55" s="35"/>
      <c r="G55" s="193"/>
      <c r="H55" s="51" t="s">
        <v>58</v>
      </c>
      <c r="I55" s="73" t="s">
        <v>59</v>
      </c>
      <c r="J55" s="69" t="s">
        <v>294</v>
      </c>
      <c r="K55" s="172"/>
      <c r="L55" s="51" t="s">
        <v>58</v>
      </c>
      <c r="M55" s="73" t="s">
        <v>59</v>
      </c>
      <c r="N55" s="69" t="s">
        <v>294</v>
      </c>
      <c r="O55" s="172"/>
      <c r="P55" s="51" t="s">
        <v>58</v>
      </c>
      <c r="Q55" s="73" t="s">
        <v>59</v>
      </c>
      <c r="R55" s="69" t="s">
        <v>294</v>
      </c>
    </row>
    <row r="56" spans="1:18">
      <c r="A56" s="40" t="s">
        <v>60</v>
      </c>
      <c r="B56" s="11" t="s">
        <v>61</v>
      </c>
      <c r="C56" s="95">
        <v>1735</v>
      </c>
      <c r="D56" s="92">
        <v>2.05882353E-2</v>
      </c>
      <c r="E56" s="93">
        <v>27936845.899275061</v>
      </c>
      <c r="F56" s="35"/>
      <c r="G56" s="55" t="s">
        <v>54</v>
      </c>
      <c r="H56" s="38">
        <f t="shared" ref="H56:H75" si="15">_xlfn.IFNA(VLOOKUP(G56, $B$2:$D$200, 2, FALSE), "")</f>
        <v>399</v>
      </c>
      <c r="I56" s="76">
        <f t="shared" ref="I56:I65" si="16">_xlfn.IFNA(VLOOKUP(G56, $B$2:$D$200, 3, FALSE), "")</f>
        <v>2.5125628000000001E-3</v>
      </c>
      <c r="J56" s="85">
        <f>_xlfn.IFNA(VLOOKUP(G56, $B$2:$E$200, 4, FALSE), "")</f>
        <v>47759188.460980132</v>
      </c>
      <c r="K56" s="81" t="s">
        <v>220</v>
      </c>
      <c r="L56" s="38">
        <f t="shared" ref="L56:L75" si="17">_xlfn.IFNA(VLOOKUP(K56, $B$2:$D$200, 2, FALSE), "")</f>
        <v>24.6</v>
      </c>
      <c r="M56" s="76">
        <f t="shared" ref="M56:M75" si="18">_xlfn.IFNA(VLOOKUP(K56, $B$2:$D$200, 3, FALSE), "")</f>
        <v>8.8495575199999996E-2</v>
      </c>
      <c r="N56" s="85">
        <f>_xlfn.IFNA(VLOOKUP(K56, $B$2:$E$200, 4, FALSE), "")</f>
        <v>1579058952.5117164</v>
      </c>
      <c r="O56" s="81" t="s">
        <v>200</v>
      </c>
      <c r="P56" s="38">
        <f t="shared" ref="P56:P75" si="19">_xlfn.IFNA(VLOOKUP(O56, $B$2:$D$200, 2, FALSE), "")</f>
        <v>414</v>
      </c>
      <c r="Q56" s="76">
        <f t="shared" ref="Q56:Q75" si="20">_xlfn.IFNA(VLOOKUP(O56, $B$2:$D$200, 3, FALSE), "")</f>
        <v>9.7560975999999994E-3</v>
      </c>
      <c r="R56" s="85">
        <f>_xlfn.IFNA(VLOOKUP(O56, $B$2:$E$200, 4, FALSE), "")</f>
        <v>33626391.123741783</v>
      </c>
    </row>
    <row r="57" spans="1:18">
      <c r="A57" s="40" t="s">
        <v>159</v>
      </c>
      <c r="B57" s="11" t="s">
        <v>160</v>
      </c>
      <c r="C57" s="95">
        <v>3240</v>
      </c>
      <c r="D57" s="92">
        <v>2.04724409E-2</v>
      </c>
      <c r="E57" s="93">
        <v>4450783.01571716</v>
      </c>
      <c r="F57" s="35"/>
      <c r="G57" s="56" t="s">
        <v>284</v>
      </c>
      <c r="H57" s="39">
        <f t="shared" si="15"/>
        <v>481</v>
      </c>
      <c r="I57" s="77">
        <f t="shared" si="16"/>
        <v>2.0833332999999998E-3</v>
      </c>
      <c r="J57" s="86">
        <f t="shared" ref="J57:J75" si="21">_xlfn.IFNA(VLOOKUP(G57, $B$2:$E$200, 4, FALSE), "")</f>
        <v>38087243.978440322</v>
      </c>
      <c r="K57" s="82" t="s">
        <v>154</v>
      </c>
      <c r="L57" s="39">
        <f t="shared" si="17"/>
        <v>24.1</v>
      </c>
      <c r="M57" s="77">
        <f t="shared" si="18"/>
        <v>5.7017543900000002E-2</v>
      </c>
      <c r="N57" s="86">
        <f t="shared" ref="N57:N75" si="22">_xlfn.IFNA(VLOOKUP(K57, $B$2:$E$200, 4, FALSE), "")</f>
        <v>2250555579.0413489</v>
      </c>
      <c r="O57" s="82" t="s">
        <v>252</v>
      </c>
      <c r="P57" s="39">
        <f t="shared" si="19"/>
        <v>598</v>
      </c>
      <c r="Q57" s="77">
        <f t="shared" si="20"/>
        <v>8.4317031999999997E-3</v>
      </c>
      <c r="R57" s="86">
        <f t="shared" ref="R57:R75" si="23">_xlfn.IFNA(VLOOKUP(O57, $B$2:$E$200, 4, FALSE), "")</f>
        <v>36925050.549233861</v>
      </c>
    </row>
    <row r="58" spans="1:18">
      <c r="A58" s="40" t="s">
        <v>213</v>
      </c>
      <c r="B58" s="11" t="s">
        <v>214</v>
      </c>
      <c r="C58" s="95">
        <v>25.4</v>
      </c>
      <c r="D58" s="92">
        <v>2.0080321299999999E-2</v>
      </c>
      <c r="E58" s="93">
        <v>814213656.17805052</v>
      </c>
      <c r="F58" s="35"/>
      <c r="G58" s="56" t="s">
        <v>226</v>
      </c>
      <c r="H58" s="39">
        <f t="shared" si="15"/>
        <v>559</v>
      </c>
      <c r="I58" s="77">
        <f t="shared" si="16"/>
        <v>1.7921147000000001E-3</v>
      </c>
      <c r="J58" s="86">
        <f t="shared" si="21"/>
        <v>15841905.69708401</v>
      </c>
      <c r="K58" s="82" t="s">
        <v>65</v>
      </c>
      <c r="L58" s="39">
        <f t="shared" si="17"/>
        <v>79.8</v>
      </c>
      <c r="M58" s="77">
        <f t="shared" si="18"/>
        <v>4.72440945E-2</v>
      </c>
      <c r="N58" s="86">
        <f t="shared" si="22"/>
        <v>291588459.27520353</v>
      </c>
      <c r="O58" s="82" t="s">
        <v>216</v>
      </c>
      <c r="P58" s="39">
        <f t="shared" si="19"/>
        <v>493</v>
      </c>
      <c r="Q58" s="77">
        <f t="shared" si="20"/>
        <v>8.1799591000000001E-3</v>
      </c>
      <c r="R58" s="86">
        <f t="shared" si="23"/>
        <v>25926173.56897375</v>
      </c>
    </row>
    <row r="59" spans="1:18">
      <c r="A59" s="40" t="s">
        <v>269</v>
      </c>
      <c r="B59" s="11" t="s">
        <v>270</v>
      </c>
      <c r="C59" s="95">
        <v>597</v>
      </c>
      <c r="D59" s="92">
        <v>1.87713311E-2</v>
      </c>
      <c r="E59" s="93">
        <v>30229107.718670201</v>
      </c>
      <c r="F59" s="35"/>
      <c r="G59" s="56" t="s">
        <v>110</v>
      </c>
      <c r="H59" s="39">
        <f t="shared" si="15"/>
        <v>3035</v>
      </c>
      <c r="I59" s="77">
        <f t="shared" si="16"/>
        <v>1.6501650000000001E-3</v>
      </c>
      <c r="J59" s="86">
        <f t="shared" si="21"/>
        <v>3017418.76891312</v>
      </c>
      <c r="K59" s="82" t="s">
        <v>186</v>
      </c>
      <c r="L59" s="39">
        <f t="shared" si="17"/>
        <v>29.4</v>
      </c>
      <c r="M59" s="77">
        <f t="shared" si="18"/>
        <v>4.2553191499999997E-2</v>
      </c>
      <c r="N59" s="86">
        <f t="shared" si="22"/>
        <v>2246585266.4276047</v>
      </c>
      <c r="O59" s="82" t="s">
        <v>112</v>
      </c>
      <c r="P59" s="39">
        <f t="shared" si="19"/>
        <v>288</v>
      </c>
      <c r="Q59" s="77">
        <f t="shared" si="20"/>
        <v>6.9930069999999999E-3</v>
      </c>
      <c r="R59" s="86">
        <f t="shared" si="23"/>
        <v>100620769.09498429</v>
      </c>
    </row>
    <row r="60" spans="1:18">
      <c r="A60" s="40" t="s">
        <v>83</v>
      </c>
      <c r="B60" s="11" t="s">
        <v>84</v>
      </c>
      <c r="C60" s="95">
        <v>1630</v>
      </c>
      <c r="D60" s="92">
        <v>1.8749999999999999E-2</v>
      </c>
      <c r="E60" s="93">
        <v>31984112.921981178</v>
      </c>
      <c r="F60" s="35"/>
      <c r="G60" s="56" t="s">
        <v>152</v>
      </c>
      <c r="H60" s="39">
        <f t="shared" si="15"/>
        <v>49.9</v>
      </c>
      <c r="I60" s="77">
        <f t="shared" si="16"/>
        <v>0</v>
      </c>
      <c r="J60" s="90">
        <f t="shared" si="21"/>
        <v>931650284.56975043</v>
      </c>
      <c r="K60" s="83" t="s">
        <v>266</v>
      </c>
      <c r="L60" s="44">
        <f t="shared" si="17"/>
        <v>99.2</v>
      </c>
      <c r="M60" s="78">
        <f t="shared" si="18"/>
        <v>3.54906054E-2</v>
      </c>
      <c r="N60" s="90">
        <f t="shared" si="22"/>
        <v>214562785.63347554</v>
      </c>
      <c r="O60" s="83" t="s">
        <v>51</v>
      </c>
      <c r="P60" s="44">
        <f t="shared" si="19"/>
        <v>674</v>
      </c>
      <c r="Q60" s="78">
        <f t="shared" si="20"/>
        <v>5.9701492999999998E-3</v>
      </c>
      <c r="R60" s="90">
        <f t="shared" si="23"/>
        <v>74938633.945356846</v>
      </c>
    </row>
    <row r="61" spans="1:18">
      <c r="A61" s="40" t="s">
        <v>133</v>
      </c>
      <c r="B61" s="11" t="s">
        <v>134</v>
      </c>
      <c r="C61" s="95">
        <v>164</v>
      </c>
      <c r="D61" s="92">
        <v>1.8633540399999999E-2</v>
      </c>
      <c r="E61" s="93">
        <v>124878270.61087216</v>
      </c>
      <c r="F61" s="35"/>
      <c r="G61" s="60" t="s">
        <v>212</v>
      </c>
      <c r="H61" s="45">
        <f t="shared" si="15"/>
        <v>179</v>
      </c>
      <c r="I61" s="80">
        <f t="shared" si="16"/>
        <v>0</v>
      </c>
      <c r="J61" s="99">
        <f t="shared" si="21"/>
        <v>1133269901.4081242</v>
      </c>
      <c r="K61" s="82" t="s">
        <v>72</v>
      </c>
      <c r="L61" s="39">
        <f t="shared" si="17"/>
        <v>38.4</v>
      </c>
      <c r="M61" s="77">
        <f t="shared" si="18"/>
        <v>3.2258064500000003E-2</v>
      </c>
      <c r="N61" s="99">
        <f t="shared" si="22"/>
        <v>306148821.26277882</v>
      </c>
      <c r="O61" s="82" t="s">
        <v>282</v>
      </c>
      <c r="P61" s="39">
        <f t="shared" si="19"/>
        <v>182</v>
      </c>
      <c r="Q61" s="77">
        <f t="shared" si="20"/>
        <v>5.5248618999999997E-3</v>
      </c>
      <c r="R61" s="99">
        <f t="shared" si="23"/>
        <v>33597891.588786043</v>
      </c>
    </row>
    <row r="62" spans="1:18">
      <c r="A62" s="40" t="s">
        <v>75</v>
      </c>
      <c r="B62" s="11" t="s">
        <v>76</v>
      </c>
      <c r="C62" s="95">
        <v>48670</v>
      </c>
      <c r="D62" s="92">
        <v>1.8413894100000001E-2</v>
      </c>
      <c r="E62" s="93">
        <v>778543.24479331996</v>
      </c>
      <c r="F62" s="35"/>
      <c r="G62" s="56" t="s">
        <v>246</v>
      </c>
      <c r="H62" s="39">
        <f t="shared" si="15"/>
        <v>444</v>
      </c>
      <c r="I62" s="77">
        <f t="shared" si="16"/>
        <v>0</v>
      </c>
      <c r="J62" s="86">
        <f t="shared" si="21"/>
        <v>30195427.449813511</v>
      </c>
      <c r="K62" s="82" t="s">
        <v>254</v>
      </c>
      <c r="L62" s="39">
        <f t="shared" si="17"/>
        <v>98.8</v>
      </c>
      <c r="M62" s="77">
        <f t="shared" si="18"/>
        <v>2.1716649399999999E-2</v>
      </c>
      <c r="N62" s="86">
        <f t="shared" si="22"/>
        <v>328814579.18128335</v>
      </c>
      <c r="O62" s="82" t="s">
        <v>240</v>
      </c>
      <c r="P62" s="39">
        <f t="shared" si="19"/>
        <v>213</v>
      </c>
      <c r="Q62" s="77">
        <f t="shared" si="20"/>
        <v>4.7169810999999999E-3</v>
      </c>
      <c r="R62" s="86">
        <f t="shared" si="23"/>
        <v>54586752.979698978</v>
      </c>
    </row>
    <row r="63" spans="1:18">
      <c r="A63" s="40" t="s">
        <v>137</v>
      </c>
      <c r="B63" s="11" t="s">
        <v>138</v>
      </c>
      <c r="C63" s="95">
        <v>44810</v>
      </c>
      <c r="D63" s="92">
        <v>1.8409090900000001E-2</v>
      </c>
      <c r="E63" s="93">
        <v>736234.80190375994</v>
      </c>
      <c r="F63" s="35"/>
      <c r="G63" s="56" t="s">
        <v>260</v>
      </c>
      <c r="H63" s="39">
        <f t="shared" si="15"/>
        <v>139</v>
      </c>
      <c r="I63" s="77">
        <f t="shared" si="16"/>
        <v>0</v>
      </c>
      <c r="J63" s="86">
        <f t="shared" si="21"/>
        <v>233405570.48585016</v>
      </c>
      <c r="K63" s="82" t="s">
        <v>214</v>
      </c>
      <c r="L63" s="39">
        <f t="shared" si="17"/>
        <v>25.4</v>
      </c>
      <c r="M63" s="77">
        <f t="shared" si="18"/>
        <v>2.0080321299999999E-2</v>
      </c>
      <c r="N63" s="86">
        <f t="shared" si="22"/>
        <v>814213656.17805052</v>
      </c>
      <c r="O63" s="82" t="s">
        <v>54</v>
      </c>
      <c r="P63" s="39">
        <f t="shared" si="19"/>
        <v>399</v>
      </c>
      <c r="Q63" s="77">
        <f t="shared" si="20"/>
        <v>2.5125628000000001E-3</v>
      </c>
      <c r="R63" s="86">
        <f t="shared" si="23"/>
        <v>47759188.460980132</v>
      </c>
    </row>
    <row r="64" spans="1:18">
      <c r="A64" s="40" t="s">
        <v>181</v>
      </c>
      <c r="B64" s="11" t="s">
        <v>182</v>
      </c>
      <c r="C64" s="95">
        <v>505</v>
      </c>
      <c r="D64" s="92">
        <v>1.81451613E-2</v>
      </c>
      <c r="E64" s="93">
        <v>17685195.25435425</v>
      </c>
      <c r="F64" s="35"/>
      <c r="G64" s="56" t="s">
        <v>218</v>
      </c>
      <c r="H64" s="39">
        <f t="shared" si="15"/>
        <v>32.9</v>
      </c>
      <c r="I64" s="77">
        <f t="shared" si="16"/>
        <v>0</v>
      </c>
      <c r="J64" s="86">
        <f t="shared" si="21"/>
        <v>752791526.61842513</v>
      </c>
      <c r="K64" s="82" t="s">
        <v>236</v>
      </c>
      <c r="L64" s="39">
        <f t="shared" si="17"/>
        <v>78.400000000000006</v>
      </c>
      <c r="M64" s="77">
        <f t="shared" si="18"/>
        <v>9.0090090000000001E-3</v>
      </c>
      <c r="N64" s="86">
        <f t="shared" si="22"/>
        <v>221642569.17180285</v>
      </c>
      <c r="O64" s="82" t="s">
        <v>284</v>
      </c>
      <c r="P64" s="39">
        <f t="shared" si="19"/>
        <v>481</v>
      </c>
      <c r="Q64" s="77">
        <f t="shared" si="20"/>
        <v>2.0833332999999998E-3</v>
      </c>
      <c r="R64" s="86">
        <f t="shared" si="23"/>
        <v>38087243.978440322</v>
      </c>
    </row>
    <row r="65" spans="1:18" ht="17.25" thickBot="1">
      <c r="A65" s="40" t="s">
        <v>247</v>
      </c>
      <c r="B65" s="11" t="s">
        <v>248</v>
      </c>
      <c r="C65" s="95">
        <v>3395</v>
      </c>
      <c r="D65" s="92">
        <v>1.7991004500000001E-2</v>
      </c>
      <c r="E65" s="93">
        <v>5380062.3079059198</v>
      </c>
      <c r="F65" s="35"/>
      <c r="G65" s="57" t="s">
        <v>210</v>
      </c>
      <c r="H65" s="37">
        <f t="shared" si="15"/>
        <v>222</v>
      </c>
      <c r="I65" s="79">
        <f t="shared" si="16"/>
        <v>0</v>
      </c>
      <c r="J65" s="87">
        <f t="shared" si="21"/>
        <v>44264063.529836781</v>
      </c>
      <c r="K65" s="84" t="s">
        <v>196</v>
      </c>
      <c r="L65" s="37">
        <f t="shared" si="17"/>
        <v>22.7</v>
      </c>
      <c r="M65" s="79">
        <f t="shared" si="18"/>
        <v>8.8888888999999992E-3</v>
      </c>
      <c r="N65" s="87">
        <f t="shared" si="22"/>
        <v>727111492.57098389</v>
      </c>
      <c r="O65" s="84" t="s">
        <v>226</v>
      </c>
      <c r="P65" s="37">
        <f t="shared" si="19"/>
        <v>559</v>
      </c>
      <c r="Q65" s="79">
        <f t="shared" si="20"/>
        <v>1.7921147000000001E-3</v>
      </c>
      <c r="R65" s="87">
        <f t="shared" si="23"/>
        <v>15841905.69708401</v>
      </c>
    </row>
    <row r="66" spans="1:18">
      <c r="A66" s="40" t="s">
        <v>183</v>
      </c>
      <c r="B66" s="11" t="s">
        <v>184</v>
      </c>
      <c r="C66" s="95">
        <v>2660</v>
      </c>
      <c r="D66" s="92">
        <v>1.52671756E-2</v>
      </c>
      <c r="E66" s="93">
        <v>1965964.37484187</v>
      </c>
      <c r="F66" s="35"/>
      <c r="G66" s="56" t="s">
        <v>92</v>
      </c>
      <c r="H66" s="38">
        <f t="shared" si="15"/>
        <v>1885</v>
      </c>
      <c r="I66" s="76">
        <f t="shared" ref="I66:I75" si="24">_xlfn.IFNA(VLOOKUP(G66, $B$2:$D$200, 3, FALSE), "")</f>
        <v>-2.6455025999999999E-3</v>
      </c>
      <c r="J66" s="85">
        <f t="shared" si="21"/>
        <v>417596872.58722699</v>
      </c>
      <c r="K66" s="81" t="s">
        <v>222</v>
      </c>
      <c r="L66" s="38">
        <f t="shared" si="17"/>
        <v>20.8</v>
      </c>
      <c r="M66" s="76">
        <f t="shared" si="18"/>
        <v>4.8309179000000004E-3</v>
      </c>
      <c r="N66" s="85">
        <f t="shared" si="22"/>
        <v>731237436.56828988</v>
      </c>
      <c r="O66" s="81" t="s">
        <v>212</v>
      </c>
      <c r="P66" s="38">
        <f t="shared" si="19"/>
        <v>179</v>
      </c>
      <c r="Q66" s="76">
        <f t="shared" si="20"/>
        <v>0</v>
      </c>
      <c r="R66" s="85">
        <f t="shared" si="23"/>
        <v>1133269901.4081242</v>
      </c>
    </row>
    <row r="67" spans="1:18">
      <c r="A67" s="40" t="s">
        <v>56</v>
      </c>
      <c r="B67" s="11" t="s">
        <v>57</v>
      </c>
      <c r="C67" s="95">
        <v>418</v>
      </c>
      <c r="D67" s="92">
        <v>1.45631068E-2</v>
      </c>
      <c r="E67" s="93">
        <v>111149509.77527933</v>
      </c>
      <c r="F67" s="35"/>
      <c r="G67" s="56" t="s">
        <v>126</v>
      </c>
      <c r="H67" s="39">
        <f t="shared" si="15"/>
        <v>69</v>
      </c>
      <c r="I67" s="77">
        <f t="shared" si="24"/>
        <v>-2.8901733999999999E-3</v>
      </c>
      <c r="J67" s="86">
        <f t="shared" si="21"/>
        <v>425027112.42370385</v>
      </c>
      <c r="K67" s="82" t="s">
        <v>228</v>
      </c>
      <c r="L67" s="39">
        <f t="shared" si="17"/>
        <v>21.2</v>
      </c>
      <c r="M67" s="77">
        <f t="shared" si="18"/>
        <v>4.7393365E-3</v>
      </c>
      <c r="N67" s="86">
        <f t="shared" si="22"/>
        <v>1353209982.0372171</v>
      </c>
      <c r="O67" s="82" t="s">
        <v>246</v>
      </c>
      <c r="P67" s="39">
        <f t="shared" si="19"/>
        <v>444</v>
      </c>
      <c r="Q67" s="77">
        <f t="shared" si="20"/>
        <v>0</v>
      </c>
      <c r="R67" s="86">
        <f t="shared" si="23"/>
        <v>30195427.449813511</v>
      </c>
    </row>
    <row r="68" spans="1:18">
      <c r="A68" s="40" t="s">
        <v>119</v>
      </c>
      <c r="B68" s="11" t="s">
        <v>120</v>
      </c>
      <c r="C68" s="95">
        <v>230</v>
      </c>
      <c r="D68" s="92">
        <v>1.3215859E-2</v>
      </c>
      <c r="E68" s="93">
        <v>80415714.333964154</v>
      </c>
      <c r="F68" s="35"/>
      <c r="G68" s="56" t="s">
        <v>174</v>
      </c>
      <c r="H68" s="39">
        <f t="shared" si="15"/>
        <v>306</v>
      </c>
      <c r="I68" s="77">
        <f t="shared" si="24"/>
        <v>-3.2573290000000002E-3</v>
      </c>
      <c r="J68" s="86">
        <f t="shared" si="21"/>
        <v>65544325.0397067</v>
      </c>
      <c r="K68" s="82" t="s">
        <v>100</v>
      </c>
      <c r="L68" s="39">
        <f t="shared" si="17"/>
        <v>8.4700000000000006</v>
      </c>
      <c r="M68" s="77">
        <f t="shared" si="18"/>
        <v>3.5545023999999999E-3</v>
      </c>
      <c r="N68" s="86">
        <f t="shared" si="22"/>
        <v>31550528625.510895</v>
      </c>
      <c r="O68" s="82" t="s">
        <v>260</v>
      </c>
      <c r="P68" s="39">
        <f t="shared" si="19"/>
        <v>139</v>
      </c>
      <c r="Q68" s="77">
        <f t="shared" si="20"/>
        <v>0</v>
      </c>
      <c r="R68" s="86">
        <f t="shared" si="23"/>
        <v>233405570.48585016</v>
      </c>
    </row>
    <row r="69" spans="1:18">
      <c r="A69" s="40" t="s">
        <v>107</v>
      </c>
      <c r="B69" s="11" t="s">
        <v>108</v>
      </c>
      <c r="C69" s="95">
        <v>50500</v>
      </c>
      <c r="D69" s="92">
        <v>1.30391174E-2</v>
      </c>
      <c r="E69" s="93">
        <v>663468.16737272998</v>
      </c>
      <c r="F69" s="35"/>
      <c r="G69" s="56" t="s">
        <v>132</v>
      </c>
      <c r="H69" s="39">
        <f t="shared" si="15"/>
        <v>259</v>
      </c>
      <c r="I69" s="77">
        <f t="shared" si="24"/>
        <v>-3.8461538E-3</v>
      </c>
      <c r="J69" s="86">
        <f t="shared" si="21"/>
        <v>795225788.62671161</v>
      </c>
      <c r="K69" s="82" t="s">
        <v>172</v>
      </c>
      <c r="L69" s="39">
        <f t="shared" si="17"/>
        <v>28.7</v>
      </c>
      <c r="M69" s="77">
        <f t="shared" si="18"/>
        <v>3.4965034999999999E-3</v>
      </c>
      <c r="N69" s="86">
        <f t="shared" si="22"/>
        <v>507625977.80221796</v>
      </c>
      <c r="O69" s="82" t="s">
        <v>210</v>
      </c>
      <c r="P69" s="39">
        <f t="shared" si="19"/>
        <v>222</v>
      </c>
      <c r="Q69" s="77">
        <f t="shared" si="20"/>
        <v>0</v>
      </c>
      <c r="R69" s="86">
        <f t="shared" si="23"/>
        <v>44264063.529836781</v>
      </c>
    </row>
    <row r="70" spans="1:18">
      <c r="A70" s="40" t="s">
        <v>145</v>
      </c>
      <c r="B70" s="11" t="s">
        <v>146</v>
      </c>
      <c r="C70" s="95">
        <v>19980</v>
      </c>
      <c r="D70" s="92">
        <v>1.11336032E-2</v>
      </c>
      <c r="E70" s="93">
        <v>5948928.0954608005</v>
      </c>
      <c r="F70" s="35"/>
      <c r="G70" s="56" t="s">
        <v>202</v>
      </c>
      <c r="H70" s="39">
        <f t="shared" si="15"/>
        <v>250</v>
      </c>
      <c r="I70" s="77">
        <f t="shared" si="24"/>
        <v>-3.9840637000000002E-3</v>
      </c>
      <c r="J70" s="90">
        <f t="shared" si="21"/>
        <v>431125251.23179609</v>
      </c>
      <c r="K70" s="83" t="s">
        <v>198</v>
      </c>
      <c r="L70" s="44">
        <f t="shared" si="17"/>
        <v>32.5</v>
      </c>
      <c r="M70" s="78">
        <f t="shared" si="18"/>
        <v>3.0864197999999998E-3</v>
      </c>
      <c r="N70" s="90">
        <f t="shared" si="22"/>
        <v>890018744.15792608</v>
      </c>
      <c r="O70" s="83" t="s">
        <v>174</v>
      </c>
      <c r="P70" s="44">
        <f t="shared" si="19"/>
        <v>306</v>
      </c>
      <c r="Q70" s="78">
        <f t="shared" si="20"/>
        <v>-3.2573290000000002E-3</v>
      </c>
      <c r="R70" s="90">
        <f t="shared" si="23"/>
        <v>65544325.0397067</v>
      </c>
    </row>
    <row r="71" spans="1:18">
      <c r="A71" s="40" t="s">
        <v>279</v>
      </c>
      <c r="B71" s="11" t="s">
        <v>280</v>
      </c>
      <c r="C71" s="95">
        <v>1830</v>
      </c>
      <c r="D71" s="92">
        <v>1.1049723799999999E-2</v>
      </c>
      <c r="E71" s="93">
        <v>32845368.833860949</v>
      </c>
      <c r="F71" s="35"/>
      <c r="G71" s="60" t="s">
        <v>250</v>
      </c>
      <c r="H71" s="45">
        <f t="shared" si="15"/>
        <v>243</v>
      </c>
      <c r="I71" s="80">
        <f t="shared" si="24"/>
        <v>-4.0983607000000003E-3</v>
      </c>
      <c r="J71" s="99">
        <f t="shared" si="21"/>
        <v>42830364.59572763</v>
      </c>
      <c r="K71" s="82" t="s">
        <v>152</v>
      </c>
      <c r="L71" s="39">
        <f t="shared" si="17"/>
        <v>49.9</v>
      </c>
      <c r="M71" s="77">
        <f t="shared" si="18"/>
        <v>0</v>
      </c>
      <c r="N71" s="99">
        <f t="shared" si="22"/>
        <v>931650284.56975043</v>
      </c>
      <c r="O71" s="82" t="s">
        <v>132</v>
      </c>
      <c r="P71" s="39">
        <f t="shared" si="19"/>
        <v>259</v>
      </c>
      <c r="Q71" s="77">
        <f t="shared" si="20"/>
        <v>-3.8461538E-3</v>
      </c>
      <c r="R71" s="99">
        <f t="shared" si="23"/>
        <v>795225788.62671161</v>
      </c>
    </row>
    <row r="72" spans="1:18">
      <c r="A72" s="40" t="s">
        <v>87</v>
      </c>
      <c r="B72" s="11" t="s">
        <v>88</v>
      </c>
      <c r="C72" s="95">
        <v>649</v>
      </c>
      <c r="D72" s="92">
        <v>1.0903426799999999E-2</v>
      </c>
      <c r="E72" s="93">
        <v>118987320.00249431</v>
      </c>
      <c r="F72" s="35"/>
      <c r="G72" s="56" t="s">
        <v>158</v>
      </c>
      <c r="H72" s="39">
        <f t="shared" si="15"/>
        <v>11220</v>
      </c>
      <c r="I72" s="77">
        <f t="shared" si="24"/>
        <v>-4.4365571999999999E-3</v>
      </c>
      <c r="J72" s="86">
        <f t="shared" si="21"/>
        <v>2895370.7136580902</v>
      </c>
      <c r="K72" s="82" t="s">
        <v>218</v>
      </c>
      <c r="L72" s="39">
        <f t="shared" si="17"/>
        <v>32.9</v>
      </c>
      <c r="M72" s="77">
        <f t="shared" si="18"/>
        <v>0</v>
      </c>
      <c r="N72" s="86">
        <f t="shared" si="22"/>
        <v>752791526.61842513</v>
      </c>
      <c r="O72" s="82" t="s">
        <v>202</v>
      </c>
      <c r="P72" s="39">
        <f t="shared" si="19"/>
        <v>250</v>
      </c>
      <c r="Q72" s="77">
        <f t="shared" si="20"/>
        <v>-3.9840637000000002E-3</v>
      </c>
      <c r="R72" s="86">
        <f t="shared" si="23"/>
        <v>431125251.23179609</v>
      </c>
    </row>
    <row r="73" spans="1:18">
      <c r="A73" s="40" t="s">
        <v>123</v>
      </c>
      <c r="B73" s="11" t="s">
        <v>124</v>
      </c>
      <c r="C73" s="95">
        <v>7865</v>
      </c>
      <c r="D73" s="92">
        <v>1.02761721E-2</v>
      </c>
      <c r="E73" s="93">
        <v>2454251.61710065</v>
      </c>
      <c r="F73" s="35"/>
      <c r="G73" s="56" t="s">
        <v>204</v>
      </c>
      <c r="H73" s="39">
        <f t="shared" si="15"/>
        <v>9945</v>
      </c>
      <c r="I73" s="77">
        <f t="shared" si="24"/>
        <v>-6.4935065000000002E-3</v>
      </c>
      <c r="J73" s="86">
        <f t="shared" si="21"/>
        <v>26378007.711792681</v>
      </c>
      <c r="K73" s="82" t="s">
        <v>126</v>
      </c>
      <c r="L73" s="39">
        <f t="shared" si="17"/>
        <v>69</v>
      </c>
      <c r="M73" s="77">
        <f t="shared" si="18"/>
        <v>-2.8901733999999999E-3</v>
      </c>
      <c r="N73" s="86">
        <f t="shared" si="22"/>
        <v>425027112.42370385</v>
      </c>
      <c r="O73" s="82" t="s">
        <v>250</v>
      </c>
      <c r="P73" s="39">
        <f t="shared" si="19"/>
        <v>243</v>
      </c>
      <c r="Q73" s="77">
        <f t="shared" si="20"/>
        <v>-4.0983607000000003E-3</v>
      </c>
      <c r="R73" s="86">
        <f t="shared" si="23"/>
        <v>42830364.59572763</v>
      </c>
    </row>
    <row r="74" spans="1:18">
      <c r="A74" s="40" t="s">
        <v>231</v>
      </c>
      <c r="B74" s="11" t="s">
        <v>232</v>
      </c>
      <c r="C74" s="95">
        <v>198</v>
      </c>
      <c r="D74" s="92">
        <v>1.02040816E-2</v>
      </c>
      <c r="E74" s="93">
        <v>58307497.42966155</v>
      </c>
      <c r="F74" s="35"/>
      <c r="G74" s="56" t="s">
        <v>170</v>
      </c>
      <c r="H74" s="39">
        <f t="shared" si="15"/>
        <v>550</v>
      </c>
      <c r="I74" s="77">
        <f t="shared" si="24"/>
        <v>-7.2202166E-3</v>
      </c>
      <c r="J74" s="86">
        <f t="shared" si="21"/>
        <v>21221680.866927698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170</v>
      </c>
      <c r="P74" s="39">
        <f t="shared" si="19"/>
        <v>550</v>
      </c>
      <c r="Q74" s="77">
        <f t="shared" si="20"/>
        <v>-7.2202166E-3</v>
      </c>
      <c r="R74" s="86">
        <f t="shared" si="23"/>
        <v>21221680.866927698</v>
      </c>
    </row>
    <row r="75" spans="1:18" ht="17.25" thickBot="1">
      <c r="A75" s="40" t="s">
        <v>93</v>
      </c>
      <c r="B75" s="11" t="s">
        <v>94</v>
      </c>
      <c r="C75" s="95">
        <v>114850</v>
      </c>
      <c r="D75" s="92">
        <v>1.0114336E-2</v>
      </c>
      <c r="E75" s="93">
        <v>979073.35135105997</v>
      </c>
      <c r="F75" s="35"/>
      <c r="G75" s="57" t="s">
        <v>208</v>
      </c>
      <c r="H75" s="37">
        <f t="shared" si="15"/>
        <v>550</v>
      </c>
      <c r="I75" s="79">
        <f t="shared" si="24"/>
        <v>-9.0090090000000001E-3</v>
      </c>
      <c r="J75" s="87">
        <f t="shared" si="21"/>
        <v>91159580.431531191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208</v>
      </c>
      <c r="P75" s="37">
        <f t="shared" si="19"/>
        <v>550</v>
      </c>
      <c r="Q75" s="79">
        <f t="shared" si="20"/>
        <v>-9.0090090000000001E-3</v>
      </c>
      <c r="R75" s="87">
        <f t="shared" si="23"/>
        <v>91159580.431531191</v>
      </c>
    </row>
    <row r="76" spans="1:18">
      <c r="A76" s="40" t="s">
        <v>229</v>
      </c>
      <c r="B76" s="11" t="s">
        <v>230</v>
      </c>
      <c r="C76" s="95">
        <v>201</v>
      </c>
      <c r="D76" s="92">
        <v>1.00502513E-2</v>
      </c>
      <c r="E76" s="93">
        <v>105383753.27920452</v>
      </c>
      <c r="F76" s="35"/>
      <c r="G76" s="35"/>
      <c r="H76" s="35"/>
      <c r="I76" s="35"/>
    </row>
    <row r="77" spans="1:18">
      <c r="A77" s="40" t="s">
        <v>165</v>
      </c>
      <c r="B77" s="11" t="s">
        <v>166</v>
      </c>
      <c r="C77" s="95">
        <v>2555</v>
      </c>
      <c r="D77" s="92">
        <v>9.8814229000000007E-3</v>
      </c>
      <c r="E77" s="93">
        <v>6801761.3228197098</v>
      </c>
      <c r="F77" s="35"/>
      <c r="G77" s="35"/>
      <c r="H77" s="35"/>
      <c r="I77" s="35"/>
    </row>
    <row r="78" spans="1:18">
      <c r="A78" s="40" t="s">
        <v>199</v>
      </c>
      <c r="B78" s="11" t="s">
        <v>200</v>
      </c>
      <c r="C78" s="95">
        <v>414</v>
      </c>
      <c r="D78" s="92">
        <v>9.7560975999999994E-3</v>
      </c>
      <c r="E78" s="93">
        <v>33626391.123741783</v>
      </c>
      <c r="F78" s="35"/>
      <c r="G78" s="35"/>
      <c r="H78" s="35"/>
      <c r="I78" s="35"/>
    </row>
    <row r="79" spans="1:18">
      <c r="A79" s="40" t="s">
        <v>235</v>
      </c>
      <c r="B79" s="11" t="s">
        <v>236</v>
      </c>
      <c r="C79" s="95">
        <v>78.400000000000006</v>
      </c>
      <c r="D79" s="92">
        <v>9.0090090000000001E-3</v>
      </c>
      <c r="E79" s="93">
        <v>221642569.17180285</v>
      </c>
      <c r="F79" s="35"/>
      <c r="G79" s="35"/>
      <c r="H79" s="35"/>
      <c r="I79" s="35"/>
    </row>
    <row r="80" spans="1:18">
      <c r="A80" s="40" t="s">
        <v>195</v>
      </c>
      <c r="B80" s="11" t="s">
        <v>196</v>
      </c>
      <c r="C80" s="95">
        <v>22.7</v>
      </c>
      <c r="D80" s="92">
        <v>8.8888888999999992E-3</v>
      </c>
      <c r="E80" s="93">
        <v>727111492.57098389</v>
      </c>
      <c r="F80" s="35"/>
      <c r="G80" s="35"/>
      <c r="H80" s="35"/>
      <c r="I80" s="35"/>
    </row>
    <row r="81" spans="1:9">
      <c r="A81" s="40" t="s">
        <v>205</v>
      </c>
      <c r="B81" s="11" t="s">
        <v>206</v>
      </c>
      <c r="C81" s="95">
        <v>38380</v>
      </c>
      <c r="D81" s="92">
        <v>8.6727989000000005E-3</v>
      </c>
      <c r="E81" s="93">
        <v>709631.62337431998</v>
      </c>
      <c r="F81" s="35"/>
      <c r="G81" s="35"/>
      <c r="H81" s="35"/>
      <c r="I81" s="35"/>
    </row>
    <row r="82" spans="1:9">
      <c r="A82" s="40" t="s">
        <v>251</v>
      </c>
      <c r="B82" s="11" t="s">
        <v>252</v>
      </c>
      <c r="C82" s="95">
        <v>598</v>
      </c>
      <c r="D82" s="92">
        <v>8.4317031999999997E-3</v>
      </c>
      <c r="E82" s="93">
        <v>36925050.549233861</v>
      </c>
      <c r="F82" s="35"/>
      <c r="G82" s="35"/>
      <c r="H82" s="35"/>
      <c r="I82" s="35"/>
    </row>
    <row r="83" spans="1:9">
      <c r="A83" s="40" t="s">
        <v>215</v>
      </c>
      <c r="B83" s="11" t="s">
        <v>216</v>
      </c>
      <c r="C83" s="95">
        <v>493</v>
      </c>
      <c r="D83" s="92">
        <v>8.1799591000000001E-3</v>
      </c>
      <c r="E83" s="93">
        <v>25926173.56897375</v>
      </c>
      <c r="F83" s="35"/>
      <c r="G83" s="35"/>
      <c r="H83" s="35"/>
      <c r="I83" s="35"/>
    </row>
    <row r="84" spans="1:9">
      <c r="A84" s="40" t="s">
        <v>111</v>
      </c>
      <c r="B84" s="11" t="s">
        <v>112</v>
      </c>
      <c r="C84" s="95">
        <v>288</v>
      </c>
      <c r="D84" s="92">
        <v>6.9930069999999999E-3</v>
      </c>
      <c r="E84" s="93">
        <v>100620769.09498429</v>
      </c>
      <c r="F84" s="35"/>
      <c r="G84" s="35"/>
      <c r="H84" s="35"/>
      <c r="I84" s="35"/>
    </row>
    <row r="85" spans="1:9">
      <c r="A85" s="40" t="s">
        <v>50</v>
      </c>
      <c r="B85" s="11" t="s">
        <v>51</v>
      </c>
      <c r="C85" s="95">
        <v>674</v>
      </c>
      <c r="D85" s="92">
        <v>5.9701492999999998E-3</v>
      </c>
      <c r="E85" s="93">
        <v>74938633.945356846</v>
      </c>
      <c r="F85" s="35"/>
      <c r="G85" s="35"/>
      <c r="H85" s="35"/>
      <c r="I85" s="35"/>
    </row>
    <row r="86" spans="1:9">
      <c r="A86" s="40" t="s">
        <v>175</v>
      </c>
      <c r="B86" s="11" t="s">
        <v>176</v>
      </c>
      <c r="C86" s="95">
        <v>2530</v>
      </c>
      <c r="D86" s="92">
        <v>5.9642146999999996E-3</v>
      </c>
      <c r="E86" s="93">
        <v>7339793.77285574</v>
      </c>
      <c r="F86" s="35"/>
      <c r="G86" s="35"/>
      <c r="H86" s="35"/>
      <c r="I86" s="35"/>
    </row>
    <row r="87" spans="1:9">
      <c r="A87" s="40" t="s">
        <v>281</v>
      </c>
      <c r="B87" s="11" t="s">
        <v>282</v>
      </c>
      <c r="C87" s="95">
        <v>182</v>
      </c>
      <c r="D87" s="92">
        <v>5.5248618999999997E-3</v>
      </c>
      <c r="E87" s="93">
        <v>33597891.588786043</v>
      </c>
      <c r="F87" s="35"/>
      <c r="G87" s="35"/>
      <c r="H87" s="35"/>
      <c r="I87" s="35"/>
    </row>
    <row r="88" spans="1:9">
      <c r="A88" s="40" t="s">
        <v>66</v>
      </c>
      <c r="B88" s="11" t="s">
        <v>67</v>
      </c>
      <c r="C88" s="95">
        <v>9970</v>
      </c>
      <c r="D88" s="92">
        <v>5.0403226000000001E-3</v>
      </c>
      <c r="E88" s="93">
        <v>5184209.1124398699</v>
      </c>
      <c r="F88" s="35"/>
      <c r="G88" s="35"/>
      <c r="H88" s="35"/>
      <c r="I88" s="35"/>
    </row>
    <row r="89" spans="1:9">
      <c r="A89" s="40" t="s">
        <v>221</v>
      </c>
      <c r="B89" s="11" t="s">
        <v>222</v>
      </c>
      <c r="C89" s="95">
        <v>20.8</v>
      </c>
      <c r="D89" s="92">
        <v>4.8309179000000004E-3</v>
      </c>
      <c r="E89" s="93">
        <v>731237436.56828988</v>
      </c>
      <c r="F89" s="35"/>
      <c r="G89" s="35"/>
      <c r="H89" s="35"/>
      <c r="I89" s="35"/>
    </row>
    <row r="90" spans="1:9">
      <c r="A90" s="40" t="s">
        <v>227</v>
      </c>
      <c r="B90" s="11" t="s">
        <v>228</v>
      </c>
      <c r="C90" s="95">
        <v>21.2</v>
      </c>
      <c r="D90" s="92">
        <v>4.7393365E-3</v>
      </c>
      <c r="E90" s="93">
        <v>1353209982.0372171</v>
      </c>
      <c r="F90" s="35"/>
      <c r="G90" s="35"/>
      <c r="H90" s="35"/>
      <c r="I90" s="35"/>
    </row>
    <row r="91" spans="1:9">
      <c r="A91" s="40" t="s">
        <v>239</v>
      </c>
      <c r="B91" s="11" t="s">
        <v>240</v>
      </c>
      <c r="C91" s="95">
        <v>213</v>
      </c>
      <c r="D91" s="92">
        <v>4.7169810999999999E-3</v>
      </c>
      <c r="E91" s="93">
        <v>54586752.979698978</v>
      </c>
      <c r="F91" s="35"/>
      <c r="G91" s="35"/>
      <c r="H91" s="35"/>
      <c r="I91" s="35"/>
    </row>
    <row r="92" spans="1:9">
      <c r="A92" s="40" t="s">
        <v>161</v>
      </c>
      <c r="B92" s="11" t="s">
        <v>162</v>
      </c>
      <c r="C92" s="95">
        <v>2215</v>
      </c>
      <c r="D92" s="92">
        <v>4.5351473999999999E-3</v>
      </c>
      <c r="E92" s="93">
        <v>15444919.46174502</v>
      </c>
      <c r="F92" s="35"/>
      <c r="G92" s="35"/>
      <c r="H92" s="35"/>
      <c r="I92" s="35"/>
    </row>
    <row r="93" spans="1:9">
      <c r="A93" s="40" t="s">
        <v>223</v>
      </c>
      <c r="B93" s="11" t="s">
        <v>224</v>
      </c>
      <c r="C93" s="95">
        <v>2285</v>
      </c>
      <c r="D93" s="92">
        <v>4.3956044000000001E-3</v>
      </c>
      <c r="E93" s="93">
        <v>24479198.129681248</v>
      </c>
      <c r="F93" s="35"/>
      <c r="G93" s="35"/>
      <c r="H93" s="35"/>
      <c r="I93" s="35"/>
    </row>
    <row r="94" spans="1:9">
      <c r="A94" s="40" t="s">
        <v>73</v>
      </c>
      <c r="B94" s="11" t="s">
        <v>74</v>
      </c>
      <c r="C94" s="95">
        <v>28020</v>
      </c>
      <c r="D94" s="92">
        <v>4.3010753000000002E-3</v>
      </c>
      <c r="E94" s="93">
        <v>327106.26883781003</v>
      </c>
      <c r="F94" s="35"/>
      <c r="G94" s="35"/>
      <c r="H94" s="35"/>
      <c r="I94" s="35"/>
    </row>
    <row r="95" spans="1:9">
      <c r="A95" s="40" t="s">
        <v>191</v>
      </c>
      <c r="B95" s="11" t="s">
        <v>192</v>
      </c>
      <c r="C95" s="95">
        <v>1220</v>
      </c>
      <c r="D95" s="92">
        <v>4.1152263000000001E-3</v>
      </c>
      <c r="E95" s="93">
        <v>14937139.197316431</v>
      </c>
      <c r="F95" s="35"/>
      <c r="G95" s="35"/>
      <c r="H95" s="35"/>
      <c r="I95" s="35"/>
    </row>
    <row r="96" spans="1:9">
      <c r="A96" s="40" t="s">
        <v>99</v>
      </c>
      <c r="B96" s="11" t="s">
        <v>100</v>
      </c>
      <c r="C96" s="95">
        <v>8.4700000000000006</v>
      </c>
      <c r="D96" s="92">
        <v>3.5545023999999999E-3</v>
      </c>
      <c r="E96" s="93">
        <v>31550528625.510895</v>
      </c>
      <c r="F96" s="35"/>
      <c r="G96" s="35"/>
      <c r="H96" s="35"/>
      <c r="I96" s="35"/>
    </row>
    <row r="97" spans="1:9">
      <c r="A97" s="40" t="s">
        <v>171</v>
      </c>
      <c r="B97" s="11" t="s">
        <v>172</v>
      </c>
      <c r="C97" s="95">
        <v>28.7</v>
      </c>
      <c r="D97" s="92">
        <v>3.4965034999999999E-3</v>
      </c>
      <c r="E97" s="93">
        <v>507625977.80221796</v>
      </c>
      <c r="F97" s="35"/>
      <c r="G97" s="35"/>
      <c r="H97" s="35"/>
      <c r="I97" s="35"/>
    </row>
    <row r="98" spans="1:9">
      <c r="A98" s="40" t="s">
        <v>197</v>
      </c>
      <c r="B98" s="11" t="s">
        <v>198</v>
      </c>
      <c r="C98" s="95">
        <v>32.5</v>
      </c>
      <c r="D98" s="92">
        <v>3.0864197999999998E-3</v>
      </c>
      <c r="E98" s="93">
        <v>890018744.15792608</v>
      </c>
      <c r="F98" s="35"/>
      <c r="G98" s="35"/>
      <c r="H98" s="35"/>
      <c r="I98" s="35"/>
    </row>
    <row r="99" spans="1:9">
      <c r="A99" s="40" t="s">
        <v>53</v>
      </c>
      <c r="B99" s="11" t="s">
        <v>54</v>
      </c>
      <c r="C99" s="95">
        <v>399</v>
      </c>
      <c r="D99" s="92">
        <v>2.5125628000000001E-3</v>
      </c>
      <c r="E99" s="93">
        <v>47759188.460980132</v>
      </c>
      <c r="F99" s="35"/>
      <c r="G99" s="35"/>
      <c r="H99" s="35"/>
      <c r="I99" s="35"/>
    </row>
    <row r="100" spans="1:9">
      <c r="A100" s="40" t="s">
        <v>283</v>
      </c>
      <c r="B100" s="11" t="s">
        <v>284</v>
      </c>
      <c r="C100" s="95">
        <v>481</v>
      </c>
      <c r="D100" s="92">
        <v>2.0833332999999998E-3</v>
      </c>
      <c r="E100" s="93">
        <v>38087243.978440322</v>
      </c>
      <c r="F100" s="35"/>
      <c r="G100" s="35"/>
      <c r="H100" s="35"/>
      <c r="I100" s="35"/>
    </row>
    <row r="101" spans="1:9">
      <c r="A101" s="40" t="s">
        <v>225</v>
      </c>
      <c r="B101" s="11" t="s">
        <v>226</v>
      </c>
      <c r="C101" s="95">
        <v>559</v>
      </c>
      <c r="D101" s="92">
        <v>1.7921147000000001E-3</v>
      </c>
      <c r="E101" s="93">
        <v>15841905.69708401</v>
      </c>
      <c r="F101" s="35"/>
      <c r="G101" s="35"/>
      <c r="H101" s="35"/>
      <c r="I101" s="35"/>
    </row>
    <row r="102" spans="1:9">
      <c r="A102" s="40" t="s">
        <v>109</v>
      </c>
      <c r="B102" s="11" t="s">
        <v>110</v>
      </c>
      <c r="C102" s="95">
        <v>3035</v>
      </c>
      <c r="D102" s="92">
        <v>1.6501650000000001E-3</v>
      </c>
      <c r="E102" s="93">
        <v>3017418.76891312</v>
      </c>
      <c r="F102" s="35"/>
      <c r="G102" s="35"/>
      <c r="H102" s="35"/>
      <c r="I102" s="35"/>
    </row>
    <row r="103" spans="1:9">
      <c r="A103" s="40" t="s">
        <v>151</v>
      </c>
      <c r="B103" s="11" t="s">
        <v>152</v>
      </c>
      <c r="C103" s="95">
        <v>49.9</v>
      </c>
      <c r="D103" s="92">
        <v>0</v>
      </c>
      <c r="E103" s="93">
        <v>931650284.56975043</v>
      </c>
      <c r="F103" s="35"/>
      <c r="G103" s="35"/>
      <c r="H103" s="35"/>
      <c r="I103" s="35"/>
    </row>
    <row r="104" spans="1:9">
      <c r="A104" s="40" t="s">
        <v>211</v>
      </c>
      <c r="B104" s="11" t="s">
        <v>212</v>
      </c>
      <c r="C104" s="95">
        <v>179</v>
      </c>
      <c r="D104" s="92">
        <v>0</v>
      </c>
      <c r="E104" s="93">
        <v>1133269901.4081242</v>
      </c>
      <c r="F104" s="35"/>
      <c r="G104" s="35"/>
      <c r="H104" s="35"/>
      <c r="I104" s="35"/>
    </row>
    <row r="105" spans="1:9">
      <c r="A105" s="40" t="s">
        <v>245</v>
      </c>
      <c r="B105" s="11" t="s">
        <v>246</v>
      </c>
      <c r="C105" s="95">
        <v>444</v>
      </c>
      <c r="D105" s="92">
        <v>0</v>
      </c>
      <c r="E105" s="93">
        <v>30195427.449813511</v>
      </c>
      <c r="F105" s="35"/>
      <c r="G105" s="35"/>
      <c r="H105" s="35"/>
      <c r="I105" s="35"/>
    </row>
    <row r="106" spans="1:9">
      <c r="A106" s="40" t="s">
        <v>259</v>
      </c>
      <c r="B106" s="11" t="s">
        <v>260</v>
      </c>
      <c r="C106" s="95">
        <v>139</v>
      </c>
      <c r="D106" s="92">
        <v>0</v>
      </c>
      <c r="E106" s="93">
        <v>233405570.48585016</v>
      </c>
      <c r="F106" s="35"/>
      <c r="G106" s="35"/>
      <c r="H106" s="35"/>
      <c r="I106" s="35"/>
    </row>
    <row r="107" spans="1:9">
      <c r="A107" s="40" t="s">
        <v>217</v>
      </c>
      <c r="B107" s="11" t="s">
        <v>218</v>
      </c>
      <c r="C107" s="95">
        <v>32.9</v>
      </c>
      <c r="D107" s="92">
        <v>0</v>
      </c>
      <c r="E107" s="93">
        <v>752791526.61842513</v>
      </c>
      <c r="F107" s="35"/>
      <c r="G107" s="35"/>
      <c r="H107" s="35"/>
      <c r="I107" s="35"/>
    </row>
    <row r="108" spans="1:9">
      <c r="A108" s="40" t="s">
        <v>209</v>
      </c>
      <c r="B108" s="11" t="s">
        <v>210</v>
      </c>
      <c r="C108" s="95">
        <v>222</v>
      </c>
      <c r="D108" s="92">
        <v>0</v>
      </c>
      <c r="E108" s="93">
        <v>44264063.529836781</v>
      </c>
      <c r="F108" s="35"/>
      <c r="G108" s="35"/>
      <c r="H108" s="35"/>
      <c r="I108" s="35"/>
    </row>
    <row r="109" spans="1:9">
      <c r="A109" s="40" t="s">
        <v>91</v>
      </c>
      <c r="B109" s="11" t="s">
        <v>92</v>
      </c>
      <c r="C109" s="95">
        <v>1885</v>
      </c>
      <c r="D109" s="92">
        <v>-2.6455025999999999E-3</v>
      </c>
      <c r="E109" s="41">
        <v>417596872.58722699</v>
      </c>
    </row>
    <row r="110" spans="1:9">
      <c r="A110" s="40" t="s">
        <v>125</v>
      </c>
      <c r="B110" s="11" t="s">
        <v>126</v>
      </c>
      <c r="C110" s="95">
        <v>69</v>
      </c>
      <c r="D110" s="92">
        <v>-2.8901733999999999E-3</v>
      </c>
      <c r="E110" s="41">
        <v>425027112.42370385</v>
      </c>
    </row>
    <row r="111" spans="1:9">
      <c r="A111" s="40" t="s">
        <v>173</v>
      </c>
      <c r="B111" s="11" t="s">
        <v>174</v>
      </c>
      <c r="C111" s="95">
        <v>306</v>
      </c>
      <c r="D111" s="92">
        <v>-3.2573290000000002E-3</v>
      </c>
      <c r="E111" s="41">
        <v>65544325.0397067</v>
      </c>
    </row>
    <row r="112" spans="1:9">
      <c r="A112" s="40" t="s">
        <v>131</v>
      </c>
      <c r="B112" s="11" t="s">
        <v>132</v>
      </c>
      <c r="C112" s="95">
        <v>259</v>
      </c>
      <c r="D112" s="92">
        <v>-3.8461538E-3</v>
      </c>
      <c r="E112" s="41">
        <v>795225788.62671161</v>
      </c>
    </row>
    <row r="113" spans="1:5">
      <c r="A113" s="40" t="s">
        <v>201</v>
      </c>
      <c r="B113" s="11" t="s">
        <v>202</v>
      </c>
      <c r="C113" s="95">
        <v>250</v>
      </c>
      <c r="D113" s="92">
        <v>-3.9840637000000002E-3</v>
      </c>
      <c r="E113" s="41">
        <v>431125251.23179609</v>
      </c>
    </row>
    <row r="114" spans="1:5">
      <c r="A114" s="40" t="s">
        <v>249</v>
      </c>
      <c r="B114" s="11" t="s">
        <v>250</v>
      </c>
      <c r="C114" s="95">
        <v>243</v>
      </c>
      <c r="D114" s="92">
        <v>-4.0983607000000003E-3</v>
      </c>
      <c r="E114" s="41">
        <v>42830364.59572763</v>
      </c>
    </row>
    <row r="115" spans="1:5">
      <c r="A115" s="40" t="s">
        <v>157</v>
      </c>
      <c r="B115" s="11" t="s">
        <v>158</v>
      </c>
      <c r="C115" s="95">
        <v>11220</v>
      </c>
      <c r="D115" s="92">
        <v>-4.4365571999999999E-3</v>
      </c>
      <c r="E115" s="41">
        <v>2895370.7136580902</v>
      </c>
    </row>
    <row r="116" spans="1:5">
      <c r="A116" s="40" t="s">
        <v>203</v>
      </c>
      <c r="B116" s="11" t="s">
        <v>204</v>
      </c>
      <c r="C116" s="95">
        <v>9945</v>
      </c>
      <c r="D116" s="92">
        <v>-6.4935065000000002E-3</v>
      </c>
      <c r="E116" s="41">
        <v>26378007.711792681</v>
      </c>
    </row>
    <row r="117" spans="1:5">
      <c r="A117" s="40" t="s">
        <v>169</v>
      </c>
      <c r="B117" s="11" t="s">
        <v>170</v>
      </c>
      <c r="C117" s="95">
        <v>550</v>
      </c>
      <c r="D117" s="92">
        <v>-7.2202166E-3</v>
      </c>
      <c r="E117" s="41">
        <v>21221680.866927698</v>
      </c>
    </row>
    <row r="118" spans="1:5">
      <c r="A118" s="40" t="s">
        <v>207</v>
      </c>
      <c r="B118" s="11" t="s">
        <v>208</v>
      </c>
      <c r="C118" s="95">
        <v>550</v>
      </c>
      <c r="D118" s="92">
        <v>-9.0090090000000001E-3</v>
      </c>
      <c r="E118" s="41">
        <v>91159580.431531191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7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N39"/>
  <sheetViews>
    <sheetView tabSelected="1" workbookViewId="0">
      <selection activeCell="F2" sqref="F2"/>
    </sheetView>
  </sheetViews>
  <sheetFormatPr defaultRowHeight="16.5"/>
  <cols>
    <col min="1" max="1" width="11.875" style="208" bestFit="1" customWidth="1"/>
    <col min="2" max="3" width="16.25" style="208" bestFit="1" customWidth="1"/>
    <col min="4" max="4" width="9" style="208"/>
    <col min="5" max="5" width="13.125" style="208" bestFit="1" customWidth="1"/>
    <col min="6" max="6" width="16.25" style="208" bestFit="1" customWidth="1"/>
    <col min="7" max="7" width="9" style="208"/>
    <col min="8" max="8" width="13.125" style="208" bestFit="1" customWidth="1"/>
    <col min="9" max="9" width="16.25" style="208" bestFit="1" customWidth="1"/>
    <col min="10" max="10" width="9" style="208"/>
    <col min="11" max="11" width="13.125" style="208" bestFit="1" customWidth="1"/>
    <col min="12" max="12" width="16.25" style="208" bestFit="1" customWidth="1"/>
    <col min="13" max="13" width="9" style="208"/>
    <col min="14" max="14" width="13.125" style="208" bestFit="1" customWidth="1"/>
    <col min="15" max="16384" width="9" style="208"/>
  </cols>
  <sheetData>
    <row r="1" spans="1:14">
      <c r="C1" s="208" t="s">
        <v>352</v>
      </c>
      <c r="F1" s="208" t="s">
        <v>353</v>
      </c>
    </row>
    <row r="3" spans="1:14" ht="17.25" thickBot="1"/>
    <row r="4" spans="1:14" ht="17.25" thickBot="1">
      <c r="A4" s="149" t="str">
        <f>TEXT(투자전략!$G$1, "[$-ko-KR]yyyy년 mm월 ") &amp; "월말결산"</f>
        <v>2021년 05월 월말결산</v>
      </c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1"/>
    </row>
    <row r="5" spans="1:14" ht="17.25" thickBot="1">
      <c r="A5" s="149" t="s">
        <v>350</v>
      </c>
      <c r="B5" s="151"/>
      <c r="C5" s="149" t="s">
        <v>342</v>
      </c>
      <c r="D5" s="150"/>
      <c r="E5" s="151"/>
      <c r="F5" s="149" t="s">
        <v>343</v>
      </c>
      <c r="G5" s="150"/>
      <c r="H5" s="151"/>
      <c r="I5" s="149" t="s">
        <v>344</v>
      </c>
      <c r="J5" s="150"/>
      <c r="K5" s="151"/>
      <c r="L5" s="149" t="s">
        <v>345</v>
      </c>
      <c r="M5" s="150"/>
      <c r="N5" s="151"/>
    </row>
    <row r="6" spans="1:14" ht="17.25" thickBot="1">
      <c r="A6" s="126" t="s">
        <v>311</v>
      </c>
      <c r="B6" s="126" t="s">
        <v>42</v>
      </c>
      <c r="C6" s="207" t="s">
        <v>341</v>
      </c>
      <c r="D6" s="223" t="s">
        <v>40</v>
      </c>
      <c r="E6" s="125" t="s">
        <v>41</v>
      </c>
      <c r="F6" s="207" t="s">
        <v>341</v>
      </c>
      <c r="G6" s="223" t="s">
        <v>40</v>
      </c>
      <c r="H6" s="125" t="s">
        <v>41</v>
      </c>
      <c r="I6" s="207" t="s">
        <v>341</v>
      </c>
      <c r="J6" s="223" t="s">
        <v>40</v>
      </c>
      <c r="K6" s="125" t="s">
        <v>41</v>
      </c>
      <c r="L6" s="207" t="s">
        <v>341</v>
      </c>
      <c r="M6" s="223" t="s">
        <v>40</v>
      </c>
      <c r="N6" s="125" t="s">
        <v>41</v>
      </c>
    </row>
    <row r="7" spans="1:14">
      <c r="A7" s="126" t="s">
        <v>312</v>
      </c>
      <c r="B7" s="224">
        <f ca="1">IFERROR(COUNTA(INDIRECT($A7&amp;"!A17:A36")) * INDIRECT($A7&amp;"!B37"), "")</f>
        <v>1500000</v>
      </c>
      <c r="C7" s="232">
        <f ca="1">IFERROR($B7 * (1 + D7), "")</f>
        <v>1537148.5592487582</v>
      </c>
      <c r="D7" s="76">
        <f ca="1">IFERROR(INDIRECT($A7&amp;"!E37"), "")</f>
        <v>2.4765706165838879E-2</v>
      </c>
      <c r="E7" s="231">
        <f ca="1">IFERROR(INDIRECT($A7&amp;"!F37"), "")</f>
        <v>37148.55924875832</v>
      </c>
      <c r="F7" s="232">
        <f ca="1">IFERROR($B7 * (1 + G7), "")</f>
        <v>1524358.7407947064</v>
      </c>
      <c r="G7" s="76">
        <f ca="1">IFERROR(INDIRECT($A7&amp;"!H37"), "")</f>
        <v>1.6239160529804193E-2</v>
      </c>
      <c r="H7" s="231">
        <f ca="1">IFERROR(INDIRECT($A7&amp;"!I37"), "")</f>
        <v>24358.740794706289</v>
      </c>
      <c r="I7" s="232">
        <f ca="1">IFERROR($B7 * (1 + J7), "")</f>
        <v>1541059.6578824846</v>
      </c>
      <c r="J7" s="76">
        <f ca="1">IFERROR(INDIRECT($A7&amp;"!K37"), "")</f>
        <v>2.7373105254989795E-2</v>
      </c>
      <c r="K7" s="231">
        <f ca="1">IFERROR(INDIRECT($A7&amp;"!L37"), "")</f>
        <v>41059.657882484695</v>
      </c>
      <c r="L7" s="232">
        <f ca="1">IFERROR($B7 * (1 + M7), "")</f>
        <v>1525524.8993430813</v>
      </c>
      <c r="M7" s="76">
        <f ca="1">IFERROR(INDIRECT($A7&amp;"!N37"), "")</f>
        <v>1.7016599562054108E-2</v>
      </c>
      <c r="N7" s="231">
        <f ca="1">IFERROR(INDIRECT($A7&amp;"!O37"), "")</f>
        <v>25524.899343081161</v>
      </c>
    </row>
    <row r="8" spans="1:14">
      <c r="A8" s="123" t="s">
        <v>313</v>
      </c>
      <c r="B8" s="225">
        <f t="shared" ref="B8:B37" ca="1" si="0">IFERROR(COUNTA(INDIRECT($A8&amp;"!A17:A36")) * INDIRECT($A8&amp;"!B37"), "")</f>
        <v>1500000</v>
      </c>
      <c r="C8" s="229">
        <f t="shared" ref="C8:C37" ca="1" si="1">IFERROR($B8 * (1 + D8), "")</f>
        <v>1477868.831183566</v>
      </c>
      <c r="D8" s="77">
        <f t="shared" ref="D8:D37" ca="1" si="2">IFERROR(INDIRECT($A8&amp;"!E37"), "")</f>
        <v>-1.4754112544289216E-2</v>
      </c>
      <c r="E8" s="227">
        <f t="shared" ref="E8:E37" ca="1" si="3">IFERROR(INDIRECT($A8&amp;"!F37"), "")</f>
        <v>-22131.168816433827</v>
      </c>
      <c r="F8" s="229">
        <f t="shared" ref="F8:F37" ca="1" si="4">IFERROR($B8 * (1 + G8), "")</f>
        <v>1481878.8005359648</v>
      </c>
      <c r="G8" s="77">
        <f t="shared" ref="G8:G37" ca="1" si="5">IFERROR(INDIRECT($A8&amp;"!H37"), "")</f>
        <v>-1.2080799642690102E-2</v>
      </c>
      <c r="H8" s="227">
        <f t="shared" ref="H8:H37" ca="1" si="6">IFERROR(INDIRECT($A8&amp;"!I37"), "")</f>
        <v>-18121.199464035148</v>
      </c>
      <c r="I8" s="229">
        <f t="shared" ref="I8:I37" ca="1" si="7">IFERROR($B8 * (1 + J8), "")</f>
        <v>1490013.0381251995</v>
      </c>
      <c r="J8" s="77">
        <f t="shared" ref="J8:J37" ca="1" si="8">IFERROR(INDIRECT($A8&amp;"!K37"), "")</f>
        <v>-6.6579745832004086E-3</v>
      </c>
      <c r="K8" s="227">
        <f t="shared" ref="K8:K37" ca="1" si="9">IFERROR(INDIRECT($A8&amp;"!L37"), "")</f>
        <v>-9986.9618748006123</v>
      </c>
      <c r="L8" s="229">
        <f t="shared" ref="L8:L37" ca="1" si="10">IFERROR($B8 * (1 + M8), "")</f>
        <v>1505154.0441810088</v>
      </c>
      <c r="M8" s="77">
        <f t="shared" ref="M8:M37" ca="1" si="11">IFERROR(INDIRECT($A8&amp;"!N37"), "")</f>
        <v>3.4360294540058622E-3</v>
      </c>
      <c r="N8" s="227">
        <f t="shared" ref="N8:N37" ca="1" si="12">IFERROR(INDIRECT($A8&amp;"!O37"), "")</f>
        <v>5154.0441810087932</v>
      </c>
    </row>
    <row r="9" spans="1:14">
      <c r="A9" s="123" t="s">
        <v>303</v>
      </c>
      <c r="B9" s="225">
        <f t="shared" ca="1" si="0"/>
        <v>1500000</v>
      </c>
      <c r="C9" s="229">
        <f t="shared" ca="1" si="1"/>
        <v>1523347.3977118272</v>
      </c>
      <c r="D9" s="77">
        <f t="shared" ca="1" si="2"/>
        <v>1.5564931807884787E-2</v>
      </c>
      <c r="E9" s="227">
        <f t="shared" ca="1" si="3"/>
        <v>23347.397711827187</v>
      </c>
      <c r="F9" s="229">
        <f t="shared" ca="1" si="4"/>
        <v>1560142.7557216759</v>
      </c>
      <c r="G9" s="77">
        <f t="shared" ca="1" si="5"/>
        <v>4.0095170481117118E-2</v>
      </c>
      <c r="H9" s="227">
        <f t="shared" ca="1" si="6"/>
        <v>60142.755721675669</v>
      </c>
      <c r="I9" s="229">
        <f t="shared" ca="1" si="7"/>
        <v>1568682.2171573569</v>
      </c>
      <c r="J9" s="77">
        <f t="shared" ca="1" si="8"/>
        <v>4.5788144771571407E-2</v>
      </c>
      <c r="K9" s="227">
        <f t="shared" ca="1" si="9"/>
        <v>68682.217157357096</v>
      </c>
      <c r="L9" s="229">
        <f t="shared" ca="1" si="10"/>
        <v>1559667.7728955552</v>
      </c>
      <c r="M9" s="77">
        <f t="shared" ca="1" si="11"/>
        <v>3.9778515263703573E-2</v>
      </c>
      <c r="N9" s="227">
        <f t="shared" ca="1" si="12"/>
        <v>59667.772895555361</v>
      </c>
    </row>
    <row r="10" spans="1:14">
      <c r="A10" s="123" t="s">
        <v>304</v>
      </c>
      <c r="B10" s="225">
        <f t="shared" ca="1" si="0"/>
        <v>1500000</v>
      </c>
      <c r="C10" s="229">
        <f t="shared" ca="1" si="1"/>
        <v>1500000</v>
      </c>
      <c r="D10" s="77">
        <f t="shared" ca="1" si="2"/>
        <v>0</v>
      </c>
      <c r="E10" s="227">
        <f t="shared" ca="1" si="3"/>
        <v>0</v>
      </c>
      <c r="F10" s="229">
        <f t="shared" ca="1" si="4"/>
        <v>1500000</v>
      </c>
      <c r="G10" s="77">
        <f t="shared" ca="1" si="5"/>
        <v>0</v>
      </c>
      <c r="H10" s="227">
        <f t="shared" ca="1" si="6"/>
        <v>0</v>
      </c>
      <c r="I10" s="229">
        <f t="shared" ca="1" si="7"/>
        <v>1500000</v>
      </c>
      <c r="J10" s="77">
        <f t="shared" ca="1" si="8"/>
        <v>0</v>
      </c>
      <c r="K10" s="227">
        <f t="shared" ca="1" si="9"/>
        <v>0</v>
      </c>
      <c r="L10" s="229">
        <f t="shared" ca="1" si="10"/>
        <v>1500000</v>
      </c>
      <c r="M10" s="77">
        <f t="shared" ca="1" si="11"/>
        <v>0</v>
      </c>
      <c r="N10" s="227">
        <f t="shared" ca="1" si="12"/>
        <v>0</v>
      </c>
    </row>
    <row r="11" spans="1:14">
      <c r="A11" s="123" t="s">
        <v>314</v>
      </c>
      <c r="B11" s="225" t="str">
        <f t="shared" ca="1" si="0"/>
        <v/>
      </c>
      <c r="C11" s="229" t="str">
        <f t="shared" ca="1" si="1"/>
        <v/>
      </c>
      <c r="D11" s="77" t="str">
        <f t="shared" ca="1" si="2"/>
        <v/>
      </c>
      <c r="E11" s="227" t="str">
        <f t="shared" ca="1" si="3"/>
        <v/>
      </c>
      <c r="F11" s="229" t="str">
        <f t="shared" ca="1" si="4"/>
        <v/>
      </c>
      <c r="G11" s="77" t="str">
        <f t="shared" ca="1" si="5"/>
        <v/>
      </c>
      <c r="H11" s="227" t="str">
        <f t="shared" ca="1" si="6"/>
        <v/>
      </c>
      <c r="I11" s="229" t="str">
        <f t="shared" ca="1" si="7"/>
        <v/>
      </c>
      <c r="J11" s="77" t="str">
        <f t="shared" ca="1" si="8"/>
        <v/>
      </c>
      <c r="K11" s="227" t="str">
        <f t="shared" ca="1" si="9"/>
        <v/>
      </c>
      <c r="L11" s="229" t="str">
        <f t="shared" ca="1" si="10"/>
        <v/>
      </c>
      <c r="M11" s="77" t="str">
        <f t="shared" ca="1" si="11"/>
        <v/>
      </c>
      <c r="N11" s="227" t="str">
        <f t="shared" ca="1" si="12"/>
        <v/>
      </c>
    </row>
    <row r="12" spans="1:14">
      <c r="A12" s="123" t="s">
        <v>315</v>
      </c>
      <c r="B12" s="225" t="str">
        <f t="shared" ca="1" si="0"/>
        <v/>
      </c>
      <c r="C12" s="229" t="str">
        <f t="shared" ca="1" si="1"/>
        <v/>
      </c>
      <c r="D12" s="77" t="str">
        <f t="shared" ca="1" si="2"/>
        <v/>
      </c>
      <c r="E12" s="227" t="str">
        <f t="shared" ca="1" si="3"/>
        <v/>
      </c>
      <c r="F12" s="229" t="str">
        <f t="shared" ca="1" si="4"/>
        <v/>
      </c>
      <c r="G12" s="77" t="str">
        <f t="shared" ca="1" si="5"/>
        <v/>
      </c>
      <c r="H12" s="227" t="str">
        <f t="shared" ca="1" si="6"/>
        <v/>
      </c>
      <c r="I12" s="229" t="str">
        <f t="shared" ca="1" si="7"/>
        <v/>
      </c>
      <c r="J12" s="77" t="str">
        <f t="shared" ca="1" si="8"/>
        <v/>
      </c>
      <c r="K12" s="227" t="str">
        <f t="shared" ca="1" si="9"/>
        <v/>
      </c>
      <c r="L12" s="229" t="str">
        <f t="shared" ca="1" si="10"/>
        <v/>
      </c>
      <c r="M12" s="77" t="str">
        <f t="shared" ca="1" si="11"/>
        <v/>
      </c>
      <c r="N12" s="227" t="str">
        <f t="shared" ca="1" si="12"/>
        <v/>
      </c>
    </row>
    <row r="13" spans="1:14" ht="17.25" thickBot="1">
      <c r="A13" s="124" t="s">
        <v>316</v>
      </c>
      <c r="B13" s="226" t="str">
        <f t="shared" ca="1" si="0"/>
        <v/>
      </c>
      <c r="C13" s="230" t="str">
        <f t="shared" ca="1" si="1"/>
        <v/>
      </c>
      <c r="D13" s="79" t="str">
        <f t="shared" ca="1" si="2"/>
        <v/>
      </c>
      <c r="E13" s="228" t="str">
        <f t="shared" ca="1" si="3"/>
        <v/>
      </c>
      <c r="F13" s="230" t="str">
        <f t="shared" ca="1" si="4"/>
        <v/>
      </c>
      <c r="G13" s="79" t="str">
        <f t="shared" ca="1" si="5"/>
        <v/>
      </c>
      <c r="H13" s="228" t="str">
        <f t="shared" ca="1" si="6"/>
        <v/>
      </c>
      <c r="I13" s="230" t="str">
        <f t="shared" ca="1" si="7"/>
        <v/>
      </c>
      <c r="J13" s="79" t="str">
        <f t="shared" ca="1" si="8"/>
        <v/>
      </c>
      <c r="K13" s="228" t="str">
        <f t="shared" ca="1" si="9"/>
        <v/>
      </c>
      <c r="L13" s="230" t="str">
        <f t="shared" ca="1" si="10"/>
        <v/>
      </c>
      <c r="M13" s="79" t="str">
        <f t="shared" ca="1" si="11"/>
        <v/>
      </c>
      <c r="N13" s="228" t="str">
        <f t="shared" ca="1" si="12"/>
        <v/>
      </c>
    </row>
    <row r="14" spans="1:14">
      <c r="A14" s="126" t="s">
        <v>317</v>
      </c>
      <c r="B14" s="224" t="str">
        <f t="shared" ca="1" si="0"/>
        <v/>
      </c>
      <c r="C14" s="232" t="str">
        <f t="shared" ca="1" si="1"/>
        <v/>
      </c>
      <c r="D14" s="76" t="str">
        <f t="shared" ca="1" si="2"/>
        <v/>
      </c>
      <c r="E14" s="231" t="str">
        <f t="shared" ca="1" si="3"/>
        <v/>
      </c>
      <c r="F14" s="232" t="str">
        <f t="shared" ca="1" si="4"/>
        <v/>
      </c>
      <c r="G14" s="76" t="str">
        <f t="shared" ca="1" si="5"/>
        <v/>
      </c>
      <c r="H14" s="231" t="str">
        <f t="shared" ca="1" si="6"/>
        <v/>
      </c>
      <c r="I14" s="232" t="str">
        <f t="shared" ca="1" si="7"/>
        <v/>
      </c>
      <c r="J14" s="76" t="str">
        <f t="shared" ca="1" si="8"/>
        <v/>
      </c>
      <c r="K14" s="231" t="str">
        <f t="shared" ca="1" si="9"/>
        <v/>
      </c>
      <c r="L14" s="232" t="str">
        <f t="shared" ca="1" si="10"/>
        <v/>
      </c>
      <c r="M14" s="76" t="str">
        <f t="shared" ca="1" si="11"/>
        <v/>
      </c>
      <c r="N14" s="231" t="str">
        <f t="shared" ca="1" si="12"/>
        <v/>
      </c>
    </row>
    <row r="15" spans="1:14">
      <c r="A15" s="123" t="s">
        <v>318</v>
      </c>
      <c r="B15" s="225" t="str">
        <f t="shared" ca="1" si="0"/>
        <v/>
      </c>
      <c r="C15" s="229" t="str">
        <f t="shared" ca="1" si="1"/>
        <v/>
      </c>
      <c r="D15" s="77" t="str">
        <f t="shared" ca="1" si="2"/>
        <v/>
      </c>
      <c r="E15" s="227" t="str">
        <f t="shared" ca="1" si="3"/>
        <v/>
      </c>
      <c r="F15" s="229" t="str">
        <f t="shared" ca="1" si="4"/>
        <v/>
      </c>
      <c r="G15" s="77" t="str">
        <f t="shared" ca="1" si="5"/>
        <v/>
      </c>
      <c r="H15" s="227" t="str">
        <f t="shared" ca="1" si="6"/>
        <v/>
      </c>
      <c r="I15" s="229" t="str">
        <f t="shared" ca="1" si="7"/>
        <v/>
      </c>
      <c r="J15" s="77" t="str">
        <f t="shared" ca="1" si="8"/>
        <v/>
      </c>
      <c r="K15" s="227" t="str">
        <f t="shared" ca="1" si="9"/>
        <v/>
      </c>
      <c r="L15" s="229" t="str">
        <f t="shared" ca="1" si="10"/>
        <v/>
      </c>
      <c r="M15" s="77" t="str">
        <f t="shared" ca="1" si="11"/>
        <v/>
      </c>
      <c r="N15" s="227" t="str">
        <f t="shared" ca="1" si="12"/>
        <v/>
      </c>
    </row>
    <row r="16" spans="1:14">
      <c r="A16" s="123" t="s">
        <v>319</v>
      </c>
      <c r="B16" s="225" t="str">
        <f t="shared" ca="1" si="0"/>
        <v/>
      </c>
      <c r="C16" s="229" t="str">
        <f t="shared" ca="1" si="1"/>
        <v/>
      </c>
      <c r="D16" s="77" t="str">
        <f t="shared" ca="1" si="2"/>
        <v/>
      </c>
      <c r="E16" s="227" t="str">
        <f t="shared" ca="1" si="3"/>
        <v/>
      </c>
      <c r="F16" s="229" t="str">
        <f t="shared" ca="1" si="4"/>
        <v/>
      </c>
      <c r="G16" s="77" t="str">
        <f t="shared" ca="1" si="5"/>
        <v/>
      </c>
      <c r="H16" s="227" t="str">
        <f t="shared" ca="1" si="6"/>
        <v/>
      </c>
      <c r="I16" s="229" t="str">
        <f t="shared" ca="1" si="7"/>
        <v/>
      </c>
      <c r="J16" s="77" t="str">
        <f t="shared" ca="1" si="8"/>
        <v/>
      </c>
      <c r="K16" s="227" t="str">
        <f t="shared" ca="1" si="9"/>
        <v/>
      </c>
      <c r="L16" s="229" t="str">
        <f t="shared" ca="1" si="10"/>
        <v/>
      </c>
      <c r="M16" s="77" t="str">
        <f t="shared" ca="1" si="11"/>
        <v/>
      </c>
      <c r="N16" s="227" t="str">
        <f t="shared" ca="1" si="12"/>
        <v/>
      </c>
    </row>
    <row r="17" spans="1:14">
      <c r="A17" s="123" t="s">
        <v>320</v>
      </c>
      <c r="B17" s="225" t="str">
        <f t="shared" ca="1" si="0"/>
        <v/>
      </c>
      <c r="C17" s="229" t="str">
        <f t="shared" ca="1" si="1"/>
        <v/>
      </c>
      <c r="D17" s="77" t="str">
        <f t="shared" ca="1" si="2"/>
        <v/>
      </c>
      <c r="E17" s="227" t="str">
        <f t="shared" ca="1" si="3"/>
        <v/>
      </c>
      <c r="F17" s="229" t="str">
        <f t="shared" ca="1" si="4"/>
        <v/>
      </c>
      <c r="G17" s="77" t="str">
        <f t="shared" ca="1" si="5"/>
        <v/>
      </c>
      <c r="H17" s="227" t="str">
        <f t="shared" ca="1" si="6"/>
        <v/>
      </c>
      <c r="I17" s="229" t="str">
        <f t="shared" ca="1" si="7"/>
        <v/>
      </c>
      <c r="J17" s="77" t="str">
        <f t="shared" ca="1" si="8"/>
        <v/>
      </c>
      <c r="K17" s="227" t="str">
        <f t="shared" ca="1" si="9"/>
        <v/>
      </c>
      <c r="L17" s="229" t="str">
        <f t="shared" ca="1" si="10"/>
        <v/>
      </c>
      <c r="M17" s="77" t="str">
        <f t="shared" ca="1" si="11"/>
        <v/>
      </c>
      <c r="N17" s="227" t="str">
        <f t="shared" ca="1" si="12"/>
        <v/>
      </c>
    </row>
    <row r="18" spans="1:14">
      <c r="A18" s="123" t="s">
        <v>321</v>
      </c>
      <c r="B18" s="225" t="str">
        <f t="shared" ca="1" si="0"/>
        <v/>
      </c>
      <c r="C18" s="229" t="str">
        <f t="shared" ca="1" si="1"/>
        <v/>
      </c>
      <c r="D18" s="77" t="str">
        <f t="shared" ca="1" si="2"/>
        <v/>
      </c>
      <c r="E18" s="227" t="str">
        <f t="shared" ca="1" si="3"/>
        <v/>
      </c>
      <c r="F18" s="229" t="str">
        <f t="shared" ca="1" si="4"/>
        <v/>
      </c>
      <c r="G18" s="77" t="str">
        <f t="shared" ca="1" si="5"/>
        <v/>
      </c>
      <c r="H18" s="227" t="str">
        <f t="shared" ca="1" si="6"/>
        <v/>
      </c>
      <c r="I18" s="229" t="str">
        <f t="shared" ca="1" si="7"/>
        <v/>
      </c>
      <c r="J18" s="77" t="str">
        <f t="shared" ca="1" si="8"/>
        <v/>
      </c>
      <c r="K18" s="227" t="str">
        <f t="shared" ca="1" si="9"/>
        <v/>
      </c>
      <c r="L18" s="229" t="str">
        <f t="shared" ca="1" si="10"/>
        <v/>
      </c>
      <c r="M18" s="77" t="str">
        <f t="shared" ca="1" si="11"/>
        <v/>
      </c>
      <c r="N18" s="227" t="str">
        <f t="shared" ca="1" si="12"/>
        <v/>
      </c>
    </row>
    <row r="19" spans="1:14">
      <c r="A19" s="123" t="s">
        <v>322</v>
      </c>
      <c r="B19" s="225" t="str">
        <f t="shared" ca="1" si="0"/>
        <v/>
      </c>
      <c r="C19" s="229" t="str">
        <f t="shared" ca="1" si="1"/>
        <v/>
      </c>
      <c r="D19" s="77" t="str">
        <f t="shared" ca="1" si="2"/>
        <v/>
      </c>
      <c r="E19" s="227" t="str">
        <f t="shared" ca="1" si="3"/>
        <v/>
      </c>
      <c r="F19" s="229" t="str">
        <f t="shared" ca="1" si="4"/>
        <v/>
      </c>
      <c r="G19" s="77" t="str">
        <f t="shared" ca="1" si="5"/>
        <v/>
      </c>
      <c r="H19" s="227" t="str">
        <f t="shared" ca="1" si="6"/>
        <v/>
      </c>
      <c r="I19" s="229" t="str">
        <f t="shared" ca="1" si="7"/>
        <v/>
      </c>
      <c r="J19" s="77" t="str">
        <f t="shared" ca="1" si="8"/>
        <v/>
      </c>
      <c r="K19" s="227" t="str">
        <f t="shared" ca="1" si="9"/>
        <v/>
      </c>
      <c r="L19" s="229" t="str">
        <f t="shared" ca="1" si="10"/>
        <v/>
      </c>
      <c r="M19" s="77" t="str">
        <f t="shared" ca="1" si="11"/>
        <v/>
      </c>
      <c r="N19" s="227" t="str">
        <f t="shared" ca="1" si="12"/>
        <v/>
      </c>
    </row>
    <row r="20" spans="1:14" ht="17.25" thickBot="1">
      <c r="A20" s="124" t="s">
        <v>323</v>
      </c>
      <c r="B20" s="226" t="str">
        <f t="shared" ca="1" si="0"/>
        <v/>
      </c>
      <c r="C20" s="230" t="str">
        <f t="shared" ca="1" si="1"/>
        <v/>
      </c>
      <c r="D20" s="79" t="str">
        <f t="shared" ca="1" si="2"/>
        <v/>
      </c>
      <c r="E20" s="228" t="str">
        <f t="shared" ca="1" si="3"/>
        <v/>
      </c>
      <c r="F20" s="230" t="str">
        <f t="shared" ca="1" si="4"/>
        <v/>
      </c>
      <c r="G20" s="79" t="str">
        <f t="shared" ca="1" si="5"/>
        <v/>
      </c>
      <c r="H20" s="228" t="str">
        <f t="shared" ca="1" si="6"/>
        <v/>
      </c>
      <c r="I20" s="230" t="str">
        <f t="shared" ca="1" si="7"/>
        <v/>
      </c>
      <c r="J20" s="79" t="str">
        <f t="shared" ca="1" si="8"/>
        <v/>
      </c>
      <c r="K20" s="228" t="str">
        <f t="shared" ca="1" si="9"/>
        <v/>
      </c>
      <c r="L20" s="230" t="str">
        <f t="shared" ca="1" si="10"/>
        <v/>
      </c>
      <c r="M20" s="79" t="str">
        <f t="shared" ca="1" si="11"/>
        <v/>
      </c>
      <c r="N20" s="228" t="str">
        <f t="shared" ca="1" si="12"/>
        <v/>
      </c>
    </row>
    <row r="21" spans="1:14">
      <c r="A21" s="126" t="s">
        <v>324</v>
      </c>
      <c r="B21" s="224" t="str">
        <f t="shared" ca="1" si="0"/>
        <v/>
      </c>
      <c r="C21" s="232" t="str">
        <f t="shared" ca="1" si="1"/>
        <v/>
      </c>
      <c r="D21" s="76" t="str">
        <f t="shared" ca="1" si="2"/>
        <v/>
      </c>
      <c r="E21" s="231" t="str">
        <f t="shared" ca="1" si="3"/>
        <v/>
      </c>
      <c r="F21" s="232" t="str">
        <f t="shared" ca="1" si="4"/>
        <v/>
      </c>
      <c r="G21" s="76" t="str">
        <f t="shared" ca="1" si="5"/>
        <v/>
      </c>
      <c r="H21" s="231" t="str">
        <f t="shared" ca="1" si="6"/>
        <v/>
      </c>
      <c r="I21" s="232" t="str">
        <f t="shared" ca="1" si="7"/>
        <v/>
      </c>
      <c r="J21" s="76" t="str">
        <f t="shared" ca="1" si="8"/>
        <v/>
      </c>
      <c r="K21" s="231" t="str">
        <f t="shared" ca="1" si="9"/>
        <v/>
      </c>
      <c r="L21" s="232" t="str">
        <f t="shared" ca="1" si="10"/>
        <v/>
      </c>
      <c r="M21" s="76" t="str">
        <f t="shared" ca="1" si="11"/>
        <v/>
      </c>
      <c r="N21" s="231" t="str">
        <f t="shared" ca="1" si="12"/>
        <v/>
      </c>
    </row>
    <row r="22" spans="1:14">
      <c r="A22" s="123" t="s">
        <v>325</v>
      </c>
      <c r="B22" s="225" t="str">
        <f t="shared" ca="1" si="0"/>
        <v/>
      </c>
      <c r="C22" s="229" t="str">
        <f t="shared" ca="1" si="1"/>
        <v/>
      </c>
      <c r="D22" s="77" t="str">
        <f t="shared" ca="1" si="2"/>
        <v/>
      </c>
      <c r="E22" s="227" t="str">
        <f t="shared" ca="1" si="3"/>
        <v/>
      </c>
      <c r="F22" s="229" t="str">
        <f t="shared" ca="1" si="4"/>
        <v/>
      </c>
      <c r="G22" s="77" t="str">
        <f t="shared" ca="1" si="5"/>
        <v/>
      </c>
      <c r="H22" s="227" t="str">
        <f t="shared" ca="1" si="6"/>
        <v/>
      </c>
      <c r="I22" s="229" t="str">
        <f t="shared" ca="1" si="7"/>
        <v/>
      </c>
      <c r="J22" s="77" t="str">
        <f t="shared" ca="1" si="8"/>
        <v/>
      </c>
      <c r="K22" s="227" t="str">
        <f t="shared" ca="1" si="9"/>
        <v/>
      </c>
      <c r="L22" s="229" t="str">
        <f t="shared" ca="1" si="10"/>
        <v/>
      </c>
      <c r="M22" s="77" t="str">
        <f t="shared" ca="1" si="11"/>
        <v/>
      </c>
      <c r="N22" s="227" t="str">
        <f t="shared" ca="1" si="12"/>
        <v/>
      </c>
    </row>
    <row r="23" spans="1:14">
      <c r="A23" s="123" t="s">
        <v>326</v>
      </c>
      <c r="B23" s="225" t="str">
        <f t="shared" ca="1" si="0"/>
        <v/>
      </c>
      <c r="C23" s="229" t="str">
        <f t="shared" ca="1" si="1"/>
        <v/>
      </c>
      <c r="D23" s="77" t="str">
        <f t="shared" ca="1" si="2"/>
        <v/>
      </c>
      <c r="E23" s="227" t="str">
        <f t="shared" ca="1" si="3"/>
        <v/>
      </c>
      <c r="F23" s="229" t="str">
        <f t="shared" ca="1" si="4"/>
        <v/>
      </c>
      <c r="G23" s="77" t="str">
        <f t="shared" ca="1" si="5"/>
        <v/>
      </c>
      <c r="H23" s="227" t="str">
        <f t="shared" ca="1" si="6"/>
        <v/>
      </c>
      <c r="I23" s="229" t="str">
        <f t="shared" ca="1" si="7"/>
        <v/>
      </c>
      <c r="J23" s="77" t="str">
        <f t="shared" ca="1" si="8"/>
        <v/>
      </c>
      <c r="K23" s="227" t="str">
        <f t="shared" ca="1" si="9"/>
        <v/>
      </c>
      <c r="L23" s="229" t="str">
        <f t="shared" ca="1" si="10"/>
        <v/>
      </c>
      <c r="M23" s="77" t="str">
        <f t="shared" ca="1" si="11"/>
        <v/>
      </c>
      <c r="N23" s="227" t="str">
        <f t="shared" ca="1" si="12"/>
        <v/>
      </c>
    </row>
    <row r="24" spans="1:14">
      <c r="A24" s="123" t="s">
        <v>327</v>
      </c>
      <c r="B24" s="225" t="str">
        <f t="shared" ca="1" si="0"/>
        <v/>
      </c>
      <c r="C24" s="229" t="str">
        <f t="shared" ca="1" si="1"/>
        <v/>
      </c>
      <c r="D24" s="77" t="str">
        <f t="shared" ca="1" si="2"/>
        <v/>
      </c>
      <c r="E24" s="227" t="str">
        <f t="shared" ca="1" si="3"/>
        <v/>
      </c>
      <c r="F24" s="229" t="str">
        <f t="shared" ca="1" si="4"/>
        <v/>
      </c>
      <c r="G24" s="77" t="str">
        <f t="shared" ca="1" si="5"/>
        <v/>
      </c>
      <c r="H24" s="227" t="str">
        <f t="shared" ca="1" si="6"/>
        <v/>
      </c>
      <c r="I24" s="229" t="str">
        <f t="shared" ca="1" si="7"/>
        <v/>
      </c>
      <c r="J24" s="77" t="str">
        <f t="shared" ca="1" si="8"/>
        <v/>
      </c>
      <c r="K24" s="227" t="str">
        <f t="shared" ca="1" si="9"/>
        <v/>
      </c>
      <c r="L24" s="229" t="str">
        <f t="shared" ca="1" si="10"/>
        <v/>
      </c>
      <c r="M24" s="77" t="str">
        <f t="shared" ca="1" si="11"/>
        <v/>
      </c>
      <c r="N24" s="227" t="str">
        <f t="shared" ca="1" si="12"/>
        <v/>
      </c>
    </row>
    <row r="25" spans="1:14">
      <c r="A25" s="123" t="s">
        <v>328</v>
      </c>
      <c r="B25" s="225" t="str">
        <f t="shared" ca="1" si="0"/>
        <v/>
      </c>
      <c r="C25" s="229" t="str">
        <f t="shared" ca="1" si="1"/>
        <v/>
      </c>
      <c r="D25" s="77" t="str">
        <f t="shared" ca="1" si="2"/>
        <v/>
      </c>
      <c r="E25" s="227" t="str">
        <f t="shared" ca="1" si="3"/>
        <v/>
      </c>
      <c r="F25" s="229" t="str">
        <f t="shared" ca="1" si="4"/>
        <v/>
      </c>
      <c r="G25" s="77" t="str">
        <f t="shared" ca="1" si="5"/>
        <v/>
      </c>
      <c r="H25" s="227" t="str">
        <f t="shared" ca="1" si="6"/>
        <v/>
      </c>
      <c r="I25" s="229" t="str">
        <f t="shared" ca="1" si="7"/>
        <v/>
      </c>
      <c r="J25" s="77" t="str">
        <f t="shared" ca="1" si="8"/>
        <v/>
      </c>
      <c r="K25" s="227" t="str">
        <f t="shared" ca="1" si="9"/>
        <v/>
      </c>
      <c r="L25" s="229" t="str">
        <f t="shared" ca="1" si="10"/>
        <v/>
      </c>
      <c r="M25" s="77" t="str">
        <f t="shared" ca="1" si="11"/>
        <v/>
      </c>
      <c r="N25" s="227" t="str">
        <f t="shared" ca="1" si="12"/>
        <v/>
      </c>
    </row>
    <row r="26" spans="1:14">
      <c r="A26" s="123" t="s">
        <v>329</v>
      </c>
      <c r="B26" s="225" t="str">
        <f t="shared" ca="1" si="0"/>
        <v/>
      </c>
      <c r="C26" s="229" t="str">
        <f t="shared" ca="1" si="1"/>
        <v/>
      </c>
      <c r="D26" s="77" t="str">
        <f t="shared" ca="1" si="2"/>
        <v/>
      </c>
      <c r="E26" s="227" t="str">
        <f t="shared" ca="1" si="3"/>
        <v/>
      </c>
      <c r="F26" s="229" t="str">
        <f t="shared" ca="1" si="4"/>
        <v/>
      </c>
      <c r="G26" s="77" t="str">
        <f t="shared" ca="1" si="5"/>
        <v/>
      </c>
      <c r="H26" s="227" t="str">
        <f t="shared" ca="1" si="6"/>
        <v/>
      </c>
      <c r="I26" s="229" t="str">
        <f t="shared" ca="1" si="7"/>
        <v/>
      </c>
      <c r="J26" s="77" t="str">
        <f t="shared" ca="1" si="8"/>
        <v/>
      </c>
      <c r="K26" s="227" t="str">
        <f t="shared" ca="1" si="9"/>
        <v/>
      </c>
      <c r="L26" s="229" t="str">
        <f t="shared" ca="1" si="10"/>
        <v/>
      </c>
      <c r="M26" s="77" t="str">
        <f t="shared" ca="1" si="11"/>
        <v/>
      </c>
      <c r="N26" s="227" t="str">
        <f t="shared" ca="1" si="12"/>
        <v/>
      </c>
    </row>
    <row r="27" spans="1:14" ht="17.25" thickBot="1">
      <c r="A27" s="124" t="s">
        <v>330</v>
      </c>
      <c r="B27" s="226" t="str">
        <f t="shared" ca="1" si="0"/>
        <v/>
      </c>
      <c r="C27" s="230" t="str">
        <f t="shared" ca="1" si="1"/>
        <v/>
      </c>
      <c r="D27" s="79" t="str">
        <f t="shared" ca="1" si="2"/>
        <v/>
      </c>
      <c r="E27" s="228" t="str">
        <f t="shared" ca="1" si="3"/>
        <v/>
      </c>
      <c r="F27" s="230" t="str">
        <f t="shared" ca="1" si="4"/>
        <v/>
      </c>
      <c r="G27" s="79" t="str">
        <f t="shared" ca="1" si="5"/>
        <v/>
      </c>
      <c r="H27" s="228" t="str">
        <f t="shared" ca="1" si="6"/>
        <v/>
      </c>
      <c r="I27" s="230" t="str">
        <f t="shared" ca="1" si="7"/>
        <v/>
      </c>
      <c r="J27" s="79" t="str">
        <f t="shared" ca="1" si="8"/>
        <v/>
      </c>
      <c r="K27" s="228" t="str">
        <f t="shared" ca="1" si="9"/>
        <v/>
      </c>
      <c r="L27" s="230" t="str">
        <f t="shared" ca="1" si="10"/>
        <v/>
      </c>
      <c r="M27" s="79" t="str">
        <f t="shared" ca="1" si="11"/>
        <v/>
      </c>
      <c r="N27" s="228" t="str">
        <f t="shared" ca="1" si="12"/>
        <v/>
      </c>
    </row>
    <row r="28" spans="1:14">
      <c r="A28" s="126" t="s">
        <v>331</v>
      </c>
      <c r="B28" s="224" t="str">
        <f t="shared" ca="1" si="0"/>
        <v/>
      </c>
      <c r="C28" s="232" t="str">
        <f t="shared" ca="1" si="1"/>
        <v/>
      </c>
      <c r="D28" s="76" t="str">
        <f t="shared" ca="1" si="2"/>
        <v/>
      </c>
      <c r="E28" s="231" t="str">
        <f t="shared" ca="1" si="3"/>
        <v/>
      </c>
      <c r="F28" s="232" t="str">
        <f t="shared" ca="1" si="4"/>
        <v/>
      </c>
      <c r="G28" s="76" t="str">
        <f t="shared" ca="1" si="5"/>
        <v/>
      </c>
      <c r="H28" s="231" t="str">
        <f t="shared" ca="1" si="6"/>
        <v/>
      </c>
      <c r="I28" s="232" t="str">
        <f t="shared" ca="1" si="7"/>
        <v/>
      </c>
      <c r="J28" s="76" t="str">
        <f t="shared" ca="1" si="8"/>
        <v/>
      </c>
      <c r="K28" s="231" t="str">
        <f t="shared" ca="1" si="9"/>
        <v/>
      </c>
      <c r="L28" s="232" t="str">
        <f t="shared" ca="1" si="10"/>
        <v/>
      </c>
      <c r="M28" s="76" t="str">
        <f t="shared" ca="1" si="11"/>
        <v/>
      </c>
      <c r="N28" s="231" t="str">
        <f t="shared" ca="1" si="12"/>
        <v/>
      </c>
    </row>
    <row r="29" spans="1:14">
      <c r="A29" s="123" t="s">
        <v>332</v>
      </c>
      <c r="B29" s="225" t="str">
        <f t="shared" ca="1" si="0"/>
        <v/>
      </c>
      <c r="C29" s="229" t="str">
        <f t="shared" ca="1" si="1"/>
        <v/>
      </c>
      <c r="D29" s="77" t="str">
        <f t="shared" ca="1" si="2"/>
        <v/>
      </c>
      <c r="E29" s="227" t="str">
        <f t="shared" ca="1" si="3"/>
        <v/>
      </c>
      <c r="F29" s="229" t="str">
        <f t="shared" ca="1" si="4"/>
        <v/>
      </c>
      <c r="G29" s="77" t="str">
        <f t="shared" ca="1" si="5"/>
        <v/>
      </c>
      <c r="H29" s="227" t="str">
        <f t="shared" ca="1" si="6"/>
        <v/>
      </c>
      <c r="I29" s="229" t="str">
        <f t="shared" ca="1" si="7"/>
        <v/>
      </c>
      <c r="J29" s="77" t="str">
        <f t="shared" ca="1" si="8"/>
        <v/>
      </c>
      <c r="K29" s="227" t="str">
        <f t="shared" ca="1" si="9"/>
        <v/>
      </c>
      <c r="L29" s="229" t="str">
        <f t="shared" ca="1" si="10"/>
        <v/>
      </c>
      <c r="M29" s="77" t="str">
        <f t="shared" ca="1" si="11"/>
        <v/>
      </c>
      <c r="N29" s="227" t="str">
        <f t="shared" ca="1" si="12"/>
        <v/>
      </c>
    </row>
    <row r="30" spans="1:14">
      <c r="A30" s="123" t="s">
        <v>333</v>
      </c>
      <c r="B30" s="225" t="str">
        <f t="shared" ca="1" si="0"/>
        <v/>
      </c>
      <c r="C30" s="229" t="str">
        <f t="shared" ca="1" si="1"/>
        <v/>
      </c>
      <c r="D30" s="77" t="str">
        <f t="shared" ca="1" si="2"/>
        <v/>
      </c>
      <c r="E30" s="227" t="str">
        <f t="shared" ca="1" si="3"/>
        <v/>
      </c>
      <c r="F30" s="229" t="str">
        <f t="shared" ca="1" si="4"/>
        <v/>
      </c>
      <c r="G30" s="77" t="str">
        <f t="shared" ca="1" si="5"/>
        <v/>
      </c>
      <c r="H30" s="227" t="str">
        <f t="shared" ca="1" si="6"/>
        <v/>
      </c>
      <c r="I30" s="229" t="str">
        <f t="shared" ca="1" si="7"/>
        <v/>
      </c>
      <c r="J30" s="77" t="str">
        <f t="shared" ca="1" si="8"/>
        <v/>
      </c>
      <c r="K30" s="227" t="str">
        <f t="shared" ca="1" si="9"/>
        <v/>
      </c>
      <c r="L30" s="229" t="str">
        <f t="shared" ca="1" si="10"/>
        <v/>
      </c>
      <c r="M30" s="77" t="str">
        <f t="shared" ca="1" si="11"/>
        <v/>
      </c>
      <c r="N30" s="227" t="str">
        <f t="shared" ca="1" si="12"/>
        <v/>
      </c>
    </row>
    <row r="31" spans="1:14">
      <c r="A31" s="123" t="s">
        <v>334</v>
      </c>
      <c r="B31" s="225" t="str">
        <f t="shared" ca="1" si="0"/>
        <v/>
      </c>
      <c r="C31" s="229" t="str">
        <f t="shared" ca="1" si="1"/>
        <v/>
      </c>
      <c r="D31" s="77" t="str">
        <f t="shared" ca="1" si="2"/>
        <v/>
      </c>
      <c r="E31" s="227" t="str">
        <f t="shared" ca="1" si="3"/>
        <v/>
      </c>
      <c r="F31" s="229" t="str">
        <f t="shared" ca="1" si="4"/>
        <v/>
      </c>
      <c r="G31" s="77" t="str">
        <f t="shared" ca="1" si="5"/>
        <v/>
      </c>
      <c r="H31" s="227" t="str">
        <f t="shared" ca="1" si="6"/>
        <v/>
      </c>
      <c r="I31" s="229" t="str">
        <f t="shared" ca="1" si="7"/>
        <v/>
      </c>
      <c r="J31" s="77" t="str">
        <f t="shared" ca="1" si="8"/>
        <v/>
      </c>
      <c r="K31" s="227" t="str">
        <f t="shared" ca="1" si="9"/>
        <v/>
      </c>
      <c r="L31" s="229" t="str">
        <f t="shared" ca="1" si="10"/>
        <v/>
      </c>
      <c r="M31" s="77" t="str">
        <f t="shared" ca="1" si="11"/>
        <v/>
      </c>
      <c r="N31" s="227" t="str">
        <f t="shared" ca="1" si="12"/>
        <v/>
      </c>
    </row>
    <row r="32" spans="1:14">
      <c r="A32" s="123" t="s">
        <v>335</v>
      </c>
      <c r="B32" s="225" t="str">
        <f t="shared" ca="1" si="0"/>
        <v/>
      </c>
      <c r="C32" s="229" t="str">
        <f t="shared" ca="1" si="1"/>
        <v/>
      </c>
      <c r="D32" s="77" t="str">
        <f t="shared" ca="1" si="2"/>
        <v/>
      </c>
      <c r="E32" s="227" t="str">
        <f t="shared" ca="1" si="3"/>
        <v/>
      </c>
      <c r="F32" s="229" t="str">
        <f t="shared" ca="1" si="4"/>
        <v/>
      </c>
      <c r="G32" s="77" t="str">
        <f t="shared" ca="1" si="5"/>
        <v/>
      </c>
      <c r="H32" s="227" t="str">
        <f t="shared" ca="1" si="6"/>
        <v/>
      </c>
      <c r="I32" s="229" t="str">
        <f t="shared" ca="1" si="7"/>
        <v/>
      </c>
      <c r="J32" s="77" t="str">
        <f t="shared" ca="1" si="8"/>
        <v/>
      </c>
      <c r="K32" s="227" t="str">
        <f t="shared" ca="1" si="9"/>
        <v/>
      </c>
      <c r="L32" s="229" t="str">
        <f t="shared" ca="1" si="10"/>
        <v/>
      </c>
      <c r="M32" s="77" t="str">
        <f t="shared" ca="1" si="11"/>
        <v/>
      </c>
      <c r="N32" s="227" t="str">
        <f t="shared" ca="1" si="12"/>
        <v/>
      </c>
    </row>
    <row r="33" spans="1:14">
      <c r="A33" s="123" t="s">
        <v>336</v>
      </c>
      <c r="B33" s="225" t="str">
        <f t="shared" ca="1" si="0"/>
        <v/>
      </c>
      <c r="C33" s="229" t="str">
        <f t="shared" ca="1" si="1"/>
        <v/>
      </c>
      <c r="D33" s="77" t="str">
        <f t="shared" ca="1" si="2"/>
        <v/>
      </c>
      <c r="E33" s="227" t="str">
        <f t="shared" ca="1" si="3"/>
        <v/>
      </c>
      <c r="F33" s="229" t="str">
        <f t="shared" ca="1" si="4"/>
        <v/>
      </c>
      <c r="G33" s="77" t="str">
        <f t="shared" ca="1" si="5"/>
        <v/>
      </c>
      <c r="H33" s="227" t="str">
        <f t="shared" ca="1" si="6"/>
        <v/>
      </c>
      <c r="I33" s="229" t="str">
        <f t="shared" ca="1" si="7"/>
        <v/>
      </c>
      <c r="J33" s="77" t="str">
        <f t="shared" ca="1" si="8"/>
        <v/>
      </c>
      <c r="K33" s="227" t="str">
        <f t="shared" ca="1" si="9"/>
        <v/>
      </c>
      <c r="L33" s="229" t="str">
        <f t="shared" ca="1" si="10"/>
        <v/>
      </c>
      <c r="M33" s="77" t="str">
        <f t="shared" ca="1" si="11"/>
        <v/>
      </c>
      <c r="N33" s="227" t="str">
        <f t="shared" ca="1" si="12"/>
        <v/>
      </c>
    </row>
    <row r="34" spans="1:14" ht="17.25" thickBot="1">
      <c r="A34" s="124" t="s">
        <v>337</v>
      </c>
      <c r="B34" s="226" t="str">
        <f t="shared" ca="1" si="0"/>
        <v/>
      </c>
      <c r="C34" s="230" t="str">
        <f t="shared" ca="1" si="1"/>
        <v/>
      </c>
      <c r="D34" s="79" t="str">
        <f t="shared" ca="1" si="2"/>
        <v/>
      </c>
      <c r="E34" s="228" t="str">
        <f t="shared" ca="1" si="3"/>
        <v/>
      </c>
      <c r="F34" s="230" t="str">
        <f t="shared" ca="1" si="4"/>
        <v/>
      </c>
      <c r="G34" s="79" t="str">
        <f t="shared" ca="1" si="5"/>
        <v/>
      </c>
      <c r="H34" s="228" t="str">
        <f t="shared" ca="1" si="6"/>
        <v/>
      </c>
      <c r="I34" s="230" t="str">
        <f t="shared" ca="1" si="7"/>
        <v/>
      </c>
      <c r="J34" s="79" t="str">
        <f t="shared" ca="1" si="8"/>
        <v/>
      </c>
      <c r="K34" s="228" t="str">
        <f t="shared" ca="1" si="9"/>
        <v/>
      </c>
      <c r="L34" s="230" t="str">
        <f t="shared" ca="1" si="10"/>
        <v/>
      </c>
      <c r="M34" s="79" t="str">
        <f t="shared" ca="1" si="11"/>
        <v/>
      </c>
      <c r="N34" s="228" t="str">
        <f t="shared" ca="1" si="12"/>
        <v/>
      </c>
    </row>
    <row r="35" spans="1:14">
      <c r="A35" s="123" t="s">
        <v>338</v>
      </c>
      <c r="B35" s="225" t="str">
        <f t="shared" ca="1" si="0"/>
        <v/>
      </c>
      <c r="C35" s="229" t="str">
        <f t="shared" ca="1" si="1"/>
        <v/>
      </c>
      <c r="D35" s="77" t="str">
        <f t="shared" ca="1" si="2"/>
        <v/>
      </c>
      <c r="E35" s="227" t="str">
        <f t="shared" ca="1" si="3"/>
        <v/>
      </c>
      <c r="F35" s="229" t="str">
        <f t="shared" ca="1" si="4"/>
        <v/>
      </c>
      <c r="G35" s="77" t="str">
        <f t="shared" ca="1" si="5"/>
        <v/>
      </c>
      <c r="H35" s="227" t="str">
        <f t="shared" ca="1" si="6"/>
        <v/>
      </c>
      <c r="I35" s="229" t="str">
        <f t="shared" ca="1" si="7"/>
        <v/>
      </c>
      <c r="J35" s="77" t="str">
        <f t="shared" ca="1" si="8"/>
        <v/>
      </c>
      <c r="K35" s="227" t="str">
        <f t="shared" ca="1" si="9"/>
        <v/>
      </c>
      <c r="L35" s="229" t="str">
        <f t="shared" ca="1" si="10"/>
        <v/>
      </c>
      <c r="M35" s="77" t="str">
        <f t="shared" ca="1" si="11"/>
        <v/>
      </c>
      <c r="N35" s="227" t="str">
        <f t="shared" ca="1" si="12"/>
        <v/>
      </c>
    </row>
    <row r="36" spans="1:14">
      <c r="A36" s="123" t="s">
        <v>339</v>
      </c>
      <c r="B36" s="225" t="str">
        <f t="shared" ca="1" si="0"/>
        <v/>
      </c>
      <c r="C36" s="229" t="str">
        <f t="shared" ca="1" si="1"/>
        <v/>
      </c>
      <c r="D36" s="77" t="str">
        <f t="shared" ca="1" si="2"/>
        <v/>
      </c>
      <c r="E36" s="227" t="str">
        <f t="shared" ca="1" si="3"/>
        <v/>
      </c>
      <c r="F36" s="229" t="str">
        <f t="shared" ca="1" si="4"/>
        <v/>
      </c>
      <c r="G36" s="77" t="str">
        <f t="shared" ca="1" si="5"/>
        <v/>
      </c>
      <c r="H36" s="227" t="str">
        <f t="shared" ca="1" si="6"/>
        <v/>
      </c>
      <c r="I36" s="229" t="str">
        <f t="shared" ca="1" si="7"/>
        <v/>
      </c>
      <c r="J36" s="77" t="str">
        <f t="shared" ca="1" si="8"/>
        <v/>
      </c>
      <c r="K36" s="227" t="str">
        <f t="shared" ca="1" si="9"/>
        <v/>
      </c>
      <c r="L36" s="229" t="str">
        <f t="shared" ca="1" si="10"/>
        <v/>
      </c>
      <c r="M36" s="77" t="str">
        <f t="shared" ca="1" si="11"/>
        <v/>
      </c>
      <c r="N36" s="227" t="str">
        <f t="shared" ca="1" si="12"/>
        <v/>
      </c>
    </row>
    <row r="37" spans="1:14" ht="17.25" thickBot="1">
      <c r="A37" s="123" t="s">
        <v>340</v>
      </c>
      <c r="B37" s="225" t="str">
        <f t="shared" ca="1" si="0"/>
        <v/>
      </c>
      <c r="C37" s="229" t="str">
        <f t="shared" ca="1" si="1"/>
        <v/>
      </c>
      <c r="D37" s="77" t="str">
        <f t="shared" ca="1" si="2"/>
        <v/>
      </c>
      <c r="E37" s="227" t="str">
        <f t="shared" ca="1" si="3"/>
        <v/>
      </c>
      <c r="F37" s="229" t="str">
        <f t="shared" ca="1" si="4"/>
        <v/>
      </c>
      <c r="G37" s="77" t="str">
        <f t="shared" ca="1" si="5"/>
        <v/>
      </c>
      <c r="H37" s="227" t="str">
        <f t="shared" ca="1" si="6"/>
        <v/>
      </c>
      <c r="I37" s="229" t="str">
        <f t="shared" ca="1" si="7"/>
        <v/>
      </c>
      <c r="J37" s="77" t="str">
        <f t="shared" ca="1" si="8"/>
        <v/>
      </c>
      <c r="K37" s="227" t="str">
        <f t="shared" ca="1" si="9"/>
        <v/>
      </c>
      <c r="L37" s="229" t="str">
        <f t="shared" ca="1" si="10"/>
        <v/>
      </c>
      <c r="M37" s="77" t="str">
        <f t="shared" ca="1" si="11"/>
        <v/>
      </c>
      <c r="N37" s="227" t="str">
        <f t="shared" ca="1" si="12"/>
        <v/>
      </c>
    </row>
    <row r="38" spans="1:14">
      <c r="A38" s="198" t="s">
        <v>351</v>
      </c>
      <c r="B38" s="126" t="s">
        <v>346</v>
      </c>
      <c r="C38" s="117" t="s">
        <v>347</v>
      </c>
      <c r="D38" s="118" t="s">
        <v>348</v>
      </c>
      <c r="E38" s="119" t="s">
        <v>349</v>
      </c>
      <c r="F38" s="117" t="s">
        <v>347</v>
      </c>
      <c r="G38" s="118" t="s">
        <v>348</v>
      </c>
      <c r="H38" s="119" t="s">
        <v>349</v>
      </c>
      <c r="I38" s="117" t="s">
        <v>347</v>
      </c>
      <c r="J38" s="118" t="s">
        <v>348</v>
      </c>
      <c r="K38" s="119" t="s">
        <v>349</v>
      </c>
      <c r="L38" s="117" t="s">
        <v>347</v>
      </c>
      <c r="M38" s="118" t="s">
        <v>348</v>
      </c>
      <c r="N38" s="119" t="s">
        <v>349</v>
      </c>
    </row>
    <row r="39" spans="1:14" ht="17.25" thickBot="1">
      <c r="A39" s="193"/>
      <c r="B39" s="226">
        <f ca="1">SUM(B7:B37)</f>
        <v>6000000</v>
      </c>
      <c r="C39" s="230">
        <f ca="1">SUM(C7:C37)</f>
        <v>6038364.7881441517</v>
      </c>
      <c r="D39" s="79">
        <f ca="1">IFERROR(E39 / (SUM($B7:$B37) / COUNT($B7:$B37)), 0)</f>
        <v>2.5576525429434453E-2</v>
      </c>
      <c r="E39" s="228">
        <f ca="1">SUM(E7:E37)</f>
        <v>38364.78814415168</v>
      </c>
      <c r="F39" s="230">
        <f ca="1">SUM(F7:F37)</f>
        <v>6066380.2970523471</v>
      </c>
      <c r="G39" s="79">
        <f ca="1">IFERROR(H39 / (SUM($B7:$B37) / COUNT($B7:$B37)), 0)</f>
        <v>4.4253531368231208E-2</v>
      </c>
      <c r="H39" s="228">
        <f ca="1">SUM(H7:H37)</f>
        <v>66380.29705234681</v>
      </c>
      <c r="I39" s="230">
        <f ca="1">SUM(I7:I37)</f>
        <v>6099754.9131650403</v>
      </c>
      <c r="J39" s="79">
        <f ca="1">IFERROR(K39 / (SUM($B7:$B37) / COUNT($B7:$B37)), 0)</f>
        <v>6.6503275443360793E-2</v>
      </c>
      <c r="K39" s="228">
        <f ca="1">SUM(K7:K37)</f>
        <v>99754.913165041187</v>
      </c>
      <c r="L39" s="230">
        <f ca="1">SUM(L7:L37)</f>
        <v>6090346.7164196456</v>
      </c>
      <c r="M39" s="79">
        <f ca="1">IFERROR(N39 / (SUM($B7:$B37) / COUNT($B7:$B37)), 0)</f>
        <v>6.0231144279763546E-2</v>
      </c>
      <c r="N39" s="228">
        <f ca="1">SUM(N7:N37)</f>
        <v>90346.716419645323</v>
      </c>
    </row>
  </sheetData>
  <mergeCells count="7">
    <mergeCell ref="A38:A39"/>
    <mergeCell ref="C5:E5"/>
    <mergeCell ref="F5:H5"/>
    <mergeCell ref="I5:K5"/>
    <mergeCell ref="L5:N5"/>
    <mergeCell ref="A5:B5"/>
    <mergeCell ref="A4:N4"/>
  </mergeCells>
  <phoneticPr fontId="1" type="noConversion"/>
  <conditionalFormatting sqref="C6:E6">
    <cfRule type="expression" dxfId="774" priority="52">
      <formula>$D$10 &gt; 0</formula>
    </cfRule>
    <cfRule type="expression" dxfId="773" priority="53">
      <formula>$D$10 = 0</formula>
    </cfRule>
    <cfRule type="expression" dxfId="772" priority="54">
      <formula>$D$10 &lt; 0</formula>
    </cfRule>
  </conditionalFormatting>
  <conditionalFormatting sqref="F6:H6">
    <cfRule type="expression" dxfId="771" priority="49">
      <formula>$G$10 &gt; 0</formula>
    </cfRule>
    <cfRule type="expression" dxfId="770" priority="50">
      <formula>$G$10 = 0</formula>
    </cfRule>
    <cfRule type="expression" dxfId="769" priority="51">
      <formula>$G$10 &lt; 0</formula>
    </cfRule>
  </conditionalFormatting>
  <conditionalFormatting sqref="I6:K6">
    <cfRule type="expression" dxfId="768" priority="46">
      <formula>$J$10 &gt; 0</formula>
    </cfRule>
    <cfRule type="expression" dxfId="767" priority="47">
      <formula>$J$10 = 0</formula>
    </cfRule>
    <cfRule type="expression" dxfId="766" priority="48">
      <formula>$J$10 &lt; 0</formula>
    </cfRule>
  </conditionalFormatting>
  <conditionalFormatting sqref="L6:N6">
    <cfRule type="expression" dxfId="765" priority="43">
      <formula>$M$10 &gt; 0</formula>
    </cfRule>
    <cfRule type="expression" dxfId="764" priority="44">
      <formula>$M$10 = 0</formula>
    </cfRule>
    <cfRule type="expression" dxfId="763" priority="45">
      <formula>$M$10 &lt; 0</formula>
    </cfRule>
  </conditionalFormatting>
  <conditionalFormatting sqref="C5:E5">
    <cfRule type="expression" dxfId="762" priority="40">
      <formula>$D$10 &gt; 0</formula>
    </cfRule>
    <cfRule type="expression" dxfId="761" priority="41">
      <formula>$D$10 = 0</formula>
    </cfRule>
    <cfRule type="expression" dxfId="760" priority="42">
      <formula>$D$10 &lt; 0</formula>
    </cfRule>
  </conditionalFormatting>
  <conditionalFormatting sqref="F5:H5">
    <cfRule type="expression" dxfId="759" priority="28">
      <formula>$D$10 &gt; 0</formula>
    </cfRule>
    <cfRule type="expression" dxfId="758" priority="29">
      <formula>$D$10 = 0</formula>
    </cfRule>
    <cfRule type="expression" dxfId="757" priority="30">
      <formula>$D$10 &lt; 0</formula>
    </cfRule>
  </conditionalFormatting>
  <conditionalFormatting sqref="I5:K5">
    <cfRule type="expression" dxfId="756" priority="25">
      <formula>$D$10 &gt; 0</formula>
    </cfRule>
    <cfRule type="expression" dxfId="755" priority="26">
      <formula>$D$10 = 0</formula>
    </cfRule>
    <cfRule type="expression" dxfId="754" priority="27">
      <formula>$D$10 &lt; 0</formula>
    </cfRule>
  </conditionalFormatting>
  <conditionalFormatting sqref="L5:N5">
    <cfRule type="expression" dxfId="753" priority="22">
      <formula>$D$10 &gt; 0</formula>
    </cfRule>
    <cfRule type="expression" dxfId="752" priority="23">
      <formula>$D$10 = 0</formula>
    </cfRule>
    <cfRule type="expression" dxfId="751" priority="24">
      <formula>$D$10 &lt; 0</formula>
    </cfRule>
  </conditionalFormatting>
  <conditionalFormatting sqref="D39">
    <cfRule type="expression" dxfId="29" priority="16">
      <formula>$D$10 &gt; 0</formula>
    </cfRule>
    <cfRule type="expression" dxfId="28" priority="17">
      <formula>$D$10 = 0</formula>
    </cfRule>
    <cfRule type="expression" dxfId="27" priority="18">
      <formula>$D$10 &lt; 0</formula>
    </cfRule>
  </conditionalFormatting>
  <conditionalFormatting sqref="G39">
    <cfRule type="expression" dxfId="8" priority="7">
      <formula>$D$10 &gt; 0</formula>
    </cfRule>
    <cfRule type="expression" dxfId="7" priority="8">
      <formula>$D$10 = 0</formula>
    </cfRule>
    <cfRule type="expression" dxfId="6" priority="9">
      <formula>$D$10 &lt; 0</formula>
    </cfRule>
  </conditionalFormatting>
  <conditionalFormatting sqref="J39">
    <cfRule type="expression" dxfId="5" priority="4">
      <formula>$D$10 &gt; 0</formula>
    </cfRule>
    <cfRule type="expression" dxfId="4" priority="5">
      <formula>$D$10 = 0</formula>
    </cfRule>
    <cfRule type="expression" dxfId="3" priority="6">
      <formula>$D$10 &lt; 0</formula>
    </cfRule>
  </conditionalFormatting>
  <conditionalFormatting sqref="M39">
    <cfRule type="expression" dxfId="2" priority="1">
      <formula>$D$10 &gt; 0</formula>
    </cfRule>
    <cfRule type="expression" dxfId="1" priority="2">
      <formula>$D$10 = 0</formula>
    </cfRule>
    <cfRule type="expression" dxfId="0" priority="3">
      <formula>$D$10 &lt; 0</formula>
    </cfRule>
  </conditionalFormatting>
  <pageMargins left="0.7" right="0.7" top="0.75" bottom="0.75" header="0.3" footer="0.3"/>
  <ignoredErrors>
    <ignoredError sqref="D39:N39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22" zoomScaleNormal="100" workbookViewId="0">
      <selection activeCell="D42" sqref="D42:F4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49" t="s">
        <v>0</v>
      </c>
      <c r="B1" s="150"/>
      <c r="C1" s="150"/>
      <c r="D1" s="150"/>
      <c r="E1" s="150"/>
      <c r="F1" s="151"/>
      <c r="G1" s="180">
        <v>44317</v>
      </c>
      <c r="H1" s="181"/>
      <c r="I1" s="182"/>
      <c r="J1" s="149" t="s">
        <v>1</v>
      </c>
      <c r="K1" s="150"/>
      <c r="L1" s="150"/>
      <c r="M1" s="150"/>
      <c r="N1" s="150"/>
      <c r="O1" s="151"/>
      <c r="Q1" s="149" t="s">
        <v>2</v>
      </c>
      <c r="R1" s="151"/>
    </row>
    <row r="2" spans="1:19" ht="17.25" customHeight="1">
      <c r="A2" s="1" t="s">
        <v>3</v>
      </c>
      <c r="B2" s="183" t="s">
        <v>4</v>
      </c>
      <c r="C2" s="184"/>
      <c r="D2" s="184"/>
      <c r="E2" s="184"/>
      <c r="F2" s="185"/>
      <c r="G2" s="177" t="s">
        <v>46</v>
      </c>
      <c r="H2" s="178"/>
      <c r="I2" s="179"/>
      <c r="J2" s="1" t="s">
        <v>3</v>
      </c>
      <c r="K2" s="183" t="s">
        <v>5</v>
      </c>
      <c r="L2" s="184"/>
      <c r="M2" s="184"/>
      <c r="N2" s="184"/>
      <c r="O2" s="185"/>
      <c r="Q2" s="2" t="s">
        <v>6</v>
      </c>
      <c r="R2" s="3">
        <v>0.375</v>
      </c>
    </row>
    <row r="3" spans="1:19" ht="17.25" customHeight="1" thickBot="1">
      <c r="A3" s="4" t="s">
        <v>7</v>
      </c>
      <c r="B3" s="174" t="s">
        <v>8</v>
      </c>
      <c r="C3" s="175"/>
      <c r="D3" s="175"/>
      <c r="E3" s="175"/>
      <c r="F3" s="176"/>
      <c r="G3" s="1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171"/>
      <c r="I3" s="172"/>
      <c r="J3" s="4" t="s">
        <v>7</v>
      </c>
      <c r="K3" s="174" t="s">
        <v>9</v>
      </c>
      <c r="L3" s="175"/>
      <c r="M3" s="175"/>
      <c r="N3" s="175"/>
      <c r="O3" s="17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74" t="s">
        <v>12</v>
      </c>
      <c r="C4" s="175"/>
      <c r="D4" s="175"/>
      <c r="E4" s="175"/>
      <c r="F4" s="176"/>
      <c r="G4" s="177" t="s">
        <v>44</v>
      </c>
      <c r="H4" s="178"/>
      <c r="I4" s="179"/>
      <c r="J4" s="4" t="s">
        <v>11</v>
      </c>
      <c r="K4" s="174" t="s">
        <v>13</v>
      </c>
      <c r="L4" s="175"/>
      <c r="M4" s="175"/>
      <c r="N4" s="175"/>
      <c r="O4" s="176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74" t="s">
        <v>16</v>
      </c>
      <c r="C5" s="175"/>
      <c r="D5" s="175"/>
      <c r="E5" s="175"/>
      <c r="F5" s="176"/>
      <c r="G5" s="1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171"/>
      <c r="I5" s="172"/>
      <c r="J5" s="4" t="s">
        <v>15</v>
      </c>
      <c r="K5" s="174" t="s">
        <v>17</v>
      </c>
      <c r="L5" s="175"/>
      <c r="M5" s="175"/>
      <c r="N5" s="175"/>
      <c r="O5" s="176"/>
    </row>
    <row r="6" spans="1:19">
      <c r="A6" s="4" t="s">
        <v>18</v>
      </c>
      <c r="B6" s="174" t="s">
        <v>19</v>
      </c>
      <c r="C6" s="175"/>
      <c r="D6" s="175"/>
      <c r="E6" s="175"/>
      <c r="F6" s="176"/>
      <c r="G6" s="177" t="s">
        <v>45</v>
      </c>
      <c r="H6" s="178"/>
      <c r="I6" s="179"/>
      <c r="J6" s="4" t="s">
        <v>18</v>
      </c>
      <c r="K6" s="174" t="s">
        <v>20</v>
      </c>
      <c r="L6" s="175"/>
      <c r="M6" s="175"/>
      <c r="N6" s="175"/>
      <c r="O6" s="176"/>
    </row>
    <row r="7" spans="1:19" ht="17.25" thickBot="1">
      <c r="A7" s="4" t="s">
        <v>21</v>
      </c>
      <c r="B7" s="174" t="s">
        <v>22</v>
      </c>
      <c r="C7" s="175"/>
      <c r="D7" s="175"/>
      <c r="E7" s="175"/>
      <c r="F7" s="176"/>
      <c r="G7" s="1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171"/>
      <c r="I7" s="172"/>
      <c r="J7" s="4" t="s">
        <v>21</v>
      </c>
      <c r="K7" s="174" t="s">
        <v>23</v>
      </c>
      <c r="L7" s="175"/>
      <c r="M7" s="175"/>
      <c r="N7" s="175"/>
      <c r="O7" s="176"/>
    </row>
    <row r="8" spans="1:19" ht="17.25" thickBot="1">
      <c r="A8" s="4" t="s">
        <v>24</v>
      </c>
      <c r="B8" s="174" t="s">
        <v>25</v>
      </c>
      <c r="C8" s="175"/>
      <c r="D8" s="175"/>
      <c r="E8" s="175"/>
      <c r="F8" s="176"/>
      <c r="G8" s="177" t="s">
        <v>285</v>
      </c>
      <c r="H8" s="178"/>
      <c r="I8" s="179"/>
      <c r="J8" s="4" t="s">
        <v>24</v>
      </c>
      <c r="K8" s="174" t="s">
        <v>26</v>
      </c>
      <c r="L8" s="175"/>
      <c r="M8" s="175"/>
      <c r="N8" s="175"/>
      <c r="O8" s="176"/>
      <c r="Q8" s="149" t="s">
        <v>27</v>
      </c>
      <c r="R8" s="151"/>
    </row>
    <row r="9" spans="1:19" ht="17.25" thickBot="1">
      <c r="A9" s="4" t="s">
        <v>28</v>
      </c>
      <c r="B9" s="174"/>
      <c r="C9" s="175"/>
      <c r="D9" s="175"/>
      <c r="E9" s="175"/>
      <c r="F9" s="176"/>
      <c r="G9" s="1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171"/>
      <c r="I9" s="172"/>
      <c r="J9" s="4" t="s">
        <v>28</v>
      </c>
      <c r="K9" s="174" t="s">
        <v>293</v>
      </c>
      <c r="L9" s="175"/>
      <c r="M9" s="175"/>
      <c r="N9" s="175"/>
      <c r="O9" s="176"/>
      <c r="Q9" s="2" t="s">
        <v>29</v>
      </c>
      <c r="R9" s="6">
        <v>10</v>
      </c>
    </row>
    <row r="10" spans="1:19">
      <c r="A10" s="4" t="s">
        <v>30</v>
      </c>
      <c r="B10" s="174"/>
      <c r="C10" s="175"/>
      <c r="D10" s="175"/>
      <c r="E10" s="175"/>
      <c r="F10" s="176"/>
      <c r="G10" s="177" t="s">
        <v>47</v>
      </c>
      <c r="H10" s="178"/>
      <c r="I10" s="179"/>
      <c r="J10" s="4" t="s">
        <v>30</v>
      </c>
      <c r="K10" s="174"/>
      <c r="L10" s="175"/>
      <c r="M10" s="175"/>
      <c r="N10" s="175"/>
      <c r="O10" s="176"/>
      <c r="Q10" s="2" t="s">
        <v>31</v>
      </c>
      <c r="R10" s="6">
        <v>100</v>
      </c>
    </row>
    <row r="11" spans="1:19" ht="17.25" thickBot="1">
      <c r="A11" s="7" t="s">
        <v>32</v>
      </c>
      <c r="B11" s="167"/>
      <c r="C11" s="168"/>
      <c r="D11" s="168"/>
      <c r="E11" s="168"/>
      <c r="F11" s="169"/>
      <c r="G11" s="1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171"/>
      <c r="I11" s="172"/>
      <c r="J11" s="7" t="s">
        <v>32</v>
      </c>
      <c r="K11" s="167"/>
      <c r="L11" s="168"/>
      <c r="M11" s="168"/>
      <c r="N11" s="168"/>
      <c r="O11" s="169"/>
      <c r="Q11" s="65" t="s">
        <v>33</v>
      </c>
      <c r="R11" s="8">
        <v>1000</v>
      </c>
    </row>
    <row r="12" spans="1:19" ht="17.25" thickBot="1"/>
    <row r="13" spans="1:19" ht="17.25" customHeight="1" thickBot="1">
      <c r="A13" s="149" t="s">
        <v>34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  <c r="M13" s="150"/>
      <c r="N13" s="150"/>
      <c r="O13" s="151"/>
      <c r="Q13" s="148"/>
      <c r="R13" s="148"/>
      <c r="S13" s="148"/>
    </row>
    <row r="14" spans="1:19" ht="17.25" customHeight="1" thickBot="1">
      <c r="A14" s="111" t="s">
        <v>35</v>
      </c>
      <c r="B14" s="149" t="s">
        <v>36</v>
      </c>
      <c r="C14" s="151"/>
      <c r="D14" s="149" t="s">
        <v>37</v>
      </c>
      <c r="E14" s="150"/>
      <c r="F14" s="151"/>
      <c r="G14" s="152">
        <f>_xlfn.IFNA(VLOOKUP(B14, 현재가테이블!$B$2:$D$200, 2, FALSE), "-")</f>
        <v>69894000</v>
      </c>
      <c r="H14" s="153"/>
      <c r="I14" s="154"/>
      <c r="J14" s="149" t="s">
        <v>38</v>
      </c>
      <c r="K14" s="150"/>
      <c r="L14" s="151"/>
      <c r="M14" s="155">
        <f>_xlfn.IFNA(VLOOKUP(B14, 현재가테이블!$B$2:$D$200, 3, FALSE), "-")</f>
        <v>2.1065856399999999E-2</v>
      </c>
      <c r="N14" s="156"/>
      <c r="O14" s="157"/>
      <c r="Q14" s="148"/>
      <c r="R14" s="148"/>
      <c r="S14" s="148"/>
    </row>
    <row r="15" spans="1:19" ht="17.25" customHeight="1" thickBot="1">
      <c r="A15" s="173" t="s">
        <v>39</v>
      </c>
      <c r="B15" s="165" t="str">
        <f>TEXT($G$1, "[$-ko-KR]yyyy-mm-dd(ddd) ") &amp; "오전 00:00"</f>
        <v>2021-05-01(토) 오전 00:00</v>
      </c>
      <c r="C15" s="166"/>
      <c r="D15" s="162" t="str">
        <f>TEXT($G$1, "[$-ko-KR]yyyy-mm-dd(ddd) ") &amp; "오후 14:00"</f>
        <v>2021-05-01(토) 오후 14:00</v>
      </c>
      <c r="E15" s="163"/>
      <c r="F15" s="164"/>
      <c r="G15" s="162" t="str">
        <f>TEXT($G$1, "[$-ko-KR]yyyy-mm-dd(ddd) ") &amp; "오후 19:00"</f>
        <v>2021-05-01(토) 오후 19:00</v>
      </c>
      <c r="H15" s="163"/>
      <c r="I15" s="164"/>
      <c r="J15" s="162" t="str">
        <f>TEXT($G$1, "[$-ko-KR]yyyy-mm-dd(ddd) ") &amp; "오후 21:00"</f>
        <v>2021-05-01(토) 오후 21:00</v>
      </c>
      <c r="K15" s="163"/>
      <c r="L15" s="164"/>
      <c r="M15" s="162" t="str">
        <f>TEXT($G$1+1, "[$-ko-KR]yyyy-mm-dd(ddd) ") &amp; "오전 00:00"</f>
        <v>2021-05-02(일) 오전 00:00</v>
      </c>
      <c r="N15" s="163"/>
      <c r="O15" s="164"/>
      <c r="Q15" s="148"/>
      <c r="R15" s="148"/>
      <c r="S15" s="148"/>
    </row>
    <row r="16" spans="1:19" ht="17.25" customHeight="1" thickBot="1">
      <c r="A16" s="17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38"/>
      <c r="R16" s="138"/>
      <c r="S16" s="138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100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148"/>
      <c r="R17" s="148"/>
      <c r="S17" s="148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101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148"/>
      <c r="R18" s="148"/>
      <c r="S18" s="148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101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138"/>
      <c r="R19" s="138"/>
      <c r="S19" s="138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101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138"/>
      <c r="R20" s="138"/>
      <c r="S20" s="138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5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138"/>
      <c r="R21" s="138"/>
      <c r="S21" s="138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38"/>
      <c r="R22" s="138"/>
      <c r="S22" s="13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38"/>
      <c r="R23" s="138"/>
      <c r="S23" s="13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38"/>
      <c r="R24" s="138"/>
      <c r="S24" s="13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39"/>
      <c r="R26" s="140"/>
      <c r="S26" s="14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42"/>
      <c r="R27" s="143"/>
      <c r="S27" s="14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45"/>
      <c r="R28" s="146"/>
      <c r="S28" s="14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38"/>
      <c r="R29" s="138"/>
      <c r="S29" s="13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48"/>
      <c r="R30" s="148"/>
      <c r="S30" s="14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48"/>
      <c r="R31" s="148"/>
      <c r="S31" s="14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38"/>
      <c r="R32" s="138"/>
      <c r="S32" s="13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38"/>
      <c r="R33" s="138"/>
      <c r="S33" s="13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38"/>
      <c r="R34" s="138"/>
      <c r="S34" s="13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27"/>
      <c r="R35" s="128"/>
      <c r="S35" s="12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30"/>
      <c r="R36" s="131"/>
      <c r="S36" s="132"/>
    </row>
    <row r="37" spans="1:19" ht="17.25" customHeight="1" thickBot="1">
      <c r="A37" s="26" t="s">
        <v>42</v>
      </c>
      <c r="B37" s="136">
        <v>300000</v>
      </c>
      <c r="C37" s="137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133"/>
      <c r="R37" s="134"/>
      <c r="S37" s="135"/>
    </row>
    <row r="38" spans="1:19" ht="17.25" customHeight="1"/>
    <row r="39" spans="1:19" ht="17.25" customHeight="1" thickBot="1"/>
    <row r="40" spans="1:19" ht="17.25" customHeight="1" thickBot="1">
      <c r="A40" s="149" t="s">
        <v>44</v>
      </c>
      <c r="B40" s="150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1"/>
      <c r="Q40" s="148"/>
      <c r="R40" s="148"/>
      <c r="S40" s="148"/>
    </row>
    <row r="41" spans="1:19" ht="17.25" customHeight="1" thickBot="1">
      <c r="A41" s="111" t="s">
        <v>298</v>
      </c>
      <c r="B41" s="149" t="s">
        <v>49</v>
      </c>
      <c r="C41" s="151"/>
      <c r="D41" s="149" t="s">
        <v>58</v>
      </c>
      <c r="E41" s="150"/>
      <c r="F41" s="151"/>
      <c r="G41" s="152">
        <f>_xlfn.IFNA(VLOOKUP(B41, 현재가테이블!$B$2:$D$200, 2, FALSE), "-")</f>
        <v>69894000</v>
      </c>
      <c r="H41" s="153"/>
      <c r="I41" s="154"/>
      <c r="J41" s="149" t="s">
        <v>59</v>
      </c>
      <c r="K41" s="150"/>
      <c r="L41" s="151"/>
      <c r="M41" s="155">
        <f>_xlfn.IFNA(VLOOKUP(B41, 현재가테이블!$B$2:$D$200, 3, FALSE), "-")</f>
        <v>2.1065856399999999E-2</v>
      </c>
      <c r="N41" s="156"/>
      <c r="O41" s="157"/>
      <c r="Q41" s="148"/>
      <c r="R41" s="148"/>
      <c r="S41" s="148"/>
    </row>
    <row r="42" spans="1:19" ht="17.25" customHeight="1" thickBot="1">
      <c r="A42" s="158" t="s">
        <v>55</v>
      </c>
      <c r="B42" s="160" t="str">
        <f>TEXT($G$1, "[$-ko-KR]yyyy-mm-dd(ddd) ") &amp; "오전 00:00"</f>
        <v>2021-05-01(토) 오전 00:00</v>
      </c>
      <c r="C42" s="161"/>
      <c r="D42" s="162" t="str">
        <f>TEXT($G$1, "[$-ko-KR]yyyy-mm-dd(ddd) ") &amp; "오후 14:00"</f>
        <v>2021-05-01(토) 오후 14:00</v>
      </c>
      <c r="E42" s="163"/>
      <c r="F42" s="164"/>
      <c r="G42" s="162" t="str">
        <f>TEXT($G$1, "[$-ko-KR]yyyy-mm-dd(ddd) ") &amp; "오후 19:00"</f>
        <v>2021-05-01(토) 오후 19:00</v>
      </c>
      <c r="H42" s="163"/>
      <c r="I42" s="164"/>
      <c r="J42" s="162" t="str">
        <f>TEXT($G$1, "[$-ko-KR]yyyy-mm-dd(ddd) ") &amp; "오후 21:00"</f>
        <v>2021-05-01(토) 오후 21:00</v>
      </c>
      <c r="K42" s="163"/>
      <c r="L42" s="164"/>
      <c r="M42" s="162" t="str">
        <f>TEXT($G$1+1, "[$-ko-KR]yyyy-mm-dd(ddd) ") &amp; "오전 00:00"</f>
        <v>2021-05-02(일) 오전 00:00</v>
      </c>
      <c r="N42" s="163"/>
      <c r="O42" s="164"/>
      <c r="Q42" s="148"/>
      <c r="R42" s="148"/>
      <c r="S42" s="148"/>
    </row>
    <row r="43" spans="1:19" ht="17.25" customHeight="1" thickBot="1">
      <c r="A43" s="159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38"/>
      <c r="R43" s="138"/>
      <c r="S43" s="138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100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148"/>
      <c r="R44" s="148"/>
      <c r="S44" s="148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101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148"/>
      <c r="R45" s="148"/>
      <c r="S45" s="148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101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138"/>
      <c r="R46" s="138"/>
      <c r="S46" s="138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101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138"/>
      <c r="R47" s="138"/>
      <c r="S47" s="138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5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138"/>
      <c r="R48" s="138"/>
      <c r="S48" s="138"/>
    </row>
    <row r="49" spans="1:19" ht="17.25" customHeight="1" thickBot="1">
      <c r="A49" s="17" t="s">
        <v>72</v>
      </c>
      <c r="B49" s="106">
        <v>35.4</v>
      </c>
      <c r="C49" s="107">
        <v>2.3121387300000001E-2</v>
      </c>
      <c r="D49" s="106">
        <v>37.200000000000003</v>
      </c>
      <c r="E49" s="107">
        <f>IF(ISNUMBER(D49), (D49 - $B49) / $B49, "")</f>
        <v>5.0847457627118765E-2</v>
      </c>
      <c r="F49" s="108">
        <f>IF(ISNUMBER(D49), $B64 * E49, "")</f>
        <v>15254.23728813563</v>
      </c>
      <c r="G49" s="109">
        <v>36.6</v>
      </c>
      <c r="H49" s="107">
        <f>IF(ISNUMBER(G49), (G49 - $B49) / $B49, "")</f>
        <v>3.3898305084745846E-2</v>
      </c>
      <c r="I49" s="110">
        <f>IF(ISNUMBER(G49), $B64 * H49, "")</f>
        <v>10169.491525423753</v>
      </c>
      <c r="J49" s="106">
        <v>36.9</v>
      </c>
      <c r="K49" s="107">
        <f>IF(ISNUMBER(J49), (J49 - $B49) / $B49, "")</f>
        <v>4.2372881355932208E-2</v>
      </c>
      <c r="L49" s="108">
        <f>IF(ISNUMBER(J49), $B64 * K49, "")</f>
        <v>12711.864406779663</v>
      </c>
      <c r="M49" s="109">
        <v>37.4</v>
      </c>
      <c r="N49" s="107">
        <f>IF(ISNUMBER(M49), (M49 - $B49) / $B49, "")</f>
        <v>5.6497175141242938E-2</v>
      </c>
      <c r="O49" s="108">
        <f>IF(ISNUMBER(M49), $B64 * N49, "")</f>
        <v>16949.152542372882</v>
      </c>
      <c r="Q49" s="138"/>
      <c r="R49" s="138"/>
      <c r="S49" s="138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138"/>
      <c r="R50" s="138"/>
      <c r="S50" s="138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101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138"/>
      <c r="R51" s="138"/>
      <c r="S51" s="138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101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4">
        <f>IF(ISNUMBER(D53), $B64 * E53, "")</f>
        <v>0</v>
      </c>
      <c r="G53" s="102">
        <v>19.899999999999999</v>
      </c>
      <c r="H53" s="25">
        <f t="shared" si="19"/>
        <v>-9.9502487562190458E-3</v>
      </c>
      <c r="I53" s="103">
        <f>IF(ISNUMBER(G53), $B64 * H53, "")</f>
        <v>-2985.0746268657135</v>
      </c>
      <c r="J53" s="24">
        <v>20.100000000000001</v>
      </c>
      <c r="K53" s="25">
        <f t="shared" si="20"/>
        <v>0</v>
      </c>
      <c r="L53" s="104">
        <f>IF(ISNUMBER(J53), $B64 * K53, "")</f>
        <v>0</v>
      </c>
      <c r="M53" s="102">
        <v>20.100000000000001</v>
      </c>
      <c r="N53" s="25">
        <f t="shared" si="21"/>
        <v>0</v>
      </c>
      <c r="O53" s="104">
        <f>IF(ISNUMBER(M53), $B64 * N53, "")</f>
        <v>0</v>
      </c>
      <c r="Q53" s="139"/>
      <c r="R53" s="140"/>
      <c r="S53" s="141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100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142"/>
      <c r="R54" s="143"/>
      <c r="S54" s="144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101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145"/>
      <c r="R55" s="146"/>
      <c r="S55" s="147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101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138"/>
      <c r="R56" s="138"/>
      <c r="S56" s="138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101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148"/>
      <c r="R57" s="148"/>
      <c r="S57" s="148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5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148"/>
      <c r="R58" s="148"/>
      <c r="S58" s="148"/>
    </row>
    <row r="59" spans="1:19" ht="17.25" customHeight="1" thickBot="1">
      <c r="A59" s="17" t="s">
        <v>186</v>
      </c>
      <c r="B59" s="106">
        <v>26.1</v>
      </c>
      <c r="C59" s="107">
        <v>-3.8167939000000001E-3</v>
      </c>
      <c r="D59" s="106">
        <v>26.6</v>
      </c>
      <c r="E59" s="107">
        <f>IF(ISNUMBER(D59), (D59 - $B59) / $B59, "")</f>
        <v>1.9157088122605363E-2</v>
      </c>
      <c r="F59" s="108">
        <f>IF(ISNUMBER(D59), $B64 * E59, "")</f>
        <v>5747.1264367816084</v>
      </c>
      <c r="G59" s="109">
        <v>26.2</v>
      </c>
      <c r="H59" s="107">
        <f>IF(ISNUMBER(G59), (G59 - $B59) / $B59, "")</f>
        <v>3.8314176245209911E-3</v>
      </c>
      <c r="I59" s="110">
        <f>IF(ISNUMBER(G59), $B64 * H59, "")</f>
        <v>1149.4252873562973</v>
      </c>
      <c r="J59" s="106">
        <v>26.5</v>
      </c>
      <c r="K59" s="107">
        <f>IF(ISNUMBER(J59), (J59 - $B59) / $B59, "")</f>
        <v>1.5325670498084237E-2</v>
      </c>
      <c r="L59" s="108">
        <f>IF(ISNUMBER(J59), $B64 * K59, "")</f>
        <v>4597.7011494252711</v>
      </c>
      <c r="M59" s="109">
        <v>26.3</v>
      </c>
      <c r="N59" s="107">
        <f>IF(ISNUMBER(M59), (M59 - $B59) / $B59, "")</f>
        <v>7.6628352490421183E-3</v>
      </c>
      <c r="O59" s="108">
        <f>IF(ISNUMBER(M59), $B64 * N59, "")</f>
        <v>2298.8505747126355</v>
      </c>
      <c r="Q59" s="138"/>
      <c r="R59" s="138"/>
      <c r="S59" s="138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101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138"/>
      <c r="R60" s="138"/>
      <c r="S60" s="138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101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138"/>
      <c r="R61" s="138"/>
      <c r="S61" s="138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101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127"/>
      <c r="R62" s="128"/>
      <c r="S62" s="129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30"/>
      <c r="R63" s="131"/>
      <c r="S63" s="132"/>
    </row>
    <row r="64" spans="1:19" ht="17.25" customHeight="1" thickBot="1">
      <c r="A64" s="26" t="s">
        <v>301</v>
      </c>
      <c r="B64" s="136">
        <f>$B$37</f>
        <v>300000</v>
      </c>
      <c r="C64" s="137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133"/>
      <c r="R64" s="134"/>
      <c r="S64" s="135"/>
    </row>
    <row r="65" spans="1:19" ht="17.25" customHeight="1"/>
    <row r="66" spans="1:19" ht="17.25" customHeight="1" thickBot="1"/>
    <row r="67" spans="1:19" ht="17.25" thickBot="1">
      <c r="A67" s="149" t="s">
        <v>45</v>
      </c>
      <c r="B67" s="150"/>
      <c r="C67" s="150"/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1"/>
      <c r="Q67" s="148"/>
      <c r="R67" s="148"/>
      <c r="S67" s="148"/>
    </row>
    <row r="68" spans="1:19" ht="17.25" thickBot="1">
      <c r="A68" s="111" t="s">
        <v>298</v>
      </c>
      <c r="B68" s="149" t="s">
        <v>49</v>
      </c>
      <c r="C68" s="151"/>
      <c r="D68" s="149" t="s">
        <v>58</v>
      </c>
      <c r="E68" s="150"/>
      <c r="F68" s="151"/>
      <c r="G68" s="152">
        <f>_xlfn.IFNA(VLOOKUP(B68, 현재가테이블!$B$2:$D$200, 2, FALSE), "-")</f>
        <v>69894000</v>
      </c>
      <c r="H68" s="153"/>
      <c r="I68" s="154"/>
      <c r="J68" s="149" t="s">
        <v>59</v>
      </c>
      <c r="K68" s="150"/>
      <c r="L68" s="151"/>
      <c r="M68" s="155">
        <f>_xlfn.IFNA(VLOOKUP(B68, 현재가테이블!$B$2:$D$200, 3, FALSE), "-")</f>
        <v>2.1065856399999999E-2</v>
      </c>
      <c r="N68" s="156"/>
      <c r="O68" s="157"/>
      <c r="Q68" s="148"/>
      <c r="R68" s="148"/>
      <c r="S68" s="148"/>
    </row>
    <row r="69" spans="1:19" ht="17.25" thickBot="1">
      <c r="A69" s="158" t="s">
        <v>55</v>
      </c>
      <c r="B69" s="160" t="str">
        <f>TEXT($G$1, "[$-ko-KR]yyyy-mm-dd(ddd) ") &amp; "오전 00:00"</f>
        <v>2021-05-01(토) 오전 00:00</v>
      </c>
      <c r="C69" s="161"/>
      <c r="D69" s="162" t="str">
        <f>TEXT($G$1, "[$-ko-KR]yyyy-mm-dd(ddd) ") &amp; "오후 14:00"</f>
        <v>2021-05-01(토) 오후 14:00</v>
      </c>
      <c r="E69" s="163"/>
      <c r="F69" s="164"/>
      <c r="G69" s="162" t="str">
        <f>TEXT($G$1, "[$-ko-KR]yyyy-mm-dd(ddd) ") &amp; "오후 19:00"</f>
        <v>2021-05-01(토) 오후 19:00</v>
      </c>
      <c r="H69" s="163"/>
      <c r="I69" s="164"/>
      <c r="J69" s="162" t="str">
        <f>TEXT($G$1, "[$-ko-KR]yyyy-mm-dd(ddd) ") &amp; "오후 21:00"</f>
        <v>2021-05-01(토) 오후 21:00</v>
      </c>
      <c r="K69" s="163"/>
      <c r="L69" s="164"/>
      <c r="M69" s="162" t="str">
        <f>TEXT($G$1+1, "[$-ko-KR]yyyy-mm-dd(ddd) ") &amp; "오전 00:00"</f>
        <v>2021-05-02(일) 오전 00:00</v>
      </c>
      <c r="N69" s="163"/>
      <c r="O69" s="164"/>
      <c r="Q69" s="148"/>
      <c r="R69" s="148"/>
      <c r="S69" s="148"/>
    </row>
    <row r="70" spans="1:19" ht="17.25" thickBot="1">
      <c r="A70" s="159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38"/>
      <c r="R70" s="138"/>
      <c r="S70" s="138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100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148"/>
      <c r="R71" s="148"/>
      <c r="S71" s="148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101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148"/>
      <c r="R72" s="148"/>
      <c r="S72" s="148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101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138"/>
      <c r="R73" s="138"/>
      <c r="S73" s="138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101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138"/>
      <c r="R74" s="138"/>
      <c r="S74" s="138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5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138"/>
      <c r="R75" s="138"/>
      <c r="S75" s="138"/>
    </row>
    <row r="76" spans="1:19" ht="17.25" thickBot="1">
      <c r="A76" s="17" t="s">
        <v>156</v>
      </c>
      <c r="B76" s="106">
        <v>151</v>
      </c>
      <c r="C76" s="107">
        <v>4.13793103E-2</v>
      </c>
      <c r="D76" s="106">
        <v>156</v>
      </c>
      <c r="E76" s="107">
        <f>IF(ISNUMBER(D76), (D76 - $B76) / $B76, "")</f>
        <v>3.3112582781456956E-2</v>
      </c>
      <c r="F76" s="108">
        <f>IF(ISNUMBER(D76), $B91 * E76, "")</f>
        <v>9933.7748344370866</v>
      </c>
      <c r="G76" s="109">
        <v>155</v>
      </c>
      <c r="H76" s="107">
        <f>IF(ISNUMBER(G76), (G76 - $B76) / $B76, "")</f>
        <v>2.6490066225165563E-2</v>
      </c>
      <c r="I76" s="110">
        <f>IF(ISNUMBER(G76), $B91 * H76, "")</f>
        <v>7947.0198675496686</v>
      </c>
      <c r="J76" s="106">
        <v>156</v>
      </c>
      <c r="K76" s="107">
        <f>IF(ISNUMBER(J76), (J76 - $B76) / $B76, "")</f>
        <v>3.3112582781456956E-2</v>
      </c>
      <c r="L76" s="108">
        <f>IF(ISNUMBER(J76), $B91 * K76, "")</f>
        <v>9933.7748344370866</v>
      </c>
      <c r="M76" s="109">
        <v>153</v>
      </c>
      <c r="N76" s="107">
        <f>IF(ISNUMBER(M76), (M76 - $B76) / $B76, "")</f>
        <v>1.3245033112582781E-2</v>
      </c>
      <c r="O76" s="108">
        <f>IF(ISNUMBER(M76), $B91 * N76, "")</f>
        <v>3973.5099337748343</v>
      </c>
      <c r="Q76" s="138"/>
      <c r="R76" s="138"/>
      <c r="S76" s="138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101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138"/>
      <c r="R77" s="138"/>
      <c r="S77" s="138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101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138"/>
      <c r="R78" s="138"/>
      <c r="S78" s="138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101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4">
        <f>IF(ISNUMBER(D80), $B91 * E80, "")</f>
        <v>27717.391304347824</v>
      </c>
      <c r="G80" s="102">
        <v>200</v>
      </c>
      <c r="H80" s="25">
        <f t="shared" si="35"/>
        <v>8.6956521739130432E-2</v>
      </c>
      <c r="I80" s="103">
        <f>IF(ISNUMBER(G80), $B91 * H80, "")</f>
        <v>26086.956521739128</v>
      </c>
      <c r="J80" s="24">
        <v>203</v>
      </c>
      <c r="K80" s="25">
        <f t="shared" si="36"/>
        <v>0.10326086956521739</v>
      </c>
      <c r="L80" s="104">
        <f>IF(ISNUMBER(J80), $B91 * K80, "")</f>
        <v>30978.260869565216</v>
      </c>
      <c r="M80" s="102">
        <v>202</v>
      </c>
      <c r="N80" s="25">
        <f t="shared" si="37"/>
        <v>9.7826086956521743E-2</v>
      </c>
      <c r="O80" s="104">
        <f>IF(ISNUMBER(M80), $B91 * N80, "")</f>
        <v>29347.826086956524</v>
      </c>
      <c r="Q80" s="139"/>
      <c r="R80" s="140"/>
      <c r="S80" s="141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100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142"/>
      <c r="R81" s="143"/>
      <c r="S81" s="144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101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145"/>
      <c r="R82" s="146"/>
      <c r="S82" s="147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101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138"/>
      <c r="R83" s="138"/>
      <c r="S83" s="138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101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148"/>
      <c r="R84" s="148"/>
      <c r="S84" s="148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5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148"/>
      <c r="R85" s="148"/>
      <c r="S85" s="148"/>
    </row>
    <row r="86" spans="1:19" ht="17.25" thickBot="1">
      <c r="A86" s="17" t="s">
        <v>142</v>
      </c>
      <c r="B86" s="106">
        <v>410</v>
      </c>
      <c r="C86" s="107">
        <v>2.2443890300000002E-2</v>
      </c>
      <c r="D86" s="106">
        <v>441</v>
      </c>
      <c r="E86" s="107">
        <f>IF(ISNUMBER(D86), (D86 - $B86) / $B86, "")</f>
        <v>7.5609756097560973E-2</v>
      </c>
      <c r="F86" s="108">
        <f>IF(ISNUMBER(D86), $B91 * E86, "")</f>
        <v>22682.926829268294</v>
      </c>
      <c r="G86" s="109">
        <v>428</v>
      </c>
      <c r="H86" s="107">
        <f>IF(ISNUMBER(G86), (G86 - $B86) / $B86, "")</f>
        <v>4.3902439024390241E-2</v>
      </c>
      <c r="I86" s="110">
        <f>IF(ISNUMBER(G86), $B91 * H86, "")</f>
        <v>13170.731707317073</v>
      </c>
      <c r="J86" s="106">
        <v>430</v>
      </c>
      <c r="K86" s="107">
        <f>IF(ISNUMBER(J86), (J86 - $B86) / $B86, "")</f>
        <v>4.878048780487805E-2</v>
      </c>
      <c r="L86" s="108">
        <f>IF(ISNUMBER(J86), $B91 * K86, "")</f>
        <v>14634.146341463415</v>
      </c>
      <c r="M86" s="109">
        <v>428</v>
      </c>
      <c r="N86" s="107">
        <f>IF(ISNUMBER(M86), (M86 - $B86) / $B86, "")</f>
        <v>4.3902439024390241E-2</v>
      </c>
      <c r="O86" s="108">
        <f>IF(ISNUMBER(M86), $B91 * N86, "")</f>
        <v>13170.731707317073</v>
      </c>
      <c r="Q86" s="138"/>
      <c r="R86" s="138"/>
      <c r="S86" s="138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101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138"/>
      <c r="R87" s="138"/>
      <c r="S87" s="138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101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138"/>
      <c r="R88" s="138"/>
      <c r="S88" s="138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101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127"/>
      <c r="R89" s="128"/>
      <c r="S89" s="129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4">
        <f>IF(ISNUMBER(D90), $B91 * E90, "")</f>
        <v>3272.727272727273</v>
      </c>
      <c r="G90" s="102">
        <v>274</v>
      </c>
      <c r="H90" s="25">
        <f t="shared" si="43"/>
        <v>-3.6363636363636364E-3</v>
      </c>
      <c r="I90" s="103">
        <f>IF(ISNUMBER(G90), $B91 * H90, "")</f>
        <v>-1090.909090909091</v>
      </c>
      <c r="J90" s="24">
        <v>278</v>
      </c>
      <c r="K90" s="25">
        <f t="shared" si="44"/>
        <v>1.090909090909091E-2</v>
      </c>
      <c r="L90" s="104">
        <f>IF(ISNUMBER(J90), $B91 * K90, "")</f>
        <v>3272.727272727273</v>
      </c>
      <c r="M90" s="102">
        <v>276</v>
      </c>
      <c r="N90" s="25">
        <f t="shared" si="45"/>
        <v>3.6363636363636364E-3</v>
      </c>
      <c r="O90" s="104">
        <f>IF(ISNUMBER(M90), $B91 * N90, "")</f>
        <v>1090.909090909091</v>
      </c>
      <c r="Q90" s="130"/>
      <c r="R90" s="131"/>
      <c r="S90" s="132"/>
    </row>
    <row r="91" spans="1:19" ht="17.25" thickBot="1">
      <c r="A91" s="26" t="s">
        <v>301</v>
      </c>
      <c r="B91" s="136">
        <f>$B$37</f>
        <v>300000</v>
      </c>
      <c r="C91" s="137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133"/>
      <c r="R91" s="134"/>
      <c r="S91" s="135"/>
    </row>
    <row r="93" spans="1:19" ht="17.25" thickBot="1"/>
    <row r="94" spans="1:19" ht="17.25" thickBot="1">
      <c r="A94" s="149" t="s">
        <v>46</v>
      </c>
      <c r="B94" s="150"/>
      <c r="C94" s="150"/>
      <c r="D94" s="150"/>
      <c r="E94" s="150"/>
      <c r="F94" s="150"/>
      <c r="G94" s="150"/>
      <c r="H94" s="150"/>
      <c r="I94" s="150"/>
      <c r="J94" s="150"/>
      <c r="K94" s="150"/>
      <c r="L94" s="150"/>
      <c r="M94" s="150"/>
      <c r="N94" s="150"/>
      <c r="O94" s="151"/>
      <c r="Q94" s="148"/>
      <c r="R94" s="148"/>
      <c r="S94" s="148"/>
    </row>
    <row r="95" spans="1:19" ht="17.25" thickBot="1">
      <c r="A95" s="111" t="s">
        <v>298</v>
      </c>
      <c r="B95" s="149" t="s">
        <v>49</v>
      </c>
      <c r="C95" s="151"/>
      <c r="D95" s="149" t="s">
        <v>58</v>
      </c>
      <c r="E95" s="150"/>
      <c r="F95" s="151"/>
      <c r="G95" s="152">
        <f>_xlfn.IFNA(VLOOKUP(B95, 현재가테이블!$B$2:$D$200, 2, FALSE), "-")</f>
        <v>69894000</v>
      </c>
      <c r="H95" s="153"/>
      <c r="I95" s="154"/>
      <c r="J95" s="149" t="s">
        <v>59</v>
      </c>
      <c r="K95" s="150"/>
      <c r="L95" s="151"/>
      <c r="M95" s="155">
        <f>_xlfn.IFNA(VLOOKUP(B95, 현재가테이블!$B$2:$D$200, 3, FALSE), "-")</f>
        <v>2.1065856399999999E-2</v>
      </c>
      <c r="N95" s="156"/>
      <c r="O95" s="157"/>
      <c r="Q95" s="148"/>
      <c r="R95" s="148"/>
      <c r="S95" s="148"/>
    </row>
    <row r="96" spans="1:19" ht="17.25" thickBot="1">
      <c r="A96" s="158" t="s">
        <v>55</v>
      </c>
      <c r="B96" s="160" t="str">
        <f>TEXT($G$1, "[$-ko-KR]yyyy-mm-dd(ddd) ") &amp; "오전 00:00"</f>
        <v>2021-05-01(토) 오전 00:00</v>
      </c>
      <c r="C96" s="161"/>
      <c r="D96" s="162" t="str">
        <f>TEXT($G$1, "[$-ko-KR]yyyy-mm-dd(ddd) ") &amp; "오후 14:00"</f>
        <v>2021-05-01(토) 오후 14:00</v>
      </c>
      <c r="E96" s="163"/>
      <c r="F96" s="164"/>
      <c r="G96" s="162" t="str">
        <f>TEXT($G$1, "[$-ko-KR]yyyy-mm-dd(ddd) ") &amp; "오후 19:00"</f>
        <v>2021-05-01(토) 오후 19:00</v>
      </c>
      <c r="H96" s="163"/>
      <c r="I96" s="164"/>
      <c r="J96" s="162" t="str">
        <f>TEXT($G$1, "[$-ko-KR]yyyy-mm-dd(ddd) ") &amp; "오후 21:00"</f>
        <v>2021-05-01(토) 오후 21:00</v>
      </c>
      <c r="K96" s="163"/>
      <c r="L96" s="164"/>
      <c r="M96" s="162" t="str">
        <f>TEXT($G$1+1, "[$-ko-KR]yyyy-mm-dd(ddd) ") &amp; "오전 00:00"</f>
        <v>2021-05-02(일) 오전 00:00</v>
      </c>
      <c r="N96" s="163"/>
      <c r="O96" s="164"/>
      <c r="Q96" s="148"/>
      <c r="R96" s="148"/>
      <c r="S96" s="148"/>
    </row>
    <row r="97" spans="1:19" ht="17.25" thickBot="1">
      <c r="A97" s="159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38"/>
      <c r="R97" s="138"/>
      <c r="S97" s="138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100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148"/>
      <c r="R98" s="148"/>
      <c r="S98" s="148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101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148"/>
      <c r="R99" s="148"/>
      <c r="S99" s="148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101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138"/>
      <c r="R100" s="138"/>
      <c r="S100" s="138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101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138"/>
      <c r="R101" s="138"/>
      <c r="S101" s="138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5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138"/>
      <c r="R102" s="138"/>
      <c r="S102" s="138"/>
    </row>
    <row r="103" spans="1:19" ht="17.25" thickBot="1">
      <c r="A103" s="17" t="s">
        <v>162</v>
      </c>
      <c r="B103" s="106">
        <v>2225</v>
      </c>
      <c r="C103" s="107">
        <v>7.7481840199999999E-2</v>
      </c>
      <c r="D103" s="106">
        <v>2230</v>
      </c>
      <c r="E103" s="107">
        <f>IF(ISNUMBER(D103), (D103 - $B103) / $B103, "")</f>
        <v>2.2471910112359553E-3</v>
      </c>
      <c r="F103" s="108">
        <f>IF(ISNUMBER(D103), $B118 * E103, "")</f>
        <v>674.15730337078662</v>
      </c>
      <c r="G103" s="109">
        <v>2225</v>
      </c>
      <c r="H103" s="107">
        <f>IF(ISNUMBER(G103), (G103 - $B103) / $B103, "")</f>
        <v>0</v>
      </c>
      <c r="I103" s="110">
        <f>IF(ISNUMBER(G103), $B118 * H103, "")</f>
        <v>0</v>
      </c>
      <c r="J103" s="106">
        <v>2225</v>
      </c>
      <c r="K103" s="107">
        <f>IF(ISNUMBER(J103), (J103 - $B103) / $B103, "")</f>
        <v>0</v>
      </c>
      <c r="L103" s="108">
        <f>IF(ISNUMBER(J103), $B118 * K103, "")</f>
        <v>0</v>
      </c>
      <c r="M103" s="109">
        <v>2220</v>
      </c>
      <c r="N103" s="107">
        <f>IF(ISNUMBER(M103), (M103 - $B103) / $B103, "")</f>
        <v>-2.2471910112359553E-3</v>
      </c>
      <c r="O103" s="108">
        <f>IF(ISNUMBER(M103), $B118 * N103, "")</f>
        <v>-674.15730337078662</v>
      </c>
      <c r="Q103" s="138"/>
      <c r="R103" s="138"/>
      <c r="S103" s="138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101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138"/>
      <c r="R104" s="138"/>
      <c r="S104" s="138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101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138"/>
      <c r="R105" s="138"/>
      <c r="S105" s="138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101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4">
        <f>IF(ISNUMBER(D107), $B118 * E107, "")</f>
        <v>479.23322683706067</v>
      </c>
      <c r="G107" s="102">
        <v>619</v>
      </c>
      <c r="H107" s="25">
        <f t="shared" si="51"/>
        <v>-1.1182108626198083E-2</v>
      </c>
      <c r="I107" s="103">
        <f>IF(ISNUMBER(G107), $B118 * H107, "")</f>
        <v>-3354.6325878594248</v>
      </c>
      <c r="J107" s="24">
        <v>626</v>
      </c>
      <c r="K107" s="25">
        <f t="shared" si="52"/>
        <v>0</v>
      </c>
      <c r="L107" s="104">
        <f>IF(ISNUMBER(J107), $B118 * K107, "")</f>
        <v>0</v>
      </c>
      <c r="M107" s="102">
        <v>620</v>
      </c>
      <c r="N107" s="25">
        <f t="shared" si="53"/>
        <v>-9.5846645367412137E-3</v>
      </c>
      <c r="O107" s="104">
        <f>IF(ISNUMBER(M107), $B118 * N107, "")</f>
        <v>-2875.3993610223642</v>
      </c>
      <c r="Q107" s="139"/>
      <c r="R107" s="140"/>
      <c r="S107" s="141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100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142"/>
      <c r="R108" s="143"/>
      <c r="S108" s="144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101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145"/>
      <c r="R109" s="146"/>
      <c r="S109" s="147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101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138"/>
      <c r="R110" s="138"/>
      <c r="S110" s="138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101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148"/>
      <c r="R111" s="148"/>
      <c r="S111" s="148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5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148"/>
      <c r="R112" s="148"/>
      <c r="S112" s="148"/>
    </row>
    <row r="113" spans="1:19" ht="17.25" thickBot="1">
      <c r="A113" s="17" t="s">
        <v>192</v>
      </c>
      <c r="B113" s="106">
        <v>1175</v>
      </c>
      <c r="C113" s="107">
        <v>5.38116592E-2</v>
      </c>
      <c r="D113" s="106">
        <v>1180</v>
      </c>
      <c r="E113" s="107">
        <f>IF(ISNUMBER(D113), (D113 - $B113) / $B113, "")</f>
        <v>4.2553191489361703E-3</v>
      </c>
      <c r="F113" s="108">
        <f>IF(ISNUMBER(D113), $B118 * E113, "")</f>
        <v>1276.5957446808511</v>
      </c>
      <c r="G113" s="109">
        <v>1165</v>
      </c>
      <c r="H113" s="107">
        <f>IF(ISNUMBER(G113), (G113 - $B113) / $B113, "")</f>
        <v>-8.5106382978723406E-3</v>
      </c>
      <c r="I113" s="110">
        <f>IF(ISNUMBER(G113), $B118 * H113, "")</f>
        <v>-2553.1914893617022</v>
      </c>
      <c r="J113" s="106">
        <v>1180</v>
      </c>
      <c r="K113" s="107">
        <f>IF(ISNUMBER(J113), (J113 - $B113) / $B113, "")</f>
        <v>4.2553191489361703E-3</v>
      </c>
      <c r="L113" s="108">
        <f>IF(ISNUMBER(J113), $B118 * K113, "")</f>
        <v>1276.5957446808511</v>
      </c>
      <c r="M113" s="109">
        <v>1170</v>
      </c>
      <c r="N113" s="107">
        <f>IF(ISNUMBER(M113), (M113 - $B113) / $B113, "")</f>
        <v>-4.2553191489361703E-3</v>
      </c>
      <c r="O113" s="108">
        <f>IF(ISNUMBER(M113), $B118 * N113, "")</f>
        <v>-1276.5957446808511</v>
      </c>
      <c r="Q113" s="138"/>
      <c r="R113" s="138"/>
      <c r="S113" s="138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101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138"/>
      <c r="R114" s="138"/>
      <c r="S114" s="138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101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138"/>
      <c r="R115" s="138"/>
      <c r="S115" s="138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101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127"/>
      <c r="R116" s="128"/>
      <c r="S116" s="129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4">
        <f>IF(ISNUMBER(D117), $B118 * E117, "")</f>
        <v>1119.6487376509331</v>
      </c>
      <c r="G117" s="102">
        <v>45490</v>
      </c>
      <c r="H117" s="25">
        <f t="shared" si="59"/>
        <v>-1.3172338090010978E-3</v>
      </c>
      <c r="I117" s="103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4">
        <f>IF(ISNUMBER(J117), $B118 * K117, "")</f>
        <v>6256.8605927552144</v>
      </c>
      <c r="M117" s="102">
        <v>46510</v>
      </c>
      <c r="N117" s="25">
        <f t="shared" si="61"/>
        <v>2.1075740944017565E-2</v>
      </c>
      <c r="O117" s="104">
        <f>IF(ISNUMBER(M117), $B118 * N117, "")</f>
        <v>6322.7222832052694</v>
      </c>
      <c r="Q117" s="130"/>
      <c r="R117" s="131"/>
      <c r="S117" s="132"/>
    </row>
    <row r="118" spans="1:19" ht="17.25" thickBot="1">
      <c r="A118" s="26" t="s">
        <v>301</v>
      </c>
      <c r="B118" s="136">
        <f>$B$37</f>
        <v>300000</v>
      </c>
      <c r="C118" s="137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133"/>
      <c r="R118" s="134"/>
      <c r="S118" s="135"/>
    </row>
    <row r="120" spans="1:19" ht="17.25" thickBot="1"/>
    <row r="121" spans="1:19" ht="17.25" thickBot="1">
      <c r="A121" s="149" t="s">
        <v>288</v>
      </c>
      <c r="B121" s="150"/>
      <c r="C121" s="150"/>
      <c r="D121" s="150"/>
      <c r="E121" s="150"/>
      <c r="F121" s="150"/>
      <c r="G121" s="150"/>
      <c r="H121" s="150"/>
      <c r="I121" s="150"/>
      <c r="J121" s="150"/>
      <c r="K121" s="150"/>
      <c r="L121" s="150"/>
      <c r="M121" s="150"/>
      <c r="N121" s="150"/>
      <c r="O121" s="151"/>
      <c r="Q121" s="148"/>
      <c r="R121" s="148"/>
      <c r="S121" s="148"/>
    </row>
    <row r="122" spans="1:19" ht="17.25" thickBot="1">
      <c r="A122" s="111" t="s">
        <v>298</v>
      </c>
      <c r="B122" s="149" t="s">
        <v>49</v>
      </c>
      <c r="C122" s="151"/>
      <c r="D122" s="149" t="s">
        <v>58</v>
      </c>
      <c r="E122" s="150"/>
      <c r="F122" s="151"/>
      <c r="G122" s="152">
        <f>_xlfn.IFNA(VLOOKUP(B122, 현재가테이블!$B$2:$D$200, 2, FALSE), "-")</f>
        <v>69894000</v>
      </c>
      <c r="H122" s="153"/>
      <c r="I122" s="154"/>
      <c r="J122" s="149" t="s">
        <v>59</v>
      </c>
      <c r="K122" s="150"/>
      <c r="L122" s="151"/>
      <c r="M122" s="155">
        <f>_xlfn.IFNA(VLOOKUP(B122, 현재가테이블!$B$2:$D$200, 3, FALSE), "-")</f>
        <v>2.1065856399999999E-2</v>
      </c>
      <c r="N122" s="156"/>
      <c r="O122" s="157"/>
      <c r="Q122" s="148"/>
      <c r="R122" s="148"/>
      <c r="S122" s="148"/>
    </row>
    <row r="123" spans="1:19" ht="17.25" thickBot="1">
      <c r="A123" s="158" t="s">
        <v>55</v>
      </c>
      <c r="B123" s="160" t="str">
        <f>TEXT($G$1, "[$-ko-KR]yyyy-mm-dd(ddd) ") &amp; "오전 00:00"</f>
        <v>2021-05-01(토) 오전 00:00</v>
      </c>
      <c r="C123" s="161"/>
      <c r="D123" s="162" t="str">
        <f>TEXT($G$1, "[$-ko-KR]yyyy-mm-dd(ddd) ") &amp; "오후 14:00"</f>
        <v>2021-05-01(토) 오후 14:00</v>
      </c>
      <c r="E123" s="163"/>
      <c r="F123" s="164"/>
      <c r="G123" s="162" t="str">
        <f>TEXT($G$1, "[$-ko-KR]yyyy-mm-dd(ddd) ") &amp; "오후 19:00"</f>
        <v>2021-05-01(토) 오후 19:00</v>
      </c>
      <c r="H123" s="163"/>
      <c r="I123" s="164"/>
      <c r="J123" s="162" t="str">
        <f>TEXT($G$1, "[$-ko-KR]yyyy-mm-dd(ddd) ") &amp; "오후 21:00"</f>
        <v>2021-05-01(토) 오후 21:00</v>
      </c>
      <c r="K123" s="163"/>
      <c r="L123" s="164"/>
      <c r="M123" s="162" t="str">
        <f>TEXT($G$1+1, "[$-ko-KR]yyyy-mm-dd(ddd) ") &amp; "오전 00:00"</f>
        <v>2021-05-02(일) 오전 00:00</v>
      </c>
      <c r="N123" s="163"/>
      <c r="O123" s="164"/>
      <c r="Q123" s="148"/>
      <c r="R123" s="148"/>
      <c r="S123" s="148"/>
    </row>
    <row r="124" spans="1:19" ht="17.25" thickBot="1">
      <c r="A124" s="159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38"/>
      <c r="R124" s="138"/>
      <c r="S124" s="138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100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148"/>
      <c r="R125" s="148"/>
      <c r="S125" s="148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101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148"/>
      <c r="R126" s="148"/>
      <c r="S126" s="148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101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138"/>
      <c r="R127" s="138"/>
      <c r="S127" s="138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101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138"/>
      <c r="R128" s="138"/>
      <c r="S128" s="138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5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138"/>
      <c r="R129" s="138"/>
      <c r="S129" s="138"/>
    </row>
    <row r="130" spans="1:19" ht="17.25" thickBot="1">
      <c r="A130" s="17" t="s">
        <v>72</v>
      </c>
      <c r="B130" s="106">
        <v>35.4</v>
      </c>
      <c r="C130" s="107">
        <v>2.3121387300000001E-2</v>
      </c>
      <c r="D130" s="106">
        <v>37.200000000000003</v>
      </c>
      <c r="E130" s="107">
        <f>IF(ISNUMBER(D130), (D130 - $B130) / $B130, "")</f>
        <v>5.0847457627118765E-2</v>
      </c>
      <c r="F130" s="108">
        <f>IF(ISNUMBER(D130), $B145 * E130, "")</f>
        <v>15254.23728813563</v>
      </c>
      <c r="G130" s="109">
        <v>36.6</v>
      </c>
      <c r="H130" s="107">
        <f>IF(ISNUMBER(G130), (G130 - $B130) / $B130, "")</f>
        <v>3.3898305084745846E-2</v>
      </c>
      <c r="I130" s="110">
        <f>IF(ISNUMBER(G130), $B145 * H130, "")</f>
        <v>10169.491525423753</v>
      </c>
      <c r="J130" s="106">
        <v>36.9</v>
      </c>
      <c r="K130" s="107">
        <f>IF(ISNUMBER(J130), (J130 - $B130) / $B130, "")</f>
        <v>4.2372881355932208E-2</v>
      </c>
      <c r="L130" s="108">
        <f>IF(ISNUMBER(J130), $B145 * K130, "")</f>
        <v>12711.864406779663</v>
      </c>
      <c r="M130" s="109">
        <v>37.4</v>
      </c>
      <c r="N130" s="107">
        <f>IF(ISNUMBER(M130), (M130 - $B130) / $B130, "")</f>
        <v>5.6497175141242938E-2</v>
      </c>
      <c r="O130" s="108">
        <f>IF(ISNUMBER(M130), $B145 * N130, "")</f>
        <v>16949.152542372882</v>
      </c>
      <c r="Q130" s="138"/>
      <c r="R130" s="138"/>
      <c r="S130" s="138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138"/>
      <c r="R131" s="138"/>
      <c r="S131" s="138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101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138"/>
      <c r="R132" s="138"/>
      <c r="S132" s="138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101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4">
        <f>IF(ISNUMBER(D134), $B145 * E134, "")</f>
        <v>0</v>
      </c>
      <c r="G134" s="102">
        <v>19.899999999999999</v>
      </c>
      <c r="H134" s="25">
        <f t="shared" si="67"/>
        <v>-9.9502487562190458E-3</v>
      </c>
      <c r="I134" s="103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4">
        <f>IF(ISNUMBER(J134), $B145 * K134, "")</f>
        <v>0</v>
      </c>
      <c r="M134" s="102">
        <v>20.100000000000001</v>
      </c>
      <c r="N134" s="25">
        <f t="shared" si="69"/>
        <v>0</v>
      </c>
      <c r="O134" s="104">
        <f>IF(ISNUMBER(M134), $B145 * N134, "")</f>
        <v>0</v>
      </c>
      <c r="Q134" s="139"/>
      <c r="R134" s="140"/>
      <c r="S134" s="141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100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142"/>
      <c r="R135" s="143"/>
      <c r="S135" s="144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101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145"/>
      <c r="R136" s="146"/>
      <c r="S136" s="147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101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138"/>
      <c r="R137" s="138"/>
      <c r="S137" s="138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101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148"/>
      <c r="R138" s="148"/>
      <c r="S138" s="148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5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148"/>
      <c r="R139" s="148"/>
      <c r="S139" s="148"/>
    </row>
    <row r="140" spans="1:19" ht="17.25" thickBot="1">
      <c r="A140" s="17" t="s">
        <v>186</v>
      </c>
      <c r="B140" s="106">
        <v>26.1</v>
      </c>
      <c r="C140" s="107">
        <v>-3.8167939000000001E-3</v>
      </c>
      <c r="D140" s="106">
        <v>26.6</v>
      </c>
      <c r="E140" s="107">
        <f>IF(ISNUMBER(D140), (D140 - $B140) / $B140, "")</f>
        <v>1.9157088122605363E-2</v>
      </c>
      <c r="F140" s="108">
        <f>IF(ISNUMBER(D140), $B145 * E140, "")</f>
        <v>5747.1264367816084</v>
      </c>
      <c r="G140" s="109">
        <v>26.2</v>
      </c>
      <c r="H140" s="107">
        <f>IF(ISNUMBER(G140), (G140 - $B140) / $B140, "")</f>
        <v>3.8314176245209911E-3</v>
      </c>
      <c r="I140" s="110">
        <f>IF(ISNUMBER(G140), $B145 * H140, "")</f>
        <v>1149.4252873562973</v>
      </c>
      <c r="J140" s="106">
        <v>26.5</v>
      </c>
      <c r="K140" s="107">
        <f>IF(ISNUMBER(J140), (J140 - $B140) / $B140, "")</f>
        <v>1.5325670498084237E-2</v>
      </c>
      <c r="L140" s="108">
        <f>IF(ISNUMBER(J140), $B145 * K140, "")</f>
        <v>4597.7011494252711</v>
      </c>
      <c r="M140" s="109">
        <v>26.3</v>
      </c>
      <c r="N140" s="107">
        <f>IF(ISNUMBER(M140), (M140 - $B140) / $B140, "")</f>
        <v>7.6628352490421183E-3</v>
      </c>
      <c r="O140" s="108">
        <f>IF(ISNUMBER(M140), $B145 * N140, "")</f>
        <v>2298.8505747126355</v>
      </c>
      <c r="Q140" s="138"/>
      <c r="R140" s="138"/>
      <c r="S140" s="138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101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138"/>
      <c r="R141" s="138"/>
      <c r="S141" s="138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101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138"/>
      <c r="R142" s="138"/>
      <c r="S142" s="138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101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127"/>
      <c r="R143" s="128"/>
      <c r="S143" s="129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30"/>
      <c r="R144" s="131"/>
      <c r="S144" s="132"/>
    </row>
    <row r="145" spans="1:19" ht="17.25" thickBot="1">
      <c r="A145" s="26" t="s">
        <v>301</v>
      </c>
      <c r="B145" s="136">
        <f>$B$37</f>
        <v>300000</v>
      </c>
      <c r="C145" s="137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133"/>
      <c r="R145" s="134"/>
      <c r="S145" s="135"/>
    </row>
    <row r="147" spans="1:19" ht="17.25" thickBot="1"/>
    <row r="148" spans="1:19" ht="17.25" thickBot="1">
      <c r="A148" s="149" t="s">
        <v>289</v>
      </c>
      <c r="B148" s="150"/>
      <c r="C148" s="150"/>
      <c r="D148" s="150"/>
      <c r="E148" s="150"/>
      <c r="F148" s="150"/>
      <c r="G148" s="150"/>
      <c r="H148" s="150"/>
      <c r="I148" s="150"/>
      <c r="J148" s="150"/>
      <c r="K148" s="150"/>
      <c r="L148" s="150"/>
      <c r="M148" s="150"/>
      <c r="N148" s="150"/>
      <c r="O148" s="151"/>
      <c r="Q148" s="148"/>
      <c r="R148" s="148"/>
      <c r="S148" s="148"/>
    </row>
    <row r="149" spans="1:19" ht="17.25" thickBot="1">
      <c r="A149" s="111" t="s">
        <v>298</v>
      </c>
      <c r="B149" s="149" t="s">
        <v>49</v>
      </c>
      <c r="C149" s="151"/>
      <c r="D149" s="149" t="s">
        <v>58</v>
      </c>
      <c r="E149" s="150"/>
      <c r="F149" s="151"/>
      <c r="G149" s="152">
        <f>_xlfn.IFNA(VLOOKUP(B149, 현재가테이블!$B$2:$D$200, 2, FALSE), "-")</f>
        <v>69894000</v>
      </c>
      <c r="H149" s="153"/>
      <c r="I149" s="154"/>
      <c r="J149" s="149" t="s">
        <v>59</v>
      </c>
      <c r="K149" s="150"/>
      <c r="L149" s="151"/>
      <c r="M149" s="155">
        <f>_xlfn.IFNA(VLOOKUP(B149, 현재가테이블!$B$2:$D$200, 3, FALSE), "-")</f>
        <v>2.1065856399999999E-2</v>
      </c>
      <c r="N149" s="156"/>
      <c r="O149" s="157"/>
      <c r="Q149" s="148"/>
      <c r="R149" s="148"/>
      <c r="S149" s="148"/>
    </row>
    <row r="150" spans="1:19" ht="17.25" thickBot="1">
      <c r="A150" s="158" t="s">
        <v>55</v>
      </c>
      <c r="B150" s="160" t="str">
        <f>TEXT($G$1, "[$-ko-KR]yyyy-mm-dd(ddd) ") &amp; "오전 00:00"</f>
        <v>2021-05-01(토) 오전 00:00</v>
      </c>
      <c r="C150" s="161"/>
      <c r="D150" s="162" t="str">
        <f>TEXT($G$1, "[$-ko-KR]yyyy-mm-dd(ddd) ") &amp; "오후 14:00"</f>
        <v>2021-05-01(토) 오후 14:00</v>
      </c>
      <c r="E150" s="163"/>
      <c r="F150" s="164"/>
      <c r="G150" s="162" t="str">
        <f>TEXT($G$1, "[$-ko-KR]yyyy-mm-dd(ddd) ") &amp; "오후 19:00"</f>
        <v>2021-05-01(토) 오후 19:00</v>
      </c>
      <c r="H150" s="163"/>
      <c r="I150" s="164"/>
      <c r="J150" s="162" t="str">
        <f>TEXT($G$1, "[$-ko-KR]yyyy-mm-dd(ddd) ") &amp; "오후 21:00"</f>
        <v>2021-05-01(토) 오후 21:00</v>
      </c>
      <c r="K150" s="163"/>
      <c r="L150" s="164"/>
      <c r="M150" s="162" t="str">
        <f>TEXT($G$1+1, "[$-ko-KR]yyyy-mm-dd(ddd) ") &amp; "오전 00:00"</f>
        <v>2021-05-02(일) 오전 00:00</v>
      </c>
      <c r="N150" s="163"/>
      <c r="O150" s="164"/>
      <c r="Q150" s="148"/>
      <c r="R150" s="148"/>
      <c r="S150" s="148"/>
    </row>
    <row r="151" spans="1:19" ht="17.25" thickBot="1">
      <c r="A151" s="159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38"/>
      <c r="R151" s="138"/>
      <c r="S151" s="138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100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148"/>
      <c r="R152" s="148"/>
      <c r="S152" s="148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101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148"/>
      <c r="R153" s="148"/>
      <c r="S153" s="148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101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138"/>
      <c r="R154" s="138"/>
      <c r="S154" s="138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101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138"/>
      <c r="R155" s="138"/>
      <c r="S155" s="138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5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138"/>
      <c r="R156" s="138"/>
      <c r="S156" s="138"/>
    </row>
    <row r="157" spans="1:19" ht="17.25" thickBot="1">
      <c r="A157" s="17" t="s">
        <v>282</v>
      </c>
      <c r="B157" s="106">
        <v>182</v>
      </c>
      <c r="C157" s="107">
        <v>0</v>
      </c>
      <c r="D157" s="106">
        <v>181</v>
      </c>
      <c r="E157" s="107">
        <f>IF(ISNUMBER(D157), (D157 - $B157) / $B157, "")</f>
        <v>-5.4945054945054949E-3</v>
      </c>
      <c r="F157" s="108">
        <f>IF(ISNUMBER(D157), $B172 * E157, "")</f>
        <v>-1648.3516483516485</v>
      </c>
      <c r="G157" s="109">
        <v>182</v>
      </c>
      <c r="H157" s="107">
        <f>IF(ISNUMBER(G157), (G157 - $B157) / $B157, "")</f>
        <v>0</v>
      </c>
      <c r="I157" s="110">
        <f>IF(ISNUMBER(G157), $B172 * H157, "")</f>
        <v>0</v>
      </c>
      <c r="J157" s="106">
        <v>182</v>
      </c>
      <c r="K157" s="107">
        <f>IF(ISNUMBER(J157), (J157 - $B157) / $B157, "")</f>
        <v>0</v>
      </c>
      <c r="L157" s="108">
        <f>IF(ISNUMBER(J157), $B172 * K157, "")</f>
        <v>0</v>
      </c>
      <c r="M157" s="109">
        <v>184</v>
      </c>
      <c r="N157" s="107">
        <f>IF(ISNUMBER(M157), (M157 - $B157) / $B157, "")</f>
        <v>1.098901098901099E-2</v>
      </c>
      <c r="O157" s="108">
        <f>IF(ISNUMBER(M157), $B172 * N157, "")</f>
        <v>3296.7032967032969</v>
      </c>
      <c r="Q157" s="138"/>
      <c r="R157" s="138"/>
      <c r="S157" s="138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101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138"/>
      <c r="R158" s="138"/>
      <c r="S158" s="138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101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138"/>
      <c r="R159" s="138"/>
      <c r="S159" s="138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101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4">
        <f>IF(ISNUMBER(D161), $B172 * E161, "")</f>
        <v>0</v>
      </c>
      <c r="G161" s="102">
        <v>182</v>
      </c>
      <c r="H161" s="25">
        <f t="shared" si="83"/>
        <v>0</v>
      </c>
      <c r="I161" s="103">
        <f>IF(ISNUMBER(G161), $B172 * H161, "")</f>
        <v>0</v>
      </c>
      <c r="J161" s="24">
        <v>185</v>
      </c>
      <c r="K161" s="25">
        <f t="shared" si="84"/>
        <v>1.6483516483516484E-2</v>
      </c>
      <c r="L161" s="104">
        <f>IF(ISNUMBER(J161), $B172 * K161, "")</f>
        <v>4945.0549450549452</v>
      </c>
      <c r="M161" s="102">
        <v>186</v>
      </c>
      <c r="N161" s="25">
        <f t="shared" si="85"/>
        <v>2.197802197802198E-2</v>
      </c>
      <c r="O161" s="104">
        <f>IF(ISNUMBER(M161), $B172 * N161, "")</f>
        <v>6593.4065934065939</v>
      </c>
      <c r="Q161" s="139"/>
      <c r="R161" s="140"/>
      <c r="S161" s="141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100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142"/>
      <c r="R162" s="143"/>
      <c r="S162" s="144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101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145"/>
      <c r="R163" s="146"/>
      <c r="S163" s="147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101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138"/>
      <c r="R164" s="138"/>
      <c r="S164" s="138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101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148"/>
      <c r="R165" s="148"/>
      <c r="S165" s="148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5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148"/>
      <c r="R166" s="148"/>
      <c r="S166" s="148"/>
    </row>
    <row r="167" spans="1:19" ht="17.25" thickBot="1">
      <c r="A167" s="17" t="s">
        <v>258</v>
      </c>
      <c r="B167" s="106">
        <v>751</v>
      </c>
      <c r="C167" s="107">
        <v>-7.9260237999999993E-3</v>
      </c>
      <c r="D167" s="106">
        <v>747</v>
      </c>
      <c r="E167" s="107">
        <f>IF(ISNUMBER(D167), (D167 - $B167) / $B167, "")</f>
        <v>-5.3262316910785623E-3</v>
      </c>
      <c r="F167" s="108">
        <f>IF(ISNUMBER(D167), $B172 * E167, "")</f>
        <v>-1597.8695073235688</v>
      </c>
      <c r="G167" s="109">
        <v>746</v>
      </c>
      <c r="H167" s="107">
        <f>IF(ISNUMBER(G167), (G167 - $B167) / $B167, "")</f>
        <v>-6.6577896138482022E-3</v>
      </c>
      <c r="I167" s="110">
        <f>IF(ISNUMBER(G167), $B172 * H167, "")</f>
        <v>-1997.3368841544607</v>
      </c>
      <c r="J167" s="106">
        <v>748</v>
      </c>
      <c r="K167" s="107">
        <f>IF(ISNUMBER(J167), (J167 - $B167) / $B167, "")</f>
        <v>-3.9946737683089215E-3</v>
      </c>
      <c r="L167" s="108">
        <f>IF(ISNUMBER(J167), $B172 * K167, "")</f>
        <v>-1198.4021304926764</v>
      </c>
      <c r="M167" s="109">
        <v>751</v>
      </c>
      <c r="N167" s="107">
        <f>IF(ISNUMBER(M167), (M167 - $B167) / $B167, "")</f>
        <v>0</v>
      </c>
      <c r="O167" s="108">
        <f>IF(ISNUMBER(M167), $B172 * N167, "")</f>
        <v>0</v>
      </c>
      <c r="Q167" s="138"/>
      <c r="R167" s="138"/>
      <c r="S167" s="138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101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138"/>
      <c r="R168" s="138"/>
      <c r="S168" s="138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101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138"/>
      <c r="R169" s="138"/>
      <c r="S169" s="138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101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127"/>
      <c r="R170" s="128"/>
      <c r="S170" s="129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4">
        <f>IF(ISNUMBER(D171), $B172 * E171, "")</f>
        <v>1025.6410256410256</v>
      </c>
      <c r="G171" s="102">
        <v>588</v>
      </c>
      <c r="H171" s="25">
        <f t="shared" si="91"/>
        <v>5.1282051282051282E-3</v>
      </c>
      <c r="I171" s="103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4">
        <f>IF(ISNUMBER(J171), $B172 * K171, "")</f>
        <v>2051.2820512820513</v>
      </c>
      <c r="M171" s="102">
        <v>589</v>
      </c>
      <c r="N171" s="25">
        <f t="shared" si="93"/>
        <v>6.8376068376068376E-3</v>
      </c>
      <c r="O171" s="104">
        <f>IF(ISNUMBER(M171), $B172 * N171, "")</f>
        <v>2051.2820512820513</v>
      </c>
      <c r="Q171" s="130"/>
      <c r="R171" s="131"/>
      <c r="S171" s="132"/>
    </row>
    <row r="172" spans="1:19" ht="17.25" thickBot="1">
      <c r="A172" s="26" t="s">
        <v>301</v>
      </c>
      <c r="B172" s="136">
        <f>$B$37</f>
        <v>300000</v>
      </c>
      <c r="C172" s="137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133"/>
      <c r="R172" s="134"/>
      <c r="S172" s="135"/>
    </row>
    <row r="174" spans="1:19" ht="17.25" thickBot="1"/>
    <row r="175" spans="1:19" ht="17.25" thickBot="1">
      <c r="A175" s="149" t="s">
        <v>285</v>
      </c>
      <c r="B175" s="150"/>
      <c r="C175" s="150"/>
      <c r="D175" s="150"/>
      <c r="E175" s="150"/>
      <c r="F175" s="150"/>
      <c r="G175" s="150"/>
      <c r="H175" s="150"/>
      <c r="I175" s="150"/>
      <c r="J175" s="150"/>
      <c r="K175" s="150"/>
      <c r="L175" s="150"/>
      <c r="M175" s="150"/>
      <c r="N175" s="150"/>
      <c r="O175" s="151"/>
      <c r="Q175" s="148"/>
      <c r="R175" s="148"/>
      <c r="S175" s="148"/>
    </row>
    <row r="176" spans="1:19" ht="17.25" thickBot="1">
      <c r="A176" s="111" t="s">
        <v>298</v>
      </c>
      <c r="B176" s="149" t="s">
        <v>49</v>
      </c>
      <c r="C176" s="151"/>
      <c r="D176" s="149" t="s">
        <v>58</v>
      </c>
      <c r="E176" s="150"/>
      <c r="F176" s="151"/>
      <c r="G176" s="152">
        <f>_xlfn.IFNA(VLOOKUP(B176, 현재가테이블!$B$2:$D$200, 2, FALSE), "-")</f>
        <v>69894000</v>
      </c>
      <c r="H176" s="153"/>
      <c r="I176" s="154"/>
      <c r="J176" s="149" t="s">
        <v>59</v>
      </c>
      <c r="K176" s="150"/>
      <c r="L176" s="151"/>
      <c r="M176" s="155">
        <f>_xlfn.IFNA(VLOOKUP(B176, 현재가테이블!$B$2:$D$200, 3, FALSE), "-")</f>
        <v>2.1065856399999999E-2</v>
      </c>
      <c r="N176" s="156"/>
      <c r="O176" s="157"/>
      <c r="Q176" s="148"/>
      <c r="R176" s="148"/>
      <c r="S176" s="148"/>
    </row>
    <row r="177" spans="1:19" ht="17.25" thickBot="1">
      <c r="A177" s="158" t="s">
        <v>55</v>
      </c>
      <c r="B177" s="160" t="str">
        <f>TEXT($G$1, "[$-ko-KR]yyyy-mm-dd(ddd) ") &amp; "오전 00:00"</f>
        <v>2021-05-01(토) 오전 00:00</v>
      </c>
      <c r="C177" s="161"/>
      <c r="D177" s="162" t="str">
        <f>TEXT($G$1, "[$-ko-KR]yyyy-mm-dd(ddd) ") &amp; "오후 14:00"</f>
        <v>2021-05-01(토) 오후 14:00</v>
      </c>
      <c r="E177" s="163"/>
      <c r="F177" s="164"/>
      <c r="G177" s="162" t="str">
        <f>TEXT($G$1, "[$-ko-KR]yyyy-mm-dd(ddd) ") &amp; "오후 19:00"</f>
        <v>2021-05-01(토) 오후 19:00</v>
      </c>
      <c r="H177" s="163"/>
      <c r="I177" s="164"/>
      <c r="J177" s="162" t="str">
        <f>TEXT($G$1, "[$-ko-KR]yyyy-mm-dd(ddd) ") &amp; "오후 21:00"</f>
        <v>2021-05-01(토) 오후 21:00</v>
      </c>
      <c r="K177" s="163"/>
      <c r="L177" s="164"/>
      <c r="M177" s="162" t="str">
        <f>TEXT($G$1+1, "[$-ko-KR]yyyy-mm-dd(ddd) ") &amp; "오전 00:00"</f>
        <v>2021-05-02(일) 오전 00:00</v>
      </c>
      <c r="N177" s="163"/>
      <c r="O177" s="164"/>
      <c r="Q177" s="148"/>
      <c r="R177" s="148"/>
      <c r="S177" s="148"/>
    </row>
    <row r="178" spans="1:19" ht="17.25" thickBot="1">
      <c r="A178" s="159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38"/>
      <c r="R178" s="138"/>
      <c r="S178" s="138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100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148"/>
      <c r="R179" s="148"/>
      <c r="S179" s="148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101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148"/>
      <c r="R180" s="148"/>
      <c r="S180" s="148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101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138"/>
      <c r="R181" s="138"/>
      <c r="S181" s="138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101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138"/>
      <c r="R182" s="138"/>
      <c r="S182" s="138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5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138"/>
      <c r="R183" s="138"/>
      <c r="S183" s="138"/>
    </row>
    <row r="184" spans="1:19" ht="17.25" thickBot="1">
      <c r="A184" s="17" t="s">
        <v>246</v>
      </c>
      <c r="B184" s="106">
        <v>438</v>
      </c>
      <c r="C184" s="107">
        <v>-9.0497738000000008E-3</v>
      </c>
      <c r="D184" s="106">
        <v>443</v>
      </c>
      <c r="E184" s="107">
        <f>IF(ISNUMBER(D184), (D184 - $B184) / $B184, "")</f>
        <v>1.1415525114155251E-2</v>
      </c>
      <c r="F184" s="108">
        <f>IF(ISNUMBER(D184), $B199 * E184, "")</f>
        <v>3424.6575342465753</v>
      </c>
      <c r="G184" s="109">
        <v>441</v>
      </c>
      <c r="H184" s="107">
        <f>IF(ISNUMBER(G184), (G184 - $B184) / $B184, "")</f>
        <v>6.8493150684931503E-3</v>
      </c>
      <c r="I184" s="110">
        <f>IF(ISNUMBER(G184), $B199 * H184, "")</f>
        <v>2054.794520547945</v>
      </c>
      <c r="J184" s="106">
        <v>444</v>
      </c>
      <c r="K184" s="107">
        <f>IF(ISNUMBER(J184), (J184 - $B184) / $B184, "")</f>
        <v>1.3698630136986301E-2</v>
      </c>
      <c r="L184" s="108">
        <f>IF(ISNUMBER(J184), $B199 * K184, "")</f>
        <v>4109.58904109589</v>
      </c>
      <c r="M184" s="109">
        <v>444</v>
      </c>
      <c r="N184" s="107">
        <f>IF(ISNUMBER(M184), (M184 - $B184) / $B184, "")</f>
        <v>1.3698630136986301E-2</v>
      </c>
      <c r="O184" s="108">
        <f>IF(ISNUMBER(M184), $B199 * N184, "")</f>
        <v>4109.58904109589</v>
      </c>
      <c r="Q184" s="138"/>
      <c r="R184" s="138"/>
      <c r="S184" s="138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101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138"/>
      <c r="R185" s="138"/>
      <c r="S185" s="138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101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138"/>
      <c r="R186" s="138"/>
      <c r="S186" s="138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101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4">
        <f>IF(ISNUMBER(D188), $B199 * E188, "")</f>
        <v>1145.0381679389313</v>
      </c>
      <c r="G188" s="102">
        <v>526</v>
      </c>
      <c r="H188" s="25">
        <f t="shared" si="99"/>
        <v>3.8167938931297708E-3</v>
      </c>
      <c r="I188" s="103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4">
        <f>IF(ISNUMBER(J188), $B199 * K188, "")</f>
        <v>3435.1145038167938</v>
      </c>
      <c r="M188" s="102">
        <v>530</v>
      </c>
      <c r="N188" s="25">
        <f t="shared" si="101"/>
        <v>1.1450381679389313E-2</v>
      </c>
      <c r="O188" s="104">
        <f>IF(ISNUMBER(M188), $B199 * N188, "")</f>
        <v>3435.1145038167938</v>
      </c>
      <c r="Q188" s="139"/>
      <c r="R188" s="140"/>
      <c r="S188" s="141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100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142"/>
      <c r="R189" s="143"/>
      <c r="S189" s="144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101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145"/>
      <c r="R190" s="146"/>
      <c r="S190" s="147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101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138"/>
      <c r="R191" s="138"/>
      <c r="S191" s="138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101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148"/>
      <c r="R192" s="148"/>
      <c r="S192" s="148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5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148"/>
      <c r="R193" s="148"/>
      <c r="S193" s="148"/>
    </row>
    <row r="194" spans="1:19" ht="17.25" thickBot="1">
      <c r="A194" s="17" t="s">
        <v>158</v>
      </c>
      <c r="B194" s="106">
        <v>11710</v>
      </c>
      <c r="C194" s="107">
        <v>-2.98260149E-2</v>
      </c>
      <c r="D194" s="106">
        <v>11610</v>
      </c>
      <c r="E194" s="107">
        <f>IF(ISNUMBER(D194), (D194 - $B194) / $B194, "")</f>
        <v>-8.539709649871904E-3</v>
      </c>
      <c r="F194" s="108">
        <f>IF(ISNUMBER(D194), $B199 * E194, "")</f>
        <v>-2561.9128949615711</v>
      </c>
      <c r="G194" s="109">
        <v>11460</v>
      </c>
      <c r="H194" s="107">
        <f>IF(ISNUMBER(G194), (G194 - $B194) / $B194, "")</f>
        <v>-2.1349274124679761E-2</v>
      </c>
      <c r="I194" s="110">
        <f>IF(ISNUMBER(G194), $B199 * H194, "")</f>
        <v>-6404.7822374039279</v>
      </c>
      <c r="J194" s="106">
        <v>11510</v>
      </c>
      <c r="K194" s="107">
        <f>IF(ISNUMBER(J194), (J194 - $B194) / $B194, "")</f>
        <v>-1.7079419299743808E-2</v>
      </c>
      <c r="L194" s="108">
        <f>IF(ISNUMBER(J194), $B199 * K194, "")</f>
        <v>-5123.8257899231421</v>
      </c>
      <c r="M194" s="109">
        <v>11480</v>
      </c>
      <c r="N194" s="107">
        <f>IF(ISNUMBER(M194), (M194 - $B194) / $B194, "")</f>
        <v>-1.9641332194705381E-2</v>
      </c>
      <c r="O194" s="108">
        <f>IF(ISNUMBER(M194), $B199 * N194, "")</f>
        <v>-5892.3996584116139</v>
      </c>
      <c r="Q194" s="138"/>
      <c r="R194" s="138"/>
      <c r="S194" s="138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101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138"/>
      <c r="R195" s="138"/>
      <c r="S195" s="138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101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138"/>
      <c r="R196" s="138"/>
      <c r="S196" s="138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101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127"/>
      <c r="R197" s="128"/>
      <c r="S197" s="129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4">
        <f>IF(ISNUMBER(D198), $B199 * E198, "")</f>
        <v>-598.80239520958082</v>
      </c>
      <c r="G198" s="102">
        <v>9980</v>
      </c>
      <c r="H198" s="25">
        <f t="shared" si="107"/>
        <v>-3.9920159680638719E-3</v>
      </c>
      <c r="I198" s="103">
        <f>IF(ISNUMBER(G198), $B199 * H198, "")</f>
        <v>-1197.6047904191616</v>
      </c>
      <c r="J198" s="24">
        <v>10020</v>
      </c>
      <c r="K198" s="25">
        <f t="shared" si="108"/>
        <v>0</v>
      </c>
      <c r="L198" s="104">
        <f>IF(ISNUMBER(J198), $B199 * K198, "")</f>
        <v>0</v>
      </c>
      <c r="M198" s="102">
        <v>10040</v>
      </c>
      <c r="N198" s="25">
        <f t="shared" si="109"/>
        <v>1.996007984031936E-3</v>
      </c>
      <c r="O198" s="104">
        <f>IF(ISNUMBER(M198), $B199 * N198, "")</f>
        <v>598.80239520958082</v>
      </c>
      <c r="Q198" s="130"/>
      <c r="R198" s="131"/>
      <c r="S198" s="132"/>
    </row>
    <row r="199" spans="1:19" ht="17.25" thickBot="1">
      <c r="A199" s="26" t="s">
        <v>301</v>
      </c>
      <c r="B199" s="136">
        <f>$B$37</f>
        <v>300000</v>
      </c>
      <c r="C199" s="137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133"/>
      <c r="R199" s="134"/>
      <c r="S199" s="13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37" priority="157">
      <formula>AND($N17 &gt; 0, ISNUMBER($N17))</formula>
    </cfRule>
    <cfRule type="expression" dxfId="736" priority="158">
      <formula>AND($N17 = 0 * ISNUMBER($N17))</formula>
    </cfRule>
    <cfRule type="expression" dxfId="735" priority="159">
      <formula>AND($N17 &lt; 0, ISNUMBER($N17))</formula>
    </cfRule>
  </conditionalFormatting>
  <conditionalFormatting sqref="A17:F36">
    <cfRule type="expression" dxfId="734" priority="166">
      <formula>AND($E17 &gt; 0, ISNUMBER($E17))</formula>
    </cfRule>
    <cfRule type="expression" dxfId="733" priority="167">
      <formula>AND($E17 = 0 * ISNUMBER($E17))</formula>
    </cfRule>
    <cfRule type="expression" dxfId="732" priority="168">
      <formula>AND($E17 &lt; 0, ISNUMBER($E17))</formula>
    </cfRule>
  </conditionalFormatting>
  <conditionalFormatting sqref="A17:C36 G17:I36">
    <cfRule type="expression" dxfId="731" priority="163">
      <formula>AND($H17 &gt; 0, ISNUMBER($H17))</formula>
    </cfRule>
    <cfRule type="expression" dxfId="730" priority="164">
      <formula>AND($H17 = 0 * ISNUMBER($H17))</formula>
    </cfRule>
    <cfRule type="expression" dxfId="729" priority="165">
      <formula>AND($H17 &lt; 0, ISNUMBER($H17))</formula>
    </cfRule>
  </conditionalFormatting>
  <conditionalFormatting sqref="A17:C36 J17:L36">
    <cfRule type="expression" dxfId="728" priority="160">
      <formula>AND($K17 &gt; 0, ISNUMBER($K17))</formula>
    </cfRule>
    <cfRule type="expression" dxfId="727" priority="161">
      <formula>AND($K17 = 0 * ISNUMBER($K17))</formula>
    </cfRule>
    <cfRule type="expression" dxfId="726" priority="162">
      <formula>AND($K17 &lt; 0, ISNUMBER($K17))</formula>
    </cfRule>
  </conditionalFormatting>
  <conditionalFormatting sqref="D15:F16 E37:F37">
    <cfRule type="expression" dxfId="725" priority="154">
      <formula>$E$37 &gt; 0</formula>
    </cfRule>
    <cfRule type="expression" dxfId="724" priority="155">
      <formula>$E$37 = 0</formula>
    </cfRule>
    <cfRule type="expression" dxfId="723" priority="156">
      <formula>$E$37 &lt; 0</formula>
    </cfRule>
  </conditionalFormatting>
  <conditionalFormatting sqref="G15:I16 H37:I37">
    <cfRule type="expression" dxfId="722" priority="151">
      <formula>$H$37 &gt; 0</formula>
    </cfRule>
    <cfRule type="expression" dxfId="721" priority="152">
      <formula>$H$37 = 0</formula>
    </cfRule>
    <cfRule type="expression" dxfId="720" priority="153">
      <formula>$H$37 &lt; 0</formula>
    </cfRule>
  </conditionalFormatting>
  <conditionalFormatting sqref="J15:L16 K37:L37">
    <cfRule type="expression" dxfId="719" priority="148">
      <formula>$K$37 &gt; 0</formula>
    </cfRule>
    <cfRule type="expression" dxfId="718" priority="149">
      <formula>$K$37 = 0</formula>
    </cfRule>
    <cfRule type="expression" dxfId="717" priority="150">
      <formula>$K$37 &lt; 0</formula>
    </cfRule>
  </conditionalFormatting>
  <conditionalFormatting sqref="M15:O16 N37:O37">
    <cfRule type="expression" dxfId="716" priority="145">
      <formula>$N$37 &gt; 0</formula>
    </cfRule>
    <cfRule type="expression" dxfId="715" priority="146">
      <formula>$N$37 = 0</formula>
    </cfRule>
    <cfRule type="expression" dxfId="714" priority="147">
      <formula>$N$37 &lt; 0</formula>
    </cfRule>
  </conditionalFormatting>
  <conditionalFormatting sqref="A44:C63 M44:O63">
    <cfRule type="expression" dxfId="713" priority="133">
      <formula>AND($N44 &gt; 0, ISNUMBER($N44))</formula>
    </cfRule>
    <cfRule type="expression" dxfId="712" priority="134">
      <formula>AND($N44 = 0 * ISNUMBER($N44))</formula>
    </cfRule>
    <cfRule type="expression" dxfId="711" priority="135">
      <formula>AND($N44 &lt; 0, ISNUMBER($N44))</formula>
    </cfRule>
  </conditionalFormatting>
  <conditionalFormatting sqref="A44:F63">
    <cfRule type="expression" dxfId="710" priority="142">
      <formula>AND($E44 &gt; 0, ISNUMBER($E44))</formula>
    </cfRule>
    <cfRule type="expression" dxfId="709" priority="143">
      <formula>AND($E44 = 0 * ISNUMBER($E44))</formula>
    </cfRule>
    <cfRule type="expression" dxfId="708" priority="144">
      <formula>AND($E44 &lt; 0, ISNUMBER($E44))</formula>
    </cfRule>
  </conditionalFormatting>
  <conditionalFormatting sqref="A44:C63 G44:I63">
    <cfRule type="expression" dxfId="707" priority="139">
      <formula>AND($H44 &gt; 0, ISNUMBER($H44))</formula>
    </cfRule>
    <cfRule type="expression" dxfId="706" priority="140">
      <formula>AND($H44 = 0 * ISNUMBER($H44))</formula>
    </cfRule>
    <cfRule type="expression" dxfId="705" priority="141">
      <formula>AND($H44 &lt; 0, ISNUMBER($H44))</formula>
    </cfRule>
  </conditionalFormatting>
  <conditionalFormatting sqref="A44:C63 J44:L63">
    <cfRule type="expression" dxfId="704" priority="136">
      <formula>AND($K44 &gt; 0, ISNUMBER($K44))</formula>
    </cfRule>
    <cfRule type="expression" dxfId="703" priority="137">
      <formula>AND($K44 = 0 * ISNUMBER($K44))</formula>
    </cfRule>
    <cfRule type="expression" dxfId="702" priority="138">
      <formula>AND($K44 &lt; 0, ISNUMBER($K44))</formula>
    </cfRule>
  </conditionalFormatting>
  <conditionalFormatting sqref="D42:F43 E64:F64">
    <cfRule type="expression" dxfId="701" priority="130">
      <formula>$E$64 &gt; 0</formula>
    </cfRule>
    <cfRule type="expression" dxfId="700" priority="131">
      <formula>$E$64 = 0</formula>
    </cfRule>
    <cfRule type="expression" dxfId="699" priority="132">
      <formula>$E$64 &lt; 0</formula>
    </cfRule>
  </conditionalFormatting>
  <conditionalFormatting sqref="G42:I43 H64:I64">
    <cfRule type="expression" dxfId="698" priority="127">
      <formula>$H$64 &gt; 0</formula>
    </cfRule>
    <cfRule type="expression" dxfId="697" priority="128">
      <formula>$H$64 = 0</formula>
    </cfRule>
    <cfRule type="expression" dxfId="696" priority="129">
      <formula>$H$64 &lt; 0</formula>
    </cfRule>
  </conditionalFormatting>
  <conditionalFormatting sqref="J42:L43 K64:L64">
    <cfRule type="expression" dxfId="695" priority="124">
      <formula>$K$64 &gt; 0</formula>
    </cfRule>
    <cfRule type="expression" dxfId="694" priority="125">
      <formula>$K$64 = 0</formula>
    </cfRule>
    <cfRule type="expression" dxfId="693" priority="126">
      <formula>$K$64 &lt; 0</formula>
    </cfRule>
  </conditionalFormatting>
  <conditionalFormatting sqref="M42:O43 N64:O64">
    <cfRule type="expression" dxfId="692" priority="121">
      <formula>$N$64 &gt; 0</formula>
    </cfRule>
    <cfRule type="expression" dxfId="691" priority="122">
      <formula>$N$64 = 0</formula>
    </cfRule>
    <cfRule type="expression" dxfId="690" priority="123">
      <formula>$N$64 &lt; 0</formula>
    </cfRule>
  </conditionalFormatting>
  <conditionalFormatting sqref="A71:C90 M71:O90">
    <cfRule type="expression" dxfId="689" priority="109">
      <formula>AND($N71 &gt; 0, ISNUMBER($N71))</formula>
    </cfRule>
    <cfRule type="expression" dxfId="688" priority="110">
      <formula>AND($N71 = 0 * ISNUMBER($N71))</formula>
    </cfRule>
    <cfRule type="expression" dxfId="687" priority="111">
      <formula>AND($N71 &lt; 0, ISNUMBER($N71))</formula>
    </cfRule>
  </conditionalFormatting>
  <conditionalFormatting sqref="A71:F90">
    <cfRule type="expression" dxfId="686" priority="118">
      <formula>AND($E71 &gt; 0, ISNUMBER($E71))</formula>
    </cfRule>
    <cfRule type="expression" dxfId="685" priority="119">
      <formula>AND($E71 = 0 * ISNUMBER($E71))</formula>
    </cfRule>
    <cfRule type="expression" dxfId="684" priority="120">
      <formula>AND($E71 &lt; 0, ISNUMBER($E71))</formula>
    </cfRule>
  </conditionalFormatting>
  <conditionalFormatting sqref="A71:C90 G71:I90">
    <cfRule type="expression" dxfId="683" priority="115">
      <formula>AND($H71 &gt; 0, ISNUMBER($H71))</formula>
    </cfRule>
    <cfRule type="expression" dxfId="682" priority="116">
      <formula>AND($H71 = 0 * ISNUMBER($H71))</formula>
    </cfRule>
    <cfRule type="expression" dxfId="681" priority="117">
      <formula>AND($H71 &lt; 0, ISNUMBER($H71))</formula>
    </cfRule>
  </conditionalFormatting>
  <conditionalFormatting sqref="A71:C90 J71:L90">
    <cfRule type="expression" dxfId="680" priority="112">
      <formula>AND($K71 &gt; 0, ISNUMBER($K71))</formula>
    </cfRule>
    <cfRule type="expression" dxfId="679" priority="113">
      <formula>AND($K71 = 0 * ISNUMBER($K71))</formula>
    </cfRule>
    <cfRule type="expression" dxfId="678" priority="114">
      <formula>AND($K71 &lt; 0, ISNUMBER($K71))</formula>
    </cfRule>
  </conditionalFormatting>
  <conditionalFormatting sqref="D69:F70 E91:F91">
    <cfRule type="expression" dxfId="677" priority="106">
      <formula>$E$91 &gt; 0</formula>
    </cfRule>
    <cfRule type="expression" dxfId="676" priority="107">
      <formula>$E$91 = 0</formula>
    </cfRule>
    <cfRule type="expression" dxfId="675" priority="108">
      <formula>$E$91 &lt; 0</formula>
    </cfRule>
  </conditionalFormatting>
  <conditionalFormatting sqref="G69:I70 H91:I91">
    <cfRule type="expression" dxfId="674" priority="103">
      <formula>$H$91 &gt; 0</formula>
    </cfRule>
    <cfRule type="expression" dxfId="673" priority="104">
      <formula>$H$91 = 0</formula>
    </cfRule>
    <cfRule type="expression" dxfId="672" priority="105">
      <formula>$H$91 &lt; 0</formula>
    </cfRule>
  </conditionalFormatting>
  <conditionalFormatting sqref="J69:L70 K91:L91">
    <cfRule type="expression" dxfId="671" priority="100">
      <formula>$K$91 &gt; 0</formula>
    </cfRule>
    <cfRule type="expression" dxfId="670" priority="101">
      <formula>$K$91 = 0</formula>
    </cfRule>
    <cfRule type="expression" dxfId="669" priority="102">
      <formula>$K$91 &lt; 0</formula>
    </cfRule>
  </conditionalFormatting>
  <conditionalFormatting sqref="M69:O70 N91:O91">
    <cfRule type="expression" dxfId="668" priority="97">
      <formula>$N$91 &gt; 0</formula>
    </cfRule>
    <cfRule type="expression" dxfId="667" priority="98">
      <formula>$N$91 = 0</formula>
    </cfRule>
    <cfRule type="expression" dxfId="666" priority="99">
      <formula>$N$91 &lt; 0</formula>
    </cfRule>
  </conditionalFormatting>
  <conditionalFormatting sqref="A98:C117 M98:O117">
    <cfRule type="expression" dxfId="665" priority="85">
      <formula>AND($N98 &gt; 0, ISNUMBER($N98))</formula>
    </cfRule>
    <cfRule type="expression" dxfId="664" priority="86">
      <formula>AND($N98 = 0 * ISNUMBER($N98))</formula>
    </cfRule>
    <cfRule type="expression" dxfId="663" priority="87">
      <formula>AND($N98 &lt; 0, ISNUMBER($N98))</formula>
    </cfRule>
  </conditionalFormatting>
  <conditionalFormatting sqref="A98:F117">
    <cfRule type="expression" dxfId="662" priority="94">
      <formula>AND($E98 &gt; 0, ISNUMBER($E98))</formula>
    </cfRule>
    <cfRule type="expression" dxfId="661" priority="95">
      <formula>AND($E98 = 0 * ISNUMBER($E98))</formula>
    </cfRule>
    <cfRule type="expression" dxfId="660" priority="96">
      <formula>AND($E98 &lt; 0, ISNUMBER($E98))</formula>
    </cfRule>
  </conditionalFormatting>
  <conditionalFormatting sqref="A98:C117 G98:I117">
    <cfRule type="expression" dxfId="659" priority="91">
      <formula>AND($H98 &gt; 0, ISNUMBER($H98))</formula>
    </cfRule>
    <cfRule type="expression" dxfId="658" priority="92">
      <formula>AND($H98 = 0 * ISNUMBER($H98))</formula>
    </cfRule>
    <cfRule type="expression" dxfId="657" priority="93">
      <formula>AND($H98 &lt; 0, ISNUMBER($H98))</formula>
    </cfRule>
  </conditionalFormatting>
  <conditionalFormatting sqref="A98:C117 J98:L117">
    <cfRule type="expression" dxfId="656" priority="88">
      <formula>AND($K98 &gt; 0, ISNUMBER($K98))</formula>
    </cfRule>
    <cfRule type="expression" dxfId="655" priority="89">
      <formula>AND($K98 = 0 * ISNUMBER($K98))</formula>
    </cfRule>
    <cfRule type="expression" dxfId="654" priority="90">
      <formula>AND($K98 &lt; 0, ISNUMBER($K98))</formula>
    </cfRule>
  </conditionalFormatting>
  <conditionalFormatting sqref="D96:F97 E118:F118">
    <cfRule type="expression" dxfId="653" priority="82">
      <formula>$E$118 &gt; 0</formula>
    </cfRule>
    <cfRule type="expression" dxfId="652" priority="83">
      <formula>$E$118 = 0</formula>
    </cfRule>
    <cfRule type="expression" dxfId="651" priority="84">
      <formula>$E$118 &lt; 0</formula>
    </cfRule>
  </conditionalFormatting>
  <conditionalFormatting sqref="G96:I97 H118:I118">
    <cfRule type="expression" dxfId="650" priority="79">
      <formula>$H$118 &gt; 0</formula>
    </cfRule>
    <cfRule type="expression" dxfId="649" priority="80">
      <formula>$H$118 = 0</formula>
    </cfRule>
    <cfRule type="expression" dxfId="648" priority="81">
      <formula>$H$118 &lt; 0</formula>
    </cfRule>
  </conditionalFormatting>
  <conditionalFormatting sqref="J96:L97 K118:L118">
    <cfRule type="expression" dxfId="647" priority="76">
      <formula>$K$118 &gt; 0</formula>
    </cfRule>
    <cfRule type="expression" dxfId="646" priority="77">
      <formula>$K$118 = 0</formula>
    </cfRule>
    <cfRule type="expression" dxfId="645" priority="78">
      <formula>$K$118 &lt; 0</formula>
    </cfRule>
  </conditionalFormatting>
  <conditionalFormatting sqref="M96:O97 N118:O118">
    <cfRule type="expression" dxfId="644" priority="73">
      <formula>$N$118 &gt; 0</formula>
    </cfRule>
    <cfRule type="expression" dxfId="643" priority="74">
      <formula>$N$118 = 0</formula>
    </cfRule>
    <cfRule type="expression" dxfId="642" priority="75">
      <formula>$N$118 &lt; 0</formula>
    </cfRule>
  </conditionalFormatting>
  <conditionalFormatting sqref="A125:C144 M125:O144">
    <cfRule type="expression" dxfId="641" priority="61">
      <formula>AND($N125 &gt; 0, ISNUMBER($N125))</formula>
    </cfRule>
    <cfRule type="expression" dxfId="640" priority="62">
      <formula>AND($N125 = 0 * ISNUMBER($N125))</formula>
    </cfRule>
    <cfRule type="expression" dxfId="639" priority="63">
      <formula>AND($N125 &lt; 0, ISNUMBER($N125))</formula>
    </cfRule>
  </conditionalFormatting>
  <conditionalFormatting sqref="A125:F144">
    <cfRule type="expression" dxfId="638" priority="70">
      <formula>AND($E125 &gt; 0, ISNUMBER($E125))</formula>
    </cfRule>
    <cfRule type="expression" dxfId="637" priority="71">
      <formula>AND($E125 = 0 * ISNUMBER($E125))</formula>
    </cfRule>
    <cfRule type="expression" dxfId="636" priority="72">
      <formula>AND($E125 &lt; 0, ISNUMBER($E125))</formula>
    </cfRule>
  </conditionalFormatting>
  <conditionalFormatting sqref="A125:C144 G125:I144">
    <cfRule type="expression" dxfId="635" priority="67">
      <formula>AND($H125 &gt; 0, ISNUMBER($H125))</formula>
    </cfRule>
    <cfRule type="expression" dxfId="634" priority="68">
      <formula>AND($H125 = 0 * ISNUMBER($H125))</formula>
    </cfRule>
    <cfRule type="expression" dxfId="633" priority="69">
      <formula>AND($H125 &lt; 0, ISNUMBER($H125))</formula>
    </cfRule>
  </conditionalFormatting>
  <conditionalFormatting sqref="A125:C144 J125:L144">
    <cfRule type="expression" dxfId="632" priority="64">
      <formula>AND($K125 &gt; 0, ISNUMBER($K125))</formula>
    </cfRule>
    <cfRule type="expression" dxfId="631" priority="65">
      <formula>AND($K125 = 0 * ISNUMBER($K125))</formula>
    </cfRule>
    <cfRule type="expression" dxfId="630" priority="66">
      <formula>AND($K125 &lt; 0, ISNUMBER($K125))</formula>
    </cfRule>
  </conditionalFormatting>
  <conditionalFormatting sqref="D123:F124 E145:F145">
    <cfRule type="expression" dxfId="629" priority="58">
      <formula>$E$145 &gt; 0</formula>
    </cfRule>
    <cfRule type="expression" dxfId="628" priority="59">
      <formula>$E$145 = 0</formula>
    </cfRule>
    <cfRule type="expression" dxfId="627" priority="60">
      <formula>$E$145 &lt; 0</formula>
    </cfRule>
  </conditionalFormatting>
  <conditionalFormatting sqref="G123:I124 H145:I145">
    <cfRule type="expression" dxfId="626" priority="55">
      <formula>$H$145 &gt; 0</formula>
    </cfRule>
    <cfRule type="expression" dxfId="625" priority="56">
      <formula>$H$145 = 0</formula>
    </cfRule>
    <cfRule type="expression" dxfId="624" priority="57">
      <formula>$H$145 &lt; 0</formula>
    </cfRule>
  </conditionalFormatting>
  <conditionalFormatting sqref="J123:L124 K145:L145">
    <cfRule type="expression" dxfId="623" priority="52">
      <formula>$K$145 &gt; 0</formula>
    </cfRule>
    <cfRule type="expression" dxfId="622" priority="53">
      <formula>$K$145 = 0</formula>
    </cfRule>
    <cfRule type="expression" dxfId="621" priority="54">
      <formula>$K$145 &lt; 0</formula>
    </cfRule>
  </conditionalFormatting>
  <conditionalFormatting sqref="M123:O124 N145:O145">
    <cfRule type="expression" dxfId="620" priority="49">
      <formula>$N$145 &gt; 0</formula>
    </cfRule>
    <cfRule type="expression" dxfId="619" priority="50">
      <formula>$N$145 = 0</formula>
    </cfRule>
    <cfRule type="expression" dxfId="618" priority="51">
      <formula>$N$145 &lt; 0</formula>
    </cfRule>
  </conditionalFormatting>
  <conditionalFormatting sqref="A152:C171 M152:O171">
    <cfRule type="expression" dxfId="617" priority="37">
      <formula>AND($N152 &gt; 0, ISNUMBER($N152))</formula>
    </cfRule>
    <cfRule type="expression" dxfId="616" priority="38">
      <formula>AND($N152 = 0 * ISNUMBER($N152))</formula>
    </cfRule>
    <cfRule type="expression" dxfId="615" priority="39">
      <formula>AND($N152 &lt; 0, ISNUMBER($N152))</formula>
    </cfRule>
  </conditionalFormatting>
  <conditionalFormatting sqref="A152:F171">
    <cfRule type="expression" dxfId="614" priority="46">
      <formula>AND($E152 &gt; 0, ISNUMBER($E152))</formula>
    </cfRule>
    <cfRule type="expression" dxfId="613" priority="47">
      <formula>AND($E152 = 0 * ISNUMBER($E152))</formula>
    </cfRule>
    <cfRule type="expression" dxfId="612" priority="48">
      <formula>AND($E152 &lt; 0, ISNUMBER($E152))</formula>
    </cfRule>
  </conditionalFormatting>
  <conditionalFormatting sqref="A152:C171 G152:I171">
    <cfRule type="expression" dxfId="611" priority="43">
      <formula>AND($H152 &gt; 0, ISNUMBER($H152))</formula>
    </cfRule>
    <cfRule type="expression" dxfId="610" priority="44">
      <formula>AND($H152 = 0 * ISNUMBER($H152))</formula>
    </cfRule>
    <cfRule type="expression" dxfId="609" priority="45">
      <formula>AND($H152 &lt; 0, ISNUMBER($H152))</formula>
    </cfRule>
  </conditionalFormatting>
  <conditionalFormatting sqref="A152:C171 J152:L171">
    <cfRule type="expression" dxfId="608" priority="40">
      <formula>AND($K152 &gt; 0, ISNUMBER($K152))</formula>
    </cfRule>
    <cfRule type="expression" dxfId="607" priority="41">
      <formula>AND($K152 = 0 * ISNUMBER($K152))</formula>
    </cfRule>
    <cfRule type="expression" dxfId="606" priority="42">
      <formula>AND($K152 &lt; 0, ISNUMBER($K152))</formula>
    </cfRule>
  </conditionalFormatting>
  <conditionalFormatting sqref="D150:F151 E172:F172">
    <cfRule type="expression" dxfId="605" priority="34">
      <formula>$E$172 &gt; 0</formula>
    </cfRule>
    <cfRule type="expression" dxfId="604" priority="35">
      <formula>$E$172 = 0</formula>
    </cfRule>
    <cfRule type="expression" dxfId="603" priority="36">
      <formula>$E$172 &lt; 0</formula>
    </cfRule>
  </conditionalFormatting>
  <conditionalFormatting sqref="G150:I151 H172:I172">
    <cfRule type="expression" dxfId="602" priority="31">
      <formula>$H$172 &gt; 0</formula>
    </cfRule>
    <cfRule type="expression" dxfId="601" priority="32">
      <formula>$H$172 = 0</formula>
    </cfRule>
    <cfRule type="expression" dxfId="600" priority="33">
      <formula>$H$172 &lt; 0</formula>
    </cfRule>
  </conditionalFormatting>
  <conditionalFormatting sqref="J150:L151 K172:L172">
    <cfRule type="expression" dxfId="599" priority="28">
      <formula>$K$172 &gt; 0</formula>
    </cfRule>
    <cfRule type="expression" dxfId="598" priority="29">
      <formula>$K$172 = 0</formula>
    </cfRule>
    <cfRule type="expression" dxfId="597" priority="30">
      <formula>$K$172 &lt; 0</formula>
    </cfRule>
  </conditionalFormatting>
  <conditionalFormatting sqref="M150:O151 N172:O172">
    <cfRule type="expression" dxfId="596" priority="25">
      <formula>$N$172 &gt; 0</formula>
    </cfRule>
    <cfRule type="expression" dxfId="595" priority="26">
      <formula>$N$172 = 0</formula>
    </cfRule>
    <cfRule type="expression" dxfId="594" priority="27">
      <formula>$N$172 &lt; 0</formula>
    </cfRule>
  </conditionalFormatting>
  <conditionalFormatting sqref="A179:C198 M179:O198">
    <cfRule type="expression" dxfId="593" priority="13">
      <formula>AND($N179 &gt; 0, ISNUMBER($N179))</formula>
    </cfRule>
    <cfRule type="expression" dxfId="592" priority="14">
      <formula>AND($N179 = 0 * ISNUMBER($N179))</formula>
    </cfRule>
    <cfRule type="expression" dxfId="591" priority="15">
      <formula>AND($N179 &lt; 0, ISNUMBER($N179))</formula>
    </cfRule>
  </conditionalFormatting>
  <conditionalFormatting sqref="A179:F198">
    <cfRule type="expression" dxfId="590" priority="22">
      <formula>AND($E179 &gt; 0, ISNUMBER($E179))</formula>
    </cfRule>
    <cfRule type="expression" dxfId="589" priority="23">
      <formula>AND($E179 = 0 * ISNUMBER($E179))</formula>
    </cfRule>
    <cfRule type="expression" dxfId="588" priority="24">
      <formula>AND($E179 &lt; 0, ISNUMBER($E179))</formula>
    </cfRule>
  </conditionalFormatting>
  <conditionalFormatting sqref="A179:C198 G179:I198">
    <cfRule type="expression" dxfId="587" priority="19">
      <formula>AND($H179 &gt; 0, ISNUMBER($H179))</formula>
    </cfRule>
    <cfRule type="expression" dxfId="586" priority="20">
      <formula>AND($H179 = 0 * ISNUMBER($H179))</formula>
    </cfRule>
    <cfRule type="expression" dxfId="585" priority="21">
      <formula>AND($H179 &lt; 0, ISNUMBER($H179))</formula>
    </cfRule>
  </conditionalFormatting>
  <conditionalFormatting sqref="A179:C198 J179:L198">
    <cfRule type="expression" dxfId="584" priority="16">
      <formula>AND($K179 &gt; 0, ISNUMBER($K179))</formula>
    </cfRule>
    <cfRule type="expression" dxfId="583" priority="17">
      <formula>AND($K179 = 0 * ISNUMBER($K179))</formula>
    </cfRule>
    <cfRule type="expression" dxfId="582" priority="18">
      <formula>AND($K179 &lt; 0, ISNUMBER($K179))</formula>
    </cfRule>
  </conditionalFormatting>
  <conditionalFormatting sqref="D177:F178 E199:F199">
    <cfRule type="expression" dxfId="581" priority="10">
      <formula>$E$199 &gt; 0</formula>
    </cfRule>
    <cfRule type="expression" dxfId="580" priority="11">
      <formula>$E$199 = 0</formula>
    </cfRule>
    <cfRule type="expression" dxfId="579" priority="12">
      <formula>$E$199 &lt; 0</formula>
    </cfRule>
  </conditionalFormatting>
  <conditionalFormatting sqref="G177:I178 H199:I199">
    <cfRule type="expression" dxfId="578" priority="7">
      <formula>$H$199 &gt; 0</formula>
    </cfRule>
    <cfRule type="expression" dxfId="577" priority="8">
      <formula>$H$199 = 0</formula>
    </cfRule>
    <cfRule type="expression" dxfId="576" priority="9">
      <formula>$H$199 &lt; 0</formula>
    </cfRule>
  </conditionalFormatting>
  <conditionalFormatting sqref="J177:L178 K199:L199">
    <cfRule type="expression" dxfId="575" priority="4">
      <formula>$K$199 &gt; 0</formula>
    </cfRule>
    <cfRule type="expression" dxfId="574" priority="5">
      <formula>$K$199 = 0</formula>
    </cfRule>
    <cfRule type="expression" dxfId="573" priority="6">
      <formula>$K$199 &lt; 0</formula>
    </cfRule>
  </conditionalFormatting>
  <conditionalFormatting sqref="M177:O178 N199:O199">
    <cfRule type="expression" dxfId="572" priority="1">
      <formula>$N$199 &gt; 0</formula>
    </cfRule>
    <cfRule type="expression" dxfId="571" priority="2">
      <formula>$N$199 = 0</formula>
    </cfRule>
    <cfRule type="expression" dxfId="5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49" t="s">
        <v>0</v>
      </c>
      <c r="B1" s="150"/>
      <c r="C1" s="150"/>
      <c r="D1" s="150"/>
      <c r="E1" s="150"/>
      <c r="F1" s="151"/>
      <c r="G1" s="180">
        <v>44318</v>
      </c>
      <c r="H1" s="181"/>
      <c r="I1" s="182"/>
      <c r="J1" s="149" t="s">
        <v>1</v>
      </c>
      <c r="K1" s="150"/>
      <c r="L1" s="150"/>
      <c r="M1" s="150"/>
      <c r="N1" s="150"/>
      <c r="O1" s="151"/>
      <c r="Q1" s="149" t="s">
        <v>2</v>
      </c>
      <c r="R1" s="151"/>
    </row>
    <row r="2" spans="1:19" ht="17.25" customHeight="1">
      <c r="A2" s="1" t="s">
        <v>3</v>
      </c>
      <c r="B2" s="183" t="s">
        <v>4</v>
      </c>
      <c r="C2" s="184"/>
      <c r="D2" s="184"/>
      <c r="E2" s="184"/>
      <c r="F2" s="185"/>
      <c r="G2" s="177" t="s">
        <v>46</v>
      </c>
      <c r="H2" s="178"/>
      <c r="I2" s="179"/>
      <c r="J2" s="1" t="s">
        <v>3</v>
      </c>
      <c r="K2" s="183" t="s">
        <v>5</v>
      </c>
      <c r="L2" s="184"/>
      <c r="M2" s="184"/>
      <c r="N2" s="184"/>
      <c r="O2" s="185"/>
      <c r="Q2" s="2" t="s">
        <v>6</v>
      </c>
      <c r="R2" s="3">
        <v>0.375</v>
      </c>
    </row>
    <row r="3" spans="1:19" ht="17.25" customHeight="1" thickBot="1">
      <c r="A3" s="4" t="s">
        <v>7</v>
      </c>
      <c r="B3" s="174" t="s">
        <v>8</v>
      </c>
      <c r="C3" s="175"/>
      <c r="D3" s="175"/>
      <c r="E3" s="175"/>
      <c r="F3" s="176"/>
      <c r="G3" s="1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171"/>
      <c r="I3" s="172"/>
      <c r="J3" s="4" t="s">
        <v>7</v>
      </c>
      <c r="K3" s="174" t="s">
        <v>9</v>
      </c>
      <c r="L3" s="175"/>
      <c r="M3" s="175"/>
      <c r="N3" s="175"/>
      <c r="O3" s="17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74" t="s">
        <v>12</v>
      </c>
      <c r="C4" s="175"/>
      <c r="D4" s="175"/>
      <c r="E4" s="175"/>
      <c r="F4" s="176"/>
      <c r="G4" s="177" t="s">
        <v>44</v>
      </c>
      <c r="H4" s="178"/>
      <c r="I4" s="179"/>
      <c r="J4" s="4" t="s">
        <v>11</v>
      </c>
      <c r="K4" s="174" t="s">
        <v>13</v>
      </c>
      <c r="L4" s="175"/>
      <c r="M4" s="175"/>
      <c r="N4" s="175"/>
      <c r="O4" s="176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74" t="s">
        <v>16</v>
      </c>
      <c r="C5" s="175"/>
      <c r="D5" s="175"/>
      <c r="E5" s="175"/>
      <c r="F5" s="176"/>
      <c r="G5" s="1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171"/>
      <c r="I5" s="172"/>
      <c r="J5" s="4" t="s">
        <v>15</v>
      </c>
      <c r="K5" s="174" t="s">
        <v>17</v>
      </c>
      <c r="L5" s="175"/>
      <c r="M5" s="175"/>
      <c r="N5" s="175"/>
      <c r="O5" s="176"/>
    </row>
    <row r="6" spans="1:19">
      <c r="A6" s="4" t="s">
        <v>18</v>
      </c>
      <c r="B6" s="174" t="s">
        <v>19</v>
      </c>
      <c r="C6" s="175"/>
      <c r="D6" s="175"/>
      <c r="E6" s="175"/>
      <c r="F6" s="176"/>
      <c r="G6" s="177" t="s">
        <v>45</v>
      </c>
      <c r="H6" s="178"/>
      <c r="I6" s="179"/>
      <c r="J6" s="4" t="s">
        <v>18</v>
      </c>
      <c r="K6" s="174" t="s">
        <v>20</v>
      </c>
      <c r="L6" s="175"/>
      <c r="M6" s="175"/>
      <c r="N6" s="175"/>
      <c r="O6" s="176"/>
    </row>
    <row r="7" spans="1:19" ht="17.25" thickBot="1">
      <c r="A7" s="4" t="s">
        <v>21</v>
      </c>
      <c r="B7" s="174" t="s">
        <v>22</v>
      </c>
      <c r="C7" s="175"/>
      <c r="D7" s="175"/>
      <c r="E7" s="175"/>
      <c r="F7" s="176"/>
      <c r="G7" s="1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171"/>
      <c r="I7" s="172"/>
      <c r="J7" s="4" t="s">
        <v>21</v>
      </c>
      <c r="K7" s="174" t="s">
        <v>23</v>
      </c>
      <c r="L7" s="175"/>
      <c r="M7" s="175"/>
      <c r="N7" s="175"/>
      <c r="O7" s="176"/>
    </row>
    <row r="8" spans="1:19" ht="17.25" thickBot="1">
      <c r="A8" s="4" t="s">
        <v>24</v>
      </c>
      <c r="B8" s="174" t="s">
        <v>25</v>
      </c>
      <c r="C8" s="175"/>
      <c r="D8" s="175"/>
      <c r="E8" s="175"/>
      <c r="F8" s="176"/>
      <c r="G8" s="177" t="s">
        <v>285</v>
      </c>
      <c r="H8" s="178"/>
      <c r="I8" s="179"/>
      <c r="J8" s="4" t="s">
        <v>24</v>
      </c>
      <c r="K8" s="174" t="s">
        <v>26</v>
      </c>
      <c r="L8" s="175"/>
      <c r="M8" s="175"/>
      <c r="N8" s="175"/>
      <c r="O8" s="176"/>
      <c r="Q8" s="149" t="s">
        <v>27</v>
      </c>
      <c r="R8" s="151"/>
    </row>
    <row r="9" spans="1:19" ht="17.25" thickBot="1">
      <c r="A9" s="4" t="s">
        <v>28</v>
      </c>
      <c r="B9" s="174"/>
      <c r="C9" s="175"/>
      <c r="D9" s="175"/>
      <c r="E9" s="175"/>
      <c r="F9" s="176"/>
      <c r="G9" s="1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171"/>
      <c r="I9" s="172"/>
      <c r="J9" s="4" t="s">
        <v>28</v>
      </c>
      <c r="K9" s="174" t="s">
        <v>293</v>
      </c>
      <c r="L9" s="175"/>
      <c r="M9" s="175"/>
      <c r="N9" s="175"/>
      <c r="O9" s="176"/>
      <c r="Q9" s="2" t="s">
        <v>29</v>
      </c>
      <c r="R9" s="6">
        <v>10</v>
      </c>
    </row>
    <row r="10" spans="1:19">
      <c r="A10" s="4" t="s">
        <v>30</v>
      </c>
      <c r="B10" s="174"/>
      <c r="C10" s="175"/>
      <c r="D10" s="175"/>
      <c r="E10" s="175"/>
      <c r="F10" s="176"/>
      <c r="G10" s="177" t="s">
        <v>47</v>
      </c>
      <c r="H10" s="178"/>
      <c r="I10" s="179"/>
      <c r="J10" s="4" t="s">
        <v>30</v>
      </c>
      <c r="K10" s="174"/>
      <c r="L10" s="175"/>
      <c r="M10" s="175"/>
      <c r="N10" s="175"/>
      <c r="O10" s="176"/>
      <c r="Q10" s="2" t="s">
        <v>31</v>
      </c>
      <c r="R10" s="6">
        <v>100</v>
      </c>
    </row>
    <row r="11" spans="1:19" ht="17.25" thickBot="1">
      <c r="A11" s="7" t="s">
        <v>32</v>
      </c>
      <c r="B11" s="167"/>
      <c r="C11" s="168"/>
      <c r="D11" s="168"/>
      <c r="E11" s="168"/>
      <c r="F11" s="169"/>
      <c r="G11" s="1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171"/>
      <c r="I11" s="172"/>
      <c r="J11" s="7" t="s">
        <v>32</v>
      </c>
      <c r="K11" s="167"/>
      <c r="L11" s="168"/>
      <c r="M11" s="168"/>
      <c r="N11" s="168"/>
      <c r="O11" s="169"/>
      <c r="Q11" s="65" t="s">
        <v>33</v>
      </c>
      <c r="R11" s="8">
        <v>1000</v>
      </c>
    </row>
    <row r="12" spans="1:19" ht="17.25" thickBot="1"/>
    <row r="13" spans="1:19" ht="17.25" customHeight="1" thickBot="1">
      <c r="A13" s="149" t="s">
        <v>34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  <c r="M13" s="150"/>
      <c r="N13" s="150"/>
      <c r="O13" s="151"/>
      <c r="Q13" s="148"/>
      <c r="R13" s="148"/>
      <c r="S13" s="148"/>
    </row>
    <row r="14" spans="1:19" ht="17.25" customHeight="1" thickBot="1">
      <c r="A14" s="111" t="s">
        <v>35</v>
      </c>
      <c r="B14" s="149" t="s">
        <v>36</v>
      </c>
      <c r="C14" s="151"/>
      <c r="D14" s="149" t="s">
        <v>37</v>
      </c>
      <c r="E14" s="150"/>
      <c r="F14" s="151"/>
      <c r="G14" s="152">
        <f>_xlfn.IFNA(VLOOKUP(B14, 현재가테이블!$B$2:$D$200, 2, FALSE), "-")</f>
        <v>69894000</v>
      </c>
      <c r="H14" s="153"/>
      <c r="I14" s="154"/>
      <c r="J14" s="149" t="s">
        <v>38</v>
      </c>
      <c r="K14" s="150"/>
      <c r="L14" s="151"/>
      <c r="M14" s="155">
        <f>_xlfn.IFNA(VLOOKUP(B14, 현재가테이블!$B$2:$D$200, 3, FALSE), "-")</f>
        <v>2.1065856399999999E-2</v>
      </c>
      <c r="N14" s="156"/>
      <c r="O14" s="157"/>
      <c r="Q14" s="148"/>
      <c r="R14" s="148"/>
      <c r="S14" s="148"/>
    </row>
    <row r="15" spans="1:19" ht="17.25" customHeight="1" thickBot="1">
      <c r="A15" s="173" t="s">
        <v>39</v>
      </c>
      <c r="B15" s="165" t="str">
        <f>TEXT($G$1, "[$-ko-KR]yyyy-mm-dd(ddd) ") &amp; "오전 00:00"</f>
        <v>2021-05-02(일) 오전 00:00</v>
      </c>
      <c r="C15" s="166"/>
      <c r="D15" s="162" t="str">
        <f>TEXT($G$1, "[$-ko-KR]yyyy-mm-dd(ddd) ") &amp; "오후 14:00"</f>
        <v>2021-05-02(일) 오후 14:00</v>
      </c>
      <c r="E15" s="163"/>
      <c r="F15" s="164"/>
      <c r="G15" s="162" t="str">
        <f>TEXT($G$1, "[$-ko-KR]yyyy-mm-dd(ddd) ") &amp; "오후 19:00"</f>
        <v>2021-05-02(일) 오후 19:00</v>
      </c>
      <c r="H15" s="163"/>
      <c r="I15" s="164"/>
      <c r="J15" s="162" t="str">
        <f>TEXT($G$1, "[$-ko-KR]yyyy-mm-dd(ddd) ") &amp; "오후 21:00"</f>
        <v>2021-05-02(일) 오후 21:00</v>
      </c>
      <c r="K15" s="163"/>
      <c r="L15" s="164"/>
      <c r="M15" s="162" t="str">
        <f>TEXT($G$1+1, "[$-ko-KR]yyyy-mm-dd(ddd) ") &amp; "오전 00:00"</f>
        <v>2021-05-03(월) 오전 00:00</v>
      </c>
      <c r="N15" s="163"/>
      <c r="O15" s="164"/>
      <c r="Q15" s="148"/>
      <c r="R15" s="148"/>
      <c r="S15" s="148"/>
    </row>
    <row r="16" spans="1:19" ht="17.25" customHeight="1" thickBot="1">
      <c r="A16" s="17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38"/>
      <c r="R16" s="138"/>
      <c r="S16" s="138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100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148"/>
      <c r="R17" s="148"/>
      <c r="S17" s="148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101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148"/>
      <c r="R18" s="148"/>
      <c r="S18" s="148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101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138"/>
      <c r="R19" s="138"/>
      <c r="S19" s="138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101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138"/>
      <c r="R20" s="138"/>
      <c r="S20" s="138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5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138"/>
      <c r="R21" s="138"/>
      <c r="S21" s="138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38"/>
      <c r="R22" s="138"/>
      <c r="S22" s="13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38"/>
      <c r="R23" s="138"/>
      <c r="S23" s="13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38"/>
      <c r="R24" s="138"/>
      <c r="S24" s="13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39"/>
      <c r="R26" s="140"/>
      <c r="S26" s="14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42"/>
      <c r="R27" s="143"/>
      <c r="S27" s="14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45"/>
      <c r="R28" s="146"/>
      <c r="S28" s="14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38"/>
      <c r="R29" s="138"/>
      <c r="S29" s="13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48"/>
      <c r="R30" s="148"/>
      <c r="S30" s="14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48"/>
      <c r="R31" s="148"/>
      <c r="S31" s="14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38"/>
      <c r="R32" s="138"/>
      <c r="S32" s="13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38"/>
      <c r="R33" s="138"/>
      <c r="S33" s="13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38"/>
      <c r="R34" s="138"/>
      <c r="S34" s="13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27"/>
      <c r="R35" s="128"/>
      <c r="S35" s="12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30"/>
      <c r="R36" s="131"/>
      <c r="S36" s="132"/>
    </row>
    <row r="37" spans="1:19" ht="17.25" customHeight="1" thickBot="1">
      <c r="A37" s="26" t="s">
        <v>42</v>
      </c>
      <c r="B37" s="136">
        <v>300000</v>
      </c>
      <c r="C37" s="137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133"/>
      <c r="R37" s="134"/>
      <c r="S37" s="135"/>
    </row>
    <row r="38" spans="1:19" ht="17.25" customHeight="1"/>
    <row r="39" spans="1:19" ht="17.25" customHeight="1" thickBot="1"/>
    <row r="40" spans="1:19" ht="17.25" customHeight="1" thickBot="1">
      <c r="A40" s="149" t="s">
        <v>44</v>
      </c>
      <c r="B40" s="150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1"/>
      <c r="Q40" s="148"/>
      <c r="R40" s="148"/>
      <c r="S40" s="148"/>
    </row>
    <row r="41" spans="1:19" ht="17.25" customHeight="1" thickBot="1">
      <c r="A41" s="111" t="s">
        <v>298</v>
      </c>
      <c r="B41" s="149" t="s">
        <v>49</v>
      </c>
      <c r="C41" s="151"/>
      <c r="D41" s="149" t="s">
        <v>58</v>
      </c>
      <c r="E41" s="150"/>
      <c r="F41" s="151"/>
      <c r="G41" s="152">
        <f>_xlfn.IFNA(VLOOKUP(B41, 현재가테이블!$B$2:$D$200, 2, FALSE), "-")</f>
        <v>69894000</v>
      </c>
      <c r="H41" s="153"/>
      <c r="I41" s="154"/>
      <c r="J41" s="149" t="s">
        <v>59</v>
      </c>
      <c r="K41" s="150"/>
      <c r="L41" s="151"/>
      <c r="M41" s="155">
        <f>_xlfn.IFNA(VLOOKUP(B41, 현재가테이블!$B$2:$D$200, 3, FALSE), "-")</f>
        <v>2.1065856399999999E-2</v>
      </c>
      <c r="N41" s="156"/>
      <c r="O41" s="157"/>
      <c r="Q41" s="148"/>
      <c r="R41" s="148"/>
      <c r="S41" s="148"/>
    </row>
    <row r="42" spans="1:19" ht="17.25" customHeight="1" thickBot="1">
      <c r="A42" s="158" t="s">
        <v>55</v>
      </c>
      <c r="B42" s="160" t="str">
        <f>TEXT($G$1, "[$-ko-KR]yyyy-mm-dd(ddd) ") &amp; "오전 00:00"</f>
        <v>2021-05-02(일) 오전 00:00</v>
      </c>
      <c r="C42" s="161"/>
      <c r="D42" s="162" t="str">
        <f>TEXT($G$1, "[$-ko-KR]yyyy-mm-dd(ddd) ") &amp; "오후 14:00"</f>
        <v>2021-05-02(일) 오후 14:00</v>
      </c>
      <c r="E42" s="163"/>
      <c r="F42" s="164"/>
      <c r="G42" s="162" t="str">
        <f>TEXT($G$1, "[$-ko-KR]yyyy-mm-dd(ddd) ") &amp; "오후 19:00"</f>
        <v>2021-05-02(일) 오후 19:00</v>
      </c>
      <c r="H42" s="163"/>
      <c r="I42" s="164"/>
      <c r="J42" s="162" t="str">
        <f>TEXT($G$1, "[$-ko-KR]yyyy-mm-dd(ddd) ") &amp; "오후 21:00"</f>
        <v>2021-05-02(일) 오후 21:00</v>
      </c>
      <c r="K42" s="163"/>
      <c r="L42" s="164"/>
      <c r="M42" s="162" t="str">
        <f>TEXT($G$1+1, "[$-ko-KR]yyyy-mm-dd(ddd) ") &amp; "오전 00:00"</f>
        <v>2021-05-03(월) 오전 00:00</v>
      </c>
      <c r="N42" s="163"/>
      <c r="O42" s="164"/>
      <c r="Q42" s="148"/>
      <c r="R42" s="148"/>
      <c r="S42" s="148"/>
    </row>
    <row r="43" spans="1:19" ht="17.25" customHeight="1" thickBot="1">
      <c r="A43" s="159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38"/>
      <c r="R43" s="138"/>
      <c r="S43" s="138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100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148"/>
      <c r="R44" s="148"/>
      <c r="S44" s="148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101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148"/>
      <c r="R45" s="148"/>
      <c r="S45" s="148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101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138"/>
      <c r="R46" s="138"/>
      <c r="S46" s="138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101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138"/>
      <c r="R47" s="138"/>
      <c r="S47" s="138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5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138"/>
      <c r="R48" s="138"/>
      <c r="S48" s="138"/>
    </row>
    <row r="49" spans="1:19" ht="17.25" customHeight="1" thickBot="1">
      <c r="A49" s="17" t="s">
        <v>198</v>
      </c>
      <c r="B49" s="106">
        <v>31.7</v>
      </c>
      <c r="C49" s="107">
        <v>-2.1604938300000001E-2</v>
      </c>
      <c r="D49" s="106">
        <v>31.5</v>
      </c>
      <c r="E49" s="107">
        <f>IF(ISNUMBER(D49), (D49 - $B49) / $B49, "")</f>
        <v>-6.3091482649842053E-3</v>
      </c>
      <c r="F49" s="108">
        <f>IF(ISNUMBER(D49), $B64 * E49, "")</f>
        <v>-1892.7444794952617</v>
      </c>
      <c r="G49" s="109">
        <v>31.4</v>
      </c>
      <c r="H49" s="107">
        <f>IF(ISNUMBER(G49), (G49 - $B49) / $B49, "")</f>
        <v>-9.4637223974763634E-3</v>
      </c>
      <c r="I49" s="110">
        <f>IF(ISNUMBER(G49), $B64 * H49, "")</f>
        <v>-2839.1167192429089</v>
      </c>
      <c r="J49" s="106">
        <v>31.4</v>
      </c>
      <c r="K49" s="107">
        <f>IF(ISNUMBER(J49), (J49 - $B49) / $B49, "")</f>
        <v>-9.4637223974763634E-3</v>
      </c>
      <c r="L49" s="108">
        <f>IF(ISNUMBER(J49), $B64 * K49, "")</f>
        <v>-2839.1167192429089</v>
      </c>
      <c r="M49" s="109">
        <v>31.6</v>
      </c>
      <c r="N49" s="107">
        <f>IF(ISNUMBER(M49), (M49 - $B49) / $B49, "")</f>
        <v>-3.1545741324920462E-3</v>
      </c>
      <c r="O49" s="108">
        <f>IF(ISNUMBER(M49), $B64 * N49, "")</f>
        <v>-946.37223974761389</v>
      </c>
      <c r="Q49" s="138"/>
      <c r="R49" s="138"/>
      <c r="S49" s="138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101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138"/>
      <c r="R50" s="138"/>
      <c r="S50" s="138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101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138"/>
      <c r="R51" s="138"/>
      <c r="S51" s="138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101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4">
        <f>IF(ISNUMBER(D53), $B64 * E53, "")</f>
        <v>-1239.6694214875768</v>
      </c>
      <c r="G53" s="102">
        <v>24</v>
      </c>
      <c r="H53" s="25">
        <f t="shared" si="19"/>
        <v>-8.2644628099173261E-3</v>
      </c>
      <c r="I53" s="103">
        <f>IF(ISNUMBER(G53), $B64 * H53, "")</f>
        <v>-2479.3388429751976</v>
      </c>
      <c r="J53" s="24">
        <v>24.2</v>
      </c>
      <c r="K53" s="25">
        <f t="shared" si="20"/>
        <v>0</v>
      </c>
      <c r="L53" s="104">
        <f>IF(ISNUMBER(J53), $B64 * K53, "")</f>
        <v>0</v>
      </c>
      <c r="M53" s="102">
        <v>24.5</v>
      </c>
      <c r="N53" s="25">
        <f t="shared" si="21"/>
        <v>1.2396694214876063E-2</v>
      </c>
      <c r="O53" s="104">
        <f>IF(ISNUMBER(M53), $B64 * N53, "")</f>
        <v>3719.0082644628187</v>
      </c>
      <c r="Q53" s="139"/>
      <c r="R53" s="140"/>
      <c r="S53" s="141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100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142"/>
      <c r="R54" s="143"/>
      <c r="S54" s="144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101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145"/>
      <c r="R55" s="146"/>
      <c r="S55" s="147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101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138"/>
      <c r="R56" s="138"/>
      <c r="S56" s="138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101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148"/>
      <c r="R57" s="148"/>
      <c r="S57" s="148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5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148"/>
      <c r="R58" s="148"/>
      <c r="S58" s="148"/>
    </row>
    <row r="59" spans="1:19" ht="17.25" customHeight="1" thickBot="1">
      <c r="A59" s="17" t="s">
        <v>218</v>
      </c>
      <c r="B59" s="106">
        <v>32.1</v>
      </c>
      <c r="C59" s="107">
        <v>-3.3132530100000002E-2</v>
      </c>
      <c r="D59" s="106">
        <v>31.5</v>
      </c>
      <c r="E59" s="107">
        <f>IF(ISNUMBER(D59), (D59 - $B59) / $B59, "")</f>
        <v>-1.8691588785046773E-2</v>
      </c>
      <c r="F59" s="108">
        <f>IF(ISNUMBER(D59), $B64 * E59, "")</f>
        <v>-5607.4766355140318</v>
      </c>
      <c r="G59" s="109">
        <v>31.8</v>
      </c>
      <c r="H59" s="107">
        <f>IF(ISNUMBER(G59), (G59 - $B59) / $B59, "")</f>
        <v>-9.3457943925233863E-3</v>
      </c>
      <c r="I59" s="110">
        <f>IF(ISNUMBER(G59), $B64 * H59, "")</f>
        <v>-2803.7383177570159</v>
      </c>
      <c r="J59" s="106">
        <v>31.8</v>
      </c>
      <c r="K59" s="107">
        <f>IF(ISNUMBER(J59), (J59 - $B59) / $B59, "")</f>
        <v>-9.3457943925233863E-3</v>
      </c>
      <c r="L59" s="108">
        <f>IF(ISNUMBER(J59), $B64 * K59, "")</f>
        <v>-2803.7383177570159</v>
      </c>
      <c r="M59" s="109">
        <v>32.1</v>
      </c>
      <c r="N59" s="107">
        <f>IF(ISNUMBER(M59), (M59 - $B59) / $B59, "")</f>
        <v>0</v>
      </c>
      <c r="O59" s="108">
        <f>IF(ISNUMBER(M59), $B64 * N59, "")</f>
        <v>0</v>
      </c>
      <c r="Q59" s="138"/>
      <c r="R59" s="138"/>
      <c r="S59" s="138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101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138"/>
      <c r="R60" s="138"/>
      <c r="S60" s="138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101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138"/>
      <c r="R61" s="138"/>
      <c r="S61" s="138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101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127"/>
      <c r="R62" s="128"/>
      <c r="S62" s="129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30"/>
      <c r="R63" s="131"/>
      <c r="S63" s="132"/>
    </row>
    <row r="64" spans="1:19" ht="17.25" customHeight="1" thickBot="1">
      <c r="A64" s="26" t="s">
        <v>301</v>
      </c>
      <c r="B64" s="136">
        <f>$B$37</f>
        <v>300000</v>
      </c>
      <c r="C64" s="137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133"/>
      <c r="R64" s="134"/>
      <c r="S64" s="135"/>
    </row>
    <row r="65" spans="1:19" ht="17.25" customHeight="1"/>
    <row r="66" spans="1:19" ht="17.25" customHeight="1" thickBot="1"/>
    <row r="67" spans="1:19" ht="17.25" thickBot="1">
      <c r="A67" s="149" t="s">
        <v>45</v>
      </c>
      <c r="B67" s="150"/>
      <c r="C67" s="150"/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1"/>
      <c r="Q67" s="148"/>
      <c r="R67" s="148"/>
      <c r="S67" s="148"/>
    </row>
    <row r="68" spans="1:19" ht="17.25" thickBot="1">
      <c r="A68" s="111" t="s">
        <v>298</v>
      </c>
      <c r="B68" s="149" t="s">
        <v>49</v>
      </c>
      <c r="C68" s="151"/>
      <c r="D68" s="149" t="s">
        <v>58</v>
      </c>
      <c r="E68" s="150"/>
      <c r="F68" s="151"/>
      <c r="G68" s="152">
        <f>_xlfn.IFNA(VLOOKUP(B68, 현재가테이블!$B$2:$D$200, 2, FALSE), "-")</f>
        <v>69894000</v>
      </c>
      <c r="H68" s="153"/>
      <c r="I68" s="154"/>
      <c r="J68" s="149" t="s">
        <v>59</v>
      </c>
      <c r="K68" s="150"/>
      <c r="L68" s="151"/>
      <c r="M68" s="155">
        <f>_xlfn.IFNA(VLOOKUP(B68, 현재가테이블!$B$2:$D$200, 3, FALSE), "-")</f>
        <v>2.1065856399999999E-2</v>
      </c>
      <c r="N68" s="156"/>
      <c r="O68" s="157"/>
      <c r="Q68" s="148"/>
      <c r="R68" s="148"/>
      <c r="S68" s="148"/>
    </row>
    <row r="69" spans="1:19" ht="17.25" thickBot="1">
      <c r="A69" s="158" t="s">
        <v>55</v>
      </c>
      <c r="B69" s="160" t="str">
        <f>TEXT($G$1, "[$-ko-KR]yyyy-mm-dd(ddd) ") &amp; "오전 00:00"</f>
        <v>2021-05-02(일) 오전 00:00</v>
      </c>
      <c r="C69" s="161"/>
      <c r="D69" s="162" t="str">
        <f>TEXT($G$1, "[$-ko-KR]yyyy-mm-dd(ddd) ") &amp; "오후 14:00"</f>
        <v>2021-05-02(일) 오후 14:00</v>
      </c>
      <c r="E69" s="163"/>
      <c r="F69" s="164"/>
      <c r="G69" s="162" t="str">
        <f>TEXT($G$1, "[$-ko-KR]yyyy-mm-dd(ddd) ") &amp; "오후 19:00"</f>
        <v>2021-05-02(일) 오후 19:00</v>
      </c>
      <c r="H69" s="163"/>
      <c r="I69" s="164"/>
      <c r="J69" s="162" t="str">
        <f>TEXT($G$1, "[$-ko-KR]yyyy-mm-dd(ddd) ") &amp; "오후 21:00"</f>
        <v>2021-05-02(일) 오후 21:00</v>
      </c>
      <c r="K69" s="163"/>
      <c r="L69" s="164"/>
      <c r="M69" s="162" t="str">
        <f>TEXT($G$1+1, "[$-ko-KR]yyyy-mm-dd(ddd) ") &amp; "오전 00:00"</f>
        <v>2021-05-03(월) 오전 00:00</v>
      </c>
      <c r="N69" s="163"/>
      <c r="O69" s="164"/>
      <c r="Q69" s="148"/>
      <c r="R69" s="148"/>
      <c r="S69" s="148"/>
    </row>
    <row r="70" spans="1:19" ht="17.25" thickBot="1">
      <c r="A70" s="159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38"/>
      <c r="R70" s="138"/>
      <c r="S70" s="138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100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148"/>
      <c r="R71" s="148"/>
      <c r="S71" s="148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101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148"/>
      <c r="R72" s="148"/>
      <c r="S72" s="148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101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138"/>
      <c r="R73" s="138"/>
      <c r="S73" s="138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101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138"/>
      <c r="R74" s="138"/>
      <c r="S74" s="138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5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138"/>
      <c r="R75" s="138"/>
      <c r="S75" s="138"/>
    </row>
    <row r="76" spans="1:19" ht="17.25" thickBot="1">
      <c r="A76" s="17" t="s">
        <v>226</v>
      </c>
      <c r="B76" s="106">
        <v>563</v>
      </c>
      <c r="C76" s="107">
        <v>3.8745387499999999E-2</v>
      </c>
      <c r="D76" s="106">
        <v>539</v>
      </c>
      <c r="E76" s="107">
        <f>IF(ISNUMBER(D76), (D76 - $B76) / $B76, "")</f>
        <v>-4.2628774422735348E-2</v>
      </c>
      <c r="F76" s="108">
        <f>IF(ISNUMBER(D76), $B91 * E76, "")</f>
        <v>-12788.632326820605</v>
      </c>
      <c r="G76" s="109">
        <v>535</v>
      </c>
      <c r="H76" s="107">
        <f>IF(ISNUMBER(G76), (G76 - $B76) / $B76, "")</f>
        <v>-4.9733570159857902E-2</v>
      </c>
      <c r="I76" s="110">
        <f>IF(ISNUMBER(G76), $B91 * H76, "")</f>
        <v>-14920.07104795737</v>
      </c>
      <c r="J76" s="106">
        <v>541</v>
      </c>
      <c r="K76" s="107">
        <f>IF(ISNUMBER(J76), (J76 - $B76) / $B76, "")</f>
        <v>-3.9076376554174071E-2</v>
      </c>
      <c r="L76" s="108">
        <f>IF(ISNUMBER(J76), $B91 * K76, "")</f>
        <v>-11722.912966252221</v>
      </c>
      <c r="M76" s="109">
        <v>543</v>
      </c>
      <c r="N76" s="107">
        <f>IF(ISNUMBER(M76), (M76 - $B76) / $B76, "")</f>
        <v>-3.5523978685612786E-2</v>
      </c>
      <c r="O76" s="108">
        <f>IF(ISNUMBER(M76), $B91 * N76, "")</f>
        <v>-10657.193605683837</v>
      </c>
      <c r="Q76" s="138"/>
      <c r="R76" s="138"/>
      <c r="S76" s="138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101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138"/>
      <c r="R77" s="138"/>
      <c r="S77" s="138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101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138"/>
      <c r="R78" s="138"/>
      <c r="S78" s="138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101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4">
        <f>IF(ISNUMBER(D80), $B91 * E80, "")</f>
        <v>-7535.3218210361074</v>
      </c>
      <c r="G80" s="102">
        <v>619</v>
      </c>
      <c r="H80" s="25">
        <f t="shared" si="35"/>
        <v>-2.8257456828885402E-2</v>
      </c>
      <c r="I80" s="103">
        <f>IF(ISNUMBER(G80), $B91 * H80, "")</f>
        <v>-8477.23704866562</v>
      </c>
      <c r="J80" s="24">
        <v>623</v>
      </c>
      <c r="K80" s="25">
        <f t="shared" si="36"/>
        <v>-2.197802197802198E-2</v>
      </c>
      <c r="L80" s="104">
        <f>IF(ISNUMBER(J80), $B91 * K80, "")</f>
        <v>-6593.4065934065939</v>
      </c>
      <c r="M80" s="102">
        <v>626</v>
      </c>
      <c r="N80" s="25">
        <f t="shared" si="37"/>
        <v>-1.726844583987441E-2</v>
      </c>
      <c r="O80" s="104">
        <f>IF(ISNUMBER(M80), $B91 * N80, "")</f>
        <v>-5180.5337519623226</v>
      </c>
      <c r="Q80" s="139"/>
      <c r="R80" s="140"/>
      <c r="S80" s="141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100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142"/>
      <c r="R81" s="143"/>
      <c r="S81" s="144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101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145"/>
      <c r="R82" s="146"/>
      <c r="S82" s="147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101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138"/>
      <c r="R83" s="138"/>
      <c r="S83" s="138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101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148"/>
      <c r="R84" s="148"/>
      <c r="S84" s="148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5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148"/>
      <c r="R85" s="148"/>
      <c r="S85" s="148"/>
    </row>
    <row r="86" spans="1:19" ht="17.25" thickBot="1">
      <c r="A86" s="17" t="s">
        <v>120</v>
      </c>
      <c r="B86" s="106">
        <v>230</v>
      </c>
      <c r="C86" s="107">
        <v>0</v>
      </c>
      <c r="D86" s="106">
        <v>228</v>
      </c>
      <c r="E86" s="107">
        <f>IF(ISNUMBER(D86), (D86 - $B86) / $B86, "")</f>
        <v>-8.6956521739130436E-3</v>
      </c>
      <c r="F86" s="108">
        <f>IF(ISNUMBER(D86), $B91 * E86, "")</f>
        <v>-2608.695652173913</v>
      </c>
      <c r="G86" s="109">
        <v>227</v>
      </c>
      <c r="H86" s="107">
        <f>IF(ISNUMBER(G86), (G86 - $B86) / $B86, "")</f>
        <v>-1.3043478260869565E-2</v>
      </c>
      <c r="I86" s="110">
        <f>IF(ISNUMBER(G86), $B91 * H86, "")</f>
        <v>-3913.0434782608695</v>
      </c>
      <c r="J86" s="106">
        <v>227</v>
      </c>
      <c r="K86" s="107">
        <f>IF(ISNUMBER(J86), (J86 - $B86) / $B86, "")</f>
        <v>-1.3043478260869565E-2</v>
      </c>
      <c r="L86" s="108">
        <f>IF(ISNUMBER(J86), $B91 * K86, "")</f>
        <v>-3913.0434782608695</v>
      </c>
      <c r="M86" s="109">
        <v>226</v>
      </c>
      <c r="N86" s="107">
        <f>IF(ISNUMBER(M86), (M86 - $B86) / $B86, "")</f>
        <v>-1.7391304347826087E-2</v>
      </c>
      <c r="O86" s="108">
        <f>IF(ISNUMBER(M86), $B91 * N86, "")</f>
        <v>-5217.391304347826</v>
      </c>
      <c r="Q86" s="138"/>
      <c r="R86" s="138"/>
      <c r="S86" s="138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101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138"/>
      <c r="R87" s="138"/>
      <c r="S87" s="138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101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138"/>
      <c r="R88" s="138"/>
      <c r="S88" s="138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101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127"/>
      <c r="R89" s="128"/>
      <c r="S89" s="129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4">
        <f>IF(ISNUMBER(D90), $B91 * E90, "")</f>
        <v>24255.319148936171</v>
      </c>
      <c r="G90" s="102">
        <v>255</v>
      </c>
      <c r="H90" s="25">
        <f t="shared" si="43"/>
        <v>8.5106382978723402E-2</v>
      </c>
      <c r="I90" s="103">
        <f>IF(ISNUMBER(G90), $B91 * H90, "")</f>
        <v>25531.91489361702</v>
      </c>
      <c r="J90" s="24">
        <v>255</v>
      </c>
      <c r="K90" s="25">
        <f t="shared" si="44"/>
        <v>8.5106382978723402E-2</v>
      </c>
      <c r="L90" s="104">
        <f>IF(ISNUMBER(J90), $B91 * K90, "")</f>
        <v>25531.91489361702</v>
      </c>
      <c r="M90" s="102">
        <v>254</v>
      </c>
      <c r="N90" s="25">
        <f t="shared" si="45"/>
        <v>8.085106382978724E-2</v>
      </c>
      <c r="O90" s="104">
        <f>IF(ISNUMBER(M90), $B91 * N90, "")</f>
        <v>24255.319148936171</v>
      </c>
      <c r="Q90" s="130"/>
      <c r="R90" s="131"/>
      <c r="S90" s="132"/>
    </row>
    <row r="91" spans="1:19" ht="17.25" thickBot="1">
      <c r="A91" s="26" t="s">
        <v>301</v>
      </c>
      <c r="B91" s="136">
        <f>$B$37</f>
        <v>300000</v>
      </c>
      <c r="C91" s="137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133"/>
      <c r="R91" s="134"/>
      <c r="S91" s="135"/>
    </row>
    <row r="93" spans="1:19" ht="17.25" thickBot="1"/>
    <row r="94" spans="1:19" ht="17.25" thickBot="1">
      <c r="A94" s="149" t="s">
        <v>46</v>
      </c>
      <c r="B94" s="150"/>
      <c r="C94" s="150"/>
      <c r="D94" s="150"/>
      <c r="E94" s="150"/>
      <c r="F94" s="150"/>
      <c r="G94" s="150"/>
      <c r="H94" s="150"/>
      <c r="I94" s="150"/>
      <c r="J94" s="150"/>
      <c r="K94" s="150"/>
      <c r="L94" s="150"/>
      <c r="M94" s="150"/>
      <c r="N94" s="150"/>
      <c r="O94" s="151"/>
      <c r="Q94" s="148"/>
      <c r="R94" s="148"/>
      <c r="S94" s="148"/>
    </row>
    <row r="95" spans="1:19" ht="17.25" thickBot="1">
      <c r="A95" s="111" t="s">
        <v>298</v>
      </c>
      <c r="B95" s="149" t="s">
        <v>49</v>
      </c>
      <c r="C95" s="151"/>
      <c r="D95" s="149" t="s">
        <v>58</v>
      </c>
      <c r="E95" s="150"/>
      <c r="F95" s="151"/>
      <c r="G95" s="152">
        <f>_xlfn.IFNA(VLOOKUP(B95, 현재가테이블!$B$2:$D$200, 2, FALSE), "-")</f>
        <v>69894000</v>
      </c>
      <c r="H95" s="153"/>
      <c r="I95" s="154"/>
      <c r="J95" s="149" t="s">
        <v>59</v>
      </c>
      <c r="K95" s="150"/>
      <c r="L95" s="151"/>
      <c r="M95" s="155">
        <f>_xlfn.IFNA(VLOOKUP(B95, 현재가테이블!$B$2:$D$200, 3, FALSE), "-")</f>
        <v>2.1065856399999999E-2</v>
      </c>
      <c r="N95" s="156"/>
      <c r="O95" s="157"/>
      <c r="Q95" s="148"/>
      <c r="R95" s="148"/>
      <c r="S95" s="148"/>
    </row>
    <row r="96" spans="1:19" ht="17.25" thickBot="1">
      <c r="A96" s="158" t="s">
        <v>55</v>
      </c>
      <c r="B96" s="160" t="str">
        <f>TEXT($G$1, "[$-ko-KR]yyyy-mm-dd(ddd) ") &amp; "오전 00:00"</f>
        <v>2021-05-02(일) 오전 00:00</v>
      </c>
      <c r="C96" s="161"/>
      <c r="D96" s="162" t="str">
        <f>TEXT($G$1, "[$-ko-KR]yyyy-mm-dd(ddd) ") &amp; "오후 14:00"</f>
        <v>2021-05-02(일) 오후 14:00</v>
      </c>
      <c r="E96" s="163"/>
      <c r="F96" s="164"/>
      <c r="G96" s="162" t="str">
        <f>TEXT($G$1, "[$-ko-KR]yyyy-mm-dd(ddd) ") &amp; "오후 19:00"</f>
        <v>2021-05-02(일) 오후 19:00</v>
      </c>
      <c r="H96" s="163"/>
      <c r="I96" s="164"/>
      <c r="J96" s="162" t="str">
        <f>TEXT($G$1, "[$-ko-KR]yyyy-mm-dd(ddd) ") &amp; "오후 21:00"</f>
        <v>2021-05-02(일) 오후 21:00</v>
      </c>
      <c r="K96" s="163"/>
      <c r="L96" s="164"/>
      <c r="M96" s="162" t="str">
        <f>TEXT($G$1+1, "[$-ko-KR]yyyy-mm-dd(ddd) ") &amp; "오전 00:00"</f>
        <v>2021-05-03(월) 오전 00:00</v>
      </c>
      <c r="N96" s="163"/>
      <c r="O96" s="164"/>
      <c r="Q96" s="148"/>
      <c r="R96" s="148"/>
      <c r="S96" s="148"/>
    </row>
    <row r="97" spans="1:19" ht="17.25" thickBot="1">
      <c r="A97" s="159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38"/>
      <c r="R97" s="138"/>
      <c r="S97" s="138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100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148"/>
      <c r="R98" s="148"/>
      <c r="S98" s="148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101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148"/>
      <c r="R99" s="148"/>
      <c r="S99" s="148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101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138"/>
      <c r="R100" s="138"/>
      <c r="S100" s="138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101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138"/>
      <c r="R101" s="138"/>
      <c r="S101" s="138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5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138"/>
      <c r="R102" s="138"/>
      <c r="S102" s="138"/>
    </row>
    <row r="103" spans="1:19" ht="17.25" thickBot="1">
      <c r="A103" s="17" t="s">
        <v>74</v>
      </c>
      <c r="B103" s="106">
        <v>28460</v>
      </c>
      <c r="C103" s="107">
        <v>6.5518532399999996E-2</v>
      </c>
      <c r="D103" s="106">
        <v>27500</v>
      </c>
      <c r="E103" s="107">
        <f>IF(ISNUMBER(D103), (D103 - $B103) / $B103, "")</f>
        <v>-3.3731553056921992E-2</v>
      </c>
      <c r="F103" s="108">
        <f>IF(ISNUMBER(D103), $B118 * E103, "")</f>
        <v>-10119.465917076597</v>
      </c>
      <c r="G103" s="109">
        <v>27400</v>
      </c>
      <c r="H103" s="107">
        <f>IF(ISNUMBER(G103), (G103 - $B103) / $B103, "")</f>
        <v>-3.7245256500351369E-2</v>
      </c>
      <c r="I103" s="110">
        <f>IF(ISNUMBER(G103), $B118 * H103, "")</f>
        <v>-11173.576950105411</v>
      </c>
      <c r="J103" s="106">
        <v>27590</v>
      </c>
      <c r="K103" s="107">
        <f>IF(ISNUMBER(J103), (J103 - $B103) / $B103, "")</f>
        <v>-3.0569219957835559E-2</v>
      </c>
      <c r="L103" s="108">
        <f>IF(ISNUMBER(J103), $B118 * K103, "")</f>
        <v>-9170.7659873506673</v>
      </c>
      <c r="M103" s="109">
        <v>27670</v>
      </c>
      <c r="N103" s="107">
        <f>IF(ISNUMBER(M103), (M103 - $B103) / $B103, "")</f>
        <v>-2.7758257203092059E-2</v>
      </c>
      <c r="O103" s="108">
        <f>IF(ISNUMBER(M103), $B118 * N103, "")</f>
        <v>-8327.4771609276177</v>
      </c>
      <c r="Q103" s="138"/>
      <c r="R103" s="138"/>
      <c r="S103" s="138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101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138"/>
      <c r="R104" s="138"/>
      <c r="S104" s="138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101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138"/>
      <c r="R105" s="138"/>
      <c r="S105" s="138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101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4">
        <f>IF(ISNUMBER(D107), $B118 * E107, "")</f>
        <v>-6773.4887108521489</v>
      </c>
      <c r="G107" s="102">
        <v>6785</v>
      </c>
      <c r="H107" s="25">
        <f t="shared" si="51"/>
        <v>-1.1653313911143482E-2</v>
      </c>
      <c r="I107" s="103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4">
        <f>IF(ISNUMBER(J107), $B118 * K107, "")</f>
        <v>-5899.4901675163883</v>
      </c>
      <c r="M107" s="102">
        <v>6780</v>
      </c>
      <c r="N107" s="25">
        <f t="shared" si="53"/>
        <v>-1.2381646030589949E-2</v>
      </c>
      <c r="O107" s="104">
        <f>IF(ISNUMBER(M107), $B118 * N107, "")</f>
        <v>-3714.4938091769845</v>
      </c>
      <c r="Q107" s="139"/>
      <c r="R107" s="140"/>
      <c r="S107" s="141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100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142"/>
      <c r="R108" s="143"/>
      <c r="S108" s="144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101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145"/>
      <c r="R109" s="146"/>
      <c r="S109" s="147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101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138"/>
      <c r="R110" s="138"/>
      <c r="S110" s="138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101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148"/>
      <c r="R111" s="148"/>
      <c r="S111" s="148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5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148"/>
      <c r="R112" s="148"/>
      <c r="S112" s="148"/>
    </row>
    <row r="113" spans="1:19" ht="17.25" thickBot="1">
      <c r="A113" s="17" t="s">
        <v>122</v>
      </c>
      <c r="B113" s="106">
        <v>126</v>
      </c>
      <c r="C113" s="107">
        <v>3.2786885199999997E-2</v>
      </c>
      <c r="D113" s="106">
        <v>129</v>
      </c>
      <c r="E113" s="107">
        <f>IF(ISNUMBER(D113), (D113 - $B113) / $B113, "")</f>
        <v>2.3809523809523808E-2</v>
      </c>
      <c r="F113" s="108">
        <f>IF(ISNUMBER(D113), $B118 * E113, "")</f>
        <v>7142.8571428571422</v>
      </c>
      <c r="G113" s="109">
        <v>129</v>
      </c>
      <c r="H113" s="107">
        <f>IF(ISNUMBER(G113), (G113 - $B113) / $B113, "")</f>
        <v>2.3809523809523808E-2</v>
      </c>
      <c r="I113" s="110">
        <f>IF(ISNUMBER(G113), $B118 * H113, "")</f>
        <v>7142.8571428571422</v>
      </c>
      <c r="J113" s="106">
        <v>130</v>
      </c>
      <c r="K113" s="107">
        <f>IF(ISNUMBER(J113), (J113 - $B113) / $B113, "")</f>
        <v>3.1746031746031744E-2</v>
      </c>
      <c r="L113" s="108">
        <f>IF(ISNUMBER(J113), $B118 * K113, "")</f>
        <v>9523.8095238095229</v>
      </c>
      <c r="M113" s="109">
        <v>130</v>
      </c>
      <c r="N113" s="107">
        <f>IF(ISNUMBER(M113), (M113 - $B113) / $B113, "")</f>
        <v>3.1746031746031744E-2</v>
      </c>
      <c r="O113" s="108">
        <f>IF(ISNUMBER(M113), $B118 * N113, "")</f>
        <v>9523.8095238095229</v>
      </c>
      <c r="Q113" s="138"/>
      <c r="R113" s="138"/>
      <c r="S113" s="138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101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138"/>
      <c r="R114" s="138"/>
      <c r="S114" s="138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101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138"/>
      <c r="R115" s="138"/>
      <c r="S115" s="138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101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127"/>
      <c r="R116" s="128"/>
      <c r="S116" s="129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4">
        <f>IF(ISNUMBER(D117), $B118 * E117, "")</f>
        <v>-2988.0478087649403</v>
      </c>
      <c r="G117" s="102">
        <v>2485</v>
      </c>
      <c r="H117" s="25">
        <f t="shared" si="59"/>
        <v>-9.9601593625498006E-3</v>
      </c>
      <c r="I117" s="103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4">
        <f>IF(ISNUMBER(J117), $B118 * K117, "")</f>
        <v>1195.2191235059761</v>
      </c>
      <c r="M117" s="102">
        <v>2545</v>
      </c>
      <c r="N117" s="25">
        <f t="shared" si="61"/>
        <v>1.3944223107569721E-2</v>
      </c>
      <c r="O117" s="104">
        <f>IF(ISNUMBER(M117), $B118 * N117, "")</f>
        <v>4183.2669322709162</v>
      </c>
      <c r="Q117" s="130"/>
      <c r="R117" s="131"/>
      <c r="S117" s="132"/>
    </row>
    <row r="118" spans="1:19" ht="17.25" thickBot="1">
      <c r="A118" s="26" t="s">
        <v>301</v>
      </c>
      <c r="B118" s="136">
        <f>$B$37</f>
        <v>300000</v>
      </c>
      <c r="C118" s="137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133"/>
      <c r="R118" s="134"/>
      <c r="S118" s="135"/>
    </row>
    <row r="120" spans="1:19" ht="17.25" thickBot="1"/>
    <row r="121" spans="1:19" ht="17.25" thickBot="1">
      <c r="A121" s="149" t="s">
        <v>288</v>
      </c>
      <c r="B121" s="150"/>
      <c r="C121" s="150"/>
      <c r="D121" s="150"/>
      <c r="E121" s="150"/>
      <c r="F121" s="150"/>
      <c r="G121" s="150"/>
      <c r="H121" s="150"/>
      <c r="I121" s="150"/>
      <c r="J121" s="150"/>
      <c r="K121" s="150"/>
      <c r="L121" s="150"/>
      <c r="M121" s="150"/>
      <c r="N121" s="150"/>
      <c r="O121" s="151"/>
      <c r="Q121" s="148"/>
      <c r="R121" s="148"/>
      <c r="S121" s="148"/>
    </row>
    <row r="122" spans="1:19" ht="17.25" thickBot="1">
      <c r="A122" s="111" t="s">
        <v>298</v>
      </c>
      <c r="B122" s="149" t="s">
        <v>49</v>
      </c>
      <c r="C122" s="151"/>
      <c r="D122" s="149" t="s">
        <v>58</v>
      </c>
      <c r="E122" s="150"/>
      <c r="F122" s="151"/>
      <c r="G122" s="152">
        <f>_xlfn.IFNA(VLOOKUP(B122, 현재가테이블!$B$2:$D$200, 2, FALSE), "-")</f>
        <v>69894000</v>
      </c>
      <c r="H122" s="153"/>
      <c r="I122" s="154"/>
      <c r="J122" s="149" t="s">
        <v>59</v>
      </c>
      <c r="K122" s="150"/>
      <c r="L122" s="151"/>
      <c r="M122" s="155">
        <f>_xlfn.IFNA(VLOOKUP(B122, 현재가테이블!$B$2:$D$200, 3, FALSE), "-")</f>
        <v>2.1065856399999999E-2</v>
      </c>
      <c r="N122" s="156"/>
      <c r="O122" s="157"/>
      <c r="Q122" s="148"/>
      <c r="R122" s="148"/>
      <c r="S122" s="148"/>
    </row>
    <row r="123" spans="1:19" ht="17.25" thickBot="1">
      <c r="A123" s="158" t="s">
        <v>55</v>
      </c>
      <c r="B123" s="160" t="str">
        <f>TEXT($G$1, "[$-ko-KR]yyyy-mm-dd(ddd) ") &amp; "오전 00:00"</f>
        <v>2021-05-02(일) 오전 00:00</v>
      </c>
      <c r="C123" s="161"/>
      <c r="D123" s="162" t="str">
        <f>TEXT($G$1, "[$-ko-KR]yyyy-mm-dd(ddd) ") &amp; "오후 14:00"</f>
        <v>2021-05-02(일) 오후 14:00</v>
      </c>
      <c r="E123" s="163"/>
      <c r="F123" s="164"/>
      <c r="G123" s="162" t="str">
        <f>TEXT($G$1, "[$-ko-KR]yyyy-mm-dd(ddd) ") &amp; "오후 19:00"</f>
        <v>2021-05-02(일) 오후 19:00</v>
      </c>
      <c r="H123" s="163"/>
      <c r="I123" s="164"/>
      <c r="J123" s="162" t="str">
        <f>TEXT($G$1, "[$-ko-KR]yyyy-mm-dd(ddd) ") &amp; "오후 21:00"</f>
        <v>2021-05-02(일) 오후 21:00</v>
      </c>
      <c r="K123" s="163"/>
      <c r="L123" s="164"/>
      <c r="M123" s="162" t="str">
        <f>TEXT($G$1+1, "[$-ko-KR]yyyy-mm-dd(ddd) ") &amp; "오전 00:00"</f>
        <v>2021-05-03(월) 오전 00:00</v>
      </c>
      <c r="N123" s="163"/>
      <c r="O123" s="164"/>
      <c r="Q123" s="148"/>
      <c r="R123" s="148"/>
      <c r="S123" s="148"/>
    </row>
    <row r="124" spans="1:19" ht="17.25" thickBot="1">
      <c r="A124" s="159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38"/>
      <c r="R124" s="138"/>
      <c r="S124" s="138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100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148"/>
      <c r="R125" s="148"/>
      <c r="S125" s="148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101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148"/>
      <c r="R126" s="148"/>
      <c r="S126" s="148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101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138"/>
      <c r="R127" s="138"/>
      <c r="S127" s="138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101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138"/>
      <c r="R128" s="138"/>
      <c r="S128" s="138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5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138"/>
      <c r="R129" s="138"/>
      <c r="S129" s="138"/>
    </row>
    <row r="130" spans="1:19" ht="17.25" thickBot="1">
      <c r="A130" s="17" t="s">
        <v>198</v>
      </c>
      <c r="B130" s="106">
        <v>31.7</v>
      </c>
      <c r="C130" s="107">
        <v>-2.1604938300000001E-2</v>
      </c>
      <c r="D130" s="106">
        <v>31.5</v>
      </c>
      <c r="E130" s="107">
        <f>IF(ISNUMBER(D130), (D130 - $B130) / $B130, "")</f>
        <v>-6.3091482649842053E-3</v>
      </c>
      <c r="F130" s="108">
        <f>IF(ISNUMBER(D130), $B145 * E130, "")</f>
        <v>-1892.7444794952617</v>
      </c>
      <c r="G130" s="109">
        <v>31.4</v>
      </c>
      <c r="H130" s="107">
        <f>IF(ISNUMBER(G130), (G130 - $B130) / $B130, "")</f>
        <v>-9.4637223974763634E-3</v>
      </c>
      <c r="I130" s="110">
        <f>IF(ISNUMBER(G130), $B145 * H130, "")</f>
        <v>-2839.1167192429089</v>
      </c>
      <c r="J130" s="106">
        <v>31.4</v>
      </c>
      <c r="K130" s="107">
        <f>IF(ISNUMBER(J130), (J130 - $B130) / $B130, "")</f>
        <v>-9.4637223974763634E-3</v>
      </c>
      <c r="L130" s="108">
        <f>IF(ISNUMBER(J130), $B145 * K130, "")</f>
        <v>-2839.1167192429089</v>
      </c>
      <c r="M130" s="109">
        <v>31.6</v>
      </c>
      <c r="N130" s="107">
        <f>IF(ISNUMBER(M130), (M130 - $B130) / $B130, "")</f>
        <v>-3.1545741324920462E-3</v>
      </c>
      <c r="O130" s="108">
        <f>IF(ISNUMBER(M130), $B145 * N130, "")</f>
        <v>-946.37223974761389</v>
      </c>
      <c r="Q130" s="138"/>
      <c r="R130" s="138"/>
      <c r="S130" s="138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101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138"/>
      <c r="R131" s="138"/>
      <c r="S131" s="138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101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138"/>
      <c r="R132" s="138"/>
      <c r="S132" s="138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101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4">
        <f>IF(ISNUMBER(D134), $B145 * E134, "")</f>
        <v>-1239.6694214875768</v>
      </c>
      <c r="G134" s="102">
        <v>24</v>
      </c>
      <c r="H134" s="25">
        <f t="shared" si="67"/>
        <v>-8.2644628099173261E-3</v>
      </c>
      <c r="I134" s="103">
        <f>IF(ISNUMBER(G134), $B145 * H134, "")</f>
        <v>-2479.3388429751976</v>
      </c>
      <c r="J134" s="24">
        <v>24.2</v>
      </c>
      <c r="K134" s="25">
        <f t="shared" si="68"/>
        <v>0</v>
      </c>
      <c r="L134" s="104">
        <f>IF(ISNUMBER(J134), $B145 * K134, "")</f>
        <v>0</v>
      </c>
      <c r="M134" s="102">
        <v>24.5</v>
      </c>
      <c r="N134" s="25">
        <f t="shared" si="69"/>
        <v>1.2396694214876063E-2</v>
      </c>
      <c r="O134" s="104">
        <f>IF(ISNUMBER(M134), $B145 * N134, "")</f>
        <v>3719.0082644628187</v>
      </c>
      <c r="Q134" s="139"/>
      <c r="R134" s="140"/>
      <c r="S134" s="141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100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142"/>
      <c r="R135" s="143"/>
      <c r="S135" s="144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101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145"/>
      <c r="R136" s="146"/>
      <c r="S136" s="147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101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138"/>
      <c r="R137" s="138"/>
      <c r="S137" s="138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101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148"/>
      <c r="R138" s="148"/>
      <c r="S138" s="148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5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148"/>
      <c r="R139" s="148"/>
      <c r="S139" s="148"/>
    </row>
    <row r="140" spans="1:19" ht="17.25" thickBot="1">
      <c r="A140" s="17" t="s">
        <v>218</v>
      </c>
      <c r="B140" s="106">
        <v>32.1</v>
      </c>
      <c r="C140" s="107">
        <v>-3.3132530100000002E-2</v>
      </c>
      <c r="D140" s="106">
        <v>31.5</v>
      </c>
      <c r="E140" s="107">
        <f>IF(ISNUMBER(D140), (D140 - $B140) / $B140, "")</f>
        <v>-1.8691588785046773E-2</v>
      </c>
      <c r="F140" s="108">
        <f>IF(ISNUMBER(D140), $B145 * E140, "")</f>
        <v>-5607.4766355140318</v>
      </c>
      <c r="G140" s="109">
        <v>31.8</v>
      </c>
      <c r="H140" s="107">
        <f>IF(ISNUMBER(G140), (G140 - $B140) / $B140, "")</f>
        <v>-9.3457943925233863E-3</v>
      </c>
      <c r="I140" s="110">
        <f>IF(ISNUMBER(G140), $B145 * H140, "")</f>
        <v>-2803.7383177570159</v>
      </c>
      <c r="J140" s="106">
        <v>31.8</v>
      </c>
      <c r="K140" s="107">
        <f>IF(ISNUMBER(J140), (J140 - $B140) / $B140, "")</f>
        <v>-9.3457943925233863E-3</v>
      </c>
      <c r="L140" s="108">
        <f>IF(ISNUMBER(J140), $B145 * K140, "")</f>
        <v>-2803.7383177570159</v>
      </c>
      <c r="M140" s="109">
        <v>32.1</v>
      </c>
      <c r="N140" s="107">
        <f>IF(ISNUMBER(M140), (M140 - $B140) / $B140, "")</f>
        <v>0</v>
      </c>
      <c r="O140" s="108">
        <f>IF(ISNUMBER(M140), $B145 * N140, "")</f>
        <v>0</v>
      </c>
      <c r="Q140" s="138"/>
      <c r="R140" s="138"/>
      <c r="S140" s="138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101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138"/>
      <c r="R141" s="138"/>
      <c r="S141" s="138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101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138"/>
      <c r="R142" s="138"/>
      <c r="S142" s="138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101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127"/>
      <c r="R143" s="128"/>
      <c r="S143" s="129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30"/>
      <c r="R144" s="131"/>
      <c r="S144" s="132"/>
    </row>
    <row r="145" spans="1:19" ht="17.25" thickBot="1">
      <c r="A145" s="26" t="s">
        <v>301</v>
      </c>
      <c r="B145" s="136">
        <f>$B$37</f>
        <v>300000</v>
      </c>
      <c r="C145" s="137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133"/>
      <c r="R145" s="134"/>
      <c r="S145" s="135"/>
    </row>
    <row r="147" spans="1:19" ht="17.25" thickBot="1"/>
    <row r="148" spans="1:19" ht="17.25" thickBot="1">
      <c r="A148" s="149" t="s">
        <v>289</v>
      </c>
      <c r="B148" s="150"/>
      <c r="C148" s="150"/>
      <c r="D148" s="150"/>
      <c r="E148" s="150"/>
      <c r="F148" s="150"/>
      <c r="G148" s="150"/>
      <c r="H148" s="150"/>
      <c r="I148" s="150"/>
      <c r="J148" s="150"/>
      <c r="K148" s="150"/>
      <c r="L148" s="150"/>
      <c r="M148" s="150"/>
      <c r="N148" s="150"/>
      <c r="O148" s="151"/>
      <c r="Q148" s="148"/>
      <c r="R148" s="148"/>
      <c r="S148" s="148"/>
    </row>
    <row r="149" spans="1:19" ht="17.25" thickBot="1">
      <c r="A149" s="111" t="s">
        <v>298</v>
      </c>
      <c r="B149" s="149" t="s">
        <v>49</v>
      </c>
      <c r="C149" s="151"/>
      <c r="D149" s="149" t="s">
        <v>58</v>
      </c>
      <c r="E149" s="150"/>
      <c r="F149" s="151"/>
      <c r="G149" s="152">
        <f>_xlfn.IFNA(VLOOKUP(B149, 현재가테이블!$B$2:$D$200, 2, FALSE), "-")</f>
        <v>69894000</v>
      </c>
      <c r="H149" s="153"/>
      <c r="I149" s="154"/>
      <c r="J149" s="149" t="s">
        <v>59</v>
      </c>
      <c r="K149" s="150"/>
      <c r="L149" s="151"/>
      <c r="M149" s="155">
        <f>_xlfn.IFNA(VLOOKUP(B149, 현재가테이블!$B$2:$D$200, 3, FALSE), "-")</f>
        <v>2.1065856399999999E-2</v>
      </c>
      <c r="N149" s="156"/>
      <c r="O149" s="157"/>
      <c r="Q149" s="148"/>
      <c r="R149" s="148"/>
      <c r="S149" s="148"/>
    </row>
    <row r="150" spans="1:19" ht="17.25" thickBot="1">
      <c r="A150" s="158" t="s">
        <v>55</v>
      </c>
      <c r="B150" s="160" t="str">
        <f>TEXT($G$1, "[$-ko-KR]yyyy-mm-dd(ddd) ") &amp; "오전 00:00"</f>
        <v>2021-05-02(일) 오전 00:00</v>
      </c>
      <c r="C150" s="161"/>
      <c r="D150" s="162" t="str">
        <f>TEXT($G$1, "[$-ko-KR]yyyy-mm-dd(ddd) ") &amp; "오후 14:00"</f>
        <v>2021-05-02(일) 오후 14:00</v>
      </c>
      <c r="E150" s="163"/>
      <c r="F150" s="164"/>
      <c r="G150" s="162" t="str">
        <f>TEXT($G$1, "[$-ko-KR]yyyy-mm-dd(ddd) ") &amp; "오후 19:00"</f>
        <v>2021-05-02(일) 오후 19:00</v>
      </c>
      <c r="H150" s="163"/>
      <c r="I150" s="164"/>
      <c r="J150" s="162" t="str">
        <f>TEXT($G$1, "[$-ko-KR]yyyy-mm-dd(ddd) ") &amp; "오후 21:00"</f>
        <v>2021-05-02(일) 오후 21:00</v>
      </c>
      <c r="K150" s="163"/>
      <c r="L150" s="164"/>
      <c r="M150" s="162" t="str">
        <f>TEXT($G$1+1, "[$-ko-KR]yyyy-mm-dd(ddd) ") &amp; "오전 00:00"</f>
        <v>2021-05-03(월) 오전 00:00</v>
      </c>
      <c r="N150" s="163"/>
      <c r="O150" s="164"/>
      <c r="Q150" s="148"/>
      <c r="R150" s="148"/>
      <c r="S150" s="148"/>
    </row>
    <row r="151" spans="1:19" ht="17.25" thickBot="1">
      <c r="A151" s="159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38"/>
      <c r="R151" s="138"/>
      <c r="S151" s="138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100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148"/>
      <c r="R152" s="148"/>
      <c r="S152" s="148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101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148"/>
      <c r="R153" s="148"/>
      <c r="S153" s="148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101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138"/>
      <c r="R154" s="138"/>
      <c r="S154" s="138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101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138"/>
      <c r="R155" s="138"/>
      <c r="S155" s="138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5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138"/>
      <c r="R156" s="138"/>
      <c r="S156" s="138"/>
    </row>
    <row r="157" spans="1:19" ht="17.25" thickBot="1">
      <c r="A157" s="17" t="s">
        <v>282</v>
      </c>
      <c r="B157" s="106">
        <v>184</v>
      </c>
      <c r="C157" s="107">
        <v>-1.6042780699999998E-2</v>
      </c>
      <c r="D157" s="106">
        <v>178</v>
      </c>
      <c r="E157" s="107">
        <f>IF(ISNUMBER(D157), (D157 - $B157) / $B157, "")</f>
        <v>-3.2608695652173912E-2</v>
      </c>
      <c r="F157" s="108">
        <f>IF(ISNUMBER(D157), $B172 * E157, "")</f>
        <v>-9782.608695652174</v>
      </c>
      <c r="G157" s="109">
        <v>178</v>
      </c>
      <c r="H157" s="107">
        <f>IF(ISNUMBER(G157), (G157 - $B157) / $B157, "")</f>
        <v>-3.2608695652173912E-2</v>
      </c>
      <c r="I157" s="110">
        <f>IF(ISNUMBER(G157), $B172 * H157, "")</f>
        <v>-9782.608695652174</v>
      </c>
      <c r="J157" s="106">
        <v>179</v>
      </c>
      <c r="K157" s="107">
        <f>IF(ISNUMBER(J157), (J157 - $B157) / $B157, "")</f>
        <v>-2.717391304347826E-2</v>
      </c>
      <c r="L157" s="108">
        <f>IF(ISNUMBER(J157), $B172 * K157, "")</f>
        <v>-8152.173913043478</v>
      </c>
      <c r="M157" s="109">
        <v>181</v>
      </c>
      <c r="N157" s="107">
        <f>IF(ISNUMBER(M157), (M157 - $B157) / $B157, "")</f>
        <v>-1.6304347826086956E-2</v>
      </c>
      <c r="O157" s="108">
        <f>IF(ISNUMBER(M157), $B172 * N157, "")</f>
        <v>-4891.304347826087</v>
      </c>
      <c r="Q157" s="138"/>
      <c r="R157" s="138"/>
      <c r="S157" s="138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101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138"/>
      <c r="R158" s="138"/>
      <c r="S158" s="138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101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138"/>
      <c r="R159" s="138"/>
      <c r="S159" s="138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101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4">
        <f>IF(ISNUMBER(D161), $B172 * E161, "")</f>
        <v>-7972.0279720279723</v>
      </c>
      <c r="G161" s="102">
        <v>696</v>
      </c>
      <c r="H161" s="25">
        <f t="shared" si="83"/>
        <v>-2.6573426573426574E-2</v>
      </c>
      <c r="I161" s="103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4">
        <f>IF(ISNUMBER(J161), $B172 * K161, "")</f>
        <v>-5454.545454545454</v>
      </c>
      <c r="M161" s="102">
        <v>706</v>
      </c>
      <c r="N161" s="25">
        <f t="shared" si="85"/>
        <v>-1.2587412587412588E-2</v>
      </c>
      <c r="O161" s="104">
        <f>IF(ISNUMBER(M161), $B172 * N161, "")</f>
        <v>-3776.2237762237764</v>
      </c>
      <c r="Q161" s="139"/>
      <c r="R161" s="140"/>
      <c r="S161" s="141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100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142"/>
      <c r="R162" s="143"/>
      <c r="S162" s="144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101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145"/>
      <c r="R163" s="146"/>
      <c r="S163" s="147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101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138"/>
      <c r="R164" s="138"/>
      <c r="S164" s="138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101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148"/>
      <c r="R165" s="148"/>
      <c r="S165" s="148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5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148"/>
      <c r="R166" s="148"/>
      <c r="S166" s="148"/>
    </row>
    <row r="167" spans="1:19" ht="17.25" thickBot="1">
      <c r="A167" s="17" t="s">
        <v>264</v>
      </c>
      <c r="B167" s="106">
        <v>183</v>
      </c>
      <c r="C167" s="107">
        <v>-2.65957447E-2</v>
      </c>
      <c r="D167" s="106">
        <v>181</v>
      </c>
      <c r="E167" s="107">
        <f>IF(ISNUMBER(D167), (D167 - $B167) / $B167, "")</f>
        <v>-1.092896174863388E-2</v>
      </c>
      <c r="F167" s="108">
        <f>IF(ISNUMBER(D167), $B172 * E167, "")</f>
        <v>-3278.688524590164</v>
      </c>
      <c r="G167" s="109">
        <v>182</v>
      </c>
      <c r="H167" s="107">
        <f>IF(ISNUMBER(G167), (G167 - $B167) / $B167, "")</f>
        <v>-5.4644808743169399E-3</v>
      </c>
      <c r="I167" s="110">
        <f>IF(ISNUMBER(G167), $B172 * H167, "")</f>
        <v>-1639.344262295082</v>
      </c>
      <c r="J167" s="106">
        <v>182</v>
      </c>
      <c r="K167" s="107">
        <f>IF(ISNUMBER(J167), (J167 - $B167) / $B167, "")</f>
        <v>-5.4644808743169399E-3</v>
      </c>
      <c r="L167" s="108">
        <f>IF(ISNUMBER(J167), $B172 * K167, "")</f>
        <v>-1639.344262295082</v>
      </c>
      <c r="M167" s="109">
        <v>184</v>
      </c>
      <c r="N167" s="107">
        <f>IF(ISNUMBER(M167), (M167 - $B167) / $B167, "")</f>
        <v>5.4644808743169399E-3</v>
      </c>
      <c r="O167" s="108">
        <f>IF(ISNUMBER(M167), $B172 * N167, "")</f>
        <v>1639.344262295082</v>
      </c>
      <c r="Q167" s="138"/>
      <c r="R167" s="138"/>
      <c r="S167" s="138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138"/>
      <c r="R168" s="138"/>
      <c r="S168" s="138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101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138"/>
      <c r="R169" s="138"/>
      <c r="S169" s="138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101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127"/>
      <c r="R170" s="128"/>
      <c r="S170" s="129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4">
        <f>IF(ISNUMBER(D171), $B172 * E171, "")</f>
        <v>-5106.3829787234044</v>
      </c>
      <c r="G171" s="102">
        <v>462</v>
      </c>
      <c r="H171" s="25">
        <f t="shared" si="91"/>
        <v>-1.7021276595744681E-2</v>
      </c>
      <c r="I171" s="103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4">
        <f>IF(ISNUMBER(J171), $B172 * K171, "")</f>
        <v>-3191.4893617021276</v>
      </c>
      <c r="M171" s="102">
        <v>469</v>
      </c>
      <c r="N171" s="25">
        <f t="shared" si="93"/>
        <v>-2.1276595744680851E-3</v>
      </c>
      <c r="O171" s="104">
        <f>IF(ISNUMBER(M171), $B172 * N171, "")</f>
        <v>-638.29787234042556</v>
      </c>
      <c r="Q171" s="130"/>
      <c r="R171" s="131"/>
      <c r="S171" s="132"/>
    </row>
    <row r="172" spans="1:19" ht="17.25" thickBot="1">
      <c r="A172" s="26" t="s">
        <v>301</v>
      </c>
      <c r="B172" s="136">
        <f>$B$37</f>
        <v>300000</v>
      </c>
      <c r="C172" s="137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133"/>
      <c r="R172" s="134"/>
      <c r="S172" s="135"/>
    </row>
    <row r="174" spans="1:19" ht="17.25" thickBot="1"/>
    <row r="175" spans="1:19" ht="17.25" thickBot="1">
      <c r="A175" s="149" t="s">
        <v>285</v>
      </c>
      <c r="B175" s="150"/>
      <c r="C175" s="150"/>
      <c r="D175" s="150"/>
      <c r="E175" s="150"/>
      <c r="F175" s="150"/>
      <c r="G175" s="150"/>
      <c r="H175" s="150"/>
      <c r="I175" s="150"/>
      <c r="J175" s="150"/>
      <c r="K175" s="150"/>
      <c r="L175" s="150"/>
      <c r="M175" s="150"/>
      <c r="N175" s="150"/>
      <c r="O175" s="151"/>
      <c r="Q175" s="148"/>
      <c r="R175" s="148"/>
      <c r="S175" s="148"/>
    </row>
    <row r="176" spans="1:19" ht="17.25" thickBot="1">
      <c r="A176" s="111" t="s">
        <v>298</v>
      </c>
      <c r="B176" s="149" t="s">
        <v>49</v>
      </c>
      <c r="C176" s="151"/>
      <c r="D176" s="149" t="s">
        <v>58</v>
      </c>
      <c r="E176" s="150"/>
      <c r="F176" s="151"/>
      <c r="G176" s="152">
        <f>_xlfn.IFNA(VLOOKUP(B176, 현재가테이블!$B$2:$D$200, 2, FALSE), "-")</f>
        <v>69894000</v>
      </c>
      <c r="H176" s="153"/>
      <c r="I176" s="154"/>
      <c r="J176" s="149" t="s">
        <v>59</v>
      </c>
      <c r="K176" s="150"/>
      <c r="L176" s="151"/>
      <c r="M176" s="155">
        <f>_xlfn.IFNA(VLOOKUP(B176, 현재가테이블!$B$2:$D$200, 3, FALSE), "-")</f>
        <v>2.1065856399999999E-2</v>
      </c>
      <c r="N176" s="156"/>
      <c r="O176" s="157"/>
      <c r="Q176" s="148"/>
      <c r="R176" s="148"/>
      <c r="S176" s="148"/>
    </row>
    <row r="177" spans="1:19" ht="17.25" thickBot="1">
      <c r="A177" s="158" t="s">
        <v>55</v>
      </c>
      <c r="B177" s="160" t="str">
        <f>TEXT($G$1, "[$-ko-KR]yyyy-mm-dd(ddd) ") &amp; "오전 00:00"</f>
        <v>2021-05-02(일) 오전 00:00</v>
      </c>
      <c r="C177" s="161"/>
      <c r="D177" s="162" t="str">
        <f>TEXT($G$1, "[$-ko-KR]yyyy-mm-dd(ddd) ") &amp; "오후 14:00"</f>
        <v>2021-05-02(일) 오후 14:00</v>
      </c>
      <c r="E177" s="163"/>
      <c r="F177" s="164"/>
      <c r="G177" s="162" t="str">
        <f>TEXT($G$1, "[$-ko-KR]yyyy-mm-dd(ddd) ") &amp; "오후 19:00"</f>
        <v>2021-05-02(일) 오후 19:00</v>
      </c>
      <c r="H177" s="163"/>
      <c r="I177" s="164"/>
      <c r="J177" s="162" t="str">
        <f>TEXT($G$1, "[$-ko-KR]yyyy-mm-dd(ddd) ") &amp; "오후 21:00"</f>
        <v>2021-05-02(일) 오후 21:00</v>
      </c>
      <c r="K177" s="163"/>
      <c r="L177" s="164"/>
      <c r="M177" s="162" t="str">
        <f>TEXT($G$1+1, "[$-ko-KR]yyyy-mm-dd(ddd) ") &amp; "오전 00:00"</f>
        <v>2021-05-03(월) 오전 00:00</v>
      </c>
      <c r="N177" s="163"/>
      <c r="O177" s="164"/>
      <c r="Q177" s="148"/>
      <c r="R177" s="148"/>
      <c r="S177" s="148"/>
    </row>
    <row r="178" spans="1:19" ht="17.25" thickBot="1">
      <c r="A178" s="159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38"/>
      <c r="R178" s="138"/>
      <c r="S178" s="138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100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148"/>
      <c r="R179" s="148"/>
      <c r="S179" s="148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101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148"/>
      <c r="R180" s="148"/>
      <c r="S180" s="148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101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138"/>
      <c r="R181" s="138"/>
      <c r="S181" s="138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101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138"/>
      <c r="R182" s="138"/>
      <c r="S182" s="138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5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138"/>
      <c r="R183" s="138"/>
      <c r="S183" s="138"/>
    </row>
    <row r="184" spans="1:19" ht="17.25" thickBot="1">
      <c r="A184" s="17" t="s">
        <v>61</v>
      </c>
      <c r="B184" s="106">
        <v>1710</v>
      </c>
      <c r="C184" s="107">
        <v>-2.84090909E-2</v>
      </c>
      <c r="D184" s="106">
        <v>1695</v>
      </c>
      <c r="E184" s="107">
        <f>IF(ISNUMBER(D184), (D184 - $B184) / $B184, "")</f>
        <v>-8.771929824561403E-3</v>
      </c>
      <c r="F184" s="108">
        <f>IF(ISNUMBER(D184), $B199 * E184, "")</f>
        <v>-2631.5789473684208</v>
      </c>
      <c r="G184" s="109">
        <v>1700</v>
      </c>
      <c r="H184" s="107">
        <f>IF(ISNUMBER(G184), (G184 - $B184) / $B184, "")</f>
        <v>-5.8479532163742687E-3</v>
      </c>
      <c r="I184" s="110">
        <f>IF(ISNUMBER(G184), $B199 * H184, "")</f>
        <v>-1754.3859649122805</v>
      </c>
      <c r="J184" s="106">
        <v>1700</v>
      </c>
      <c r="K184" s="107">
        <f>IF(ISNUMBER(J184), (J184 - $B184) / $B184, "")</f>
        <v>-5.8479532163742687E-3</v>
      </c>
      <c r="L184" s="108">
        <f>IF(ISNUMBER(J184), $B199 * K184, "")</f>
        <v>-1754.3859649122805</v>
      </c>
      <c r="M184" s="109">
        <v>1715</v>
      </c>
      <c r="N184" s="107">
        <f>IF(ISNUMBER(M184), (M184 - $B184) / $B184, "")</f>
        <v>2.9239766081871343E-3</v>
      </c>
      <c r="O184" s="108">
        <f>IF(ISNUMBER(M184), $B199 * N184, "")</f>
        <v>877.19298245614027</v>
      </c>
      <c r="Q184" s="138"/>
      <c r="R184" s="138"/>
      <c r="S184" s="138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101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138"/>
      <c r="R185" s="138"/>
      <c r="S185" s="138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101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138"/>
      <c r="R186" s="138"/>
      <c r="S186" s="138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101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4">
        <f>IF(ISNUMBER(D188), $B199 * E188, "")</f>
        <v>21428.571428571428</v>
      </c>
      <c r="G188" s="102">
        <v>1500</v>
      </c>
      <c r="H188" s="25">
        <f t="shared" si="99"/>
        <v>7.1428571428571425E-2</v>
      </c>
      <c r="I188" s="103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4">
        <f>IF(ISNUMBER(J188), $B199 * K188, "")</f>
        <v>22500</v>
      </c>
      <c r="M188" s="102">
        <v>1500</v>
      </c>
      <c r="N188" s="25">
        <f t="shared" si="101"/>
        <v>7.1428571428571425E-2</v>
      </c>
      <c r="O188" s="104">
        <f>IF(ISNUMBER(M188), $B199 * N188, "")</f>
        <v>21428.571428571428</v>
      </c>
      <c r="Q188" s="139"/>
      <c r="R188" s="140"/>
      <c r="S188" s="141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100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142"/>
      <c r="R189" s="143"/>
      <c r="S189" s="144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101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145"/>
      <c r="R190" s="146"/>
      <c r="S190" s="147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101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138"/>
      <c r="R191" s="138"/>
      <c r="S191" s="138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101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148"/>
      <c r="R192" s="148"/>
      <c r="S192" s="148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5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148"/>
      <c r="R193" s="148"/>
      <c r="S193" s="148"/>
    </row>
    <row r="194" spans="1:19" ht="17.25" thickBot="1">
      <c r="A194" s="17" t="s">
        <v>190</v>
      </c>
      <c r="B194" s="106">
        <v>78410</v>
      </c>
      <c r="C194" s="107">
        <v>-4.1325345399999998E-2</v>
      </c>
      <c r="D194" s="106">
        <v>76720</v>
      </c>
      <c r="E194" s="107">
        <f>IF(ISNUMBER(D194), (D194 - $B194) / $B194, "")</f>
        <v>-2.1553373294222675E-2</v>
      </c>
      <c r="F194" s="108">
        <f>IF(ISNUMBER(D194), $B199 * E194, "")</f>
        <v>-6466.0119882668023</v>
      </c>
      <c r="G194" s="109">
        <v>76560</v>
      </c>
      <c r="H194" s="107">
        <f>IF(ISNUMBER(G194), (G194 - $B194) / $B194, "")</f>
        <v>-2.3593929345746716E-2</v>
      </c>
      <c r="I194" s="110">
        <f>IF(ISNUMBER(G194), $B199 * H194, "")</f>
        <v>-7078.1788037240149</v>
      </c>
      <c r="J194" s="106">
        <v>76820</v>
      </c>
      <c r="K194" s="107">
        <f>IF(ISNUMBER(J194), (J194 - $B194) / $B194, "")</f>
        <v>-2.027802576202015E-2</v>
      </c>
      <c r="L194" s="108">
        <f>IF(ISNUMBER(J194), $B199 * K194, "")</f>
        <v>-6083.4077286060447</v>
      </c>
      <c r="M194" s="109">
        <v>77290</v>
      </c>
      <c r="N194" s="107">
        <f>IF(ISNUMBER(M194), (M194 - $B194) / $B194, "")</f>
        <v>-1.4283892360668283E-2</v>
      </c>
      <c r="O194" s="108">
        <f>IF(ISNUMBER(M194), $B199 * N194, "")</f>
        <v>-4285.1677082004844</v>
      </c>
      <c r="Q194" s="138"/>
      <c r="R194" s="138"/>
      <c r="S194" s="138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101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138"/>
      <c r="R195" s="138"/>
      <c r="S195" s="138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101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138"/>
      <c r="R196" s="138"/>
      <c r="S196" s="138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101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127"/>
      <c r="R197" s="128"/>
      <c r="S197" s="129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4">
        <f>IF(ISNUMBER(D198), $B199 * E198, "")</f>
        <v>-11456.85997171147</v>
      </c>
      <c r="G198" s="102">
        <v>68</v>
      </c>
      <c r="H198" s="25">
        <f t="shared" si="107"/>
        <v>-3.8189533239038231E-2</v>
      </c>
      <c r="I198" s="103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4">
        <f>IF(ISNUMBER(J198), $B199 * K198, "")</f>
        <v>-9335.2192362093465</v>
      </c>
      <c r="M198" s="102">
        <v>68.7</v>
      </c>
      <c r="N198" s="25">
        <f t="shared" si="109"/>
        <v>-2.8288543140028287E-2</v>
      </c>
      <c r="O198" s="104">
        <f>IF(ISNUMBER(M198), $B199 * N198, "")</f>
        <v>-8486.5629420084861</v>
      </c>
      <c r="Q198" s="130"/>
      <c r="R198" s="131"/>
      <c r="S198" s="132"/>
    </row>
    <row r="199" spans="1:19" ht="17.25" thickBot="1">
      <c r="A199" s="26" t="s">
        <v>301</v>
      </c>
      <c r="B199" s="136">
        <f>$B$37</f>
        <v>300000</v>
      </c>
      <c r="C199" s="137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133"/>
      <c r="R199" s="134"/>
      <c r="S199" s="13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59" priority="157">
      <formula>AND($N17 &gt; 0, ISNUMBER($N17))</formula>
    </cfRule>
    <cfRule type="expression" dxfId="558" priority="158">
      <formula>AND($N17 = 0 * ISNUMBER($N17))</formula>
    </cfRule>
    <cfRule type="expression" dxfId="557" priority="159">
      <formula>AND($N17 &lt; 0, ISNUMBER($N17))</formula>
    </cfRule>
  </conditionalFormatting>
  <conditionalFormatting sqref="A17:F36">
    <cfRule type="expression" dxfId="556" priority="166">
      <formula>AND($E17 &gt; 0, ISNUMBER($E17))</formula>
    </cfRule>
    <cfRule type="expression" dxfId="555" priority="167">
      <formula>AND($E17 = 0 * ISNUMBER($E17))</formula>
    </cfRule>
    <cfRule type="expression" dxfId="554" priority="168">
      <formula>AND($E17 &lt; 0, ISNUMBER($E17))</formula>
    </cfRule>
  </conditionalFormatting>
  <conditionalFormatting sqref="A17:C36 G17:I36">
    <cfRule type="expression" dxfId="553" priority="163">
      <formula>AND($H17 &gt; 0, ISNUMBER($H17))</formula>
    </cfRule>
    <cfRule type="expression" dxfId="552" priority="164">
      <formula>AND($H17 = 0 * ISNUMBER($H17))</formula>
    </cfRule>
    <cfRule type="expression" dxfId="551" priority="165">
      <formula>AND($H17 &lt; 0, ISNUMBER($H17))</formula>
    </cfRule>
  </conditionalFormatting>
  <conditionalFormatting sqref="A17:C36 J17:L36">
    <cfRule type="expression" dxfId="550" priority="160">
      <formula>AND($K17 &gt; 0, ISNUMBER($K17))</formula>
    </cfRule>
    <cfRule type="expression" dxfId="549" priority="161">
      <formula>AND($K17 = 0 * ISNUMBER($K17))</formula>
    </cfRule>
    <cfRule type="expression" dxfId="548" priority="162">
      <formula>AND($K17 &lt; 0, ISNUMBER($K17))</formula>
    </cfRule>
  </conditionalFormatting>
  <conditionalFormatting sqref="D15:F16 E37:F37">
    <cfRule type="expression" dxfId="547" priority="154">
      <formula>$E$37 &gt; 0</formula>
    </cfRule>
    <cfRule type="expression" dxfId="546" priority="155">
      <formula>$E$37 = 0</formula>
    </cfRule>
    <cfRule type="expression" dxfId="545" priority="156">
      <formula>$E$37 &lt; 0</formula>
    </cfRule>
  </conditionalFormatting>
  <conditionalFormatting sqref="G15:I16 H37:I37">
    <cfRule type="expression" dxfId="544" priority="151">
      <formula>$H$37 &gt; 0</formula>
    </cfRule>
    <cfRule type="expression" dxfId="543" priority="152">
      <formula>$H$37 = 0</formula>
    </cfRule>
    <cfRule type="expression" dxfId="542" priority="153">
      <formula>$H$37 &lt; 0</formula>
    </cfRule>
  </conditionalFormatting>
  <conditionalFormatting sqref="J15:L16 K37:L37">
    <cfRule type="expression" dxfId="541" priority="148">
      <formula>$K$37 &gt; 0</formula>
    </cfRule>
    <cfRule type="expression" dxfId="540" priority="149">
      <formula>$K$37 = 0</formula>
    </cfRule>
    <cfRule type="expression" dxfId="539" priority="150">
      <formula>$K$37 &lt; 0</formula>
    </cfRule>
  </conditionalFormatting>
  <conditionalFormatting sqref="M15:O16 N37:O37">
    <cfRule type="expression" dxfId="538" priority="145">
      <formula>$N$37 &gt; 0</formula>
    </cfRule>
    <cfRule type="expression" dxfId="537" priority="146">
      <formula>$N$37 = 0</formula>
    </cfRule>
    <cfRule type="expression" dxfId="536" priority="147">
      <formula>$N$37 &lt; 0</formula>
    </cfRule>
  </conditionalFormatting>
  <conditionalFormatting sqref="A44:C63 M44:O63">
    <cfRule type="expression" dxfId="535" priority="133">
      <formula>AND($N44 &gt; 0, ISNUMBER($N44))</formula>
    </cfRule>
    <cfRule type="expression" dxfId="534" priority="134">
      <formula>AND($N44 = 0 * ISNUMBER($N44))</formula>
    </cfRule>
    <cfRule type="expression" dxfId="533" priority="135">
      <formula>AND($N44 &lt; 0, ISNUMBER($N44))</formula>
    </cfRule>
  </conditionalFormatting>
  <conditionalFormatting sqref="A44:F63">
    <cfRule type="expression" dxfId="532" priority="142">
      <formula>AND($E44 &gt; 0, ISNUMBER($E44))</formula>
    </cfRule>
    <cfRule type="expression" dxfId="531" priority="143">
      <formula>AND($E44 = 0 * ISNUMBER($E44))</formula>
    </cfRule>
    <cfRule type="expression" dxfId="530" priority="144">
      <formula>AND($E44 &lt; 0, ISNUMBER($E44))</formula>
    </cfRule>
  </conditionalFormatting>
  <conditionalFormatting sqref="A44:C63 G44:I63">
    <cfRule type="expression" dxfId="529" priority="139">
      <formula>AND($H44 &gt; 0, ISNUMBER($H44))</formula>
    </cfRule>
    <cfRule type="expression" dxfId="528" priority="140">
      <formula>AND($H44 = 0 * ISNUMBER($H44))</formula>
    </cfRule>
    <cfRule type="expression" dxfId="527" priority="141">
      <formula>AND($H44 &lt; 0, ISNUMBER($H44))</formula>
    </cfRule>
  </conditionalFormatting>
  <conditionalFormatting sqref="A44:C63 J44:L63">
    <cfRule type="expression" dxfId="526" priority="136">
      <formula>AND($K44 &gt; 0, ISNUMBER($K44))</formula>
    </cfRule>
    <cfRule type="expression" dxfId="525" priority="137">
      <formula>AND($K44 = 0 * ISNUMBER($K44))</formula>
    </cfRule>
    <cfRule type="expression" dxfId="524" priority="138">
      <formula>AND($K44 &lt; 0, ISNUMBER($K44))</formula>
    </cfRule>
  </conditionalFormatting>
  <conditionalFormatting sqref="D42:F43 E64:F64">
    <cfRule type="expression" dxfId="523" priority="130">
      <formula>$E$64 &gt; 0</formula>
    </cfRule>
    <cfRule type="expression" dxfId="522" priority="131">
      <formula>$E$64 = 0</formula>
    </cfRule>
    <cfRule type="expression" dxfId="521" priority="132">
      <formula>$E$64 &lt; 0</formula>
    </cfRule>
  </conditionalFormatting>
  <conditionalFormatting sqref="G42:I43 H64:I64">
    <cfRule type="expression" dxfId="520" priority="127">
      <formula>$H$64 &gt; 0</formula>
    </cfRule>
    <cfRule type="expression" dxfId="519" priority="128">
      <formula>$H$64 = 0</formula>
    </cfRule>
    <cfRule type="expression" dxfId="518" priority="129">
      <formula>$H$64 &lt; 0</formula>
    </cfRule>
  </conditionalFormatting>
  <conditionalFormatting sqref="J42:L43 K64:L64">
    <cfRule type="expression" dxfId="517" priority="124">
      <formula>$K$64 &gt; 0</formula>
    </cfRule>
    <cfRule type="expression" dxfId="516" priority="125">
      <formula>$K$64 = 0</formula>
    </cfRule>
    <cfRule type="expression" dxfId="515" priority="126">
      <formula>$K$64 &lt; 0</formula>
    </cfRule>
  </conditionalFormatting>
  <conditionalFormatting sqref="M42:O43 N64:O64">
    <cfRule type="expression" dxfId="514" priority="121">
      <formula>$N$64 &gt; 0</formula>
    </cfRule>
    <cfRule type="expression" dxfId="513" priority="122">
      <formula>$N$64 = 0</formula>
    </cfRule>
    <cfRule type="expression" dxfId="512" priority="123">
      <formula>$N$64 &lt; 0</formula>
    </cfRule>
  </conditionalFormatting>
  <conditionalFormatting sqref="A71:C90 M71:O90">
    <cfRule type="expression" dxfId="511" priority="109">
      <formula>AND($N71 &gt; 0, ISNUMBER($N71))</formula>
    </cfRule>
    <cfRule type="expression" dxfId="510" priority="110">
      <formula>AND($N71 = 0 * ISNUMBER($N71))</formula>
    </cfRule>
    <cfRule type="expression" dxfId="509" priority="111">
      <formula>AND($N71 &lt; 0, ISNUMBER($N71))</formula>
    </cfRule>
  </conditionalFormatting>
  <conditionalFormatting sqref="A71:F90">
    <cfRule type="expression" dxfId="508" priority="118">
      <formula>AND($E71 &gt; 0, ISNUMBER($E71))</formula>
    </cfRule>
    <cfRule type="expression" dxfId="507" priority="119">
      <formula>AND($E71 = 0 * ISNUMBER($E71))</formula>
    </cfRule>
    <cfRule type="expression" dxfId="506" priority="120">
      <formula>AND($E71 &lt; 0, ISNUMBER($E71))</formula>
    </cfRule>
  </conditionalFormatting>
  <conditionalFormatting sqref="A71:C90 G71:I90">
    <cfRule type="expression" dxfId="505" priority="115">
      <formula>AND($H71 &gt; 0, ISNUMBER($H71))</formula>
    </cfRule>
    <cfRule type="expression" dxfId="504" priority="116">
      <formula>AND($H71 = 0 * ISNUMBER($H71))</formula>
    </cfRule>
    <cfRule type="expression" dxfId="503" priority="117">
      <formula>AND($H71 &lt; 0, ISNUMBER($H71))</formula>
    </cfRule>
  </conditionalFormatting>
  <conditionalFormatting sqref="A71:C90 J71:L90">
    <cfRule type="expression" dxfId="502" priority="112">
      <formula>AND($K71 &gt; 0, ISNUMBER($K71))</formula>
    </cfRule>
    <cfRule type="expression" dxfId="501" priority="113">
      <formula>AND($K71 = 0 * ISNUMBER($K71))</formula>
    </cfRule>
    <cfRule type="expression" dxfId="500" priority="114">
      <formula>AND($K71 &lt; 0, ISNUMBER($K71))</formula>
    </cfRule>
  </conditionalFormatting>
  <conditionalFormatting sqref="D69:F70 E91:F91">
    <cfRule type="expression" dxfId="499" priority="106">
      <formula>$E$91 &gt; 0</formula>
    </cfRule>
    <cfRule type="expression" dxfId="498" priority="107">
      <formula>$E$91 = 0</formula>
    </cfRule>
    <cfRule type="expression" dxfId="497" priority="108">
      <formula>$E$91 &lt; 0</formula>
    </cfRule>
  </conditionalFormatting>
  <conditionalFormatting sqref="G69:I70 H91:I91">
    <cfRule type="expression" dxfId="496" priority="103">
      <formula>$H$91 &gt; 0</formula>
    </cfRule>
    <cfRule type="expression" dxfId="495" priority="104">
      <formula>$H$91 = 0</formula>
    </cfRule>
    <cfRule type="expression" dxfId="494" priority="105">
      <formula>$H$91 &lt; 0</formula>
    </cfRule>
  </conditionalFormatting>
  <conditionalFormatting sqref="J69:L70 K91:L91">
    <cfRule type="expression" dxfId="493" priority="100">
      <formula>$K$91 &gt; 0</formula>
    </cfRule>
    <cfRule type="expression" dxfId="492" priority="101">
      <formula>$K$91 = 0</formula>
    </cfRule>
    <cfRule type="expression" dxfId="491" priority="102">
      <formula>$K$91 &lt; 0</formula>
    </cfRule>
  </conditionalFormatting>
  <conditionalFormatting sqref="M69:O70 N91:O91">
    <cfRule type="expression" dxfId="490" priority="97">
      <formula>$N$91 &gt; 0</formula>
    </cfRule>
    <cfRule type="expression" dxfId="489" priority="98">
      <formula>$N$91 = 0</formula>
    </cfRule>
    <cfRule type="expression" dxfId="488" priority="99">
      <formula>$N$91 &lt; 0</formula>
    </cfRule>
  </conditionalFormatting>
  <conditionalFormatting sqref="A98:C117 M98:O117">
    <cfRule type="expression" dxfId="487" priority="85">
      <formula>AND($N98 &gt; 0, ISNUMBER($N98))</formula>
    </cfRule>
    <cfRule type="expression" dxfId="486" priority="86">
      <formula>AND($N98 = 0 * ISNUMBER($N98))</formula>
    </cfRule>
    <cfRule type="expression" dxfId="485" priority="87">
      <formula>AND($N98 &lt; 0, ISNUMBER($N98))</formula>
    </cfRule>
  </conditionalFormatting>
  <conditionalFormatting sqref="A98:F117">
    <cfRule type="expression" dxfId="484" priority="94">
      <formula>AND($E98 &gt; 0, ISNUMBER($E98))</formula>
    </cfRule>
    <cfRule type="expression" dxfId="483" priority="95">
      <formula>AND($E98 = 0 * ISNUMBER($E98))</formula>
    </cfRule>
    <cfRule type="expression" dxfId="482" priority="96">
      <formula>AND($E98 &lt; 0, ISNUMBER($E98))</formula>
    </cfRule>
  </conditionalFormatting>
  <conditionalFormatting sqref="A98:C117 G98:I117">
    <cfRule type="expression" dxfId="481" priority="91">
      <formula>AND($H98 &gt; 0, ISNUMBER($H98))</formula>
    </cfRule>
    <cfRule type="expression" dxfId="480" priority="92">
      <formula>AND($H98 = 0 * ISNUMBER($H98))</formula>
    </cfRule>
    <cfRule type="expression" dxfId="479" priority="93">
      <formula>AND($H98 &lt; 0, ISNUMBER($H98))</formula>
    </cfRule>
  </conditionalFormatting>
  <conditionalFormatting sqref="A98:C117 J98:L117">
    <cfRule type="expression" dxfId="478" priority="88">
      <formula>AND($K98 &gt; 0, ISNUMBER($K98))</formula>
    </cfRule>
    <cfRule type="expression" dxfId="477" priority="89">
      <formula>AND($K98 = 0 * ISNUMBER($K98))</formula>
    </cfRule>
    <cfRule type="expression" dxfId="476" priority="90">
      <formula>AND($K98 &lt; 0, ISNUMBER($K98))</formula>
    </cfRule>
  </conditionalFormatting>
  <conditionalFormatting sqref="D96:F97 E118:F118">
    <cfRule type="expression" dxfId="475" priority="82">
      <formula>$E$118 &gt; 0</formula>
    </cfRule>
    <cfRule type="expression" dxfId="474" priority="83">
      <formula>$E$118 = 0</formula>
    </cfRule>
    <cfRule type="expression" dxfId="473" priority="84">
      <formula>$E$118 &lt; 0</formula>
    </cfRule>
  </conditionalFormatting>
  <conditionalFormatting sqref="G96:I97 H118:I118">
    <cfRule type="expression" dxfId="472" priority="79">
      <formula>$H$118 &gt; 0</formula>
    </cfRule>
    <cfRule type="expression" dxfId="471" priority="80">
      <formula>$H$118 = 0</formula>
    </cfRule>
    <cfRule type="expression" dxfId="470" priority="81">
      <formula>$H$118 &lt; 0</formula>
    </cfRule>
  </conditionalFormatting>
  <conditionalFormatting sqref="J96:L97 K118:L118">
    <cfRule type="expression" dxfId="469" priority="76">
      <formula>$K$118 &gt; 0</formula>
    </cfRule>
    <cfRule type="expression" dxfId="468" priority="77">
      <formula>$K$118 = 0</formula>
    </cfRule>
    <cfRule type="expression" dxfId="467" priority="78">
      <formula>$K$118 &lt; 0</formula>
    </cfRule>
  </conditionalFormatting>
  <conditionalFormatting sqref="M96:O97 N118:O118">
    <cfRule type="expression" dxfId="466" priority="73">
      <formula>$N$118 &gt; 0</formula>
    </cfRule>
    <cfRule type="expression" dxfId="465" priority="74">
      <formula>$N$118 = 0</formula>
    </cfRule>
    <cfRule type="expression" dxfId="464" priority="75">
      <formula>$N$118 &lt; 0</formula>
    </cfRule>
  </conditionalFormatting>
  <conditionalFormatting sqref="A125:C144 M125:O144">
    <cfRule type="expression" dxfId="463" priority="61">
      <formula>AND($N125 &gt; 0, ISNUMBER($N125))</formula>
    </cfRule>
    <cfRule type="expression" dxfId="462" priority="62">
      <formula>AND($N125 = 0 * ISNUMBER($N125))</formula>
    </cfRule>
    <cfRule type="expression" dxfId="461" priority="63">
      <formula>AND($N125 &lt; 0, ISNUMBER($N125))</formula>
    </cfRule>
  </conditionalFormatting>
  <conditionalFormatting sqref="A125:F144">
    <cfRule type="expression" dxfId="460" priority="70">
      <formula>AND($E125 &gt; 0, ISNUMBER($E125))</formula>
    </cfRule>
    <cfRule type="expression" dxfId="459" priority="71">
      <formula>AND($E125 = 0 * ISNUMBER($E125))</formula>
    </cfRule>
    <cfRule type="expression" dxfId="458" priority="72">
      <formula>AND($E125 &lt; 0, ISNUMBER($E125))</formula>
    </cfRule>
  </conditionalFormatting>
  <conditionalFormatting sqref="A125:C144 G125:I144">
    <cfRule type="expression" dxfId="457" priority="67">
      <formula>AND($H125 &gt; 0, ISNUMBER($H125))</formula>
    </cfRule>
    <cfRule type="expression" dxfId="456" priority="68">
      <formula>AND($H125 = 0 * ISNUMBER($H125))</formula>
    </cfRule>
    <cfRule type="expression" dxfId="455" priority="69">
      <formula>AND($H125 &lt; 0, ISNUMBER($H125))</formula>
    </cfRule>
  </conditionalFormatting>
  <conditionalFormatting sqref="A125:C144 J125:L144">
    <cfRule type="expression" dxfId="454" priority="64">
      <formula>AND($K125 &gt; 0, ISNUMBER($K125))</formula>
    </cfRule>
    <cfRule type="expression" dxfId="453" priority="65">
      <formula>AND($K125 = 0 * ISNUMBER($K125))</formula>
    </cfRule>
    <cfRule type="expression" dxfId="452" priority="66">
      <formula>AND($K125 &lt; 0, ISNUMBER($K125))</formula>
    </cfRule>
  </conditionalFormatting>
  <conditionalFormatting sqref="D123:F124 E145:F145">
    <cfRule type="expression" dxfId="451" priority="58">
      <formula>$E$145 &gt; 0</formula>
    </cfRule>
    <cfRule type="expression" dxfId="450" priority="59">
      <formula>$E$145 = 0</formula>
    </cfRule>
    <cfRule type="expression" dxfId="449" priority="60">
      <formula>$E$145 &lt; 0</formula>
    </cfRule>
  </conditionalFormatting>
  <conditionalFormatting sqref="G123:I124 H145:I145">
    <cfRule type="expression" dxfId="448" priority="55">
      <formula>$H$145 &gt; 0</formula>
    </cfRule>
    <cfRule type="expression" dxfId="447" priority="56">
      <formula>$H$145 = 0</formula>
    </cfRule>
    <cfRule type="expression" dxfId="446" priority="57">
      <formula>$H$145 &lt; 0</formula>
    </cfRule>
  </conditionalFormatting>
  <conditionalFormatting sqref="J123:L124 K145:L145">
    <cfRule type="expression" dxfId="445" priority="52">
      <formula>$K$145 &gt; 0</formula>
    </cfRule>
    <cfRule type="expression" dxfId="444" priority="53">
      <formula>$K$145 = 0</formula>
    </cfRule>
    <cfRule type="expression" dxfId="443" priority="54">
      <formula>$K$145 &lt; 0</formula>
    </cfRule>
  </conditionalFormatting>
  <conditionalFormatting sqref="M123:O124 N145:O145">
    <cfRule type="expression" dxfId="442" priority="49">
      <formula>$N$145 &gt; 0</formula>
    </cfRule>
    <cfRule type="expression" dxfId="441" priority="50">
      <formula>$N$145 = 0</formula>
    </cfRule>
    <cfRule type="expression" dxfId="440" priority="51">
      <formula>$N$145 &lt; 0</formula>
    </cfRule>
  </conditionalFormatting>
  <conditionalFormatting sqref="A152:C171 M152:O171">
    <cfRule type="expression" dxfId="439" priority="37">
      <formula>AND($N152 &gt; 0, ISNUMBER($N152))</formula>
    </cfRule>
    <cfRule type="expression" dxfId="438" priority="38">
      <formula>AND($N152 = 0 * ISNUMBER($N152))</formula>
    </cfRule>
    <cfRule type="expression" dxfId="437" priority="39">
      <formula>AND($N152 &lt; 0, ISNUMBER($N152))</formula>
    </cfRule>
  </conditionalFormatting>
  <conditionalFormatting sqref="A152:F171">
    <cfRule type="expression" dxfId="436" priority="46">
      <formula>AND($E152 &gt; 0, ISNUMBER($E152))</formula>
    </cfRule>
    <cfRule type="expression" dxfId="435" priority="47">
      <formula>AND($E152 = 0 * ISNUMBER($E152))</formula>
    </cfRule>
    <cfRule type="expression" dxfId="434" priority="48">
      <formula>AND($E152 &lt; 0, ISNUMBER($E152))</formula>
    </cfRule>
  </conditionalFormatting>
  <conditionalFormatting sqref="A152:C171 G152:I171">
    <cfRule type="expression" dxfId="433" priority="43">
      <formula>AND($H152 &gt; 0, ISNUMBER($H152))</formula>
    </cfRule>
    <cfRule type="expression" dxfId="432" priority="44">
      <formula>AND($H152 = 0 * ISNUMBER($H152))</formula>
    </cfRule>
    <cfRule type="expression" dxfId="431" priority="45">
      <formula>AND($H152 &lt; 0, ISNUMBER($H152))</formula>
    </cfRule>
  </conditionalFormatting>
  <conditionalFormatting sqref="A152:C171 J152:L171">
    <cfRule type="expression" dxfId="430" priority="40">
      <formula>AND($K152 &gt; 0, ISNUMBER($K152))</formula>
    </cfRule>
    <cfRule type="expression" dxfId="429" priority="41">
      <formula>AND($K152 = 0 * ISNUMBER($K152))</formula>
    </cfRule>
    <cfRule type="expression" dxfId="428" priority="42">
      <formula>AND($K152 &lt; 0, ISNUMBER($K152))</formula>
    </cfRule>
  </conditionalFormatting>
  <conditionalFormatting sqref="D150:F151 E172:F172">
    <cfRule type="expression" dxfId="427" priority="34">
      <formula>$E$172 &gt; 0</formula>
    </cfRule>
    <cfRule type="expression" dxfId="426" priority="35">
      <formula>$E$172 = 0</formula>
    </cfRule>
    <cfRule type="expression" dxfId="425" priority="36">
      <formula>$E$172 &lt; 0</formula>
    </cfRule>
  </conditionalFormatting>
  <conditionalFormatting sqref="G150:I151 H172:I172">
    <cfRule type="expression" dxfId="424" priority="31">
      <formula>$H$172 &gt; 0</formula>
    </cfRule>
    <cfRule type="expression" dxfId="423" priority="32">
      <formula>$H$172 = 0</formula>
    </cfRule>
    <cfRule type="expression" dxfId="422" priority="33">
      <formula>$H$172 &lt; 0</formula>
    </cfRule>
  </conditionalFormatting>
  <conditionalFormatting sqref="J150:L151 K172:L172">
    <cfRule type="expression" dxfId="421" priority="28">
      <formula>$K$172 &gt; 0</formula>
    </cfRule>
    <cfRule type="expression" dxfId="420" priority="29">
      <formula>$K$172 = 0</formula>
    </cfRule>
    <cfRule type="expression" dxfId="419" priority="30">
      <formula>$K$172 &lt; 0</formula>
    </cfRule>
  </conditionalFormatting>
  <conditionalFormatting sqref="M150:O151 N172:O172">
    <cfRule type="expression" dxfId="418" priority="25">
      <formula>$N$172 &gt; 0</formula>
    </cfRule>
    <cfRule type="expression" dxfId="417" priority="26">
      <formula>$N$172 = 0</formula>
    </cfRule>
    <cfRule type="expression" dxfId="416" priority="27">
      <formula>$N$172 &lt; 0</formula>
    </cfRule>
  </conditionalFormatting>
  <conditionalFormatting sqref="A179:C198 M179:O198">
    <cfRule type="expression" dxfId="415" priority="13">
      <formula>AND($N179 &gt; 0, ISNUMBER($N179))</formula>
    </cfRule>
    <cfRule type="expression" dxfId="414" priority="14">
      <formula>AND($N179 = 0 * ISNUMBER($N179))</formula>
    </cfRule>
    <cfRule type="expression" dxfId="413" priority="15">
      <formula>AND($N179 &lt; 0, ISNUMBER($N179))</formula>
    </cfRule>
  </conditionalFormatting>
  <conditionalFormatting sqref="A179:F198">
    <cfRule type="expression" dxfId="412" priority="22">
      <formula>AND($E179 &gt; 0, ISNUMBER($E179))</formula>
    </cfRule>
    <cfRule type="expression" dxfId="411" priority="23">
      <formula>AND($E179 = 0 * ISNUMBER($E179))</formula>
    </cfRule>
    <cfRule type="expression" dxfId="410" priority="24">
      <formula>AND($E179 &lt; 0, ISNUMBER($E179))</formula>
    </cfRule>
  </conditionalFormatting>
  <conditionalFormatting sqref="A179:C198 G179:I198">
    <cfRule type="expression" dxfId="409" priority="19">
      <formula>AND($H179 &gt; 0, ISNUMBER($H179))</formula>
    </cfRule>
    <cfRule type="expression" dxfId="408" priority="20">
      <formula>AND($H179 = 0 * ISNUMBER($H179))</formula>
    </cfRule>
    <cfRule type="expression" dxfId="407" priority="21">
      <formula>AND($H179 &lt; 0, ISNUMBER($H179))</formula>
    </cfRule>
  </conditionalFormatting>
  <conditionalFormatting sqref="A179:C198 J179:L198">
    <cfRule type="expression" dxfId="406" priority="16">
      <formula>AND($K179 &gt; 0, ISNUMBER($K179))</formula>
    </cfRule>
    <cfRule type="expression" dxfId="405" priority="17">
      <formula>AND($K179 = 0 * ISNUMBER($K179))</formula>
    </cfRule>
    <cfRule type="expression" dxfId="404" priority="18">
      <formula>AND($K179 &lt; 0, ISNUMBER($K179))</formula>
    </cfRule>
  </conditionalFormatting>
  <conditionalFormatting sqref="D177:F178 E199:F199">
    <cfRule type="expression" dxfId="403" priority="10">
      <formula>$E$199 &gt; 0</formula>
    </cfRule>
    <cfRule type="expression" dxfId="402" priority="11">
      <formula>$E$199 = 0</formula>
    </cfRule>
    <cfRule type="expression" dxfId="401" priority="12">
      <formula>$E$199 &lt; 0</formula>
    </cfRule>
  </conditionalFormatting>
  <conditionalFormatting sqref="G177:I178 H199:I199">
    <cfRule type="expression" dxfId="400" priority="7">
      <formula>$H$199 &gt; 0</formula>
    </cfRule>
    <cfRule type="expression" dxfId="399" priority="8">
      <formula>$H$199 = 0</formula>
    </cfRule>
    <cfRule type="expression" dxfId="398" priority="9">
      <formula>$H$199 &lt; 0</formula>
    </cfRule>
  </conditionalFormatting>
  <conditionalFormatting sqref="J177:L178 K199:L199">
    <cfRule type="expression" dxfId="397" priority="4">
      <formula>$K$199 &gt; 0</formula>
    </cfRule>
    <cfRule type="expression" dxfId="396" priority="5">
      <formula>$K$199 = 0</formula>
    </cfRule>
    <cfRule type="expression" dxfId="395" priority="6">
      <formula>$K$199 &lt; 0</formula>
    </cfRule>
  </conditionalFormatting>
  <conditionalFormatting sqref="M177:O178 N199:O199">
    <cfRule type="expression" dxfId="394" priority="1">
      <formula>$N$199 &gt; 0</formula>
    </cfRule>
    <cfRule type="expression" dxfId="393" priority="2">
      <formula>$N$199 = 0</formula>
    </cfRule>
    <cfRule type="expression" dxfId="3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100" zoomScaleNormal="100" workbookViewId="0">
      <selection activeCell="A148" sqref="A148:O17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49" t="s">
        <v>0</v>
      </c>
      <c r="B1" s="150"/>
      <c r="C1" s="150"/>
      <c r="D1" s="150"/>
      <c r="E1" s="150"/>
      <c r="F1" s="151"/>
      <c r="G1" s="180">
        <v>44319</v>
      </c>
      <c r="H1" s="181"/>
      <c r="I1" s="182"/>
      <c r="J1" s="149" t="s">
        <v>1</v>
      </c>
      <c r="K1" s="150"/>
      <c r="L1" s="150"/>
      <c r="M1" s="150"/>
      <c r="N1" s="150"/>
      <c r="O1" s="151"/>
      <c r="Q1" s="149" t="s">
        <v>2</v>
      </c>
      <c r="R1" s="151"/>
    </row>
    <row r="2" spans="1:19" ht="17.25" customHeight="1">
      <c r="A2" s="1" t="s">
        <v>3</v>
      </c>
      <c r="B2" s="183" t="s">
        <v>4</v>
      </c>
      <c r="C2" s="184"/>
      <c r="D2" s="184"/>
      <c r="E2" s="184"/>
      <c r="F2" s="185"/>
      <c r="G2" s="177" t="s">
        <v>46</v>
      </c>
      <c r="H2" s="178"/>
      <c r="I2" s="179"/>
      <c r="J2" s="1" t="s">
        <v>3</v>
      </c>
      <c r="K2" s="183" t="s">
        <v>5</v>
      </c>
      <c r="L2" s="184"/>
      <c r="M2" s="184"/>
      <c r="N2" s="184"/>
      <c r="O2" s="185"/>
      <c r="Q2" s="2" t="s">
        <v>6</v>
      </c>
      <c r="R2" s="3">
        <v>0.375</v>
      </c>
    </row>
    <row r="3" spans="1:19" ht="17.25" customHeight="1" thickBot="1">
      <c r="A3" s="4" t="s">
        <v>7</v>
      </c>
      <c r="B3" s="174" t="s">
        <v>8</v>
      </c>
      <c r="C3" s="175"/>
      <c r="D3" s="175"/>
      <c r="E3" s="175"/>
      <c r="F3" s="176"/>
      <c r="G3" s="1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171"/>
      <c r="I3" s="172"/>
      <c r="J3" s="4" t="s">
        <v>7</v>
      </c>
      <c r="K3" s="174" t="s">
        <v>9</v>
      </c>
      <c r="L3" s="175"/>
      <c r="M3" s="175"/>
      <c r="N3" s="175"/>
      <c r="O3" s="17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74" t="s">
        <v>12</v>
      </c>
      <c r="C4" s="175"/>
      <c r="D4" s="175"/>
      <c r="E4" s="175"/>
      <c r="F4" s="176"/>
      <c r="G4" s="177" t="s">
        <v>44</v>
      </c>
      <c r="H4" s="178"/>
      <c r="I4" s="179"/>
      <c r="J4" s="4" t="s">
        <v>11</v>
      </c>
      <c r="K4" s="174" t="s">
        <v>13</v>
      </c>
      <c r="L4" s="175"/>
      <c r="M4" s="175"/>
      <c r="N4" s="175"/>
      <c r="O4" s="176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74" t="s">
        <v>16</v>
      </c>
      <c r="C5" s="175"/>
      <c r="D5" s="175"/>
      <c r="E5" s="175"/>
      <c r="F5" s="176"/>
      <c r="G5" s="1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171"/>
      <c r="I5" s="172"/>
      <c r="J5" s="4" t="s">
        <v>15</v>
      </c>
      <c r="K5" s="174" t="s">
        <v>17</v>
      </c>
      <c r="L5" s="175"/>
      <c r="M5" s="175"/>
      <c r="N5" s="175"/>
      <c r="O5" s="176"/>
    </row>
    <row r="6" spans="1:19">
      <c r="A6" s="4" t="s">
        <v>18</v>
      </c>
      <c r="B6" s="174" t="s">
        <v>19</v>
      </c>
      <c r="C6" s="175"/>
      <c r="D6" s="175"/>
      <c r="E6" s="175"/>
      <c r="F6" s="176"/>
      <c r="G6" s="177" t="s">
        <v>45</v>
      </c>
      <c r="H6" s="178"/>
      <c r="I6" s="179"/>
      <c r="J6" s="4" t="s">
        <v>18</v>
      </c>
      <c r="K6" s="174" t="s">
        <v>20</v>
      </c>
      <c r="L6" s="175"/>
      <c r="M6" s="175"/>
      <c r="N6" s="175"/>
      <c r="O6" s="176"/>
    </row>
    <row r="7" spans="1:19" ht="17.25" thickBot="1">
      <c r="A7" s="4" t="s">
        <v>21</v>
      </c>
      <c r="B7" s="174" t="s">
        <v>22</v>
      </c>
      <c r="C7" s="175"/>
      <c r="D7" s="175"/>
      <c r="E7" s="175"/>
      <c r="F7" s="176"/>
      <c r="G7" s="1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171"/>
      <c r="I7" s="172"/>
      <c r="J7" s="4" t="s">
        <v>21</v>
      </c>
      <c r="K7" s="174" t="s">
        <v>23</v>
      </c>
      <c r="L7" s="175"/>
      <c r="M7" s="175"/>
      <c r="N7" s="175"/>
      <c r="O7" s="176"/>
    </row>
    <row r="8" spans="1:19" ht="17.25" thickBot="1">
      <c r="A8" s="4" t="s">
        <v>24</v>
      </c>
      <c r="B8" s="174" t="s">
        <v>25</v>
      </c>
      <c r="C8" s="175"/>
      <c r="D8" s="175"/>
      <c r="E8" s="175"/>
      <c r="F8" s="176"/>
      <c r="G8" s="177" t="s">
        <v>285</v>
      </c>
      <c r="H8" s="178"/>
      <c r="I8" s="179"/>
      <c r="J8" s="4" t="s">
        <v>24</v>
      </c>
      <c r="K8" s="174" t="s">
        <v>26</v>
      </c>
      <c r="L8" s="175"/>
      <c r="M8" s="175"/>
      <c r="N8" s="175"/>
      <c r="O8" s="176"/>
      <c r="Q8" s="149" t="s">
        <v>27</v>
      </c>
      <c r="R8" s="151"/>
    </row>
    <row r="9" spans="1:19" ht="17.25" thickBot="1">
      <c r="A9" s="4" t="s">
        <v>28</v>
      </c>
      <c r="B9" s="174"/>
      <c r="C9" s="175"/>
      <c r="D9" s="175"/>
      <c r="E9" s="175"/>
      <c r="F9" s="176"/>
      <c r="G9" s="1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171"/>
      <c r="I9" s="172"/>
      <c r="J9" s="4" t="s">
        <v>28</v>
      </c>
      <c r="K9" s="174" t="s">
        <v>293</v>
      </c>
      <c r="L9" s="175"/>
      <c r="M9" s="175"/>
      <c r="N9" s="175"/>
      <c r="O9" s="176"/>
      <c r="Q9" s="2" t="s">
        <v>29</v>
      </c>
      <c r="R9" s="6">
        <v>10</v>
      </c>
    </row>
    <row r="10" spans="1:19">
      <c r="A10" s="4" t="s">
        <v>30</v>
      </c>
      <c r="B10" s="174"/>
      <c r="C10" s="175"/>
      <c r="D10" s="175"/>
      <c r="E10" s="175"/>
      <c r="F10" s="176"/>
      <c r="G10" s="177" t="s">
        <v>47</v>
      </c>
      <c r="H10" s="178"/>
      <c r="I10" s="179"/>
      <c r="J10" s="4" t="s">
        <v>30</v>
      </c>
      <c r="K10" s="174"/>
      <c r="L10" s="175"/>
      <c r="M10" s="175"/>
      <c r="N10" s="175"/>
      <c r="O10" s="176"/>
      <c r="Q10" s="2" t="s">
        <v>31</v>
      </c>
      <c r="R10" s="6">
        <v>100</v>
      </c>
    </row>
    <row r="11" spans="1:19" ht="17.25" thickBot="1">
      <c r="A11" s="7" t="s">
        <v>32</v>
      </c>
      <c r="B11" s="167"/>
      <c r="C11" s="168"/>
      <c r="D11" s="168"/>
      <c r="E11" s="168"/>
      <c r="F11" s="169"/>
      <c r="G11" s="1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171"/>
      <c r="I11" s="172"/>
      <c r="J11" s="7" t="s">
        <v>32</v>
      </c>
      <c r="K11" s="167"/>
      <c r="L11" s="168"/>
      <c r="M11" s="168"/>
      <c r="N11" s="168"/>
      <c r="O11" s="169"/>
      <c r="Q11" s="65" t="s">
        <v>33</v>
      </c>
      <c r="R11" s="8">
        <v>1000</v>
      </c>
    </row>
    <row r="12" spans="1:19" ht="17.25" thickBot="1"/>
    <row r="13" spans="1:19" ht="17.25" customHeight="1" thickBot="1">
      <c r="A13" s="149" t="s">
        <v>34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  <c r="M13" s="150"/>
      <c r="N13" s="150"/>
      <c r="O13" s="151"/>
      <c r="Q13" s="148"/>
      <c r="R13" s="148"/>
      <c r="S13" s="148"/>
    </row>
    <row r="14" spans="1:19" ht="17.25" customHeight="1" thickBot="1">
      <c r="A14" s="111" t="s">
        <v>35</v>
      </c>
      <c r="B14" s="149" t="s">
        <v>36</v>
      </c>
      <c r="C14" s="151"/>
      <c r="D14" s="149" t="s">
        <v>37</v>
      </c>
      <c r="E14" s="150"/>
      <c r="F14" s="151"/>
      <c r="G14" s="152">
        <f>_xlfn.IFNA(VLOOKUP(B14, 현재가테이블!$B$2:$D$200, 2, FALSE), "-")</f>
        <v>69894000</v>
      </c>
      <c r="H14" s="153"/>
      <c r="I14" s="154"/>
      <c r="J14" s="149" t="s">
        <v>38</v>
      </c>
      <c r="K14" s="150"/>
      <c r="L14" s="151"/>
      <c r="M14" s="155">
        <f>_xlfn.IFNA(VLOOKUP(B14, 현재가테이블!$B$2:$D$200, 3, FALSE), "-")</f>
        <v>2.1065856399999999E-2</v>
      </c>
      <c r="N14" s="156"/>
      <c r="O14" s="157"/>
      <c r="Q14" s="148"/>
      <c r="R14" s="148"/>
      <c r="S14" s="148"/>
    </row>
    <row r="15" spans="1:19" ht="17.25" customHeight="1" thickBot="1">
      <c r="A15" s="173" t="s">
        <v>39</v>
      </c>
      <c r="B15" s="165" t="str">
        <f>TEXT($G$1, "[$-ko-KR]yyyy-mm-dd(ddd) ") &amp; "오전 00:00"</f>
        <v>2021-05-03(월) 오전 00:00</v>
      </c>
      <c r="C15" s="166"/>
      <c r="D15" s="162" t="str">
        <f>TEXT($G$1, "[$-ko-KR]yyyy-mm-dd(ddd) ") &amp; "오후 14:00"</f>
        <v>2021-05-03(월) 오후 14:00</v>
      </c>
      <c r="E15" s="163"/>
      <c r="F15" s="164"/>
      <c r="G15" s="162" t="str">
        <f>TEXT($G$1, "[$-ko-KR]yyyy-mm-dd(ddd) ") &amp; "오후 19:00"</f>
        <v>2021-05-03(월) 오후 19:00</v>
      </c>
      <c r="H15" s="163"/>
      <c r="I15" s="164"/>
      <c r="J15" s="162" t="str">
        <f>TEXT($G$1, "[$-ko-KR]yyyy-mm-dd(ddd) ") &amp; "오후 21:00"</f>
        <v>2021-05-03(월) 오후 21:00</v>
      </c>
      <c r="K15" s="163"/>
      <c r="L15" s="164"/>
      <c r="M15" s="162" t="str">
        <f>TEXT($G$1+1, "[$-ko-KR]yyyy-mm-dd(ddd) ") &amp; "오전 00:00"</f>
        <v>2021-05-04(화) 오전 00:00</v>
      </c>
      <c r="N15" s="163"/>
      <c r="O15" s="164"/>
      <c r="Q15" s="148"/>
      <c r="R15" s="148"/>
      <c r="S15" s="148"/>
    </row>
    <row r="16" spans="1:19" ht="17.25" customHeight="1" thickBot="1">
      <c r="A16" s="17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38"/>
      <c r="R16" s="138"/>
      <c r="S16" s="138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100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148"/>
      <c r="R17" s="148"/>
      <c r="S17" s="148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101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148"/>
      <c r="R18" s="148"/>
      <c r="S18" s="148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101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138"/>
      <c r="R19" s="138"/>
      <c r="S19" s="138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101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138"/>
      <c r="R20" s="138"/>
      <c r="S20" s="138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5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138"/>
      <c r="R21" s="138"/>
      <c r="S21" s="138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38"/>
      <c r="R22" s="138"/>
      <c r="S22" s="13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38"/>
      <c r="R23" s="138"/>
      <c r="S23" s="13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38"/>
      <c r="R24" s="138"/>
      <c r="S24" s="13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39"/>
      <c r="R26" s="140"/>
      <c r="S26" s="14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42"/>
      <c r="R27" s="143"/>
      <c r="S27" s="14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45"/>
      <c r="R28" s="146"/>
      <c r="S28" s="14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38"/>
      <c r="R29" s="138"/>
      <c r="S29" s="13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48"/>
      <c r="R30" s="148"/>
      <c r="S30" s="14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48"/>
      <c r="R31" s="148"/>
      <c r="S31" s="14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38"/>
      <c r="R32" s="138"/>
      <c r="S32" s="13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38"/>
      <c r="R33" s="138"/>
      <c r="S33" s="13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38"/>
      <c r="R34" s="138"/>
      <c r="S34" s="13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27"/>
      <c r="R35" s="128"/>
      <c r="S35" s="12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30"/>
      <c r="R36" s="131"/>
      <c r="S36" s="132"/>
    </row>
    <row r="37" spans="1:19" ht="17.25" customHeight="1" thickBot="1">
      <c r="A37" s="26" t="s">
        <v>42</v>
      </c>
      <c r="B37" s="136">
        <v>300000</v>
      </c>
      <c r="C37" s="137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133"/>
      <c r="R37" s="134"/>
      <c r="S37" s="135"/>
    </row>
    <row r="38" spans="1:19" ht="17.25" customHeight="1"/>
    <row r="39" spans="1:19" ht="17.25" customHeight="1" thickBot="1"/>
    <row r="40" spans="1:19" ht="17.25" customHeight="1" thickBot="1">
      <c r="A40" s="149" t="s">
        <v>44</v>
      </c>
      <c r="B40" s="150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1"/>
      <c r="Q40" s="148"/>
      <c r="R40" s="148"/>
      <c r="S40" s="148"/>
    </row>
    <row r="41" spans="1:19" ht="17.25" customHeight="1" thickBot="1">
      <c r="A41" s="111" t="s">
        <v>298</v>
      </c>
      <c r="B41" s="149" t="s">
        <v>49</v>
      </c>
      <c r="C41" s="151"/>
      <c r="D41" s="149" t="s">
        <v>58</v>
      </c>
      <c r="E41" s="150"/>
      <c r="F41" s="151"/>
      <c r="G41" s="152">
        <f>_xlfn.IFNA(VLOOKUP(B41, 현재가테이블!$B$2:$D$200, 2, FALSE), "-")</f>
        <v>69894000</v>
      </c>
      <c r="H41" s="153"/>
      <c r="I41" s="154"/>
      <c r="J41" s="149" t="s">
        <v>59</v>
      </c>
      <c r="K41" s="150"/>
      <c r="L41" s="151"/>
      <c r="M41" s="155">
        <f>_xlfn.IFNA(VLOOKUP(B41, 현재가테이블!$B$2:$D$200, 3, FALSE), "-")</f>
        <v>2.1065856399999999E-2</v>
      </c>
      <c r="N41" s="156"/>
      <c r="O41" s="157"/>
      <c r="Q41" s="148"/>
      <c r="R41" s="148"/>
      <c r="S41" s="148"/>
    </row>
    <row r="42" spans="1:19" ht="17.25" customHeight="1" thickBot="1">
      <c r="A42" s="158" t="s">
        <v>55</v>
      </c>
      <c r="B42" s="160" t="str">
        <f>TEXT($G$1, "[$-ko-KR]yyyy-mm-dd(ddd) ") &amp; "오전 00:00"</f>
        <v>2021-05-03(월) 오전 00:00</v>
      </c>
      <c r="C42" s="161"/>
      <c r="D42" s="162" t="str">
        <f>TEXT($G$1, "[$-ko-KR]yyyy-mm-dd(ddd) ") &amp; "오후 14:00"</f>
        <v>2021-05-03(월) 오후 14:00</v>
      </c>
      <c r="E42" s="163"/>
      <c r="F42" s="164"/>
      <c r="G42" s="162" t="str">
        <f>TEXT($G$1, "[$-ko-KR]yyyy-mm-dd(ddd) ") &amp; "오후 19:00"</f>
        <v>2021-05-03(월) 오후 19:00</v>
      </c>
      <c r="H42" s="163"/>
      <c r="I42" s="164"/>
      <c r="J42" s="162" t="str">
        <f>TEXT($G$1, "[$-ko-KR]yyyy-mm-dd(ddd) ") &amp; "오후 21:00"</f>
        <v>2021-05-03(월) 오후 21:00</v>
      </c>
      <c r="K42" s="163"/>
      <c r="L42" s="164"/>
      <c r="M42" s="162" t="str">
        <f>TEXT($G$1+1, "[$-ko-KR]yyyy-mm-dd(ddd) ") &amp; "오전 00:00"</f>
        <v>2021-05-04(화) 오전 00:00</v>
      </c>
      <c r="N42" s="163"/>
      <c r="O42" s="164"/>
      <c r="Q42" s="148"/>
      <c r="R42" s="148"/>
      <c r="S42" s="148"/>
    </row>
    <row r="43" spans="1:19" ht="17.25" customHeight="1" thickBot="1">
      <c r="A43" s="159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38"/>
      <c r="R43" s="138"/>
      <c r="S43" s="138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100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148"/>
      <c r="R44" s="148"/>
      <c r="S44" s="148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101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148"/>
      <c r="R45" s="148"/>
      <c r="S45" s="148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101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138"/>
      <c r="R46" s="138"/>
      <c r="S46" s="138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101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138"/>
      <c r="R47" s="138"/>
      <c r="S47" s="138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5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138"/>
      <c r="R48" s="138"/>
      <c r="S48" s="138"/>
    </row>
    <row r="49" spans="1:19" ht="17.25" customHeight="1" thickBot="1">
      <c r="A49" s="17" t="s">
        <v>214</v>
      </c>
      <c r="B49" s="106">
        <v>24.5</v>
      </c>
      <c r="C49" s="107">
        <v>0</v>
      </c>
      <c r="D49" s="106">
        <v>25.4</v>
      </c>
      <c r="E49" s="107">
        <f>IF(ISNUMBER(D49), (D49 - $B49) / $B49, "")</f>
        <v>3.6734693877550961E-2</v>
      </c>
      <c r="F49" s="108">
        <f>IF(ISNUMBER(D49), $B64 * E49, "")</f>
        <v>11020.408163265289</v>
      </c>
      <c r="G49" s="109">
        <v>25.4</v>
      </c>
      <c r="H49" s="107">
        <f>IF(ISNUMBER(G49), (G49 - $B49) / $B49, "")</f>
        <v>3.6734693877550961E-2</v>
      </c>
      <c r="I49" s="110">
        <f>IF(ISNUMBER(G49), $B64 * H49, "")</f>
        <v>11020.408163265289</v>
      </c>
      <c r="J49" s="106">
        <v>25.4</v>
      </c>
      <c r="K49" s="107">
        <f>IF(ISNUMBER(J49), (J49 - $B49) / $B49, "")</f>
        <v>3.6734693877550961E-2</v>
      </c>
      <c r="L49" s="108">
        <f>IF(ISNUMBER(J49), $B64 * K49, "")</f>
        <v>11020.408163265289</v>
      </c>
      <c r="M49" s="109">
        <v>25.3</v>
      </c>
      <c r="N49" s="107">
        <f>IF(ISNUMBER(M49), (M49 - $B49) / $B49, "")</f>
        <v>3.2653061224489827E-2</v>
      </c>
      <c r="O49" s="108">
        <f>IF(ISNUMBER(M49), $B64 * N49, "")</f>
        <v>9795.9183673469488</v>
      </c>
      <c r="Q49" s="138"/>
      <c r="R49" s="138"/>
      <c r="S49" s="138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101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138"/>
      <c r="R50" s="138"/>
      <c r="S50" s="138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101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138"/>
      <c r="R51" s="138"/>
      <c r="S51" s="138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101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4">
        <f>IF(ISNUMBER(D53), $B64 * E53, "")</f>
        <v>1886.7924528301705</v>
      </c>
      <c r="G53" s="102">
        <v>98.4</v>
      </c>
      <c r="H53" s="25">
        <f t="shared" si="19"/>
        <v>3.1446540880503145E-2</v>
      </c>
      <c r="I53" s="103">
        <f>IF(ISNUMBER(G53), $B64 * H53, "")</f>
        <v>9433.9622641509432</v>
      </c>
      <c r="J53" s="24">
        <v>98.9</v>
      </c>
      <c r="K53" s="25">
        <f t="shared" si="20"/>
        <v>3.668763102725367E-2</v>
      </c>
      <c r="L53" s="104">
        <f>IF(ISNUMBER(J53), $B64 * K53, "")</f>
        <v>11006.289308176101</v>
      </c>
      <c r="M53" s="102">
        <v>100</v>
      </c>
      <c r="N53" s="25">
        <f t="shared" si="21"/>
        <v>4.821802935010476E-2</v>
      </c>
      <c r="O53" s="104">
        <f>IF(ISNUMBER(M53), $B64 * N53, "")</f>
        <v>14465.408805031428</v>
      </c>
      <c r="Q53" s="139"/>
      <c r="R53" s="140"/>
      <c r="S53" s="141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100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142"/>
      <c r="R54" s="143"/>
      <c r="S54" s="144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101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145"/>
      <c r="R55" s="146"/>
      <c r="S55" s="147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101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138"/>
      <c r="R56" s="138"/>
      <c r="S56" s="138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101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148"/>
      <c r="R57" s="148"/>
      <c r="S57" s="148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5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148"/>
      <c r="R58" s="148"/>
      <c r="S58" s="148"/>
    </row>
    <row r="59" spans="1:19" ht="17.25" customHeight="1" thickBot="1">
      <c r="A59" s="17" t="s">
        <v>72</v>
      </c>
      <c r="B59" s="106">
        <v>36.799999999999997</v>
      </c>
      <c r="C59" s="107">
        <v>-2.3872679000000001E-2</v>
      </c>
      <c r="D59" s="106">
        <v>37.6</v>
      </c>
      <c r="E59" s="107">
        <f>IF(ISNUMBER(D59), (D59 - $B59) / $B59, "")</f>
        <v>2.1739130434782726E-2</v>
      </c>
      <c r="F59" s="108">
        <f>IF(ISNUMBER(D59), $B64 * E59, "")</f>
        <v>6521.7391304348175</v>
      </c>
      <c r="G59" s="109">
        <v>38.5</v>
      </c>
      <c r="H59" s="107">
        <f>IF(ISNUMBER(G59), (G59 - $B59) / $B59, "")</f>
        <v>4.6195652173913124E-2</v>
      </c>
      <c r="I59" s="110">
        <f>IF(ISNUMBER(G59), $B64 * H59, "")</f>
        <v>13858.695652173938</v>
      </c>
      <c r="J59" s="106">
        <v>38.6</v>
      </c>
      <c r="K59" s="107">
        <f>IF(ISNUMBER(J59), (J59 - $B59) / $B59, "")</f>
        <v>4.891304347826099E-2</v>
      </c>
      <c r="L59" s="108">
        <f>IF(ISNUMBER(J59), $B64 * K59, "")</f>
        <v>14673.913043478296</v>
      </c>
      <c r="M59" s="109">
        <v>38.299999999999997</v>
      </c>
      <c r="N59" s="107">
        <f>IF(ISNUMBER(M59), (M59 - $B59) / $B59, "")</f>
        <v>4.0760869565217392E-2</v>
      </c>
      <c r="O59" s="108">
        <f>IF(ISNUMBER(M59), $B64 * N59, "")</f>
        <v>12228.260869565218</v>
      </c>
      <c r="Q59" s="138"/>
      <c r="R59" s="138"/>
      <c r="S59" s="138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101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138"/>
      <c r="R60" s="138"/>
      <c r="S60" s="138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101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138"/>
      <c r="R61" s="138"/>
      <c r="S61" s="138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127"/>
      <c r="R62" s="128"/>
      <c r="S62" s="129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30"/>
      <c r="R63" s="131"/>
      <c r="S63" s="132"/>
    </row>
    <row r="64" spans="1:19" ht="17.25" customHeight="1" thickBot="1">
      <c r="A64" s="26" t="s">
        <v>301</v>
      </c>
      <c r="B64" s="136">
        <f>$B$37</f>
        <v>300000</v>
      </c>
      <c r="C64" s="137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133"/>
      <c r="R64" s="134"/>
      <c r="S64" s="135"/>
    </row>
    <row r="65" spans="1:19" ht="17.25" customHeight="1"/>
    <row r="66" spans="1:19" ht="17.25" customHeight="1" thickBot="1"/>
    <row r="67" spans="1:19" ht="17.25" thickBot="1">
      <c r="A67" s="149" t="s">
        <v>45</v>
      </c>
      <c r="B67" s="150"/>
      <c r="C67" s="150"/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1"/>
      <c r="Q67" s="148"/>
      <c r="R67" s="148"/>
      <c r="S67" s="148"/>
    </row>
    <row r="68" spans="1:19" ht="17.25" thickBot="1">
      <c r="A68" s="111" t="s">
        <v>298</v>
      </c>
      <c r="B68" s="149" t="s">
        <v>49</v>
      </c>
      <c r="C68" s="151"/>
      <c r="D68" s="149" t="s">
        <v>58</v>
      </c>
      <c r="E68" s="150"/>
      <c r="F68" s="151"/>
      <c r="G68" s="152">
        <f>_xlfn.IFNA(VLOOKUP(B68, 현재가테이블!$B$2:$D$200, 2, FALSE), "-")</f>
        <v>69894000</v>
      </c>
      <c r="H68" s="153"/>
      <c r="I68" s="154"/>
      <c r="J68" s="149" t="s">
        <v>59</v>
      </c>
      <c r="K68" s="150"/>
      <c r="L68" s="151"/>
      <c r="M68" s="155">
        <f>_xlfn.IFNA(VLOOKUP(B68, 현재가테이블!$B$2:$D$200, 3, FALSE), "-")</f>
        <v>2.1065856399999999E-2</v>
      </c>
      <c r="N68" s="156"/>
      <c r="O68" s="157"/>
      <c r="Q68" s="148"/>
      <c r="R68" s="148"/>
      <c r="S68" s="148"/>
    </row>
    <row r="69" spans="1:19" ht="17.25" thickBot="1">
      <c r="A69" s="158" t="s">
        <v>55</v>
      </c>
      <c r="B69" s="160" t="str">
        <f>TEXT($G$1, "[$-ko-KR]yyyy-mm-dd(ddd) ") &amp; "오전 00:00"</f>
        <v>2021-05-03(월) 오전 00:00</v>
      </c>
      <c r="C69" s="161"/>
      <c r="D69" s="162" t="str">
        <f>TEXT($G$1, "[$-ko-KR]yyyy-mm-dd(ddd) ") &amp; "오후 14:00"</f>
        <v>2021-05-03(월) 오후 14:00</v>
      </c>
      <c r="E69" s="163"/>
      <c r="F69" s="164"/>
      <c r="G69" s="162" t="str">
        <f>TEXT($G$1, "[$-ko-KR]yyyy-mm-dd(ddd) ") &amp; "오후 19:00"</f>
        <v>2021-05-03(월) 오후 19:00</v>
      </c>
      <c r="H69" s="163"/>
      <c r="I69" s="164"/>
      <c r="J69" s="162" t="str">
        <f>TEXT($G$1, "[$-ko-KR]yyyy-mm-dd(ddd) ") &amp; "오후 21:00"</f>
        <v>2021-05-03(월) 오후 21:00</v>
      </c>
      <c r="K69" s="163"/>
      <c r="L69" s="164"/>
      <c r="M69" s="162" t="str">
        <f>TEXT($G$1+1, "[$-ko-KR]yyyy-mm-dd(ddd) ") &amp; "오전 00:00"</f>
        <v>2021-05-04(화) 오전 00:00</v>
      </c>
      <c r="N69" s="163"/>
      <c r="O69" s="164"/>
      <c r="Q69" s="148"/>
      <c r="R69" s="148"/>
      <c r="S69" s="148"/>
    </row>
    <row r="70" spans="1:19" ht="17.25" thickBot="1">
      <c r="A70" s="159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38"/>
      <c r="R70" s="138"/>
      <c r="S70" s="138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100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148"/>
      <c r="R71" s="148"/>
      <c r="S71" s="148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101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148"/>
      <c r="R72" s="148"/>
      <c r="S72" s="148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101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138"/>
      <c r="R73" s="138"/>
      <c r="S73" s="138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101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138"/>
      <c r="R74" s="138"/>
      <c r="S74" s="138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5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138"/>
      <c r="R75" s="138"/>
      <c r="S75" s="138"/>
    </row>
    <row r="76" spans="1:19" ht="17.25" thickBot="1">
      <c r="A76" s="17" t="s">
        <v>268</v>
      </c>
      <c r="B76" s="106">
        <v>101</v>
      </c>
      <c r="C76" s="107">
        <v>2.2267206500000001E-2</v>
      </c>
      <c r="D76" s="106">
        <v>108</v>
      </c>
      <c r="E76" s="107">
        <f>IF(ISNUMBER(D76), (D76 - $B76) / $B76, "")</f>
        <v>6.9306930693069313E-2</v>
      </c>
      <c r="F76" s="108">
        <f>IF(ISNUMBER(D76), $B91 * E76, "")</f>
        <v>20792.079207920793</v>
      </c>
      <c r="G76" s="109">
        <v>112</v>
      </c>
      <c r="H76" s="107">
        <f>IF(ISNUMBER(G76), (G76 - $B76) / $B76, "")</f>
        <v>0.10891089108910891</v>
      </c>
      <c r="I76" s="110">
        <f>IF(ISNUMBER(G76), $B91 * H76, "")</f>
        <v>32673.267326732672</v>
      </c>
      <c r="J76" s="106">
        <v>112</v>
      </c>
      <c r="K76" s="107">
        <f>IF(ISNUMBER(J76), (J76 - $B76) / $B76, "")</f>
        <v>0.10891089108910891</v>
      </c>
      <c r="L76" s="108">
        <f>IF(ISNUMBER(J76), $B91 * K76, "")</f>
        <v>32673.267326732672</v>
      </c>
      <c r="M76" s="109">
        <v>113</v>
      </c>
      <c r="N76" s="107">
        <f>IF(ISNUMBER(M76), (M76 - $B76) / $B76, "")</f>
        <v>0.11881188118811881</v>
      </c>
      <c r="O76" s="108">
        <f>IF(ISNUMBER(M76), $B91 * N76, "")</f>
        <v>35643.564356435643</v>
      </c>
      <c r="Q76" s="138"/>
      <c r="R76" s="138"/>
      <c r="S76" s="138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101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138"/>
      <c r="R77" s="138"/>
      <c r="S77" s="138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101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138"/>
      <c r="R78" s="138"/>
      <c r="S78" s="138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101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4">
        <f>IF(ISNUMBER(D80), $B91 * E80, "")</f>
        <v>4109.58904109589</v>
      </c>
      <c r="G80" s="102">
        <v>225</v>
      </c>
      <c r="H80" s="25">
        <f t="shared" si="35"/>
        <v>2.7397260273972601E-2</v>
      </c>
      <c r="I80" s="103">
        <f>IF(ISNUMBER(G80), $B91 * H80, "")</f>
        <v>8219.17808219178</v>
      </c>
      <c r="J80" s="24">
        <v>224</v>
      </c>
      <c r="K80" s="25">
        <f t="shared" si="36"/>
        <v>2.2831050228310501E-2</v>
      </c>
      <c r="L80" s="104">
        <f>IF(ISNUMBER(J80), $B91 * K80, "")</f>
        <v>6849.3150684931506</v>
      </c>
      <c r="M80" s="102">
        <v>223</v>
      </c>
      <c r="N80" s="25">
        <f t="shared" si="37"/>
        <v>1.8264840182648401E-2</v>
      </c>
      <c r="O80" s="104">
        <f>IF(ISNUMBER(M80), $B91 * N80, "")</f>
        <v>5479.4520547945203</v>
      </c>
      <c r="Q80" s="139"/>
      <c r="R80" s="140"/>
      <c r="S80" s="141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100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142"/>
      <c r="R81" s="143"/>
      <c r="S81" s="144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101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145"/>
      <c r="R82" s="146"/>
      <c r="S82" s="147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101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138"/>
      <c r="R83" s="138"/>
      <c r="S83" s="138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101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148"/>
      <c r="R84" s="148"/>
      <c r="S84" s="148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5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148"/>
      <c r="R85" s="148"/>
      <c r="S85" s="148"/>
    </row>
    <row r="86" spans="1:19" ht="17.25" thickBot="1">
      <c r="A86" s="17" t="s">
        <v>88</v>
      </c>
      <c r="B86" s="106">
        <v>649</v>
      </c>
      <c r="C86" s="107">
        <v>-1.6666666699999999E-2</v>
      </c>
      <c r="D86" s="106">
        <v>651</v>
      </c>
      <c r="E86" s="107">
        <f>IF(ISNUMBER(D86), (D86 - $B86) / $B86, "")</f>
        <v>3.0816640986132513E-3</v>
      </c>
      <c r="F86" s="108">
        <f>IF(ISNUMBER(D86), $B91 * E86, "")</f>
        <v>924.49922958397542</v>
      </c>
      <c r="G86" s="109">
        <v>650</v>
      </c>
      <c r="H86" s="107">
        <f>IF(ISNUMBER(G86), (G86 - $B86) / $B86, "")</f>
        <v>1.5408320493066256E-3</v>
      </c>
      <c r="I86" s="110">
        <f>IF(ISNUMBER(G86), $B91 * H86, "")</f>
        <v>462.24961479198771</v>
      </c>
      <c r="J86" s="106">
        <v>652</v>
      </c>
      <c r="K86" s="107">
        <f>IF(ISNUMBER(J86), (J86 - $B86) / $B86, "")</f>
        <v>4.6224961479198771E-3</v>
      </c>
      <c r="L86" s="108">
        <f>IF(ISNUMBER(J86), $B91 * K86, "")</f>
        <v>1386.7488443759632</v>
      </c>
      <c r="M86" s="109">
        <v>650</v>
      </c>
      <c r="N86" s="107">
        <f>IF(ISNUMBER(M86), (M86 - $B86) / $B86, "")</f>
        <v>1.5408320493066256E-3</v>
      </c>
      <c r="O86" s="108">
        <f>IF(ISNUMBER(M86), $B91 * N86, "")</f>
        <v>462.24961479198771</v>
      </c>
      <c r="Q86" s="138"/>
      <c r="R86" s="138"/>
      <c r="S86" s="138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101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138"/>
      <c r="R87" s="138"/>
      <c r="S87" s="138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101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138"/>
      <c r="R88" s="138"/>
      <c r="S88" s="138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101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127"/>
      <c r="R89" s="128"/>
      <c r="S89" s="129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4">
        <f>IF(ISNUMBER(D90), $B91 * E90, "")</f>
        <v>5696.2025316455702</v>
      </c>
      <c r="G90" s="102">
        <v>163</v>
      </c>
      <c r="H90" s="25">
        <f t="shared" si="43"/>
        <v>3.1645569620253167E-2</v>
      </c>
      <c r="I90" s="103">
        <f>IF(ISNUMBER(G90), $B91 * H90, "")</f>
        <v>9493.67088607595</v>
      </c>
      <c r="J90" s="24">
        <v>166</v>
      </c>
      <c r="K90" s="25">
        <f t="shared" si="44"/>
        <v>5.0632911392405063E-2</v>
      </c>
      <c r="L90" s="104">
        <f>IF(ISNUMBER(J90), $B91 * K90, "")</f>
        <v>15189.873417721519</v>
      </c>
      <c r="M90" s="102">
        <v>162</v>
      </c>
      <c r="N90" s="25">
        <f t="shared" si="45"/>
        <v>2.5316455696202531E-2</v>
      </c>
      <c r="O90" s="104">
        <f>IF(ISNUMBER(M90), $B91 * N90, "")</f>
        <v>7594.9367088607596</v>
      </c>
      <c r="Q90" s="130"/>
      <c r="R90" s="131"/>
      <c r="S90" s="132"/>
    </row>
    <row r="91" spans="1:19" ht="17.25" thickBot="1">
      <c r="A91" s="26" t="s">
        <v>301</v>
      </c>
      <c r="B91" s="136">
        <f>$B$37</f>
        <v>300000</v>
      </c>
      <c r="C91" s="137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133"/>
      <c r="R91" s="134"/>
      <c r="S91" s="135"/>
    </row>
    <row r="93" spans="1:19" ht="17.25" thickBot="1"/>
    <row r="94" spans="1:19" ht="17.25" thickBot="1">
      <c r="A94" s="149" t="s">
        <v>46</v>
      </c>
      <c r="B94" s="150"/>
      <c r="C94" s="150"/>
      <c r="D94" s="150"/>
      <c r="E94" s="150"/>
      <c r="F94" s="150"/>
      <c r="G94" s="150"/>
      <c r="H94" s="150"/>
      <c r="I94" s="150"/>
      <c r="J94" s="150"/>
      <c r="K94" s="150"/>
      <c r="L94" s="150"/>
      <c r="M94" s="150"/>
      <c r="N94" s="150"/>
      <c r="O94" s="151"/>
      <c r="Q94" s="148"/>
      <c r="R94" s="148"/>
      <c r="S94" s="148"/>
    </row>
    <row r="95" spans="1:19" ht="17.25" thickBot="1">
      <c r="A95" s="111" t="s">
        <v>298</v>
      </c>
      <c r="B95" s="149" t="s">
        <v>49</v>
      </c>
      <c r="C95" s="151"/>
      <c r="D95" s="149" t="s">
        <v>58</v>
      </c>
      <c r="E95" s="150"/>
      <c r="F95" s="151"/>
      <c r="G95" s="152">
        <f>_xlfn.IFNA(VLOOKUP(B95, 현재가테이블!$B$2:$D$200, 2, FALSE), "-")</f>
        <v>69894000</v>
      </c>
      <c r="H95" s="153"/>
      <c r="I95" s="154"/>
      <c r="J95" s="149" t="s">
        <v>59</v>
      </c>
      <c r="K95" s="150"/>
      <c r="L95" s="151"/>
      <c r="M95" s="155">
        <f>_xlfn.IFNA(VLOOKUP(B95, 현재가테이블!$B$2:$D$200, 3, FALSE), "-")</f>
        <v>2.1065856399999999E-2</v>
      </c>
      <c r="N95" s="156"/>
      <c r="O95" s="157"/>
      <c r="Q95" s="148"/>
      <c r="R95" s="148"/>
      <c r="S95" s="148"/>
    </row>
    <row r="96" spans="1:19" ht="17.25" thickBot="1">
      <c r="A96" s="158" t="s">
        <v>55</v>
      </c>
      <c r="B96" s="160" t="str">
        <f>TEXT($G$1, "[$-ko-KR]yyyy-mm-dd(ddd) ") &amp; "오전 00:00"</f>
        <v>2021-05-03(월) 오전 00:00</v>
      </c>
      <c r="C96" s="161"/>
      <c r="D96" s="162" t="str">
        <f>TEXT($G$1, "[$-ko-KR]yyyy-mm-dd(ddd) ") &amp; "오후 14:00"</f>
        <v>2021-05-03(월) 오후 14:00</v>
      </c>
      <c r="E96" s="163"/>
      <c r="F96" s="164"/>
      <c r="G96" s="162" t="str">
        <f>TEXT($G$1, "[$-ko-KR]yyyy-mm-dd(ddd) ") &amp; "오후 19:00"</f>
        <v>2021-05-03(월) 오후 19:00</v>
      </c>
      <c r="H96" s="163"/>
      <c r="I96" s="164"/>
      <c r="J96" s="162" t="str">
        <f>TEXT($G$1, "[$-ko-KR]yyyy-mm-dd(ddd) ") &amp; "오후 21:00"</f>
        <v>2021-05-03(월) 오후 21:00</v>
      </c>
      <c r="K96" s="163"/>
      <c r="L96" s="164"/>
      <c r="M96" s="162" t="str">
        <f>TEXT($G$1+1, "[$-ko-KR]yyyy-mm-dd(ddd) ") &amp; "오전 00:00"</f>
        <v>2021-05-04(화) 오전 00:00</v>
      </c>
      <c r="N96" s="163"/>
      <c r="O96" s="164"/>
      <c r="Q96" s="148"/>
      <c r="R96" s="148"/>
      <c r="S96" s="148"/>
    </row>
    <row r="97" spans="1:19" ht="17.25" thickBot="1">
      <c r="A97" s="159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38"/>
      <c r="R97" s="138"/>
      <c r="S97" s="138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100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148"/>
      <c r="R98" s="148"/>
      <c r="S98" s="148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101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148"/>
      <c r="R99" s="148"/>
      <c r="S99" s="148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101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138"/>
      <c r="R100" s="138"/>
      <c r="S100" s="138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101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138"/>
      <c r="R101" s="138"/>
      <c r="S101" s="138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5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138"/>
      <c r="R102" s="138"/>
      <c r="S102" s="138"/>
    </row>
    <row r="103" spans="1:19" ht="17.25" thickBot="1">
      <c r="A103" s="17" t="s">
        <v>262</v>
      </c>
      <c r="B103" s="106">
        <v>1135</v>
      </c>
      <c r="C103" s="107">
        <v>6.0747663600000001E-2</v>
      </c>
      <c r="D103" s="106">
        <v>1125</v>
      </c>
      <c r="E103" s="107">
        <f>IF(ISNUMBER(D103), (D103 - $B103) / $B103, "")</f>
        <v>-8.8105726872246704E-3</v>
      </c>
      <c r="F103" s="108">
        <f>IF(ISNUMBER(D103), $B118 * E103, "")</f>
        <v>-2643.171806167401</v>
      </c>
      <c r="G103" s="109">
        <v>1165</v>
      </c>
      <c r="H103" s="107">
        <f>IF(ISNUMBER(G103), (G103 - $B103) / $B103, "")</f>
        <v>2.643171806167401E-2</v>
      </c>
      <c r="I103" s="110">
        <f>IF(ISNUMBER(G103), $B118 * H103, "")</f>
        <v>7929.5154185022029</v>
      </c>
      <c r="J103" s="106">
        <v>1155</v>
      </c>
      <c r="K103" s="107">
        <f>IF(ISNUMBER(J103), (J103 - $B103) / $B103, "")</f>
        <v>1.7621145374449341E-2</v>
      </c>
      <c r="L103" s="108">
        <f>IF(ISNUMBER(J103), $B118 * K103, "")</f>
        <v>5286.3436123348019</v>
      </c>
      <c r="M103" s="109">
        <v>1140</v>
      </c>
      <c r="N103" s="107">
        <f>IF(ISNUMBER(M103), (M103 - $B103) / $B103, "")</f>
        <v>4.4052863436123352E-3</v>
      </c>
      <c r="O103" s="108">
        <f>IF(ISNUMBER(M103), $B118 * N103, "")</f>
        <v>1321.5859030837005</v>
      </c>
      <c r="Q103" s="138"/>
      <c r="R103" s="138"/>
      <c r="S103" s="138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101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138"/>
      <c r="R104" s="138"/>
      <c r="S104" s="138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101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138"/>
      <c r="R105" s="138"/>
      <c r="S105" s="138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101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4">
        <f>IF(ISNUMBER(D107), $B118 * E107, "")</f>
        <v>6060.606060606061</v>
      </c>
      <c r="G107" s="102">
        <v>202</v>
      </c>
      <c r="H107" s="25">
        <f t="shared" si="51"/>
        <v>2.0202020202020204E-2</v>
      </c>
      <c r="I107" s="103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4">
        <f>IF(ISNUMBER(J107), $B118 * K107, "")</f>
        <v>7575.757575757576</v>
      </c>
      <c r="M107" s="102">
        <v>200</v>
      </c>
      <c r="N107" s="25">
        <f t="shared" si="53"/>
        <v>1.0101010101010102E-2</v>
      </c>
      <c r="O107" s="104">
        <f>IF(ISNUMBER(M107), $B118 * N107, "")</f>
        <v>3030.3030303030305</v>
      </c>
      <c r="Q107" s="139"/>
      <c r="R107" s="140"/>
      <c r="S107" s="141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100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142"/>
      <c r="R108" s="143"/>
      <c r="S108" s="144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101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145"/>
      <c r="R109" s="146"/>
      <c r="S109" s="147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101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138"/>
      <c r="R110" s="138"/>
      <c r="S110" s="138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101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148"/>
      <c r="R111" s="148"/>
      <c r="S111" s="148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5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148"/>
      <c r="R112" s="148"/>
      <c r="S112" s="148"/>
    </row>
    <row r="113" spans="1:19" ht="17.25" thickBot="1">
      <c r="A113" s="17" t="s">
        <v>254</v>
      </c>
      <c r="B113" s="106">
        <v>96.1</v>
      </c>
      <c r="C113" s="107">
        <v>2.3429180000000001E-2</v>
      </c>
      <c r="D113" s="106">
        <v>95.9</v>
      </c>
      <c r="E113" s="107">
        <f>IF(ISNUMBER(D113), (D113 - $B113) / $B113, "")</f>
        <v>-2.0811654526533678E-3</v>
      </c>
      <c r="F113" s="108">
        <f>IF(ISNUMBER(D113), $B118 * E113, "")</f>
        <v>-624.34963579601038</v>
      </c>
      <c r="G113" s="109">
        <v>99.4</v>
      </c>
      <c r="H113" s="107">
        <f>IF(ISNUMBER(G113), (G113 - $B113) / $B113, "")</f>
        <v>3.4339229968782636E-2</v>
      </c>
      <c r="I113" s="110">
        <f>IF(ISNUMBER(G113), $B118 * H113, "")</f>
        <v>10301.768990634791</v>
      </c>
      <c r="J113" s="106">
        <v>98.7</v>
      </c>
      <c r="K113" s="107">
        <f>IF(ISNUMBER(J113), (J113 - $B113) / $B113, "")</f>
        <v>2.7055150884495408E-2</v>
      </c>
      <c r="L113" s="108">
        <f>IF(ISNUMBER(J113), $B118 * K113, "")</f>
        <v>8116.5452653486218</v>
      </c>
      <c r="M113" s="109">
        <v>99</v>
      </c>
      <c r="N113" s="107">
        <f>IF(ISNUMBER(M113), (M113 - $B113) / $B113, "")</f>
        <v>3.0176899063475607E-2</v>
      </c>
      <c r="O113" s="108">
        <f>IF(ISNUMBER(M113), $B118 * N113, "")</f>
        <v>9053.0697190426818</v>
      </c>
      <c r="Q113" s="138"/>
      <c r="R113" s="138"/>
      <c r="S113" s="138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101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138"/>
      <c r="R114" s="138"/>
      <c r="S114" s="138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101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138"/>
      <c r="R115" s="138"/>
      <c r="S115" s="138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101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127"/>
      <c r="R116" s="128"/>
      <c r="S116" s="129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4">
        <f>IF(ISNUMBER(D117), $B118 * E117, "")</f>
        <v>3333.3333333333335</v>
      </c>
      <c r="G117" s="102">
        <v>557</v>
      </c>
      <c r="H117" s="25">
        <f t="shared" si="59"/>
        <v>3.1481481481481478E-2</v>
      </c>
      <c r="I117" s="103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4">
        <f>IF(ISNUMBER(J117), $B118 * K117, "")</f>
        <v>12222.222222222223</v>
      </c>
      <c r="M117" s="102">
        <v>550</v>
      </c>
      <c r="N117" s="25">
        <f t="shared" si="61"/>
        <v>1.8518518518518517E-2</v>
      </c>
      <c r="O117" s="104">
        <f>IF(ISNUMBER(M117), $B118 * N117, "")</f>
        <v>5555.5555555555557</v>
      </c>
      <c r="Q117" s="130"/>
      <c r="R117" s="131"/>
      <c r="S117" s="132"/>
    </row>
    <row r="118" spans="1:19" ht="17.25" thickBot="1">
      <c r="A118" s="26" t="s">
        <v>301</v>
      </c>
      <c r="B118" s="136">
        <f>$B$37</f>
        <v>300000</v>
      </c>
      <c r="C118" s="137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133"/>
      <c r="R118" s="134"/>
      <c r="S118" s="135"/>
    </row>
    <row r="120" spans="1:19" ht="17.25" thickBot="1"/>
    <row r="121" spans="1:19" ht="17.25" thickBot="1">
      <c r="A121" s="149" t="s">
        <v>288</v>
      </c>
      <c r="B121" s="150"/>
      <c r="C121" s="150"/>
      <c r="D121" s="150"/>
      <c r="E121" s="150"/>
      <c r="F121" s="150"/>
      <c r="G121" s="150"/>
      <c r="H121" s="150"/>
      <c r="I121" s="150"/>
      <c r="J121" s="150"/>
      <c r="K121" s="150"/>
      <c r="L121" s="150"/>
      <c r="M121" s="150"/>
      <c r="N121" s="150"/>
      <c r="O121" s="151"/>
      <c r="Q121" s="148"/>
      <c r="R121" s="148"/>
      <c r="S121" s="148"/>
    </row>
    <row r="122" spans="1:19" ht="17.25" thickBot="1">
      <c r="A122" s="111" t="s">
        <v>298</v>
      </c>
      <c r="B122" s="149" t="s">
        <v>49</v>
      </c>
      <c r="C122" s="151"/>
      <c r="D122" s="149" t="s">
        <v>58</v>
      </c>
      <c r="E122" s="150"/>
      <c r="F122" s="151"/>
      <c r="G122" s="152">
        <f>_xlfn.IFNA(VLOOKUP(B122, 현재가테이블!$B$2:$D$200, 2, FALSE), "-")</f>
        <v>69894000</v>
      </c>
      <c r="H122" s="153"/>
      <c r="I122" s="154"/>
      <c r="J122" s="149" t="s">
        <v>59</v>
      </c>
      <c r="K122" s="150"/>
      <c r="L122" s="151"/>
      <c r="M122" s="155">
        <f>_xlfn.IFNA(VLOOKUP(B122, 현재가테이블!$B$2:$D$200, 3, FALSE), "-")</f>
        <v>2.1065856399999999E-2</v>
      </c>
      <c r="N122" s="156"/>
      <c r="O122" s="157"/>
      <c r="Q122" s="148"/>
      <c r="R122" s="148"/>
      <c r="S122" s="148"/>
    </row>
    <row r="123" spans="1:19" ht="17.25" thickBot="1">
      <c r="A123" s="158" t="s">
        <v>55</v>
      </c>
      <c r="B123" s="160" t="str">
        <f>TEXT($G$1, "[$-ko-KR]yyyy-mm-dd(ddd) ") &amp; "오전 00:00"</f>
        <v>2021-05-03(월) 오전 00:00</v>
      </c>
      <c r="C123" s="161"/>
      <c r="D123" s="162" t="str">
        <f>TEXT($G$1, "[$-ko-KR]yyyy-mm-dd(ddd) ") &amp; "오후 14:00"</f>
        <v>2021-05-03(월) 오후 14:00</v>
      </c>
      <c r="E123" s="163"/>
      <c r="F123" s="164"/>
      <c r="G123" s="162" t="str">
        <f>TEXT($G$1, "[$-ko-KR]yyyy-mm-dd(ddd) ") &amp; "오후 19:00"</f>
        <v>2021-05-03(월) 오후 19:00</v>
      </c>
      <c r="H123" s="163"/>
      <c r="I123" s="164"/>
      <c r="J123" s="162" t="str">
        <f>TEXT($G$1, "[$-ko-KR]yyyy-mm-dd(ddd) ") &amp; "오후 21:00"</f>
        <v>2021-05-03(월) 오후 21:00</v>
      </c>
      <c r="K123" s="163"/>
      <c r="L123" s="164"/>
      <c r="M123" s="162" t="str">
        <f>TEXT($G$1+1, "[$-ko-KR]yyyy-mm-dd(ddd) ") &amp; "오전 00:00"</f>
        <v>2021-05-04(화) 오전 00:00</v>
      </c>
      <c r="N123" s="163"/>
      <c r="O123" s="164"/>
      <c r="Q123" s="148"/>
      <c r="R123" s="148"/>
      <c r="S123" s="148"/>
    </row>
    <row r="124" spans="1:19" ht="17.25" thickBot="1">
      <c r="A124" s="159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38"/>
      <c r="R124" s="138"/>
      <c r="S124" s="138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100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148"/>
      <c r="R125" s="148"/>
      <c r="S125" s="148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101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148"/>
      <c r="R126" s="148"/>
      <c r="S126" s="148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101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138"/>
      <c r="R127" s="138"/>
      <c r="S127" s="138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101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138"/>
      <c r="R128" s="138"/>
      <c r="S128" s="138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5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138"/>
      <c r="R129" s="138"/>
      <c r="S129" s="138"/>
    </row>
    <row r="130" spans="1:19" ht="17.25" thickBot="1">
      <c r="A130" s="17" t="s">
        <v>214</v>
      </c>
      <c r="B130" s="106">
        <v>24.5</v>
      </c>
      <c r="C130" s="107">
        <v>0</v>
      </c>
      <c r="D130" s="106">
        <v>25.4</v>
      </c>
      <c r="E130" s="107">
        <f>IF(ISNUMBER(D130), (D130 - $B130) / $B130, "")</f>
        <v>3.6734693877550961E-2</v>
      </c>
      <c r="F130" s="108">
        <f>IF(ISNUMBER(D130), $B145 * E130, "")</f>
        <v>11020.408163265289</v>
      </c>
      <c r="G130" s="109">
        <v>25.4</v>
      </c>
      <c r="H130" s="107">
        <f>IF(ISNUMBER(G130), (G130 - $B130) / $B130, "")</f>
        <v>3.6734693877550961E-2</v>
      </c>
      <c r="I130" s="110">
        <f>IF(ISNUMBER(G130), $B145 * H130, "")</f>
        <v>11020.408163265289</v>
      </c>
      <c r="J130" s="106">
        <v>25.4</v>
      </c>
      <c r="K130" s="107">
        <f>IF(ISNUMBER(J130), (J130 - $B130) / $B130, "")</f>
        <v>3.6734693877550961E-2</v>
      </c>
      <c r="L130" s="108">
        <f>IF(ISNUMBER(J130), $B145 * K130, "")</f>
        <v>11020.408163265289</v>
      </c>
      <c r="M130" s="109">
        <v>25.3</v>
      </c>
      <c r="N130" s="107">
        <f>IF(ISNUMBER(M130), (M130 - $B130) / $B130, "")</f>
        <v>3.2653061224489827E-2</v>
      </c>
      <c r="O130" s="108">
        <f>IF(ISNUMBER(M130), $B145 * N130, "")</f>
        <v>9795.9183673469488</v>
      </c>
      <c r="Q130" s="138"/>
      <c r="R130" s="138"/>
      <c r="S130" s="138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101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138"/>
      <c r="R131" s="138"/>
      <c r="S131" s="138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101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138"/>
      <c r="R132" s="138"/>
      <c r="S132" s="138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101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4">
        <f>IF(ISNUMBER(D134), $B145 * E134, "")</f>
        <v>1886.7924528301705</v>
      </c>
      <c r="G134" s="102">
        <v>98.4</v>
      </c>
      <c r="H134" s="25">
        <f t="shared" si="67"/>
        <v>3.1446540880503145E-2</v>
      </c>
      <c r="I134" s="103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4">
        <f>IF(ISNUMBER(J134), $B145 * K134, "")</f>
        <v>11006.289308176101</v>
      </c>
      <c r="M134" s="102">
        <v>100</v>
      </c>
      <c r="N134" s="25">
        <f t="shared" si="69"/>
        <v>4.821802935010476E-2</v>
      </c>
      <c r="O134" s="104">
        <f>IF(ISNUMBER(M134), $B145 * N134, "")</f>
        <v>14465.408805031428</v>
      </c>
      <c r="Q134" s="139"/>
      <c r="R134" s="140"/>
      <c r="S134" s="141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100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142"/>
      <c r="R135" s="143"/>
      <c r="S135" s="144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101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145"/>
      <c r="R136" s="146"/>
      <c r="S136" s="147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101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138"/>
      <c r="R137" s="138"/>
      <c r="S137" s="138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101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148"/>
      <c r="R138" s="148"/>
      <c r="S138" s="148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5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148"/>
      <c r="R139" s="148"/>
      <c r="S139" s="148"/>
    </row>
    <row r="140" spans="1:19" ht="17.25" thickBot="1">
      <c r="A140" s="17" t="s">
        <v>72</v>
      </c>
      <c r="B140" s="106">
        <v>36.799999999999997</v>
      </c>
      <c r="C140" s="107">
        <v>-2.3872679000000001E-2</v>
      </c>
      <c r="D140" s="106">
        <v>37.6</v>
      </c>
      <c r="E140" s="107">
        <f>IF(ISNUMBER(D140), (D140 - $B140) / $B140, "")</f>
        <v>2.1739130434782726E-2</v>
      </c>
      <c r="F140" s="108">
        <f>IF(ISNUMBER(D140), $B145 * E140, "")</f>
        <v>6521.7391304348175</v>
      </c>
      <c r="G140" s="109">
        <v>38.5</v>
      </c>
      <c r="H140" s="107">
        <f>IF(ISNUMBER(G140), (G140 - $B140) / $B140, "")</f>
        <v>4.6195652173913124E-2</v>
      </c>
      <c r="I140" s="110">
        <f>IF(ISNUMBER(G140), $B145 * H140, "")</f>
        <v>13858.695652173938</v>
      </c>
      <c r="J140" s="106">
        <v>38.6</v>
      </c>
      <c r="K140" s="107">
        <f>IF(ISNUMBER(J140), (J140 - $B140) / $B140, "")</f>
        <v>4.891304347826099E-2</v>
      </c>
      <c r="L140" s="108">
        <f>IF(ISNUMBER(J140), $B145 * K140, "")</f>
        <v>14673.913043478296</v>
      </c>
      <c r="M140" s="109">
        <v>38.299999999999997</v>
      </c>
      <c r="N140" s="107">
        <f>IF(ISNUMBER(M140), (M140 - $B140) / $B140, "")</f>
        <v>4.0760869565217392E-2</v>
      </c>
      <c r="O140" s="108">
        <f>IF(ISNUMBER(M140), $B145 * N140, "")</f>
        <v>12228.260869565218</v>
      </c>
      <c r="Q140" s="138"/>
      <c r="R140" s="138"/>
      <c r="S140" s="138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101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138"/>
      <c r="R141" s="138"/>
      <c r="S141" s="138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101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138"/>
      <c r="R142" s="138"/>
      <c r="S142" s="138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127"/>
      <c r="R143" s="128"/>
      <c r="S143" s="129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30"/>
      <c r="R144" s="131"/>
      <c r="S144" s="132"/>
    </row>
    <row r="145" spans="1:19" ht="17.25" thickBot="1">
      <c r="A145" s="26" t="s">
        <v>301</v>
      </c>
      <c r="B145" s="136">
        <f>$B$37</f>
        <v>300000</v>
      </c>
      <c r="C145" s="137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133"/>
      <c r="R145" s="134"/>
      <c r="S145" s="135"/>
    </row>
    <row r="147" spans="1:19" ht="17.25" thickBot="1"/>
    <row r="148" spans="1:19" ht="17.25" thickBot="1">
      <c r="A148" s="149" t="s">
        <v>289</v>
      </c>
      <c r="B148" s="150"/>
      <c r="C148" s="150"/>
      <c r="D148" s="150"/>
      <c r="E148" s="150"/>
      <c r="F148" s="150"/>
      <c r="G148" s="150"/>
      <c r="H148" s="150"/>
      <c r="I148" s="150"/>
      <c r="J148" s="150"/>
      <c r="K148" s="150"/>
      <c r="L148" s="150"/>
      <c r="M148" s="150"/>
      <c r="N148" s="150"/>
      <c r="O148" s="151"/>
      <c r="Q148" s="148"/>
      <c r="R148" s="148"/>
      <c r="S148" s="148"/>
    </row>
    <row r="149" spans="1:19" ht="17.25" thickBot="1">
      <c r="A149" s="111" t="s">
        <v>298</v>
      </c>
      <c r="B149" s="149" t="s">
        <v>49</v>
      </c>
      <c r="C149" s="151"/>
      <c r="D149" s="149" t="s">
        <v>58</v>
      </c>
      <c r="E149" s="150"/>
      <c r="F149" s="151"/>
      <c r="G149" s="152">
        <f>_xlfn.IFNA(VLOOKUP(B149, 현재가테이블!$B$2:$D$200, 2, FALSE), "-")</f>
        <v>69894000</v>
      </c>
      <c r="H149" s="153"/>
      <c r="I149" s="154"/>
      <c r="J149" s="149" t="s">
        <v>59</v>
      </c>
      <c r="K149" s="150"/>
      <c r="L149" s="151"/>
      <c r="M149" s="155">
        <f>_xlfn.IFNA(VLOOKUP(B149, 현재가테이블!$B$2:$D$200, 3, FALSE), "-")</f>
        <v>2.1065856399999999E-2</v>
      </c>
      <c r="N149" s="156"/>
      <c r="O149" s="157"/>
      <c r="Q149" s="148"/>
      <c r="R149" s="148"/>
      <c r="S149" s="148"/>
    </row>
    <row r="150" spans="1:19" ht="17.25" thickBot="1">
      <c r="A150" s="158" t="s">
        <v>55</v>
      </c>
      <c r="B150" s="160" t="str">
        <f>TEXT($G$1, "[$-ko-KR]yyyy-mm-dd(ddd) ") &amp; "오전 00:00"</f>
        <v>2021-05-03(월) 오전 00:00</v>
      </c>
      <c r="C150" s="161"/>
      <c r="D150" s="162" t="str">
        <f>TEXT($G$1, "[$-ko-KR]yyyy-mm-dd(ddd) ") &amp; "오후 14:00"</f>
        <v>2021-05-03(월) 오후 14:00</v>
      </c>
      <c r="E150" s="163"/>
      <c r="F150" s="164"/>
      <c r="G150" s="162" t="str">
        <f>TEXT($G$1, "[$-ko-KR]yyyy-mm-dd(ddd) ") &amp; "오후 19:00"</f>
        <v>2021-05-03(월) 오후 19:00</v>
      </c>
      <c r="H150" s="163"/>
      <c r="I150" s="164"/>
      <c r="J150" s="162" t="str">
        <f>TEXT($G$1, "[$-ko-KR]yyyy-mm-dd(ddd) ") &amp; "오후 21:00"</f>
        <v>2021-05-03(월) 오후 21:00</v>
      </c>
      <c r="K150" s="163"/>
      <c r="L150" s="164"/>
      <c r="M150" s="162" t="str">
        <f>TEXT($G$1+1, "[$-ko-KR]yyyy-mm-dd(ddd) ") &amp; "오전 00:00"</f>
        <v>2021-05-04(화) 오전 00:00</v>
      </c>
      <c r="N150" s="163"/>
      <c r="O150" s="164"/>
      <c r="Q150" s="148"/>
      <c r="R150" s="148"/>
      <c r="S150" s="148"/>
    </row>
    <row r="151" spans="1:19" ht="17.25" thickBot="1">
      <c r="A151" s="159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38"/>
      <c r="R151" s="138"/>
      <c r="S151" s="138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100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148"/>
      <c r="R152" s="148"/>
      <c r="S152" s="148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101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148"/>
      <c r="R153" s="148"/>
      <c r="S153" s="148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101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138"/>
      <c r="R154" s="138"/>
      <c r="S154" s="138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101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138"/>
      <c r="R155" s="138"/>
      <c r="S155" s="138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5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138"/>
      <c r="R156" s="138"/>
      <c r="S156" s="138"/>
    </row>
    <row r="157" spans="1:19" ht="17.25" thickBot="1">
      <c r="A157" s="17" t="s">
        <v>120</v>
      </c>
      <c r="B157" s="106">
        <v>226</v>
      </c>
      <c r="C157" s="107">
        <v>-2.1645021600000001E-2</v>
      </c>
      <c r="D157" s="106">
        <v>230</v>
      </c>
      <c r="E157" s="107">
        <f>IF(ISNUMBER(D157), (D157 - $B157) / $B157, "")</f>
        <v>1.7699115044247787E-2</v>
      </c>
      <c r="F157" s="108">
        <f>IF(ISNUMBER(D157), $B172 * E157, "")</f>
        <v>5309.7345132743358</v>
      </c>
      <c r="G157" s="109">
        <v>231</v>
      </c>
      <c r="H157" s="107">
        <f>IF(ISNUMBER(G157), (G157 - $B157) / $B157, "")</f>
        <v>2.2123893805309734E-2</v>
      </c>
      <c r="I157" s="110">
        <f>IF(ISNUMBER(G157), $B172 * H157, "")</f>
        <v>6637.1681415929206</v>
      </c>
      <c r="J157" s="106">
        <v>234</v>
      </c>
      <c r="K157" s="107">
        <f>IF(ISNUMBER(J157), (J157 - $B157) / $B157, "")</f>
        <v>3.5398230088495575E-2</v>
      </c>
      <c r="L157" s="108">
        <f>IF(ISNUMBER(J157), $B172 * K157, "")</f>
        <v>10619.469026548672</v>
      </c>
      <c r="M157" s="109">
        <v>230</v>
      </c>
      <c r="N157" s="107">
        <f>IF(ISNUMBER(M157), (M157 - $B157) / $B157, "")</f>
        <v>1.7699115044247787E-2</v>
      </c>
      <c r="O157" s="108">
        <f>IF(ISNUMBER(M157), $B172 * N157, "")</f>
        <v>5309.7345132743358</v>
      </c>
      <c r="Q157" s="138"/>
      <c r="R157" s="138"/>
      <c r="S157" s="138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101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138"/>
      <c r="R158" s="138"/>
      <c r="S158" s="138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101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138"/>
      <c r="R159" s="138"/>
      <c r="S159" s="138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101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4">
        <f>IF(ISNUMBER(D161), $B172 * E161, "")</f>
        <v>8287.2928176795576</v>
      </c>
      <c r="G161" s="102">
        <v>564</v>
      </c>
      <c r="H161" s="25">
        <f t="shared" si="83"/>
        <v>3.8674033149171269E-2</v>
      </c>
      <c r="I161" s="103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4">
        <f>IF(ISNUMBER(J161), $B172 * K161, "")</f>
        <v>11049.723756906078</v>
      </c>
      <c r="M161" s="102">
        <v>559</v>
      </c>
      <c r="N161" s="25">
        <f t="shared" si="85"/>
        <v>2.9465930018416207E-2</v>
      </c>
      <c r="O161" s="104">
        <f>IF(ISNUMBER(M161), $B172 * N161, "")</f>
        <v>8839.7790055248624</v>
      </c>
      <c r="Q161" s="139"/>
      <c r="R161" s="140"/>
      <c r="S161" s="141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100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142"/>
      <c r="R162" s="143"/>
      <c r="S162" s="144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101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145"/>
      <c r="R163" s="146"/>
      <c r="S163" s="147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101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138"/>
      <c r="R164" s="138"/>
      <c r="S164" s="138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101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148"/>
      <c r="R165" s="148"/>
      <c r="S165" s="148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5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148"/>
      <c r="R166" s="148"/>
      <c r="S166" s="148"/>
    </row>
    <row r="167" spans="1:19" ht="17.25" thickBot="1">
      <c r="A167" s="17" t="s">
        <v>246</v>
      </c>
      <c r="B167" s="106">
        <v>439</v>
      </c>
      <c r="C167" s="107">
        <v>-2.8761061899999999E-2</v>
      </c>
      <c r="D167" s="106">
        <v>441</v>
      </c>
      <c r="E167" s="107">
        <f>IF(ISNUMBER(D167), (D167 - $B167) / $B167, "")</f>
        <v>4.5558086560364463E-3</v>
      </c>
      <c r="F167" s="108">
        <f>IF(ISNUMBER(D167), $B172 * E167, "")</f>
        <v>1366.7425968109339</v>
      </c>
      <c r="G167" s="109">
        <v>445</v>
      </c>
      <c r="H167" s="107">
        <f>IF(ISNUMBER(G167), (G167 - $B167) / $B167, "")</f>
        <v>1.366742596810934E-2</v>
      </c>
      <c r="I167" s="110">
        <f>IF(ISNUMBER(G167), $B172 * H167, "")</f>
        <v>4100.2277904328021</v>
      </c>
      <c r="J167" s="106">
        <v>448</v>
      </c>
      <c r="K167" s="107">
        <f>IF(ISNUMBER(J167), (J167 - $B167) / $B167, "")</f>
        <v>2.0501138952164009E-2</v>
      </c>
      <c r="L167" s="108">
        <f>IF(ISNUMBER(J167), $B172 * K167, "")</f>
        <v>6150.3416856492031</v>
      </c>
      <c r="M167" s="109">
        <v>443</v>
      </c>
      <c r="N167" s="107">
        <f>IF(ISNUMBER(M167), (M167 - $B167) / $B167, "")</f>
        <v>9.1116173120728925E-3</v>
      </c>
      <c r="O167" s="108">
        <f>IF(ISNUMBER(M167), $B172 * N167, "")</f>
        <v>2733.4851936218679</v>
      </c>
      <c r="Q167" s="138"/>
      <c r="R167" s="138"/>
      <c r="S167" s="138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101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138"/>
      <c r="R168" s="138"/>
      <c r="S168" s="138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101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138"/>
      <c r="R169" s="138"/>
      <c r="S169" s="138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101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127"/>
      <c r="R170" s="128"/>
      <c r="S170" s="129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4">
        <f>IF(ISNUMBER(D171), $B172 * E171, "")</f>
        <v>0</v>
      </c>
      <c r="G171" s="102">
        <v>761</v>
      </c>
      <c r="H171" s="25">
        <f t="shared" si="91"/>
        <v>1.1968085106382979E-2</v>
      </c>
      <c r="I171" s="103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4">
        <f>IF(ISNUMBER(J171), $B172 * K171, "")</f>
        <v>4787.2340425531911</v>
      </c>
      <c r="M171" s="102">
        <v>780</v>
      </c>
      <c r="N171" s="25">
        <f t="shared" si="93"/>
        <v>3.7234042553191488E-2</v>
      </c>
      <c r="O171" s="104">
        <f>IF(ISNUMBER(M171), $B172 * N171, "")</f>
        <v>11170.212765957447</v>
      </c>
      <c r="Q171" s="130"/>
      <c r="R171" s="131"/>
      <c r="S171" s="132"/>
    </row>
    <row r="172" spans="1:19" ht="17.25" thickBot="1">
      <c r="A172" s="26" t="s">
        <v>301</v>
      </c>
      <c r="B172" s="136">
        <f>$B$37</f>
        <v>300000</v>
      </c>
      <c r="C172" s="137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133"/>
      <c r="R172" s="134"/>
      <c r="S172" s="135"/>
    </row>
    <row r="174" spans="1:19" ht="17.25" thickBot="1"/>
    <row r="175" spans="1:19" ht="17.25" thickBot="1">
      <c r="A175" s="149" t="s">
        <v>285</v>
      </c>
      <c r="B175" s="150"/>
      <c r="C175" s="150"/>
      <c r="D175" s="150"/>
      <c r="E175" s="150"/>
      <c r="F175" s="150"/>
      <c r="G175" s="150"/>
      <c r="H175" s="150"/>
      <c r="I175" s="150"/>
      <c r="J175" s="150"/>
      <c r="K175" s="150"/>
      <c r="L175" s="150"/>
      <c r="M175" s="150"/>
      <c r="N175" s="150"/>
      <c r="O175" s="151"/>
      <c r="Q175" s="148"/>
      <c r="R175" s="148"/>
      <c r="S175" s="148"/>
    </row>
    <row r="176" spans="1:19" ht="17.25" thickBot="1">
      <c r="A176" s="111" t="s">
        <v>298</v>
      </c>
      <c r="B176" s="149" t="s">
        <v>49</v>
      </c>
      <c r="C176" s="151"/>
      <c r="D176" s="149" t="s">
        <v>58</v>
      </c>
      <c r="E176" s="150"/>
      <c r="F176" s="151"/>
      <c r="G176" s="152">
        <f>_xlfn.IFNA(VLOOKUP(B176, 현재가테이블!$B$2:$D$200, 2, FALSE), "-")</f>
        <v>69894000</v>
      </c>
      <c r="H176" s="153"/>
      <c r="I176" s="154"/>
      <c r="J176" s="149" t="s">
        <v>59</v>
      </c>
      <c r="K176" s="150"/>
      <c r="L176" s="151"/>
      <c r="M176" s="155">
        <f>_xlfn.IFNA(VLOOKUP(B176, 현재가테이블!$B$2:$D$200, 3, FALSE), "-")</f>
        <v>2.1065856399999999E-2</v>
      </c>
      <c r="N176" s="156"/>
      <c r="O176" s="157"/>
      <c r="Q176" s="148"/>
      <c r="R176" s="148"/>
      <c r="S176" s="148"/>
    </row>
    <row r="177" spans="1:19" ht="17.25" thickBot="1">
      <c r="A177" s="158" t="s">
        <v>55</v>
      </c>
      <c r="B177" s="160" t="str">
        <f>TEXT($G$1, "[$-ko-KR]yyyy-mm-dd(ddd) ") &amp; "오전 00:00"</f>
        <v>2021-05-03(월) 오전 00:00</v>
      </c>
      <c r="C177" s="161"/>
      <c r="D177" s="162" t="str">
        <f>TEXT($G$1, "[$-ko-KR]yyyy-mm-dd(ddd) ") &amp; "오후 14:00"</f>
        <v>2021-05-03(월) 오후 14:00</v>
      </c>
      <c r="E177" s="163"/>
      <c r="F177" s="164"/>
      <c r="G177" s="162" t="str">
        <f>TEXT($G$1, "[$-ko-KR]yyyy-mm-dd(ddd) ") &amp; "오후 19:00"</f>
        <v>2021-05-03(월) 오후 19:00</v>
      </c>
      <c r="H177" s="163"/>
      <c r="I177" s="164"/>
      <c r="J177" s="162" t="str">
        <f>TEXT($G$1, "[$-ko-KR]yyyy-mm-dd(ddd) ") &amp; "오후 21:00"</f>
        <v>2021-05-03(월) 오후 21:00</v>
      </c>
      <c r="K177" s="163"/>
      <c r="L177" s="164"/>
      <c r="M177" s="162" t="str">
        <f>TEXT($G$1+1, "[$-ko-KR]yyyy-mm-dd(ddd) ") &amp; "오전 00:00"</f>
        <v>2021-05-04(화) 오전 00:00</v>
      </c>
      <c r="N177" s="163"/>
      <c r="O177" s="164"/>
      <c r="Q177" s="148"/>
      <c r="R177" s="148"/>
      <c r="S177" s="148"/>
    </row>
    <row r="178" spans="1:19" ht="17.25" thickBot="1">
      <c r="A178" s="159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38"/>
      <c r="R178" s="138"/>
      <c r="S178" s="138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100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148"/>
      <c r="R179" s="148"/>
      <c r="S179" s="148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101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148"/>
      <c r="R180" s="148"/>
      <c r="S180" s="148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101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138"/>
      <c r="R181" s="138"/>
      <c r="S181" s="138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101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138"/>
      <c r="R182" s="138"/>
      <c r="S182" s="138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5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138"/>
      <c r="R183" s="138"/>
      <c r="S183" s="138"/>
    </row>
    <row r="184" spans="1:19" ht="17.25" thickBot="1">
      <c r="A184" s="17" t="s">
        <v>148</v>
      </c>
      <c r="B184" s="106">
        <v>207</v>
      </c>
      <c r="C184" s="107">
        <v>-2.8169014100000001E-2</v>
      </c>
      <c r="D184" s="106">
        <v>212</v>
      </c>
      <c r="E184" s="107">
        <f>IF(ISNUMBER(D184), (D184 - $B184) / $B184, "")</f>
        <v>2.4154589371980676E-2</v>
      </c>
      <c r="F184" s="108">
        <f>IF(ISNUMBER(D184), $B199 * E184, "")</f>
        <v>7246.376811594203</v>
      </c>
      <c r="G184" s="109">
        <v>214</v>
      </c>
      <c r="H184" s="107">
        <f>IF(ISNUMBER(G184), (G184 - $B184) / $B184, "")</f>
        <v>3.3816425120772944E-2</v>
      </c>
      <c r="I184" s="110">
        <f>IF(ISNUMBER(G184), $B199 * H184, "")</f>
        <v>10144.927536231884</v>
      </c>
      <c r="J184" s="106">
        <v>212</v>
      </c>
      <c r="K184" s="107">
        <f>IF(ISNUMBER(J184), (J184 - $B184) / $B184, "")</f>
        <v>2.4154589371980676E-2</v>
      </c>
      <c r="L184" s="108">
        <f>IF(ISNUMBER(J184), $B199 * K184, "")</f>
        <v>7246.376811594203</v>
      </c>
      <c r="M184" s="109">
        <v>215</v>
      </c>
      <c r="N184" s="107">
        <f>IF(ISNUMBER(M184), (M184 - $B184) / $B184, "")</f>
        <v>3.864734299516908E-2</v>
      </c>
      <c r="O184" s="108">
        <f>IF(ISNUMBER(M184), $B199 * N184, "")</f>
        <v>11594.202898550724</v>
      </c>
      <c r="Q184" s="138"/>
      <c r="R184" s="138"/>
      <c r="S184" s="138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101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138"/>
      <c r="R185" s="138"/>
      <c r="S185" s="138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101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138"/>
      <c r="R186" s="138"/>
      <c r="S186" s="138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101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4">
        <f>IF(ISNUMBER(D188), $B199 * E188, "")</f>
        <v>11235.955056179775</v>
      </c>
      <c r="G188" s="102">
        <v>283</v>
      </c>
      <c r="H188" s="25">
        <f t="shared" si="99"/>
        <v>5.9925093632958802E-2</v>
      </c>
      <c r="I188" s="103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4">
        <f>IF(ISNUMBER(J188), $B199 * K188, "")</f>
        <v>14606.741573033709</v>
      </c>
      <c r="M188" s="102">
        <v>282</v>
      </c>
      <c r="N188" s="25">
        <f t="shared" si="101"/>
        <v>5.6179775280898875E-2</v>
      </c>
      <c r="O188" s="104">
        <f>IF(ISNUMBER(M188), $B199 * N188, "")</f>
        <v>16853.932584269663</v>
      </c>
      <c r="Q188" s="139"/>
      <c r="R188" s="140"/>
      <c r="S188" s="141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100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142"/>
      <c r="R189" s="143"/>
      <c r="S189" s="144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101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145"/>
      <c r="R190" s="146"/>
      <c r="S190" s="147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101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138"/>
      <c r="R191" s="138"/>
      <c r="S191" s="138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101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148"/>
      <c r="R192" s="148"/>
      <c r="S192" s="148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5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148"/>
      <c r="R193" s="148"/>
      <c r="S193" s="148"/>
    </row>
    <row r="194" spans="1:19" ht="17.25" thickBot="1">
      <c r="A194" s="17" t="s">
        <v>250</v>
      </c>
      <c r="B194" s="106">
        <v>242</v>
      </c>
      <c r="C194" s="107">
        <v>-3.5856573699999998E-2</v>
      </c>
      <c r="D194" s="106">
        <v>241</v>
      </c>
      <c r="E194" s="107">
        <f>IF(ISNUMBER(D194), (D194 - $B194) / $B194, "")</f>
        <v>-4.1322314049586778E-3</v>
      </c>
      <c r="F194" s="108">
        <f>IF(ISNUMBER(D194), $B199 * E194, "")</f>
        <v>-1239.6694214876034</v>
      </c>
      <c r="G194" s="109">
        <v>246</v>
      </c>
      <c r="H194" s="107">
        <f>IF(ISNUMBER(G194), (G194 - $B194) / $B194, "")</f>
        <v>1.6528925619834711E-2</v>
      </c>
      <c r="I194" s="110">
        <f>IF(ISNUMBER(G194), $B199 * H194, "")</f>
        <v>4958.6776859504134</v>
      </c>
      <c r="J194" s="106">
        <v>245</v>
      </c>
      <c r="K194" s="107">
        <f>IF(ISNUMBER(J194), (J194 - $B194) / $B194, "")</f>
        <v>1.2396694214876033E-2</v>
      </c>
      <c r="L194" s="108">
        <f>IF(ISNUMBER(J194), $B199 * K194, "")</f>
        <v>3719.0082644628101</v>
      </c>
      <c r="M194" s="109">
        <v>244</v>
      </c>
      <c r="N194" s="107">
        <f>IF(ISNUMBER(M194), (M194 - $B194) / $B194, "")</f>
        <v>8.2644628099173556E-3</v>
      </c>
      <c r="O194" s="108">
        <f>IF(ISNUMBER(M194), $B199 * N194, "")</f>
        <v>2479.3388429752067</v>
      </c>
      <c r="Q194" s="138"/>
      <c r="R194" s="138"/>
      <c r="S194" s="138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101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138"/>
      <c r="R195" s="138"/>
      <c r="S195" s="138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101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138"/>
      <c r="R196" s="138"/>
      <c r="S196" s="138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101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127"/>
      <c r="R197" s="128"/>
      <c r="S197" s="129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4">
        <f>IF(ISNUMBER(D198), $B199 * E198, "")</f>
        <v>7957.5596816976131</v>
      </c>
      <c r="G198" s="102">
        <v>1915</v>
      </c>
      <c r="H198" s="25">
        <f t="shared" si="107"/>
        <v>1.5915119363395226E-2</v>
      </c>
      <c r="I198" s="103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4">
        <f>IF(ISNUMBER(J198), $B199 * K198, "")</f>
        <v>6366.0477453580897</v>
      </c>
      <c r="M198" s="102">
        <v>1880</v>
      </c>
      <c r="N198" s="25">
        <f t="shared" si="109"/>
        <v>-2.6525198938992041E-3</v>
      </c>
      <c r="O198" s="104">
        <f>IF(ISNUMBER(M198), $B199 * N198, "")</f>
        <v>-795.75596816976122</v>
      </c>
      <c r="Q198" s="130"/>
      <c r="R198" s="131"/>
      <c r="S198" s="132"/>
    </row>
    <row r="199" spans="1:19" ht="17.25" thickBot="1">
      <c r="A199" s="26" t="s">
        <v>301</v>
      </c>
      <c r="B199" s="136">
        <f>$B$37</f>
        <v>300000</v>
      </c>
      <c r="C199" s="137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133"/>
      <c r="R199" s="134"/>
      <c r="S199" s="13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81" priority="157">
      <formula>AND($N17 &gt; 0, ISNUMBER($N17))</formula>
    </cfRule>
    <cfRule type="expression" dxfId="380" priority="158">
      <formula>AND($N17 = 0 * ISNUMBER($N17))</formula>
    </cfRule>
    <cfRule type="expression" dxfId="379" priority="159">
      <formula>AND($N17 &lt; 0, ISNUMBER($N17))</formula>
    </cfRule>
  </conditionalFormatting>
  <conditionalFormatting sqref="A17:F36">
    <cfRule type="expression" dxfId="378" priority="166">
      <formula>AND($E17 &gt; 0, ISNUMBER($E17))</formula>
    </cfRule>
    <cfRule type="expression" dxfId="377" priority="167">
      <formula>AND($E17 = 0 * ISNUMBER($E17))</formula>
    </cfRule>
    <cfRule type="expression" dxfId="376" priority="168">
      <formula>AND($E17 &lt; 0, ISNUMBER($E17))</formula>
    </cfRule>
  </conditionalFormatting>
  <conditionalFormatting sqref="A17:C36 G17:I36">
    <cfRule type="expression" dxfId="375" priority="163">
      <formula>AND($H17 &gt; 0, ISNUMBER($H17))</formula>
    </cfRule>
    <cfRule type="expression" dxfId="374" priority="164">
      <formula>AND($H17 = 0 * ISNUMBER($H17))</formula>
    </cfRule>
    <cfRule type="expression" dxfId="373" priority="165">
      <formula>AND($H17 &lt; 0, ISNUMBER($H17))</formula>
    </cfRule>
  </conditionalFormatting>
  <conditionalFormatting sqref="A17:C36 J17:L36">
    <cfRule type="expression" dxfId="372" priority="160">
      <formula>AND($K17 &gt; 0, ISNUMBER($K17))</formula>
    </cfRule>
    <cfRule type="expression" dxfId="371" priority="161">
      <formula>AND($K17 = 0 * ISNUMBER($K17))</formula>
    </cfRule>
    <cfRule type="expression" dxfId="370" priority="162">
      <formula>AND($K17 &lt; 0, ISNUMBER($K17))</formula>
    </cfRule>
  </conditionalFormatting>
  <conditionalFormatting sqref="D15:F16 E37:F37">
    <cfRule type="expression" dxfId="369" priority="154">
      <formula>$E$37 &gt; 0</formula>
    </cfRule>
    <cfRule type="expression" dxfId="368" priority="155">
      <formula>$E$37 = 0</formula>
    </cfRule>
    <cfRule type="expression" dxfId="367" priority="156">
      <formula>$E$37 &lt; 0</formula>
    </cfRule>
  </conditionalFormatting>
  <conditionalFormatting sqref="G15:I16 H37:I37">
    <cfRule type="expression" dxfId="366" priority="151">
      <formula>$H$37 &gt; 0</formula>
    </cfRule>
    <cfRule type="expression" dxfId="365" priority="152">
      <formula>$H$37 = 0</formula>
    </cfRule>
    <cfRule type="expression" dxfId="364" priority="153">
      <formula>$H$37 &lt; 0</formula>
    </cfRule>
  </conditionalFormatting>
  <conditionalFormatting sqref="J15:L16 K37:L37">
    <cfRule type="expression" dxfId="363" priority="148">
      <formula>$K$37 &gt; 0</formula>
    </cfRule>
    <cfRule type="expression" dxfId="362" priority="149">
      <formula>$K$37 = 0</formula>
    </cfRule>
    <cfRule type="expression" dxfId="361" priority="150">
      <formula>$K$37 &lt; 0</formula>
    </cfRule>
  </conditionalFormatting>
  <conditionalFormatting sqref="M15:O16 N37:O37">
    <cfRule type="expression" dxfId="360" priority="145">
      <formula>$N$37 &gt; 0</formula>
    </cfRule>
    <cfRule type="expression" dxfId="359" priority="146">
      <formula>$N$37 = 0</formula>
    </cfRule>
    <cfRule type="expression" dxfId="358" priority="147">
      <formula>$N$37 &lt; 0</formula>
    </cfRule>
  </conditionalFormatting>
  <conditionalFormatting sqref="A44:C63 M44:O63">
    <cfRule type="expression" dxfId="357" priority="133">
      <formula>AND($N44 &gt; 0, ISNUMBER($N44))</formula>
    </cfRule>
    <cfRule type="expression" dxfId="356" priority="134">
      <formula>AND($N44 = 0 * ISNUMBER($N44))</formula>
    </cfRule>
    <cfRule type="expression" dxfId="355" priority="135">
      <formula>AND($N44 &lt; 0, ISNUMBER($N44))</formula>
    </cfRule>
  </conditionalFormatting>
  <conditionalFormatting sqref="A44:F63">
    <cfRule type="expression" dxfId="354" priority="142">
      <formula>AND($E44 &gt; 0, ISNUMBER($E44))</formula>
    </cfRule>
    <cfRule type="expression" dxfId="353" priority="143">
      <formula>AND($E44 = 0 * ISNUMBER($E44))</formula>
    </cfRule>
    <cfRule type="expression" dxfId="352" priority="144">
      <formula>AND($E44 &lt; 0, ISNUMBER($E44))</formula>
    </cfRule>
  </conditionalFormatting>
  <conditionalFormatting sqref="A44:C63 G44:I63">
    <cfRule type="expression" dxfId="351" priority="139">
      <formula>AND($H44 &gt; 0, ISNUMBER($H44))</formula>
    </cfRule>
    <cfRule type="expression" dxfId="350" priority="140">
      <formula>AND($H44 = 0 * ISNUMBER($H44))</formula>
    </cfRule>
    <cfRule type="expression" dxfId="349" priority="141">
      <formula>AND($H44 &lt; 0, ISNUMBER($H44))</formula>
    </cfRule>
  </conditionalFormatting>
  <conditionalFormatting sqref="A44:C63 J44:L63">
    <cfRule type="expression" dxfId="348" priority="136">
      <formula>AND($K44 &gt; 0, ISNUMBER($K44))</formula>
    </cfRule>
    <cfRule type="expression" dxfId="347" priority="137">
      <formula>AND($K44 = 0 * ISNUMBER($K44))</formula>
    </cfRule>
    <cfRule type="expression" dxfId="346" priority="138">
      <formula>AND($K44 &lt; 0, ISNUMBER($K44))</formula>
    </cfRule>
  </conditionalFormatting>
  <conditionalFormatting sqref="D42:F43 E64:F64">
    <cfRule type="expression" dxfId="345" priority="130">
      <formula>$E$64 &gt; 0</formula>
    </cfRule>
    <cfRule type="expression" dxfId="344" priority="131">
      <formula>$E$64 = 0</formula>
    </cfRule>
    <cfRule type="expression" dxfId="343" priority="132">
      <formula>$E$64 &lt; 0</formula>
    </cfRule>
  </conditionalFormatting>
  <conditionalFormatting sqref="G42:I43 H64:I64">
    <cfRule type="expression" dxfId="342" priority="127">
      <formula>$H$64 &gt; 0</formula>
    </cfRule>
    <cfRule type="expression" dxfId="341" priority="128">
      <formula>$H$64 = 0</formula>
    </cfRule>
    <cfRule type="expression" dxfId="340" priority="129">
      <formula>$H$64 &lt; 0</formula>
    </cfRule>
  </conditionalFormatting>
  <conditionalFormatting sqref="J42:L43 K64:L64">
    <cfRule type="expression" dxfId="339" priority="124">
      <formula>$K$64 &gt; 0</formula>
    </cfRule>
    <cfRule type="expression" dxfId="338" priority="125">
      <formula>$K$64 = 0</formula>
    </cfRule>
    <cfRule type="expression" dxfId="337" priority="126">
      <formula>$K$64 &lt; 0</formula>
    </cfRule>
  </conditionalFormatting>
  <conditionalFormatting sqref="M42:O43 N64:O64">
    <cfRule type="expression" dxfId="336" priority="121">
      <formula>$N$64 &gt; 0</formula>
    </cfRule>
    <cfRule type="expression" dxfId="335" priority="122">
      <formula>$N$64 = 0</formula>
    </cfRule>
    <cfRule type="expression" dxfId="334" priority="123">
      <formula>$N$64 &lt; 0</formula>
    </cfRule>
  </conditionalFormatting>
  <conditionalFormatting sqref="A71:C90 M71:O90">
    <cfRule type="expression" dxfId="333" priority="109">
      <formula>AND($N71 &gt; 0, ISNUMBER($N71))</formula>
    </cfRule>
    <cfRule type="expression" dxfId="332" priority="110">
      <formula>AND($N71 = 0 * ISNUMBER($N71))</formula>
    </cfRule>
    <cfRule type="expression" dxfId="331" priority="111">
      <formula>AND($N71 &lt; 0, ISNUMBER($N71))</formula>
    </cfRule>
  </conditionalFormatting>
  <conditionalFormatting sqref="A71:F90">
    <cfRule type="expression" dxfId="330" priority="118">
      <formula>AND($E71 &gt; 0, ISNUMBER($E71))</formula>
    </cfRule>
    <cfRule type="expression" dxfId="329" priority="119">
      <formula>AND($E71 = 0 * ISNUMBER($E71))</formula>
    </cfRule>
    <cfRule type="expression" dxfId="328" priority="120">
      <formula>AND($E71 &lt; 0, ISNUMBER($E71))</formula>
    </cfRule>
  </conditionalFormatting>
  <conditionalFormatting sqref="A71:C90 G71:I90">
    <cfRule type="expression" dxfId="327" priority="115">
      <formula>AND($H71 &gt; 0, ISNUMBER($H71))</formula>
    </cfRule>
    <cfRule type="expression" dxfId="326" priority="116">
      <formula>AND($H71 = 0 * ISNUMBER($H71))</formula>
    </cfRule>
    <cfRule type="expression" dxfId="325" priority="117">
      <formula>AND($H71 &lt; 0, ISNUMBER($H71))</formula>
    </cfRule>
  </conditionalFormatting>
  <conditionalFormatting sqref="A71:C90 J71:L90">
    <cfRule type="expression" dxfId="324" priority="112">
      <formula>AND($K71 &gt; 0, ISNUMBER($K71))</formula>
    </cfRule>
    <cfRule type="expression" dxfId="323" priority="113">
      <formula>AND($K71 = 0 * ISNUMBER($K71))</formula>
    </cfRule>
    <cfRule type="expression" dxfId="322" priority="114">
      <formula>AND($K71 &lt; 0, ISNUMBER($K71))</formula>
    </cfRule>
  </conditionalFormatting>
  <conditionalFormatting sqref="D69:F70 E91:F91">
    <cfRule type="expression" dxfId="321" priority="106">
      <formula>$E$91 &gt; 0</formula>
    </cfRule>
    <cfRule type="expression" dxfId="320" priority="107">
      <formula>$E$91 = 0</formula>
    </cfRule>
    <cfRule type="expression" dxfId="319" priority="108">
      <formula>$E$91 &lt; 0</formula>
    </cfRule>
  </conditionalFormatting>
  <conditionalFormatting sqref="G69:I70 H91:I91">
    <cfRule type="expression" dxfId="318" priority="103">
      <formula>$H$91 &gt; 0</formula>
    </cfRule>
    <cfRule type="expression" dxfId="317" priority="104">
      <formula>$H$91 = 0</formula>
    </cfRule>
    <cfRule type="expression" dxfId="316" priority="105">
      <formula>$H$91 &lt; 0</formula>
    </cfRule>
  </conditionalFormatting>
  <conditionalFormatting sqref="J69:L70 K91:L91">
    <cfRule type="expression" dxfId="315" priority="100">
      <formula>$K$91 &gt; 0</formula>
    </cfRule>
    <cfRule type="expression" dxfId="314" priority="101">
      <formula>$K$91 = 0</formula>
    </cfRule>
    <cfRule type="expression" dxfId="313" priority="102">
      <formula>$K$91 &lt; 0</formula>
    </cfRule>
  </conditionalFormatting>
  <conditionalFormatting sqref="M69:O70 N91:O91">
    <cfRule type="expression" dxfId="312" priority="97">
      <formula>$N$91 &gt; 0</formula>
    </cfRule>
    <cfRule type="expression" dxfId="311" priority="98">
      <formula>$N$91 = 0</formula>
    </cfRule>
    <cfRule type="expression" dxfId="310" priority="99">
      <formula>$N$91 &lt; 0</formula>
    </cfRule>
  </conditionalFormatting>
  <conditionalFormatting sqref="A98:C117 M98:O117">
    <cfRule type="expression" dxfId="309" priority="85">
      <formula>AND($N98 &gt; 0, ISNUMBER($N98))</formula>
    </cfRule>
    <cfRule type="expression" dxfId="308" priority="86">
      <formula>AND($N98 = 0 * ISNUMBER($N98))</formula>
    </cfRule>
    <cfRule type="expression" dxfId="307" priority="87">
      <formula>AND($N98 &lt; 0, ISNUMBER($N98))</formula>
    </cfRule>
  </conditionalFormatting>
  <conditionalFormatting sqref="A98:F117">
    <cfRule type="expression" dxfId="306" priority="94">
      <formula>AND($E98 &gt; 0, ISNUMBER($E98))</formula>
    </cfRule>
    <cfRule type="expression" dxfId="305" priority="95">
      <formula>AND($E98 = 0 * ISNUMBER($E98))</formula>
    </cfRule>
    <cfRule type="expression" dxfId="304" priority="96">
      <formula>AND($E98 &lt; 0, ISNUMBER($E98))</formula>
    </cfRule>
  </conditionalFormatting>
  <conditionalFormatting sqref="A98:C117 G98:I117">
    <cfRule type="expression" dxfId="303" priority="91">
      <formula>AND($H98 &gt; 0, ISNUMBER($H98))</formula>
    </cfRule>
    <cfRule type="expression" dxfId="302" priority="92">
      <formula>AND($H98 = 0 * ISNUMBER($H98))</formula>
    </cfRule>
    <cfRule type="expression" dxfId="301" priority="93">
      <formula>AND($H98 &lt; 0, ISNUMBER($H98))</formula>
    </cfRule>
  </conditionalFormatting>
  <conditionalFormatting sqref="A98:C117 J98:L117">
    <cfRule type="expression" dxfId="300" priority="88">
      <formula>AND($K98 &gt; 0, ISNUMBER($K98))</formula>
    </cfRule>
    <cfRule type="expression" dxfId="299" priority="89">
      <formula>AND($K98 = 0 * ISNUMBER($K98))</formula>
    </cfRule>
    <cfRule type="expression" dxfId="298" priority="90">
      <formula>AND($K98 &lt; 0, ISNUMBER($K98))</formula>
    </cfRule>
  </conditionalFormatting>
  <conditionalFormatting sqref="D96:F97 E118:F118">
    <cfRule type="expression" dxfId="297" priority="82">
      <formula>$E$118 &gt; 0</formula>
    </cfRule>
    <cfRule type="expression" dxfId="296" priority="83">
      <formula>$E$118 = 0</formula>
    </cfRule>
    <cfRule type="expression" dxfId="295" priority="84">
      <formula>$E$118 &lt; 0</formula>
    </cfRule>
  </conditionalFormatting>
  <conditionalFormatting sqref="G96:I97 H118:I118">
    <cfRule type="expression" dxfId="294" priority="79">
      <formula>$H$118 &gt; 0</formula>
    </cfRule>
    <cfRule type="expression" dxfId="293" priority="80">
      <formula>$H$118 = 0</formula>
    </cfRule>
    <cfRule type="expression" dxfId="292" priority="81">
      <formula>$H$118 &lt; 0</formula>
    </cfRule>
  </conditionalFormatting>
  <conditionalFormatting sqref="J96:L97 K118:L118">
    <cfRule type="expression" dxfId="291" priority="76">
      <formula>$K$118 &gt; 0</formula>
    </cfRule>
    <cfRule type="expression" dxfId="290" priority="77">
      <formula>$K$118 = 0</formula>
    </cfRule>
    <cfRule type="expression" dxfId="289" priority="78">
      <formula>$K$118 &lt; 0</formula>
    </cfRule>
  </conditionalFormatting>
  <conditionalFormatting sqref="M96:O97 N118:O118">
    <cfRule type="expression" dxfId="288" priority="73">
      <formula>$N$118 &gt; 0</formula>
    </cfRule>
    <cfRule type="expression" dxfId="287" priority="74">
      <formula>$N$118 = 0</formula>
    </cfRule>
    <cfRule type="expression" dxfId="286" priority="75">
      <formula>$N$118 &lt; 0</formula>
    </cfRule>
  </conditionalFormatting>
  <conditionalFormatting sqref="A125:C144 M125:O144">
    <cfRule type="expression" dxfId="285" priority="61">
      <formula>AND($N125 &gt; 0, ISNUMBER($N125))</formula>
    </cfRule>
    <cfRule type="expression" dxfId="284" priority="62">
      <formula>AND($N125 = 0 * ISNUMBER($N125))</formula>
    </cfRule>
    <cfRule type="expression" dxfId="283" priority="63">
      <formula>AND($N125 &lt; 0, ISNUMBER($N125))</formula>
    </cfRule>
  </conditionalFormatting>
  <conditionalFormatting sqref="A125:F144">
    <cfRule type="expression" dxfId="282" priority="70">
      <formula>AND($E125 &gt; 0, ISNUMBER($E125))</formula>
    </cfRule>
    <cfRule type="expression" dxfId="281" priority="71">
      <formula>AND($E125 = 0 * ISNUMBER($E125))</formula>
    </cfRule>
    <cfRule type="expression" dxfId="280" priority="72">
      <formula>AND($E125 &lt; 0, ISNUMBER($E125))</formula>
    </cfRule>
  </conditionalFormatting>
  <conditionalFormatting sqref="A125:C144 G125:I144">
    <cfRule type="expression" dxfId="279" priority="67">
      <formula>AND($H125 &gt; 0, ISNUMBER($H125))</formula>
    </cfRule>
    <cfRule type="expression" dxfId="278" priority="68">
      <formula>AND($H125 = 0 * ISNUMBER($H125))</formula>
    </cfRule>
    <cfRule type="expression" dxfId="277" priority="69">
      <formula>AND($H125 &lt; 0, ISNUMBER($H125))</formula>
    </cfRule>
  </conditionalFormatting>
  <conditionalFormatting sqref="A125:C144 J125:L144">
    <cfRule type="expression" dxfId="276" priority="64">
      <formula>AND($K125 &gt; 0, ISNUMBER($K125))</formula>
    </cfRule>
    <cfRule type="expression" dxfId="275" priority="65">
      <formula>AND($K125 = 0 * ISNUMBER($K125))</formula>
    </cfRule>
    <cfRule type="expression" dxfId="274" priority="66">
      <formula>AND($K125 &lt; 0, ISNUMBER($K125))</formula>
    </cfRule>
  </conditionalFormatting>
  <conditionalFormatting sqref="D123:F124 E145:F145">
    <cfRule type="expression" dxfId="273" priority="58">
      <formula>$E$145 &gt; 0</formula>
    </cfRule>
    <cfRule type="expression" dxfId="272" priority="59">
      <formula>$E$145 = 0</formula>
    </cfRule>
    <cfRule type="expression" dxfId="271" priority="60">
      <formula>$E$145 &lt; 0</formula>
    </cfRule>
  </conditionalFormatting>
  <conditionalFormatting sqref="G123:I124 H145:I145">
    <cfRule type="expression" dxfId="270" priority="55">
      <formula>$H$145 &gt; 0</formula>
    </cfRule>
    <cfRule type="expression" dxfId="269" priority="56">
      <formula>$H$145 = 0</formula>
    </cfRule>
    <cfRule type="expression" dxfId="268" priority="57">
      <formula>$H$145 &lt; 0</formula>
    </cfRule>
  </conditionalFormatting>
  <conditionalFormatting sqref="J123:L124 K145:L145">
    <cfRule type="expression" dxfId="267" priority="52">
      <formula>$K$145 &gt; 0</formula>
    </cfRule>
    <cfRule type="expression" dxfId="266" priority="53">
      <formula>$K$145 = 0</formula>
    </cfRule>
    <cfRule type="expression" dxfId="265" priority="54">
      <formula>$K$145 &lt; 0</formula>
    </cfRule>
  </conditionalFormatting>
  <conditionalFormatting sqref="M123:O124 N145:O145">
    <cfRule type="expression" dxfId="264" priority="49">
      <formula>$N$145 &gt; 0</formula>
    </cfRule>
    <cfRule type="expression" dxfId="263" priority="50">
      <formula>$N$145 = 0</formula>
    </cfRule>
    <cfRule type="expression" dxfId="262" priority="51">
      <formula>$N$145 &lt; 0</formula>
    </cfRule>
  </conditionalFormatting>
  <conditionalFormatting sqref="A152:C171 M152:O171">
    <cfRule type="expression" dxfId="261" priority="37">
      <formula>AND($N152 &gt; 0, ISNUMBER($N152))</formula>
    </cfRule>
    <cfRule type="expression" dxfId="260" priority="38">
      <formula>AND($N152 = 0 * ISNUMBER($N152))</formula>
    </cfRule>
    <cfRule type="expression" dxfId="259" priority="39">
      <formula>AND($N152 &lt; 0, ISNUMBER($N152))</formula>
    </cfRule>
  </conditionalFormatting>
  <conditionalFormatting sqref="A152:F171">
    <cfRule type="expression" dxfId="258" priority="46">
      <formula>AND($E152 &gt; 0, ISNUMBER($E152))</formula>
    </cfRule>
    <cfRule type="expression" dxfId="257" priority="47">
      <formula>AND($E152 = 0 * ISNUMBER($E152))</formula>
    </cfRule>
    <cfRule type="expression" dxfId="256" priority="48">
      <formula>AND($E152 &lt; 0, ISNUMBER($E152))</formula>
    </cfRule>
  </conditionalFormatting>
  <conditionalFormatting sqref="A152:C171 G152:I171">
    <cfRule type="expression" dxfId="255" priority="43">
      <formula>AND($H152 &gt; 0, ISNUMBER($H152))</formula>
    </cfRule>
    <cfRule type="expression" dxfId="254" priority="44">
      <formula>AND($H152 = 0 * ISNUMBER($H152))</formula>
    </cfRule>
    <cfRule type="expression" dxfId="253" priority="45">
      <formula>AND($H152 &lt; 0, ISNUMBER($H152))</formula>
    </cfRule>
  </conditionalFormatting>
  <conditionalFormatting sqref="A152:C171 J152:L171">
    <cfRule type="expression" dxfId="252" priority="40">
      <formula>AND($K152 &gt; 0, ISNUMBER($K152))</formula>
    </cfRule>
    <cfRule type="expression" dxfId="251" priority="41">
      <formula>AND($K152 = 0 * ISNUMBER($K152))</formula>
    </cfRule>
    <cfRule type="expression" dxfId="250" priority="42">
      <formula>AND($K152 &lt; 0, ISNUMBER($K152))</formula>
    </cfRule>
  </conditionalFormatting>
  <conditionalFormatting sqref="D150:F151 E172:F172">
    <cfRule type="expression" dxfId="249" priority="34">
      <formula>$E$172 &gt; 0</formula>
    </cfRule>
    <cfRule type="expression" dxfId="248" priority="35">
      <formula>$E$172 = 0</formula>
    </cfRule>
    <cfRule type="expression" dxfId="247" priority="36">
      <formula>$E$172 &lt; 0</formula>
    </cfRule>
  </conditionalFormatting>
  <conditionalFormatting sqref="G150:I151 H172:I172">
    <cfRule type="expression" dxfId="246" priority="31">
      <formula>$H$172 &gt; 0</formula>
    </cfRule>
    <cfRule type="expression" dxfId="245" priority="32">
      <formula>$H$172 = 0</formula>
    </cfRule>
    <cfRule type="expression" dxfId="244" priority="33">
      <formula>$H$172 &lt; 0</formula>
    </cfRule>
  </conditionalFormatting>
  <conditionalFormatting sqref="J150:L151 K172:L172">
    <cfRule type="expression" dxfId="243" priority="28">
      <formula>$K$172 &gt; 0</formula>
    </cfRule>
    <cfRule type="expression" dxfId="242" priority="29">
      <formula>$K$172 = 0</formula>
    </cfRule>
    <cfRule type="expression" dxfId="241" priority="30">
      <formula>$K$172 &lt; 0</formula>
    </cfRule>
  </conditionalFormatting>
  <conditionalFormatting sqref="M150:O151 N172:O172">
    <cfRule type="expression" dxfId="240" priority="25">
      <formula>$N$172 &gt; 0</formula>
    </cfRule>
    <cfRule type="expression" dxfId="239" priority="26">
      <formula>$N$172 = 0</formula>
    </cfRule>
    <cfRule type="expression" dxfId="238" priority="27">
      <formula>$N$172 &lt; 0</formula>
    </cfRule>
  </conditionalFormatting>
  <conditionalFormatting sqref="A179:C198 M179:O198">
    <cfRule type="expression" dxfId="237" priority="13">
      <formula>AND($N179 &gt; 0, ISNUMBER($N179))</formula>
    </cfRule>
    <cfRule type="expression" dxfId="236" priority="14">
      <formula>AND($N179 = 0 * ISNUMBER($N179))</formula>
    </cfRule>
    <cfRule type="expression" dxfId="235" priority="15">
      <formula>AND($N179 &lt; 0, ISNUMBER($N179))</formula>
    </cfRule>
  </conditionalFormatting>
  <conditionalFormatting sqref="A179:F198">
    <cfRule type="expression" dxfId="234" priority="22">
      <formula>AND($E179 &gt; 0, ISNUMBER($E179))</formula>
    </cfRule>
    <cfRule type="expression" dxfId="233" priority="23">
      <formula>AND($E179 = 0 * ISNUMBER($E179))</formula>
    </cfRule>
    <cfRule type="expression" dxfId="232" priority="24">
      <formula>AND($E179 &lt; 0, ISNUMBER($E179))</formula>
    </cfRule>
  </conditionalFormatting>
  <conditionalFormatting sqref="A179:C198 G179:I198">
    <cfRule type="expression" dxfId="231" priority="19">
      <formula>AND($H179 &gt; 0, ISNUMBER($H179))</formula>
    </cfRule>
    <cfRule type="expression" dxfId="230" priority="20">
      <formula>AND($H179 = 0 * ISNUMBER($H179))</formula>
    </cfRule>
    <cfRule type="expression" dxfId="229" priority="21">
      <formula>AND($H179 &lt; 0, ISNUMBER($H179))</formula>
    </cfRule>
  </conditionalFormatting>
  <conditionalFormatting sqref="A179:C198 J179:L198">
    <cfRule type="expression" dxfId="228" priority="16">
      <formula>AND($K179 &gt; 0, ISNUMBER($K179))</formula>
    </cfRule>
    <cfRule type="expression" dxfId="227" priority="17">
      <formula>AND($K179 = 0 * ISNUMBER($K179))</formula>
    </cfRule>
    <cfRule type="expression" dxfId="226" priority="18">
      <formula>AND($K179 &lt; 0, ISNUMBER($K179))</formula>
    </cfRule>
  </conditionalFormatting>
  <conditionalFormatting sqref="D177:F178 E199:F199">
    <cfRule type="expression" dxfId="225" priority="10">
      <formula>$E$199 &gt; 0</formula>
    </cfRule>
    <cfRule type="expression" dxfId="224" priority="11">
      <formula>$E$199 = 0</formula>
    </cfRule>
    <cfRule type="expression" dxfId="223" priority="12">
      <formula>$E$199 &lt; 0</formula>
    </cfRule>
  </conditionalFormatting>
  <conditionalFormatting sqref="G177:I178 H199:I199">
    <cfRule type="expression" dxfId="222" priority="7">
      <formula>$H$199 &gt; 0</formula>
    </cfRule>
    <cfRule type="expression" dxfId="221" priority="8">
      <formula>$H$199 = 0</formula>
    </cfRule>
    <cfRule type="expression" dxfId="220" priority="9">
      <formula>$H$199 &lt; 0</formula>
    </cfRule>
  </conditionalFormatting>
  <conditionalFormatting sqref="J177:L178 K199:L199">
    <cfRule type="expression" dxfId="219" priority="4">
      <formula>$K$199 &gt; 0</formula>
    </cfRule>
    <cfRule type="expression" dxfId="218" priority="5">
      <formula>$K$199 = 0</formula>
    </cfRule>
    <cfRule type="expression" dxfId="217" priority="6">
      <formula>$K$199 &lt; 0</formula>
    </cfRule>
  </conditionalFormatting>
  <conditionalFormatting sqref="M177:O178 N199:O199">
    <cfRule type="expression" dxfId="216" priority="1">
      <formula>$N$199 &gt; 0</formula>
    </cfRule>
    <cfRule type="expression" dxfId="215" priority="2">
      <formula>$N$199 = 0</formula>
    </cfRule>
    <cfRule type="expression" dxfId="2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zoomScaleNormal="100" workbookViewId="0">
      <selection activeCell="D18" sqref="D18"/>
    </sheetView>
  </sheetViews>
  <sheetFormatPr defaultRowHeight="16.5"/>
  <cols>
    <col min="1" max="1" width="13" style="204" bestFit="1" customWidth="1"/>
    <col min="2" max="2" width="14.25" style="204" bestFit="1" customWidth="1"/>
    <col min="3" max="3" width="12.25" style="204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49" t="s">
        <v>0</v>
      </c>
      <c r="B1" s="150"/>
      <c r="C1" s="150"/>
      <c r="D1" s="150"/>
      <c r="E1" s="150"/>
      <c r="F1" s="151"/>
      <c r="G1" s="180">
        <v>44320</v>
      </c>
      <c r="H1" s="181"/>
      <c r="I1" s="182"/>
      <c r="J1" s="149" t="s">
        <v>1</v>
      </c>
      <c r="K1" s="150"/>
      <c r="L1" s="150"/>
      <c r="M1" s="150"/>
      <c r="N1" s="150"/>
      <c r="O1" s="151"/>
      <c r="Q1" s="149" t="s">
        <v>2</v>
      </c>
      <c r="R1" s="151"/>
    </row>
    <row r="2" spans="1:19" ht="17.25" customHeight="1">
      <c r="A2" s="201" t="s">
        <v>3</v>
      </c>
      <c r="B2" s="183" t="s">
        <v>4</v>
      </c>
      <c r="C2" s="184"/>
      <c r="D2" s="184"/>
      <c r="E2" s="184"/>
      <c r="F2" s="185"/>
      <c r="G2" s="177" t="s">
        <v>46</v>
      </c>
      <c r="H2" s="178"/>
      <c r="I2" s="179"/>
      <c r="J2" s="1" t="s">
        <v>3</v>
      </c>
      <c r="K2" s="183" t="s">
        <v>5</v>
      </c>
      <c r="L2" s="184"/>
      <c r="M2" s="184"/>
      <c r="N2" s="184"/>
      <c r="O2" s="185"/>
      <c r="Q2" s="2" t="s">
        <v>6</v>
      </c>
      <c r="R2" s="3">
        <v>0.375</v>
      </c>
    </row>
    <row r="3" spans="1:19" ht="17.25" customHeight="1" thickBot="1">
      <c r="A3" s="202" t="s">
        <v>7</v>
      </c>
      <c r="B3" s="174" t="s">
        <v>8</v>
      </c>
      <c r="C3" s="175"/>
      <c r="D3" s="175"/>
      <c r="E3" s="175"/>
      <c r="F3" s="176"/>
      <c r="G3" s="1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71"/>
      <c r="I3" s="172"/>
      <c r="J3" s="4" t="s">
        <v>7</v>
      </c>
      <c r="K3" s="174" t="s">
        <v>9</v>
      </c>
      <c r="L3" s="175"/>
      <c r="M3" s="175"/>
      <c r="N3" s="175"/>
      <c r="O3" s="176"/>
      <c r="Q3" s="2" t="s">
        <v>10</v>
      </c>
      <c r="R3" s="3">
        <v>0.79166666666666663</v>
      </c>
    </row>
    <row r="4" spans="1:19" ht="17.25" customHeight="1" thickBot="1">
      <c r="A4" s="202" t="s">
        <v>11</v>
      </c>
      <c r="B4" s="174" t="s">
        <v>12</v>
      </c>
      <c r="C4" s="175"/>
      <c r="D4" s="175"/>
      <c r="E4" s="175"/>
      <c r="F4" s="176"/>
      <c r="G4" s="177" t="s">
        <v>44</v>
      </c>
      <c r="H4" s="178"/>
      <c r="I4" s="179"/>
      <c r="J4" s="4" t="s">
        <v>11</v>
      </c>
      <c r="K4" s="174" t="s">
        <v>13</v>
      </c>
      <c r="L4" s="175"/>
      <c r="M4" s="175"/>
      <c r="N4" s="175"/>
      <c r="O4" s="176"/>
      <c r="Q4" s="65" t="s">
        <v>14</v>
      </c>
      <c r="R4" s="5">
        <v>0.95833333333333337</v>
      </c>
    </row>
    <row r="5" spans="1:19" ht="17.25" customHeight="1" thickBot="1">
      <c r="A5" s="202" t="s">
        <v>15</v>
      </c>
      <c r="B5" s="174" t="s">
        <v>16</v>
      </c>
      <c r="C5" s="175"/>
      <c r="D5" s="175"/>
      <c r="E5" s="175"/>
      <c r="F5" s="176"/>
      <c r="G5" s="1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71"/>
      <c r="I5" s="172"/>
      <c r="J5" s="4" t="s">
        <v>15</v>
      </c>
      <c r="K5" s="174" t="s">
        <v>17</v>
      </c>
      <c r="L5" s="175"/>
      <c r="M5" s="175"/>
      <c r="N5" s="175"/>
      <c r="O5" s="176"/>
    </row>
    <row r="6" spans="1:19">
      <c r="A6" s="202" t="s">
        <v>18</v>
      </c>
      <c r="B6" s="174" t="s">
        <v>19</v>
      </c>
      <c r="C6" s="175"/>
      <c r="D6" s="175"/>
      <c r="E6" s="175"/>
      <c r="F6" s="176"/>
      <c r="G6" s="177" t="s">
        <v>45</v>
      </c>
      <c r="H6" s="178"/>
      <c r="I6" s="179"/>
      <c r="J6" s="4" t="s">
        <v>18</v>
      </c>
      <c r="K6" s="174" t="s">
        <v>20</v>
      </c>
      <c r="L6" s="175"/>
      <c r="M6" s="175"/>
      <c r="N6" s="175"/>
      <c r="O6" s="176"/>
    </row>
    <row r="7" spans="1:19" ht="17.25" thickBot="1">
      <c r="A7" s="202" t="s">
        <v>21</v>
      </c>
      <c r="B7" s="174" t="s">
        <v>22</v>
      </c>
      <c r="C7" s="175"/>
      <c r="D7" s="175"/>
      <c r="E7" s="175"/>
      <c r="F7" s="176"/>
      <c r="G7" s="1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71"/>
      <c r="I7" s="172"/>
      <c r="J7" s="4" t="s">
        <v>21</v>
      </c>
      <c r="K7" s="174" t="s">
        <v>23</v>
      </c>
      <c r="L7" s="175"/>
      <c r="M7" s="175"/>
      <c r="N7" s="175"/>
      <c r="O7" s="176"/>
    </row>
    <row r="8" spans="1:19" ht="17.25" thickBot="1">
      <c r="A8" s="202" t="s">
        <v>24</v>
      </c>
      <c r="B8" s="174" t="s">
        <v>25</v>
      </c>
      <c r="C8" s="175"/>
      <c r="D8" s="175"/>
      <c r="E8" s="175"/>
      <c r="F8" s="176"/>
      <c r="G8" s="177" t="s">
        <v>285</v>
      </c>
      <c r="H8" s="178"/>
      <c r="I8" s="179"/>
      <c r="J8" s="4" t="s">
        <v>24</v>
      </c>
      <c r="K8" s="174" t="s">
        <v>26</v>
      </c>
      <c r="L8" s="175"/>
      <c r="M8" s="175"/>
      <c r="N8" s="175"/>
      <c r="O8" s="176"/>
      <c r="Q8" s="149" t="s">
        <v>27</v>
      </c>
      <c r="R8" s="151"/>
    </row>
    <row r="9" spans="1:19" ht="17.25" thickBot="1">
      <c r="A9" s="202" t="s">
        <v>28</v>
      </c>
      <c r="B9" s="174"/>
      <c r="C9" s="175"/>
      <c r="D9" s="175"/>
      <c r="E9" s="175"/>
      <c r="F9" s="176"/>
      <c r="G9" s="1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71"/>
      <c r="I9" s="172"/>
      <c r="J9" s="4" t="s">
        <v>28</v>
      </c>
      <c r="K9" s="174" t="s">
        <v>293</v>
      </c>
      <c r="L9" s="175"/>
      <c r="M9" s="175"/>
      <c r="N9" s="175"/>
      <c r="O9" s="176"/>
      <c r="Q9" s="2" t="s">
        <v>29</v>
      </c>
      <c r="R9" s="6">
        <v>10</v>
      </c>
    </row>
    <row r="10" spans="1:19">
      <c r="A10" s="202" t="s">
        <v>30</v>
      </c>
      <c r="B10" s="174"/>
      <c r="C10" s="175"/>
      <c r="D10" s="175"/>
      <c r="E10" s="175"/>
      <c r="F10" s="176"/>
      <c r="G10" s="177" t="s">
        <v>47</v>
      </c>
      <c r="H10" s="178"/>
      <c r="I10" s="179"/>
      <c r="J10" s="4" t="s">
        <v>30</v>
      </c>
      <c r="K10" s="174"/>
      <c r="L10" s="175"/>
      <c r="M10" s="175"/>
      <c r="N10" s="175"/>
      <c r="O10" s="176"/>
      <c r="Q10" s="2" t="s">
        <v>31</v>
      </c>
      <c r="R10" s="6">
        <v>100</v>
      </c>
    </row>
    <row r="11" spans="1:19" ht="17.25" thickBot="1">
      <c r="A11" s="203" t="s">
        <v>32</v>
      </c>
      <c r="B11" s="167"/>
      <c r="C11" s="168"/>
      <c r="D11" s="168"/>
      <c r="E11" s="168"/>
      <c r="F11" s="169"/>
      <c r="G11" s="1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1"/>
      <c r="I11" s="172"/>
      <c r="J11" s="7" t="s">
        <v>32</v>
      </c>
      <c r="K11" s="167"/>
      <c r="L11" s="168"/>
      <c r="M11" s="168"/>
      <c r="N11" s="168"/>
      <c r="O11" s="169"/>
      <c r="Q11" s="65" t="s">
        <v>33</v>
      </c>
      <c r="R11" s="8">
        <v>1000</v>
      </c>
    </row>
    <row r="12" spans="1:19" ht="17.25" thickBot="1"/>
    <row r="13" spans="1:19" ht="17.25" customHeight="1" thickBot="1">
      <c r="A13" s="149" t="s">
        <v>34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  <c r="M13" s="150"/>
      <c r="N13" s="150"/>
      <c r="O13" s="151"/>
      <c r="Q13" s="148"/>
      <c r="R13" s="148"/>
      <c r="S13" s="148"/>
    </row>
    <row r="14" spans="1:19" ht="17.25" customHeight="1" thickBot="1">
      <c r="A14" s="116" t="s">
        <v>35</v>
      </c>
      <c r="B14" s="149" t="s">
        <v>36</v>
      </c>
      <c r="C14" s="151"/>
      <c r="D14" s="149" t="s">
        <v>37</v>
      </c>
      <c r="E14" s="150"/>
      <c r="F14" s="151"/>
      <c r="G14" s="152">
        <f>_xlfn.IFNA(VLOOKUP(B14, 현재가테이블!$B$2:$D$200, 2, FALSE), "-")</f>
        <v>69894000</v>
      </c>
      <c r="H14" s="153"/>
      <c r="I14" s="154"/>
      <c r="J14" s="149" t="s">
        <v>38</v>
      </c>
      <c r="K14" s="150"/>
      <c r="L14" s="151"/>
      <c r="M14" s="155">
        <f>_xlfn.IFNA(VLOOKUP(B14, 현재가테이블!$B$2:$D$200, 3, FALSE), "-")</f>
        <v>2.1065856399999999E-2</v>
      </c>
      <c r="N14" s="156"/>
      <c r="O14" s="157"/>
      <c r="Q14" s="148"/>
      <c r="R14" s="148"/>
      <c r="S14" s="148"/>
    </row>
    <row r="15" spans="1:19" ht="17.25" customHeight="1" thickBot="1">
      <c r="A15" s="197" t="s">
        <v>39</v>
      </c>
      <c r="B15" s="205" t="str">
        <f>TEXT($G$1, "[$-ko-KR]yyyy-mm-dd(ddd) ") &amp; "오전 00:00"</f>
        <v>2021-05-04(화) 오전 00:00</v>
      </c>
      <c r="C15" s="206"/>
      <c r="D15" s="162" t="str">
        <f>TEXT($G$1, "[$-ko-KR]yyyy-mm-dd(ddd) ") &amp; "오후 14:00"</f>
        <v>2021-05-04(화) 오후 14:00</v>
      </c>
      <c r="E15" s="163"/>
      <c r="F15" s="164"/>
      <c r="G15" s="162" t="str">
        <f>TEXT($G$1, "[$-ko-KR]yyyy-mm-dd(ddd) ") &amp; "오후 19:00"</f>
        <v>2021-05-04(화) 오후 19:00</v>
      </c>
      <c r="H15" s="163"/>
      <c r="I15" s="164"/>
      <c r="J15" s="162" t="str">
        <f>TEXT($G$1, "[$-ko-KR]yyyy-mm-dd(ddd) ") &amp; "오후 21:00"</f>
        <v>2021-05-04(화) 오후 21:00</v>
      </c>
      <c r="K15" s="163"/>
      <c r="L15" s="164"/>
      <c r="M15" s="162" t="str">
        <f>TEXT($G$1+1, "[$-ko-KR]yyyy-mm-dd(ddd) ") &amp; "오전 00:00"</f>
        <v>2021-05-05(수) 오전 00:00</v>
      </c>
      <c r="N15" s="163"/>
      <c r="O15" s="164"/>
      <c r="Q15" s="148"/>
      <c r="R15" s="148"/>
      <c r="S15" s="148"/>
    </row>
    <row r="16" spans="1:19" ht="17.25" customHeight="1" thickBot="1">
      <c r="A16" s="197"/>
      <c r="B16" s="207" t="s">
        <v>37</v>
      </c>
      <c r="C16" s="208" t="s">
        <v>38</v>
      </c>
      <c r="D16" s="2" t="s">
        <v>37</v>
      </c>
      <c r="E16" s="10" t="s">
        <v>40</v>
      </c>
      <c r="F16" s="11" t="s">
        <v>41</v>
      </c>
      <c r="G16" s="120" t="s">
        <v>37</v>
      </c>
      <c r="H16" s="121" t="s">
        <v>40</v>
      </c>
      <c r="I16" s="12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38"/>
      <c r="R16" s="138"/>
      <c r="S16" s="138"/>
    </row>
    <row r="17" spans="1:19" ht="17.25" customHeight="1" thickBot="1">
      <c r="A17" s="209" t="s">
        <v>306</v>
      </c>
      <c r="B17" s="210">
        <f>IF(NOT(ISBLANK(_xlfn.IFNA(VLOOKUP($A17, $A$40:$O$199, 2, FALSE), ))), _xlfn.IFNA(VLOOKUP($A17, $A$40:$O$199, 2, FALSE), ), "")</f>
        <v>162</v>
      </c>
      <c r="C17" s="76">
        <f>IF(NOT(ISBLANK(_xlfn.IFNA(VLOOKUP($A17, $A$40:$O$199, 3, FALSE), ))), _xlfn.IFNA(VLOOKUP($A17, $A$40:$O$199, 3, FALSE), ), "")</f>
        <v>6.2111800999999998E-3</v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48"/>
      <c r="R17" s="148"/>
      <c r="S17" s="148"/>
    </row>
    <row r="18" spans="1:19" ht="17.25" customHeight="1" thickBot="1">
      <c r="A18" s="211" t="s">
        <v>307</v>
      </c>
      <c r="B18" s="212">
        <f t="shared" ref="B18:B36" si="0">IF(NOT(ISBLANK(_xlfn.IFNA(VLOOKUP($A18, $A$40:$O$199, 2, FALSE), ))), _xlfn.IFNA(VLOOKUP($A18, $A$40:$O$199, 2, FALSE), ), "")</f>
        <v>492</v>
      </c>
      <c r="C18" s="77">
        <f t="shared" ref="C18:C36" si="1">IF(NOT(ISBLANK(_xlfn.IFNA(VLOOKUP($A18, $A$40:$O$199, 3, FALSE), ))), _xlfn.IFNA(VLOOKUP($A18, $A$40:$O$199, 3, FALSE), ), "")</f>
        <v>6.1349693000000002E-3</v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48"/>
      <c r="R18" s="148"/>
      <c r="S18" s="148"/>
    </row>
    <row r="19" spans="1:19" ht="17.25" customHeight="1" thickBot="1">
      <c r="A19" s="211" t="s">
        <v>308</v>
      </c>
      <c r="B19" s="212">
        <f t="shared" si="0"/>
        <v>400</v>
      </c>
      <c r="C19" s="77">
        <f t="shared" si="1"/>
        <v>5.0251256000000003E-3</v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38"/>
      <c r="R19" s="138"/>
      <c r="S19" s="138"/>
    </row>
    <row r="20" spans="1:19" ht="17.25" customHeight="1" thickBot="1">
      <c r="A20" s="211" t="s">
        <v>309</v>
      </c>
      <c r="B20" s="212">
        <f t="shared" si="0"/>
        <v>443</v>
      </c>
      <c r="C20" s="77">
        <f t="shared" si="1"/>
        <v>-2.2522522999999998E-3</v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38"/>
      <c r="R20" s="138"/>
      <c r="S20" s="138"/>
    </row>
    <row r="21" spans="1:19" ht="17.25" customHeight="1" thickBot="1">
      <c r="A21" s="213" t="s">
        <v>310</v>
      </c>
      <c r="B21" s="214">
        <f t="shared" si="0"/>
        <v>258</v>
      </c>
      <c r="C21" s="78">
        <f t="shared" si="1"/>
        <v>-7.6923076999999996E-3</v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38"/>
      <c r="R21" s="138"/>
      <c r="S21" s="138"/>
    </row>
    <row r="22" spans="1:19" ht="17.25" customHeight="1" thickBot="1">
      <c r="A22" s="211"/>
      <c r="B22" s="215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38"/>
      <c r="R22" s="138"/>
      <c r="S22" s="138"/>
    </row>
    <row r="23" spans="1:19" ht="17.25" customHeight="1" thickBot="1">
      <c r="A23" s="211"/>
      <c r="B23" s="212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38"/>
      <c r="R23" s="138"/>
      <c r="S23" s="138"/>
    </row>
    <row r="24" spans="1:19" ht="17.25" customHeight="1" thickBot="1">
      <c r="A24" s="211"/>
      <c r="B24" s="212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38"/>
      <c r="R24" s="138"/>
      <c r="S24" s="138"/>
    </row>
    <row r="25" spans="1:19" ht="17.25" customHeight="1" thickBot="1">
      <c r="A25" s="211"/>
      <c r="B25" s="212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16"/>
      <c r="B26" s="217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39"/>
      <c r="R26" s="140"/>
      <c r="S26" s="141"/>
    </row>
    <row r="27" spans="1:19" ht="17.25" customHeight="1">
      <c r="A27" s="209"/>
      <c r="B27" s="210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42"/>
      <c r="R27" s="143"/>
      <c r="S27" s="144"/>
    </row>
    <row r="28" spans="1:19" ht="17.25" customHeight="1" thickBot="1">
      <c r="A28" s="211"/>
      <c r="B28" s="212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45"/>
      <c r="R28" s="146"/>
      <c r="S28" s="147"/>
    </row>
    <row r="29" spans="1:19" ht="17.25" customHeight="1" thickBot="1">
      <c r="A29" s="211"/>
      <c r="B29" s="212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38"/>
      <c r="R29" s="138"/>
      <c r="S29" s="138"/>
    </row>
    <row r="30" spans="1:19" ht="17.25" customHeight="1" thickBot="1">
      <c r="A30" s="211"/>
      <c r="B30" s="212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48"/>
      <c r="R30" s="148"/>
      <c r="S30" s="148"/>
    </row>
    <row r="31" spans="1:19" ht="17.25" customHeight="1" thickBot="1">
      <c r="A31" s="213"/>
      <c r="B31" s="214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48"/>
      <c r="R31" s="148"/>
      <c r="S31" s="148"/>
    </row>
    <row r="32" spans="1:19" ht="17.25" customHeight="1" thickBot="1">
      <c r="A32" s="211"/>
      <c r="B32" s="215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38"/>
      <c r="R32" s="138"/>
      <c r="S32" s="138"/>
    </row>
    <row r="33" spans="1:19" ht="17.25" customHeight="1" thickBot="1">
      <c r="A33" s="211"/>
      <c r="B33" s="212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38"/>
      <c r="R33" s="138"/>
      <c r="S33" s="138"/>
    </row>
    <row r="34" spans="1:19" ht="17.25" customHeight="1" thickBot="1">
      <c r="A34" s="211"/>
      <c r="B34" s="212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38"/>
      <c r="R34" s="138"/>
      <c r="S34" s="138"/>
    </row>
    <row r="35" spans="1:19" ht="17.25" customHeight="1">
      <c r="A35" s="211"/>
      <c r="B35" s="212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27"/>
      <c r="R35" s="128"/>
      <c r="S35" s="129"/>
    </row>
    <row r="36" spans="1:19" ht="17.25" customHeight="1" thickBot="1">
      <c r="A36" s="216"/>
      <c r="B36" s="217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30"/>
      <c r="R36" s="131"/>
      <c r="S36" s="132"/>
    </row>
    <row r="37" spans="1:19" ht="17.25" customHeight="1" thickBot="1">
      <c r="A37" s="218" t="s">
        <v>42</v>
      </c>
      <c r="B37" s="219">
        <v>300000</v>
      </c>
      <c r="C37" s="220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33"/>
      <c r="R37" s="134"/>
      <c r="S37" s="135"/>
    </row>
    <row r="38" spans="1:19" ht="17.25" customHeight="1"/>
    <row r="39" spans="1:19" ht="17.25" customHeight="1" thickBot="1"/>
    <row r="40" spans="1:19" ht="17.25" customHeight="1" thickBot="1">
      <c r="A40" s="149" t="s">
        <v>44</v>
      </c>
      <c r="B40" s="150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1"/>
      <c r="Q40" s="148"/>
      <c r="R40" s="148"/>
      <c r="S40" s="148"/>
    </row>
    <row r="41" spans="1:19" ht="17.25" customHeight="1" thickBot="1">
      <c r="A41" s="116" t="s">
        <v>298</v>
      </c>
      <c r="B41" s="149" t="s">
        <v>49</v>
      </c>
      <c r="C41" s="151"/>
      <c r="D41" s="149" t="s">
        <v>58</v>
      </c>
      <c r="E41" s="150"/>
      <c r="F41" s="151"/>
      <c r="G41" s="152">
        <f>_xlfn.IFNA(VLOOKUP(B41, 현재가테이블!$B$2:$D$200, 2, FALSE), "-")</f>
        <v>69894000</v>
      </c>
      <c r="H41" s="153"/>
      <c r="I41" s="154"/>
      <c r="J41" s="149" t="s">
        <v>59</v>
      </c>
      <c r="K41" s="150"/>
      <c r="L41" s="151"/>
      <c r="M41" s="155">
        <f>_xlfn.IFNA(VLOOKUP(B41, 현재가테이블!$B$2:$D$200, 3, FALSE), "-")</f>
        <v>2.1065856399999999E-2</v>
      </c>
      <c r="N41" s="156"/>
      <c r="O41" s="157"/>
      <c r="Q41" s="148"/>
      <c r="R41" s="148"/>
      <c r="S41" s="148"/>
    </row>
    <row r="42" spans="1:19" ht="17.25" customHeight="1" thickBot="1">
      <c r="A42" s="198" t="s">
        <v>55</v>
      </c>
      <c r="B42" s="221" t="str">
        <f>TEXT($G$1, "[$-ko-KR]yyyy-mm-dd(ddd) ") &amp; "오전 00:00"</f>
        <v>2021-05-04(화) 오전 00:00</v>
      </c>
      <c r="C42" s="222"/>
      <c r="D42" s="162" t="str">
        <f>TEXT($G$1, "[$-ko-KR]yyyy-mm-dd(ddd) ") &amp; "오후 14:00"</f>
        <v>2021-05-04(화) 오후 14:00</v>
      </c>
      <c r="E42" s="163"/>
      <c r="F42" s="164"/>
      <c r="G42" s="162" t="str">
        <f>TEXT($G$1, "[$-ko-KR]yyyy-mm-dd(ddd) ") &amp; "오후 19:00"</f>
        <v>2021-05-04(화) 오후 19:00</v>
      </c>
      <c r="H42" s="163"/>
      <c r="I42" s="164"/>
      <c r="J42" s="162" t="str">
        <f>TEXT($G$1, "[$-ko-KR]yyyy-mm-dd(ddd) ") &amp; "오후 21:00"</f>
        <v>2021-05-04(화) 오후 21:00</v>
      </c>
      <c r="K42" s="163"/>
      <c r="L42" s="164"/>
      <c r="M42" s="162" t="str">
        <f>TEXT($G$1+1, "[$-ko-KR]yyyy-mm-dd(ddd) ") &amp; "오전 00:00"</f>
        <v>2021-05-05(수) 오전 00:00</v>
      </c>
      <c r="N42" s="163"/>
      <c r="O42" s="164"/>
      <c r="Q42" s="148"/>
      <c r="R42" s="148"/>
      <c r="S42" s="148"/>
    </row>
    <row r="43" spans="1:19" ht="17.25" customHeight="1" thickBot="1">
      <c r="A43" s="193"/>
      <c r="B43" s="207" t="s">
        <v>58</v>
      </c>
      <c r="C43" s="208" t="s">
        <v>59</v>
      </c>
      <c r="D43" s="2" t="s">
        <v>58</v>
      </c>
      <c r="E43" s="10" t="s">
        <v>299</v>
      </c>
      <c r="F43" s="11" t="s">
        <v>300</v>
      </c>
      <c r="G43" s="120" t="s">
        <v>58</v>
      </c>
      <c r="H43" s="121" t="s">
        <v>299</v>
      </c>
      <c r="I43" s="122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38"/>
      <c r="R43" s="138"/>
      <c r="S43" s="138"/>
    </row>
    <row r="44" spans="1:19" ht="17.25" customHeight="1" thickBot="1">
      <c r="A44" s="209" t="s">
        <v>220</v>
      </c>
      <c r="B44" s="210">
        <v>23.9</v>
      </c>
      <c r="C44" s="76">
        <v>5.75221239E-2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48"/>
      <c r="R44" s="148"/>
      <c r="S44" s="148"/>
    </row>
    <row r="45" spans="1:19" ht="17.25" customHeight="1" thickBot="1">
      <c r="A45" s="211" t="s">
        <v>154</v>
      </c>
      <c r="B45" s="212">
        <v>24</v>
      </c>
      <c r="C45" s="77">
        <v>5.2631578900000003E-2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48"/>
      <c r="R45" s="148"/>
      <c r="S45" s="148"/>
    </row>
    <row r="46" spans="1:19" ht="17.25" customHeight="1" thickBot="1">
      <c r="A46" s="211" t="s">
        <v>65</v>
      </c>
      <c r="B46" s="212">
        <v>80</v>
      </c>
      <c r="C46" s="77">
        <v>4.98687664E-2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38"/>
      <c r="R46" s="138"/>
      <c r="S46" s="138"/>
    </row>
    <row r="47" spans="1:19" ht="17.25" customHeight="1" thickBot="1">
      <c r="A47" s="211" t="s">
        <v>186</v>
      </c>
      <c r="B47" s="212">
        <v>29.3</v>
      </c>
      <c r="C47" s="77">
        <v>3.9007092200000003E-2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38"/>
      <c r="R47" s="138"/>
      <c r="S47" s="138"/>
    </row>
    <row r="48" spans="1:19" ht="17.25" customHeight="1" thickBot="1">
      <c r="A48" s="213" t="s">
        <v>72</v>
      </c>
      <c r="B48" s="214">
        <v>38.299999999999997</v>
      </c>
      <c r="C48" s="78">
        <v>2.95698925E-2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38"/>
      <c r="R48" s="138"/>
      <c r="S48" s="138"/>
    </row>
    <row r="49" spans="1:19" ht="17.25" customHeight="1" thickBot="1">
      <c r="A49" s="211" t="s">
        <v>254</v>
      </c>
      <c r="B49" s="215">
        <v>99</v>
      </c>
      <c r="C49" s="80">
        <v>2.3784901800000001E-2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38"/>
      <c r="R49" s="138"/>
      <c r="S49" s="138"/>
    </row>
    <row r="50" spans="1:19" ht="17.25" customHeight="1" thickBot="1">
      <c r="A50" s="211" t="s">
        <v>214</v>
      </c>
      <c r="B50" s="212">
        <v>25.3</v>
      </c>
      <c r="C50" s="77">
        <v>1.6064256999999998E-2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38"/>
      <c r="R50" s="138"/>
      <c r="S50" s="138"/>
    </row>
    <row r="51" spans="1:19" ht="17.25" customHeight="1" thickBot="1">
      <c r="A51" s="211" t="s">
        <v>236</v>
      </c>
      <c r="B51" s="212">
        <v>78.400000000000006</v>
      </c>
      <c r="C51" s="77">
        <v>9.0090090000000001E-3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38"/>
      <c r="R51" s="138"/>
      <c r="S51" s="138"/>
    </row>
    <row r="52" spans="1:19" ht="17.25" customHeight="1" thickBot="1">
      <c r="A52" s="211" t="s">
        <v>196</v>
      </c>
      <c r="B52" s="212">
        <v>22.6</v>
      </c>
      <c r="C52" s="77">
        <v>4.4444443999999998E-3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16" t="s">
        <v>100</v>
      </c>
      <c r="B53" s="217">
        <v>8.4700000000000006</v>
      </c>
      <c r="C53" s="79">
        <v>3.5545023999999999E-3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39"/>
      <c r="R53" s="140"/>
      <c r="S53" s="141"/>
    </row>
    <row r="54" spans="1:19" ht="17.25" customHeight="1">
      <c r="A54" s="209" t="s">
        <v>172</v>
      </c>
      <c r="B54" s="210">
        <v>28.7</v>
      </c>
      <c r="C54" s="76">
        <v>3.4965034999999999E-3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42"/>
      <c r="R54" s="143"/>
      <c r="S54" s="144"/>
    </row>
    <row r="55" spans="1:19" ht="17.25" customHeight="1" thickBot="1">
      <c r="A55" s="211" t="s">
        <v>228</v>
      </c>
      <c r="B55" s="212">
        <v>21.1</v>
      </c>
      <c r="C55" s="77">
        <v>0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45"/>
      <c r="R55" s="146"/>
      <c r="S55" s="147"/>
    </row>
    <row r="56" spans="1:19" ht="17.25" customHeight="1" thickBot="1">
      <c r="A56" s="211" t="s">
        <v>222</v>
      </c>
      <c r="B56" s="212">
        <v>20.7</v>
      </c>
      <c r="C56" s="77">
        <v>0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38"/>
      <c r="R56" s="138"/>
      <c r="S56" s="138"/>
    </row>
    <row r="57" spans="1:19" ht="17.25" customHeight="1" thickBot="1">
      <c r="A57" s="211" t="s">
        <v>198</v>
      </c>
      <c r="B57" s="212">
        <v>32.4</v>
      </c>
      <c r="C57" s="77">
        <v>0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48"/>
      <c r="R57" s="148"/>
      <c r="S57" s="148"/>
    </row>
    <row r="58" spans="1:19" ht="17.25" customHeight="1" thickBot="1">
      <c r="A58" s="213" t="s">
        <v>152</v>
      </c>
      <c r="B58" s="214">
        <v>49.8</v>
      </c>
      <c r="C58" s="78">
        <v>-2.0040079999999998E-3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48"/>
      <c r="R58" s="148"/>
      <c r="S58" s="148"/>
    </row>
    <row r="59" spans="1:19" ht="17.25" customHeight="1" thickBot="1">
      <c r="A59" s="211" t="s">
        <v>218</v>
      </c>
      <c r="B59" s="215">
        <v>32.799999999999997</v>
      </c>
      <c r="C59" s="80">
        <v>-3.0395137E-3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38"/>
      <c r="R59" s="138"/>
      <c r="S59" s="138"/>
    </row>
    <row r="60" spans="1:19" ht="17.25" customHeight="1" thickBot="1">
      <c r="A60" s="211" t="s">
        <v>126</v>
      </c>
      <c r="B60" s="212">
        <v>68.7</v>
      </c>
      <c r="C60" s="77">
        <v>-7.2254334999999996E-3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38"/>
      <c r="R60" s="138"/>
      <c r="S60" s="138"/>
    </row>
    <row r="61" spans="1:19" ht="17.25" customHeight="1" thickBot="1">
      <c r="A61" s="211"/>
      <c r="B61" s="212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38"/>
      <c r="R61" s="138"/>
      <c r="S61" s="138"/>
    </row>
    <row r="62" spans="1:19" ht="17.25" customHeight="1">
      <c r="A62" s="211"/>
      <c r="B62" s="212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27"/>
      <c r="R62" s="128"/>
      <c r="S62" s="129"/>
    </row>
    <row r="63" spans="1:19" ht="17.25" customHeight="1" thickBot="1">
      <c r="A63" s="216"/>
      <c r="B63" s="217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30"/>
      <c r="R63" s="131"/>
      <c r="S63" s="132"/>
    </row>
    <row r="64" spans="1:19" ht="17.25" customHeight="1" thickBot="1">
      <c r="A64" s="218" t="s">
        <v>301</v>
      </c>
      <c r="B64" s="219">
        <f>$B$37</f>
        <v>300000</v>
      </c>
      <c r="C64" s="220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133"/>
      <c r="R64" s="134"/>
      <c r="S64" s="135"/>
    </row>
    <row r="65" spans="1:19" ht="17.25" customHeight="1"/>
    <row r="66" spans="1:19" ht="17.25" customHeight="1" thickBot="1"/>
    <row r="67" spans="1:19" ht="17.25" thickBot="1">
      <c r="A67" s="149" t="s">
        <v>45</v>
      </c>
      <c r="B67" s="150"/>
      <c r="C67" s="150"/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1"/>
      <c r="Q67" s="148"/>
      <c r="R67" s="148"/>
      <c r="S67" s="148"/>
    </row>
    <row r="68" spans="1:19" ht="17.25" thickBot="1">
      <c r="A68" s="116" t="s">
        <v>298</v>
      </c>
      <c r="B68" s="149" t="s">
        <v>49</v>
      </c>
      <c r="C68" s="151"/>
      <c r="D68" s="149" t="s">
        <v>58</v>
      </c>
      <c r="E68" s="150"/>
      <c r="F68" s="151"/>
      <c r="G68" s="152">
        <f>_xlfn.IFNA(VLOOKUP(B68, 현재가테이블!$B$2:$D$200, 2, FALSE), "-")</f>
        <v>69894000</v>
      </c>
      <c r="H68" s="153"/>
      <c r="I68" s="154"/>
      <c r="J68" s="149" t="s">
        <v>59</v>
      </c>
      <c r="K68" s="150"/>
      <c r="L68" s="151"/>
      <c r="M68" s="155">
        <f>_xlfn.IFNA(VLOOKUP(B68, 현재가테이블!$B$2:$D$200, 3, FALSE), "-")</f>
        <v>2.1065856399999999E-2</v>
      </c>
      <c r="N68" s="156"/>
      <c r="O68" s="157"/>
      <c r="Q68" s="148"/>
      <c r="R68" s="148"/>
      <c r="S68" s="148"/>
    </row>
    <row r="69" spans="1:19" ht="17.25" thickBot="1">
      <c r="A69" s="198" t="s">
        <v>55</v>
      </c>
      <c r="B69" s="221" t="str">
        <f>TEXT($G$1, "[$-ko-KR]yyyy-mm-dd(ddd) ") &amp; "오전 00:00"</f>
        <v>2021-05-04(화) 오전 00:00</v>
      </c>
      <c r="C69" s="222"/>
      <c r="D69" s="162" t="str">
        <f>TEXT($G$1, "[$-ko-KR]yyyy-mm-dd(ddd) ") &amp; "오후 14:00"</f>
        <v>2021-05-04(화) 오후 14:00</v>
      </c>
      <c r="E69" s="163"/>
      <c r="F69" s="164"/>
      <c r="G69" s="162" t="str">
        <f>TEXT($G$1, "[$-ko-KR]yyyy-mm-dd(ddd) ") &amp; "오후 19:00"</f>
        <v>2021-05-04(화) 오후 19:00</v>
      </c>
      <c r="H69" s="163"/>
      <c r="I69" s="164"/>
      <c r="J69" s="162" t="str">
        <f>TEXT($G$1, "[$-ko-KR]yyyy-mm-dd(ddd) ") &amp; "오후 21:00"</f>
        <v>2021-05-04(화) 오후 21:00</v>
      </c>
      <c r="K69" s="163"/>
      <c r="L69" s="164"/>
      <c r="M69" s="162" t="str">
        <f>TEXT($G$1+1, "[$-ko-KR]yyyy-mm-dd(ddd) ") &amp; "오전 00:00"</f>
        <v>2021-05-05(수) 오전 00:00</v>
      </c>
      <c r="N69" s="163"/>
      <c r="O69" s="164"/>
      <c r="Q69" s="148"/>
      <c r="R69" s="148"/>
      <c r="S69" s="148"/>
    </row>
    <row r="70" spans="1:19" ht="17.25" thickBot="1">
      <c r="A70" s="193"/>
      <c r="B70" s="207" t="s">
        <v>58</v>
      </c>
      <c r="C70" s="208" t="s">
        <v>59</v>
      </c>
      <c r="D70" s="2" t="s">
        <v>58</v>
      </c>
      <c r="E70" s="10" t="s">
        <v>299</v>
      </c>
      <c r="F70" s="11" t="s">
        <v>300</v>
      </c>
      <c r="G70" s="120" t="s">
        <v>58</v>
      </c>
      <c r="H70" s="121" t="s">
        <v>299</v>
      </c>
      <c r="I70" s="122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38"/>
      <c r="R70" s="138"/>
      <c r="S70" s="138"/>
    </row>
    <row r="71" spans="1:19" ht="17.25" thickBot="1">
      <c r="A71" s="209" t="s">
        <v>268</v>
      </c>
      <c r="B71" s="210">
        <v>113</v>
      </c>
      <c r="C71" s="76">
        <v>0.1188118812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48"/>
      <c r="R71" s="148"/>
      <c r="S71" s="148"/>
    </row>
    <row r="72" spans="1:19" ht="17.25" thickBot="1">
      <c r="A72" s="211" t="s">
        <v>136</v>
      </c>
      <c r="B72" s="212">
        <v>269</v>
      </c>
      <c r="C72" s="77">
        <v>9.3495935000000002E-2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48"/>
      <c r="R72" s="148"/>
      <c r="S72" s="148"/>
    </row>
    <row r="73" spans="1:19" ht="17.25" thickBot="1">
      <c r="A73" s="211" t="s">
        <v>142</v>
      </c>
      <c r="B73" s="212">
        <v>466</v>
      </c>
      <c r="C73" s="77">
        <v>7.8703703700000002E-2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38"/>
      <c r="R73" s="138"/>
      <c r="S73" s="138"/>
    </row>
    <row r="74" spans="1:19" ht="17.25" thickBot="1">
      <c r="A74" s="211" t="s">
        <v>116</v>
      </c>
      <c r="B74" s="212">
        <v>755</v>
      </c>
      <c r="C74" s="77">
        <v>7.2443181800000006E-2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38"/>
      <c r="R74" s="138"/>
      <c r="S74" s="138"/>
    </row>
    <row r="75" spans="1:19" ht="17.25" thickBot="1">
      <c r="A75" s="213" t="s">
        <v>296</v>
      </c>
      <c r="B75" s="214">
        <v>479</v>
      </c>
      <c r="C75" s="78">
        <v>5.7395143500000002E-2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38"/>
      <c r="R75" s="138"/>
      <c r="S75" s="138"/>
    </row>
    <row r="76" spans="1:19" ht="17.25" thickBot="1">
      <c r="A76" s="211" t="s">
        <v>128</v>
      </c>
      <c r="B76" s="215">
        <v>724</v>
      </c>
      <c r="C76" s="80">
        <v>5.5393586000000002E-2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38"/>
      <c r="R76" s="138"/>
      <c r="S76" s="138"/>
    </row>
    <row r="77" spans="1:19" ht="17.25" thickBot="1">
      <c r="A77" s="211" t="s">
        <v>278</v>
      </c>
      <c r="B77" s="212">
        <v>163</v>
      </c>
      <c r="C77" s="77">
        <v>5.1612903199999997E-2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38"/>
      <c r="R77" s="138"/>
      <c r="S77" s="138"/>
    </row>
    <row r="78" spans="1:19" ht="17.25" thickBot="1">
      <c r="A78" s="211" t="s">
        <v>266</v>
      </c>
      <c r="B78" s="212">
        <v>100</v>
      </c>
      <c r="C78" s="77">
        <v>4.3841336100000003E-2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38"/>
      <c r="R78" s="138"/>
      <c r="S78" s="138"/>
    </row>
    <row r="79" spans="1:19" ht="17.25" thickBot="1">
      <c r="A79" s="211" t="s">
        <v>256</v>
      </c>
      <c r="B79" s="212">
        <v>282</v>
      </c>
      <c r="C79" s="77">
        <v>4.0590405900000001E-2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16" t="s">
        <v>122</v>
      </c>
      <c r="B80" s="217">
        <v>134</v>
      </c>
      <c r="C80" s="79">
        <v>3.8759689899999998E-2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39"/>
      <c r="R80" s="140"/>
      <c r="S80" s="141"/>
    </row>
    <row r="81" spans="1:19">
      <c r="A81" s="209" t="s">
        <v>168</v>
      </c>
      <c r="B81" s="210">
        <v>216</v>
      </c>
      <c r="C81" s="76">
        <v>3.8461538500000003E-2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42"/>
      <c r="R81" s="143"/>
      <c r="S81" s="144"/>
    </row>
    <row r="82" spans="1:19" ht="17.25" thickBot="1">
      <c r="A82" s="211" t="s">
        <v>148</v>
      </c>
      <c r="B82" s="212">
        <v>215</v>
      </c>
      <c r="C82" s="77">
        <v>3.3653846199999997E-2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45"/>
      <c r="R82" s="146"/>
      <c r="S82" s="147"/>
    </row>
    <row r="83" spans="1:19" ht="17.25" thickBot="1">
      <c r="A83" s="211" t="s">
        <v>156</v>
      </c>
      <c r="B83" s="212">
        <v>160</v>
      </c>
      <c r="C83" s="77">
        <v>3.2258064500000003E-2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38"/>
      <c r="R83" s="138"/>
      <c r="S83" s="138"/>
    </row>
    <row r="84" spans="1:19" ht="17.25" thickBot="1">
      <c r="A84" s="211" t="s">
        <v>258</v>
      </c>
      <c r="B84" s="212">
        <v>780</v>
      </c>
      <c r="C84" s="77">
        <v>2.4967148500000001E-2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48"/>
      <c r="R84" s="148"/>
      <c r="S84" s="148"/>
    </row>
    <row r="85" spans="1:19" ht="17.25" thickBot="1">
      <c r="A85" s="213" t="s">
        <v>238</v>
      </c>
      <c r="B85" s="214">
        <v>333</v>
      </c>
      <c r="C85" s="78">
        <v>2.4615384600000002E-2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48"/>
      <c r="R85" s="148"/>
      <c r="S85" s="148"/>
    </row>
    <row r="86" spans="1:19" ht="17.25" thickBot="1">
      <c r="A86" s="211" t="s">
        <v>270</v>
      </c>
      <c r="B86" s="215">
        <v>599</v>
      </c>
      <c r="C86" s="80">
        <v>2.2184300300000001E-2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38"/>
      <c r="R86" s="138"/>
      <c r="S86" s="138"/>
    </row>
    <row r="87" spans="1:19" ht="17.25" thickBot="1">
      <c r="A87" s="211" t="s">
        <v>264</v>
      </c>
      <c r="B87" s="212">
        <v>193</v>
      </c>
      <c r="C87" s="77">
        <v>2.1164021200000001E-2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38"/>
      <c r="R87" s="138"/>
      <c r="S87" s="138"/>
    </row>
    <row r="88" spans="1:19" ht="17.25" thickBot="1">
      <c r="A88" s="211" t="s">
        <v>182</v>
      </c>
      <c r="B88" s="212">
        <v>504</v>
      </c>
      <c r="C88" s="77">
        <v>1.6129032299999999E-2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38"/>
      <c r="R88" s="138"/>
      <c r="S88" s="138"/>
    </row>
    <row r="89" spans="1:19">
      <c r="A89" s="211" t="s">
        <v>57</v>
      </c>
      <c r="B89" s="212">
        <v>418</v>
      </c>
      <c r="C89" s="77">
        <v>1.45631068E-2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27"/>
      <c r="R89" s="128"/>
      <c r="S89" s="129"/>
    </row>
    <row r="90" spans="1:19" ht="17.25" thickBot="1">
      <c r="A90" s="216" t="s">
        <v>120</v>
      </c>
      <c r="B90" s="217">
        <v>230</v>
      </c>
      <c r="C90" s="79">
        <v>1.3215859E-2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30"/>
      <c r="R90" s="131"/>
      <c r="S90" s="132"/>
    </row>
    <row r="91" spans="1:19" ht="17.25" thickBot="1">
      <c r="A91" s="218" t="s">
        <v>301</v>
      </c>
      <c r="B91" s="219">
        <f>$B$37</f>
        <v>300000</v>
      </c>
      <c r="C91" s="220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133"/>
      <c r="R91" s="134"/>
      <c r="S91" s="135"/>
    </row>
    <row r="93" spans="1:19" ht="17.25" thickBot="1"/>
    <row r="94" spans="1:19" ht="17.25" thickBot="1">
      <c r="A94" s="149" t="s">
        <v>46</v>
      </c>
      <c r="B94" s="150"/>
      <c r="C94" s="150"/>
      <c r="D94" s="150"/>
      <c r="E94" s="150"/>
      <c r="F94" s="150"/>
      <c r="G94" s="150"/>
      <c r="H94" s="150"/>
      <c r="I94" s="150"/>
      <c r="J94" s="150"/>
      <c r="K94" s="150"/>
      <c r="L94" s="150"/>
      <c r="M94" s="150"/>
      <c r="N94" s="150"/>
      <c r="O94" s="151"/>
      <c r="Q94" s="148"/>
      <c r="R94" s="148"/>
      <c r="S94" s="148"/>
    </row>
    <row r="95" spans="1:19" ht="17.25" thickBot="1">
      <c r="A95" s="116" t="s">
        <v>298</v>
      </c>
      <c r="B95" s="149" t="s">
        <v>49</v>
      </c>
      <c r="C95" s="151"/>
      <c r="D95" s="149" t="s">
        <v>58</v>
      </c>
      <c r="E95" s="150"/>
      <c r="F95" s="151"/>
      <c r="G95" s="152">
        <f>_xlfn.IFNA(VLOOKUP(B95, 현재가테이블!$B$2:$D$200, 2, FALSE), "-")</f>
        <v>69894000</v>
      </c>
      <c r="H95" s="153"/>
      <c r="I95" s="154"/>
      <c r="J95" s="149" t="s">
        <v>59</v>
      </c>
      <c r="K95" s="150"/>
      <c r="L95" s="151"/>
      <c r="M95" s="155">
        <f>_xlfn.IFNA(VLOOKUP(B95, 현재가테이블!$B$2:$D$200, 3, FALSE), "-")</f>
        <v>2.1065856399999999E-2</v>
      </c>
      <c r="N95" s="156"/>
      <c r="O95" s="157"/>
      <c r="Q95" s="148"/>
      <c r="R95" s="148"/>
      <c r="S95" s="148"/>
    </row>
    <row r="96" spans="1:19" ht="17.25" thickBot="1">
      <c r="A96" s="198" t="s">
        <v>55</v>
      </c>
      <c r="B96" s="221" t="str">
        <f>TEXT($G$1, "[$-ko-KR]yyyy-mm-dd(ddd) ") &amp; "오전 00:00"</f>
        <v>2021-05-04(화) 오전 00:00</v>
      </c>
      <c r="C96" s="222"/>
      <c r="D96" s="162" t="str">
        <f>TEXT($G$1, "[$-ko-KR]yyyy-mm-dd(ddd) ") &amp; "오후 14:00"</f>
        <v>2021-05-04(화) 오후 14:00</v>
      </c>
      <c r="E96" s="163"/>
      <c r="F96" s="164"/>
      <c r="G96" s="162" t="str">
        <f>TEXT($G$1, "[$-ko-KR]yyyy-mm-dd(ddd) ") &amp; "오후 19:00"</f>
        <v>2021-05-04(화) 오후 19:00</v>
      </c>
      <c r="H96" s="163"/>
      <c r="I96" s="164"/>
      <c r="J96" s="162" t="str">
        <f>TEXT($G$1, "[$-ko-KR]yyyy-mm-dd(ddd) ") &amp; "오후 21:00"</f>
        <v>2021-05-04(화) 오후 21:00</v>
      </c>
      <c r="K96" s="163"/>
      <c r="L96" s="164"/>
      <c r="M96" s="162" t="str">
        <f>TEXT($G$1+1, "[$-ko-KR]yyyy-mm-dd(ddd) ") &amp; "오전 00:00"</f>
        <v>2021-05-05(수) 오전 00:00</v>
      </c>
      <c r="N96" s="163"/>
      <c r="O96" s="164"/>
      <c r="Q96" s="148"/>
      <c r="R96" s="148"/>
      <c r="S96" s="148"/>
    </row>
    <row r="97" spans="1:19" ht="17.25" thickBot="1">
      <c r="A97" s="193"/>
      <c r="B97" s="207" t="s">
        <v>58</v>
      </c>
      <c r="C97" s="208" t="s">
        <v>59</v>
      </c>
      <c r="D97" s="2" t="s">
        <v>58</v>
      </c>
      <c r="E97" s="10" t="s">
        <v>299</v>
      </c>
      <c r="F97" s="11" t="s">
        <v>300</v>
      </c>
      <c r="G97" s="120" t="s">
        <v>58</v>
      </c>
      <c r="H97" s="121" t="s">
        <v>299</v>
      </c>
      <c r="I97" s="122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38"/>
      <c r="R97" s="138"/>
      <c r="S97" s="138"/>
    </row>
    <row r="98" spans="1:19" ht="17.25" thickBot="1">
      <c r="A98" s="209" t="s">
        <v>164</v>
      </c>
      <c r="B98" s="210">
        <v>40760</v>
      </c>
      <c r="C98" s="76">
        <v>0.41773913039999999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48"/>
      <c r="R98" s="148"/>
      <c r="S98" s="148"/>
    </row>
    <row r="99" spans="1:19" ht="17.25" thickBot="1">
      <c r="A99" s="211" t="s">
        <v>118</v>
      </c>
      <c r="B99" s="212">
        <v>7895</v>
      </c>
      <c r="C99" s="77">
        <v>0.14919941780000001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48"/>
      <c r="R99" s="148"/>
      <c r="S99" s="148"/>
    </row>
    <row r="100" spans="1:19" ht="17.25" thickBot="1">
      <c r="A100" s="211" t="s">
        <v>144</v>
      </c>
      <c r="B100" s="212">
        <v>10810</v>
      </c>
      <c r="C100" s="77">
        <v>0.14149947199999999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38"/>
      <c r="R100" s="138"/>
      <c r="S100" s="138"/>
    </row>
    <row r="101" spans="1:19" ht="17.25" thickBot="1">
      <c r="A101" s="211" t="s">
        <v>69</v>
      </c>
      <c r="B101" s="212">
        <v>14580</v>
      </c>
      <c r="C101" s="77">
        <v>0.12586872590000001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38"/>
      <c r="R101" s="138"/>
      <c r="S101" s="138"/>
    </row>
    <row r="102" spans="1:19" ht="17.25" thickBot="1">
      <c r="A102" s="213" t="s">
        <v>268</v>
      </c>
      <c r="B102" s="214">
        <v>113</v>
      </c>
      <c r="C102" s="78">
        <v>0.1188118812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38"/>
      <c r="R102" s="138"/>
      <c r="S102" s="138"/>
    </row>
    <row r="103" spans="1:19" ht="17.25" thickBot="1">
      <c r="A103" s="211" t="s">
        <v>180</v>
      </c>
      <c r="B103" s="215">
        <v>5385</v>
      </c>
      <c r="C103" s="80">
        <v>0.10574948670000001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38"/>
      <c r="R103" s="138"/>
      <c r="S103" s="138"/>
    </row>
    <row r="104" spans="1:19" ht="17.25" thickBot="1">
      <c r="A104" s="211" t="s">
        <v>136</v>
      </c>
      <c r="B104" s="212">
        <v>269</v>
      </c>
      <c r="C104" s="77">
        <v>9.3495935000000002E-2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38"/>
      <c r="R104" s="138"/>
      <c r="S104" s="138"/>
    </row>
    <row r="105" spans="1:19" ht="17.25" thickBot="1">
      <c r="A105" s="211" t="s">
        <v>102</v>
      </c>
      <c r="B105" s="212">
        <v>58980</v>
      </c>
      <c r="C105" s="77">
        <v>8.4589922799999995E-2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38"/>
      <c r="R105" s="138"/>
      <c r="S105" s="138"/>
    </row>
    <row r="106" spans="1:19" ht="17.25" thickBot="1">
      <c r="A106" s="211" t="s">
        <v>242</v>
      </c>
      <c r="B106" s="212">
        <v>7345</v>
      </c>
      <c r="C106" s="77">
        <v>7.9353416600000004E-2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16" t="s">
        <v>142</v>
      </c>
      <c r="B107" s="217">
        <v>466</v>
      </c>
      <c r="C107" s="79">
        <v>7.8703703700000002E-2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39"/>
      <c r="R107" s="140"/>
      <c r="S107" s="141"/>
    </row>
    <row r="108" spans="1:19">
      <c r="A108" s="209" t="s">
        <v>194</v>
      </c>
      <c r="B108" s="210">
        <v>16200</v>
      </c>
      <c r="C108" s="76">
        <v>7.85619174E-2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42"/>
      <c r="R108" s="143"/>
      <c r="S108" s="144"/>
    </row>
    <row r="109" spans="1:19" ht="17.25" thickBot="1">
      <c r="A109" s="211" t="s">
        <v>116</v>
      </c>
      <c r="B109" s="212">
        <v>755</v>
      </c>
      <c r="C109" s="77">
        <v>7.2443181800000006E-2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45"/>
      <c r="R109" s="146"/>
      <c r="S109" s="147"/>
    </row>
    <row r="110" spans="1:19" ht="17.25" thickBot="1">
      <c r="A110" s="211" t="s">
        <v>96</v>
      </c>
      <c r="B110" s="212">
        <v>3820000</v>
      </c>
      <c r="C110" s="77">
        <v>7.2130227300000002E-2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38"/>
      <c r="R110" s="138"/>
      <c r="S110" s="138"/>
    </row>
    <row r="111" spans="1:19" ht="17.25" thickBot="1">
      <c r="A111" s="211" t="s">
        <v>276</v>
      </c>
      <c r="B111" s="212">
        <v>4540</v>
      </c>
      <c r="C111" s="77">
        <v>6.9493521799999999E-2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48"/>
      <c r="R111" s="148"/>
      <c r="S111" s="148"/>
    </row>
    <row r="112" spans="1:19" ht="17.25" thickBot="1">
      <c r="A112" s="213" t="s">
        <v>114</v>
      </c>
      <c r="B112" s="214">
        <v>14080</v>
      </c>
      <c r="C112" s="78">
        <v>6.4247921400000005E-2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48"/>
      <c r="R112" s="148"/>
      <c r="S112" s="148"/>
    </row>
    <row r="113" spans="1:19" ht="17.25" thickBot="1">
      <c r="A113" s="211" t="s">
        <v>220</v>
      </c>
      <c r="B113" s="215">
        <v>23.9</v>
      </c>
      <c r="C113" s="80">
        <v>5.75221239E-2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38"/>
      <c r="R113" s="138"/>
      <c r="S113" s="138"/>
    </row>
    <row r="114" spans="1:19" ht="17.25" thickBot="1">
      <c r="A114" s="211" t="s">
        <v>296</v>
      </c>
      <c r="B114" s="212">
        <v>479</v>
      </c>
      <c r="C114" s="77">
        <v>5.7395143500000002E-2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38"/>
      <c r="R114" s="138"/>
      <c r="S114" s="138"/>
    </row>
    <row r="115" spans="1:19" ht="17.25" thickBot="1">
      <c r="A115" s="211" t="s">
        <v>178</v>
      </c>
      <c r="B115" s="212">
        <v>52480</v>
      </c>
      <c r="C115" s="77">
        <v>5.6573384300000001E-2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38"/>
      <c r="R115" s="138"/>
      <c r="S115" s="138"/>
    </row>
    <row r="116" spans="1:19">
      <c r="A116" s="211" t="s">
        <v>128</v>
      </c>
      <c r="B116" s="212">
        <v>724</v>
      </c>
      <c r="C116" s="77">
        <v>5.5393586000000002E-2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27"/>
      <c r="R116" s="128"/>
      <c r="S116" s="129"/>
    </row>
    <row r="117" spans="1:19" ht="17.25" thickBot="1">
      <c r="A117" s="216" t="s">
        <v>154</v>
      </c>
      <c r="B117" s="217">
        <v>24</v>
      </c>
      <c r="C117" s="79">
        <v>5.2631578900000003E-2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30"/>
      <c r="R117" s="131"/>
      <c r="S117" s="132"/>
    </row>
    <row r="118" spans="1:19" ht="17.25" thickBot="1">
      <c r="A118" s="218" t="s">
        <v>301</v>
      </c>
      <c r="B118" s="219">
        <f>$B$37</f>
        <v>300000</v>
      </c>
      <c r="C118" s="220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133"/>
      <c r="R118" s="134"/>
      <c r="S118" s="135"/>
    </row>
    <row r="120" spans="1:19" ht="17.25" thickBot="1"/>
    <row r="121" spans="1:19" ht="17.25" thickBot="1">
      <c r="A121" s="149" t="s">
        <v>288</v>
      </c>
      <c r="B121" s="150"/>
      <c r="C121" s="150"/>
      <c r="D121" s="150"/>
      <c r="E121" s="150"/>
      <c r="F121" s="150"/>
      <c r="G121" s="150"/>
      <c r="H121" s="150"/>
      <c r="I121" s="150"/>
      <c r="J121" s="150"/>
      <c r="K121" s="150"/>
      <c r="L121" s="150"/>
      <c r="M121" s="150"/>
      <c r="N121" s="150"/>
      <c r="O121" s="151"/>
      <c r="Q121" s="148"/>
      <c r="R121" s="148"/>
      <c r="S121" s="148"/>
    </row>
    <row r="122" spans="1:19" ht="17.25" thickBot="1">
      <c r="A122" s="116" t="s">
        <v>298</v>
      </c>
      <c r="B122" s="149" t="s">
        <v>49</v>
      </c>
      <c r="C122" s="151"/>
      <c r="D122" s="149" t="s">
        <v>58</v>
      </c>
      <c r="E122" s="150"/>
      <c r="F122" s="151"/>
      <c r="G122" s="152">
        <f>_xlfn.IFNA(VLOOKUP(B122, 현재가테이블!$B$2:$D$200, 2, FALSE), "-")</f>
        <v>69894000</v>
      </c>
      <c r="H122" s="153"/>
      <c r="I122" s="154"/>
      <c r="J122" s="149" t="s">
        <v>59</v>
      </c>
      <c r="K122" s="150"/>
      <c r="L122" s="151"/>
      <c r="M122" s="155">
        <f>_xlfn.IFNA(VLOOKUP(B122, 현재가테이블!$B$2:$D$200, 3, FALSE), "-")</f>
        <v>2.1065856399999999E-2</v>
      </c>
      <c r="N122" s="156"/>
      <c r="O122" s="157"/>
      <c r="Q122" s="148"/>
      <c r="R122" s="148"/>
      <c r="S122" s="148"/>
    </row>
    <row r="123" spans="1:19" ht="17.25" thickBot="1">
      <c r="A123" s="198" t="s">
        <v>55</v>
      </c>
      <c r="B123" s="221" t="str">
        <f>TEXT($G$1, "[$-ko-KR]yyyy-mm-dd(ddd) ") &amp; "오전 00:00"</f>
        <v>2021-05-04(화) 오전 00:00</v>
      </c>
      <c r="C123" s="222"/>
      <c r="D123" s="162" t="str">
        <f>TEXT($G$1, "[$-ko-KR]yyyy-mm-dd(ddd) ") &amp; "오후 14:00"</f>
        <v>2021-05-04(화) 오후 14:00</v>
      </c>
      <c r="E123" s="163"/>
      <c r="F123" s="164"/>
      <c r="G123" s="162" t="str">
        <f>TEXT($G$1, "[$-ko-KR]yyyy-mm-dd(ddd) ") &amp; "오후 19:00"</f>
        <v>2021-05-04(화) 오후 19:00</v>
      </c>
      <c r="H123" s="163"/>
      <c r="I123" s="164"/>
      <c r="J123" s="162" t="str">
        <f>TEXT($G$1, "[$-ko-KR]yyyy-mm-dd(ddd) ") &amp; "오후 21:00"</f>
        <v>2021-05-04(화) 오후 21:00</v>
      </c>
      <c r="K123" s="163"/>
      <c r="L123" s="164"/>
      <c r="M123" s="162" t="str">
        <f>TEXT($G$1+1, "[$-ko-KR]yyyy-mm-dd(ddd) ") &amp; "오전 00:00"</f>
        <v>2021-05-05(수) 오전 00:00</v>
      </c>
      <c r="N123" s="163"/>
      <c r="O123" s="164"/>
      <c r="Q123" s="148"/>
      <c r="R123" s="148"/>
      <c r="S123" s="148"/>
    </row>
    <row r="124" spans="1:19" ht="17.25" thickBot="1">
      <c r="A124" s="193"/>
      <c r="B124" s="207" t="s">
        <v>58</v>
      </c>
      <c r="C124" s="208" t="s">
        <v>59</v>
      </c>
      <c r="D124" s="2" t="s">
        <v>58</v>
      </c>
      <c r="E124" s="10" t="s">
        <v>299</v>
      </c>
      <c r="F124" s="11" t="s">
        <v>300</v>
      </c>
      <c r="G124" s="120" t="s">
        <v>58</v>
      </c>
      <c r="H124" s="121" t="s">
        <v>299</v>
      </c>
      <c r="I124" s="122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38"/>
      <c r="R124" s="138"/>
      <c r="S124" s="138"/>
    </row>
    <row r="125" spans="1:19" ht="17.25" thickBot="1">
      <c r="A125" s="209" t="s">
        <v>220</v>
      </c>
      <c r="B125" s="210">
        <v>23.9</v>
      </c>
      <c r="C125" s="76">
        <v>5.75221239E-2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48"/>
      <c r="R125" s="148"/>
      <c r="S125" s="148"/>
    </row>
    <row r="126" spans="1:19" ht="17.25" thickBot="1">
      <c r="A126" s="211" t="s">
        <v>154</v>
      </c>
      <c r="B126" s="212">
        <v>24</v>
      </c>
      <c r="C126" s="77">
        <v>5.2631578900000003E-2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48"/>
      <c r="R126" s="148"/>
      <c r="S126" s="148"/>
    </row>
    <row r="127" spans="1:19" ht="17.25" thickBot="1">
      <c r="A127" s="211" t="s">
        <v>65</v>
      </c>
      <c r="B127" s="212">
        <v>80</v>
      </c>
      <c r="C127" s="77">
        <v>4.98687664E-2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38"/>
      <c r="R127" s="138"/>
      <c r="S127" s="138"/>
    </row>
    <row r="128" spans="1:19" ht="17.25" thickBot="1">
      <c r="A128" s="211" t="s">
        <v>186</v>
      </c>
      <c r="B128" s="212">
        <v>29.3</v>
      </c>
      <c r="C128" s="77">
        <v>3.9007092200000003E-2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38"/>
      <c r="R128" s="138"/>
      <c r="S128" s="138"/>
    </row>
    <row r="129" spans="1:19" ht="17.25" thickBot="1">
      <c r="A129" s="213" t="s">
        <v>72</v>
      </c>
      <c r="B129" s="214">
        <v>38.299999999999997</v>
      </c>
      <c r="C129" s="78">
        <v>2.95698925E-2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38"/>
      <c r="R129" s="138"/>
      <c r="S129" s="138"/>
    </row>
    <row r="130" spans="1:19" ht="17.25" thickBot="1">
      <c r="A130" s="211" t="s">
        <v>254</v>
      </c>
      <c r="B130" s="215">
        <v>99</v>
      </c>
      <c r="C130" s="80">
        <v>2.3784901800000001E-2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38"/>
      <c r="R130" s="138"/>
      <c r="S130" s="138"/>
    </row>
    <row r="131" spans="1:19" ht="17.25" thickBot="1">
      <c r="A131" s="211" t="s">
        <v>214</v>
      </c>
      <c r="B131" s="212">
        <v>25.3</v>
      </c>
      <c r="C131" s="77">
        <v>1.6064256999999998E-2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38"/>
      <c r="R131" s="138"/>
      <c r="S131" s="138"/>
    </row>
    <row r="132" spans="1:19" ht="17.25" thickBot="1">
      <c r="A132" s="211" t="s">
        <v>236</v>
      </c>
      <c r="B132" s="212">
        <v>78.400000000000006</v>
      </c>
      <c r="C132" s="77">
        <v>9.0090090000000001E-3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38"/>
      <c r="R132" s="138"/>
      <c r="S132" s="138"/>
    </row>
    <row r="133" spans="1:19" ht="17.25" thickBot="1">
      <c r="A133" s="211" t="s">
        <v>196</v>
      </c>
      <c r="B133" s="212">
        <v>22.6</v>
      </c>
      <c r="C133" s="77">
        <v>4.4444443999999998E-3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16" t="s">
        <v>100</v>
      </c>
      <c r="B134" s="217">
        <v>8.4700000000000006</v>
      </c>
      <c r="C134" s="79">
        <v>3.5545023999999999E-3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39"/>
      <c r="R134" s="140"/>
      <c r="S134" s="141"/>
    </row>
    <row r="135" spans="1:19">
      <c r="A135" s="209" t="s">
        <v>172</v>
      </c>
      <c r="B135" s="210">
        <v>28.7</v>
      </c>
      <c r="C135" s="76">
        <v>3.4965034999999999E-3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42"/>
      <c r="R135" s="143"/>
      <c r="S135" s="144"/>
    </row>
    <row r="136" spans="1:19" ht="17.25" thickBot="1">
      <c r="A136" s="211" t="s">
        <v>228</v>
      </c>
      <c r="B136" s="212">
        <v>21.1</v>
      </c>
      <c r="C136" s="77">
        <v>0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45"/>
      <c r="R136" s="146"/>
      <c r="S136" s="147"/>
    </row>
    <row r="137" spans="1:19" ht="17.25" thickBot="1">
      <c r="A137" s="211" t="s">
        <v>222</v>
      </c>
      <c r="B137" s="212">
        <v>20.7</v>
      </c>
      <c r="C137" s="77">
        <v>0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38"/>
      <c r="R137" s="138"/>
      <c r="S137" s="138"/>
    </row>
    <row r="138" spans="1:19" ht="17.25" thickBot="1">
      <c r="A138" s="211" t="s">
        <v>198</v>
      </c>
      <c r="B138" s="212">
        <v>32.4</v>
      </c>
      <c r="C138" s="77">
        <v>0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48"/>
      <c r="R138" s="148"/>
      <c r="S138" s="148"/>
    </row>
    <row r="139" spans="1:19" ht="17.25" thickBot="1">
      <c r="A139" s="213" t="s">
        <v>152</v>
      </c>
      <c r="B139" s="214">
        <v>49.8</v>
      </c>
      <c r="C139" s="78">
        <v>-2.0040079999999998E-3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48"/>
      <c r="R139" s="148"/>
      <c r="S139" s="148"/>
    </row>
    <row r="140" spans="1:19" ht="17.25" thickBot="1">
      <c r="A140" s="211" t="s">
        <v>218</v>
      </c>
      <c r="B140" s="215">
        <v>32.799999999999997</v>
      </c>
      <c r="C140" s="80">
        <v>-3.0395137E-3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38"/>
      <c r="R140" s="138"/>
      <c r="S140" s="138"/>
    </row>
    <row r="141" spans="1:19" ht="17.25" thickBot="1">
      <c r="A141" s="211" t="s">
        <v>126</v>
      </c>
      <c r="B141" s="212">
        <v>68.7</v>
      </c>
      <c r="C141" s="77">
        <v>-7.2254334999999996E-3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38"/>
      <c r="R141" s="138"/>
      <c r="S141" s="138"/>
    </row>
    <row r="142" spans="1:19" ht="17.25" thickBot="1">
      <c r="A142" s="211"/>
      <c r="B142" s="212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38"/>
      <c r="R142" s="138"/>
      <c r="S142" s="138"/>
    </row>
    <row r="143" spans="1:19">
      <c r="A143" s="211"/>
      <c r="B143" s="212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27"/>
      <c r="R143" s="128"/>
      <c r="S143" s="129"/>
    </row>
    <row r="144" spans="1:19" ht="17.25" thickBot="1">
      <c r="A144" s="216"/>
      <c r="B144" s="217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30"/>
      <c r="R144" s="131"/>
      <c r="S144" s="132"/>
    </row>
    <row r="145" spans="1:19" ht="17.25" thickBot="1">
      <c r="A145" s="218" t="s">
        <v>301</v>
      </c>
      <c r="B145" s="219">
        <f>$B$37</f>
        <v>300000</v>
      </c>
      <c r="C145" s="220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133"/>
      <c r="R145" s="134"/>
      <c r="S145" s="135"/>
    </row>
    <row r="147" spans="1:19" ht="17.25" thickBot="1"/>
    <row r="148" spans="1:19" ht="17.25" thickBot="1">
      <c r="A148" s="149" t="s">
        <v>289</v>
      </c>
      <c r="B148" s="150"/>
      <c r="C148" s="150"/>
      <c r="D148" s="150"/>
      <c r="E148" s="150"/>
      <c r="F148" s="150"/>
      <c r="G148" s="150"/>
      <c r="H148" s="150"/>
      <c r="I148" s="150"/>
      <c r="J148" s="150"/>
      <c r="K148" s="150"/>
      <c r="L148" s="150"/>
      <c r="M148" s="150"/>
      <c r="N148" s="150"/>
      <c r="O148" s="151"/>
      <c r="Q148" s="148"/>
      <c r="R148" s="148"/>
      <c r="S148" s="148"/>
    </row>
    <row r="149" spans="1:19" ht="17.25" thickBot="1">
      <c r="A149" s="116" t="s">
        <v>298</v>
      </c>
      <c r="B149" s="149" t="s">
        <v>49</v>
      </c>
      <c r="C149" s="151"/>
      <c r="D149" s="149" t="s">
        <v>58</v>
      </c>
      <c r="E149" s="150"/>
      <c r="F149" s="151"/>
      <c r="G149" s="152">
        <f>_xlfn.IFNA(VLOOKUP(B149, 현재가테이블!$B$2:$D$200, 2, FALSE), "-")</f>
        <v>69894000</v>
      </c>
      <c r="H149" s="153"/>
      <c r="I149" s="154"/>
      <c r="J149" s="149" t="s">
        <v>59</v>
      </c>
      <c r="K149" s="150"/>
      <c r="L149" s="151"/>
      <c r="M149" s="155">
        <f>_xlfn.IFNA(VLOOKUP(B149, 현재가테이블!$B$2:$D$200, 3, FALSE), "-")</f>
        <v>2.1065856399999999E-2</v>
      </c>
      <c r="N149" s="156"/>
      <c r="O149" s="157"/>
      <c r="Q149" s="148"/>
      <c r="R149" s="148"/>
      <c r="S149" s="148"/>
    </row>
    <row r="150" spans="1:19" ht="17.25" thickBot="1">
      <c r="A150" s="198" t="s">
        <v>55</v>
      </c>
      <c r="B150" s="221" t="str">
        <f>TEXT($G$1, "[$-ko-KR]yyyy-mm-dd(ddd) ") &amp; "오전 00:00"</f>
        <v>2021-05-04(화) 오전 00:00</v>
      </c>
      <c r="C150" s="222"/>
      <c r="D150" s="162" t="str">
        <f>TEXT($G$1, "[$-ko-KR]yyyy-mm-dd(ddd) ") &amp; "오후 14:00"</f>
        <v>2021-05-04(화) 오후 14:00</v>
      </c>
      <c r="E150" s="163"/>
      <c r="F150" s="164"/>
      <c r="G150" s="162" t="str">
        <f>TEXT($G$1, "[$-ko-KR]yyyy-mm-dd(ddd) ") &amp; "오후 19:00"</f>
        <v>2021-05-04(화) 오후 19:00</v>
      </c>
      <c r="H150" s="163"/>
      <c r="I150" s="164"/>
      <c r="J150" s="162" t="str">
        <f>TEXT($G$1, "[$-ko-KR]yyyy-mm-dd(ddd) ") &amp; "오후 21:00"</f>
        <v>2021-05-04(화) 오후 21:00</v>
      </c>
      <c r="K150" s="163"/>
      <c r="L150" s="164"/>
      <c r="M150" s="162" t="str">
        <f>TEXT($G$1+1, "[$-ko-KR]yyyy-mm-dd(ddd) ") &amp; "오전 00:00"</f>
        <v>2021-05-05(수) 오전 00:00</v>
      </c>
      <c r="N150" s="163"/>
      <c r="O150" s="164"/>
      <c r="Q150" s="148"/>
      <c r="R150" s="148"/>
      <c r="S150" s="148"/>
    </row>
    <row r="151" spans="1:19" ht="17.25" thickBot="1">
      <c r="A151" s="193"/>
      <c r="B151" s="207" t="s">
        <v>58</v>
      </c>
      <c r="C151" s="208" t="s">
        <v>59</v>
      </c>
      <c r="D151" s="2" t="s">
        <v>58</v>
      </c>
      <c r="E151" s="10" t="s">
        <v>299</v>
      </c>
      <c r="F151" s="11" t="s">
        <v>300</v>
      </c>
      <c r="G151" s="120" t="s">
        <v>58</v>
      </c>
      <c r="H151" s="121" t="s">
        <v>299</v>
      </c>
      <c r="I151" s="122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38"/>
      <c r="R151" s="138"/>
      <c r="S151" s="138"/>
    </row>
    <row r="152" spans="1:19" ht="17.25" thickBot="1">
      <c r="A152" s="209" t="s">
        <v>260</v>
      </c>
      <c r="B152" s="210">
        <v>140</v>
      </c>
      <c r="C152" s="76">
        <v>7.1942446E-3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48"/>
      <c r="R152" s="148"/>
      <c r="S152" s="148"/>
    </row>
    <row r="153" spans="1:19" ht="17.25" thickBot="1">
      <c r="A153" s="211" t="s">
        <v>134</v>
      </c>
      <c r="B153" s="212">
        <v>162</v>
      </c>
      <c r="C153" s="77">
        <v>6.2111800999999998E-3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48"/>
      <c r="R153" s="148"/>
      <c r="S153" s="148"/>
    </row>
    <row r="154" spans="1:19" ht="17.25" thickBot="1">
      <c r="A154" s="211" t="s">
        <v>216</v>
      </c>
      <c r="B154" s="212">
        <v>492</v>
      </c>
      <c r="C154" s="77">
        <v>6.1349693000000002E-3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38"/>
      <c r="R154" s="138"/>
      <c r="S154" s="138"/>
    </row>
    <row r="155" spans="1:19" ht="17.25" thickBot="1">
      <c r="A155" s="211" t="s">
        <v>282</v>
      </c>
      <c r="B155" s="212">
        <v>182</v>
      </c>
      <c r="C155" s="77">
        <v>5.5248618999999997E-3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38"/>
      <c r="R155" s="138"/>
      <c r="S155" s="138"/>
    </row>
    <row r="156" spans="1:19" ht="17.25" thickBot="1">
      <c r="A156" s="213" t="s">
        <v>54</v>
      </c>
      <c r="B156" s="214">
        <v>400</v>
      </c>
      <c r="C156" s="78">
        <v>5.0251256000000003E-3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38"/>
      <c r="R156" s="138"/>
      <c r="S156" s="138"/>
    </row>
    <row r="157" spans="1:19" ht="17.25" thickBot="1">
      <c r="A157" s="211" t="s">
        <v>230</v>
      </c>
      <c r="B157" s="215">
        <v>200</v>
      </c>
      <c r="C157" s="80">
        <v>5.0251256000000003E-3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38"/>
      <c r="R157" s="138"/>
      <c r="S157" s="138"/>
    </row>
    <row r="158" spans="1:19" ht="17.25" thickBot="1">
      <c r="A158" s="211" t="s">
        <v>210</v>
      </c>
      <c r="B158" s="212">
        <v>223</v>
      </c>
      <c r="C158" s="77">
        <v>4.5045045000000001E-3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38"/>
      <c r="R158" s="138"/>
      <c r="S158" s="138"/>
    </row>
    <row r="159" spans="1:19" ht="17.25" thickBot="1">
      <c r="A159" s="211" t="s">
        <v>51</v>
      </c>
      <c r="B159" s="212">
        <v>673</v>
      </c>
      <c r="C159" s="77">
        <v>4.4776119000000001E-3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38"/>
      <c r="R159" s="138"/>
      <c r="S159" s="138"/>
    </row>
    <row r="160" spans="1:19" ht="17.25" thickBot="1">
      <c r="A160" s="211" t="s">
        <v>200</v>
      </c>
      <c r="B160" s="212">
        <v>411</v>
      </c>
      <c r="C160" s="77">
        <v>2.4390243999999998E-3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16" t="s">
        <v>226</v>
      </c>
      <c r="B161" s="217">
        <v>559</v>
      </c>
      <c r="C161" s="79">
        <v>1.7921147000000001E-3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39"/>
      <c r="R161" s="140"/>
      <c r="S161" s="141"/>
    </row>
    <row r="162" spans="1:19">
      <c r="A162" s="209" t="s">
        <v>284</v>
      </c>
      <c r="B162" s="210">
        <v>480</v>
      </c>
      <c r="C162" s="76">
        <v>0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42"/>
      <c r="R162" s="143"/>
      <c r="S162" s="144"/>
    </row>
    <row r="163" spans="1:19" ht="17.25" thickBot="1">
      <c r="A163" s="211" t="s">
        <v>240</v>
      </c>
      <c r="B163" s="212">
        <v>212</v>
      </c>
      <c r="C163" s="77">
        <v>0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45"/>
      <c r="R163" s="146"/>
      <c r="S163" s="147"/>
    </row>
    <row r="164" spans="1:19" ht="17.25" thickBot="1">
      <c r="A164" s="211" t="s">
        <v>212</v>
      </c>
      <c r="B164" s="212">
        <v>179</v>
      </c>
      <c r="C164" s="77">
        <v>0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38"/>
      <c r="R164" s="138"/>
      <c r="S164" s="138"/>
    </row>
    <row r="165" spans="1:19" ht="17.25" thickBot="1">
      <c r="A165" s="211" t="s">
        <v>250</v>
      </c>
      <c r="B165" s="212">
        <v>244</v>
      </c>
      <c r="C165" s="77">
        <v>0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48"/>
      <c r="R165" s="148"/>
      <c r="S165" s="148"/>
    </row>
    <row r="166" spans="1:19" ht="17.25" thickBot="1">
      <c r="A166" s="213" t="s">
        <v>246</v>
      </c>
      <c r="B166" s="214">
        <v>443</v>
      </c>
      <c r="C166" s="78">
        <v>-2.2522522999999998E-3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48"/>
      <c r="R166" s="148"/>
      <c r="S166" s="148"/>
    </row>
    <row r="167" spans="1:19" ht="17.25" thickBot="1">
      <c r="A167" s="211" t="s">
        <v>202</v>
      </c>
      <c r="B167" s="215">
        <v>250</v>
      </c>
      <c r="C167" s="80">
        <v>-3.9840637000000002E-3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38"/>
      <c r="R167" s="138"/>
      <c r="S167" s="138"/>
    </row>
    <row r="168" spans="1:19" ht="17.25" thickBot="1">
      <c r="A168" s="211" t="s">
        <v>174</v>
      </c>
      <c r="B168" s="212">
        <v>305</v>
      </c>
      <c r="C168" s="77">
        <v>-6.5146580000000004E-3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38"/>
      <c r="R168" s="138"/>
      <c r="S168" s="138"/>
    </row>
    <row r="169" spans="1:19" ht="17.25" thickBot="1">
      <c r="A169" s="211" t="s">
        <v>132</v>
      </c>
      <c r="B169" s="212">
        <v>258</v>
      </c>
      <c r="C169" s="77">
        <v>-7.6923076999999996E-3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38"/>
      <c r="R169" s="138"/>
      <c r="S169" s="138"/>
    </row>
    <row r="170" spans="1:19">
      <c r="A170" s="211" t="s">
        <v>208</v>
      </c>
      <c r="B170" s="212">
        <v>550</v>
      </c>
      <c r="C170" s="77">
        <v>-9.0090090000000001E-3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27"/>
      <c r="R170" s="128"/>
      <c r="S170" s="129"/>
    </row>
    <row r="171" spans="1:19" ht="17.25" thickBot="1">
      <c r="A171" s="216" t="s">
        <v>170</v>
      </c>
      <c r="B171" s="217">
        <v>549</v>
      </c>
      <c r="C171" s="79">
        <v>-9.0252708000000004E-3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30"/>
      <c r="R171" s="131"/>
      <c r="S171" s="132"/>
    </row>
    <row r="172" spans="1:19" ht="17.25" thickBot="1">
      <c r="A172" s="218" t="s">
        <v>301</v>
      </c>
      <c r="B172" s="219">
        <f>$B$37</f>
        <v>300000</v>
      </c>
      <c r="C172" s="220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133"/>
      <c r="R172" s="134"/>
      <c r="S172" s="135"/>
    </row>
    <row r="174" spans="1:19" ht="17.25" thickBot="1"/>
    <row r="175" spans="1:19" ht="17.25" thickBot="1">
      <c r="A175" s="149" t="s">
        <v>285</v>
      </c>
      <c r="B175" s="150"/>
      <c r="C175" s="150"/>
      <c r="D175" s="150"/>
      <c r="E175" s="150"/>
      <c r="F175" s="150"/>
      <c r="G175" s="150"/>
      <c r="H175" s="150"/>
      <c r="I175" s="150"/>
      <c r="J175" s="150"/>
      <c r="K175" s="150"/>
      <c r="L175" s="150"/>
      <c r="M175" s="150"/>
      <c r="N175" s="150"/>
      <c r="O175" s="151"/>
      <c r="Q175" s="148"/>
      <c r="R175" s="148"/>
      <c r="S175" s="148"/>
    </row>
    <row r="176" spans="1:19" ht="17.25" thickBot="1">
      <c r="A176" s="116" t="s">
        <v>298</v>
      </c>
      <c r="B176" s="149" t="s">
        <v>49</v>
      </c>
      <c r="C176" s="151"/>
      <c r="D176" s="149" t="s">
        <v>58</v>
      </c>
      <c r="E176" s="150"/>
      <c r="F176" s="151"/>
      <c r="G176" s="152">
        <f>_xlfn.IFNA(VLOOKUP(B176, 현재가테이블!$B$2:$D$200, 2, FALSE), "-")</f>
        <v>69894000</v>
      </c>
      <c r="H176" s="153"/>
      <c r="I176" s="154"/>
      <c r="J176" s="149" t="s">
        <v>59</v>
      </c>
      <c r="K176" s="150"/>
      <c r="L176" s="151"/>
      <c r="M176" s="155">
        <f>_xlfn.IFNA(VLOOKUP(B176, 현재가테이블!$B$2:$D$200, 3, FALSE), "-")</f>
        <v>2.1065856399999999E-2</v>
      </c>
      <c r="N176" s="156"/>
      <c r="O176" s="157"/>
      <c r="Q176" s="148"/>
      <c r="R176" s="148"/>
      <c r="S176" s="148"/>
    </row>
    <row r="177" spans="1:19" ht="17.25" thickBot="1">
      <c r="A177" s="198" t="s">
        <v>55</v>
      </c>
      <c r="B177" s="221" t="str">
        <f>TEXT($G$1, "[$-ko-KR]yyyy-mm-dd(ddd) ") &amp; "오전 00:00"</f>
        <v>2021-05-04(화) 오전 00:00</v>
      </c>
      <c r="C177" s="222"/>
      <c r="D177" s="162" t="str">
        <f>TEXT($G$1, "[$-ko-KR]yyyy-mm-dd(ddd) ") &amp; "오후 14:00"</f>
        <v>2021-05-04(화) 오후 14:00</v>
      </c>
      <c r="E177" s="163"/>
      <c r="F177" s="164"/>
      <c r="G177" s="162" t="str">
        <f>TEXT($G$1, "[$-ko-KR]yyyy-mm-dd(ddd) ") &amp; "오후 19:00"</f>
        <v>2021-05-04(화) 오후 19:00</v>
      </c>
      <c r="H177" s="163"/>
      <c r="I177" s="164"/>
      <c r="J177" s="162" t="str">
        <f>TEXT($G$1, "[$-ko-KR]yyyy-mm-dd(ddd) ") &amp; "오후 21:00"</f>
        <v>2021-05-04(화) 오후 21:00</v>
      </c>
      <c r="K177" s="163"/>
      <c r="L177" s="164"/>
      <c r="M177" s="162" t="str">
        <f>TEXT($G$1+1, "[$-ko-KR]yyyy-mm-dd(ddd) ") &amp; "오전 00:00"</f>
        <v>2021-05-05(수) 오전 00:00</v>
      </c>
      <c r="N177" s="163"/>
      <c r="O177" s="164"/>
      <c r="Q177" s="148"/>
      <c r="R177" s="148"/>
      <c r="S177" s="148"/>
    </row>
    <row r="178" spans="1:19" ht="17.25" thickBot="1">
      <c r="A178" s="193"/>
      <c r="B178" s="207" t="s">
        <v>58</v>
      </c>
      <c r="C178" s="208" t="s">
        <v>59</v>
      </c>
      <c r="D178" s="2" t="s">
        <v>58</v>
      </c>
      <c r="E178" s="10" t="s">
        <v>299</v>
      </c>
      <c r="F178" s="11" t="s">
        <v>300</v>
      </c>
      <c r="G178" s="120" t="s">
        <v>58</v>
      </c>
      <c r="H178" s="121" t="s">
        <v>299</v>
      </c>
      <c r="I178" s="122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38"/>
      <c r="R178" s="138"/>
      <c r="S178" s="138"/>
    </row>
    <row r="179" spans="1:19" ht="17.25" thickBot="1">
      <c r="A179" s="209" t="s">
        <v>74</v>
      </c>
      <c r="B179" s="210">
        <v>27900</v>
      </c>
      <c r="C179" s="76">
        <v>0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48"/>
      <c r="R179" s="148"/>
      <c r="S179" s="148"/>
    </row>
    <row r="180" spans="1:19" ht="17.25" thickBot="1">
      <c r="A180" s="211" t="s">
        <v>228</v>
      </c>
      <c r="B180" s="212">
        <v>21.1</v>
      </c>
      <c r="C180" s="77">
        <v>0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48"/>
      <c r="R180" s="148"/>
      <c r="S180" s="148"/>
    </row>
    <row r="181" spans="1:19" ht="17.25" thickBot="1">
      <c r="A181" s="211" t="s">
        <v>212</v>
      </c>
      <c r="B181" s="212">
        <v>179</v>
      </c>
      <c r="C181" s="77">
        <v>0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38"/>
      <c r="R181" s="138"/>
      <c r="S181" s="138"/>
    </row>
    <row r="182" spans="1:19" ht="17.25" thickBot="1">
      <c r="A182" s="211" t="s">
        <v>222</v>
      </c>
      <c r="B182" s="212">
        <v>20.7</v>
      </c>
      <c r="C182" s="77">
        <v>0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38"/>
      <c r="R182" s="138"/>
      <c r="S182" s="138"/>
    </row>
    <row r="183" spans="1:19" ht="17.25" thickBot="1">
      <c r="A183" s="213" t="s">
        <v>198</v>
      </c>
      <c r="B183" s="214">
        <v>32.4</v>
      </c>
      <c r="C183" s="78">
        <v>0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38"/>
      <c r="R183" s="138"/>
      <c r="S183" s="138"/>
    </row>
    <row r="184" spans="1:19" ht="17.25" thickBot="1">
      <c r="A184" s="211" t="s">
        <v>162</v>
      </c>
      <c r="B184" s="215">
        <v>2205</v>
      </c>
      <c r="C184" s="80">
        <v>0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38"/>
      <c r="R184" s="138"/>
      <c r="S184" s="138"/>
    </row>
    <row r="185" spans="1:19" ht="17.25" thickBot="1">
      <c r="A185" s="211" t="s">
        <v>250</v>
      </c>
      <c r="B185" s="212">
        <v>244</v>
      </c>
      <c r="C185" s="77">
        <v>0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38"/>
      <c r="R185" s="138"/>
      <c r="S185" s="138"/>
    </row>
    <row r="186" spans="1:19" ht="17.25" thickBot="1">
      <c r="A186" s="211" t="s">
        <v>152</v>
      </c>
      <c r="B186" s="212">
        <v>49.8</v>
      </c>
      <c r="C186" s="77">
        <v>-2.0040079999999998E-3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38"/>
      <c r="R186" s="138"/>
      <c r="S186" s="138"/>
    </row>
    <row r="187" spans="1:19" ht="17.25" thickBot="1">
      <c r="A187" s="211" t="s">
        <v>246</v>
      </c>
      <c r="B187" s="212">
        <v>443</v>
      </c>
      <c r="C187" s="77">
        <v>-2.2522522999999998E-3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16" t="s">
        <v>218</v>
      </c>
      <c r="B188" s="217">
        <v>32.799999999999997</v>
      </c>
      <c r="C188" s="79">
        <v>-3.0395137E-3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39"/>
      <c r="R188" s="140"/>
      <c r="S188" s="141"/>
    </row>
    <row r="189" spans="1:19">
      <c r="A189" s="209" t="s">
        <v>110</v>
      </c>
      <c r="B189" s="210">
        <v>3020</v>
      </c>
      <c r="C189" s="76">
        <v>-3.3003300000000002E-3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42"/>
      <c r="R189" s="143"/>
      <c r="S189" s="144"/>
    </row>
    <row r="190" spans="1:19" ht="17.25" thickBot="1">
      <c r="A190" s="211" t="s">
        <v>158</v>
      </c>
      <c r="B190" s="212">
        <v>11230</v>
      </c>
      <c r="C190" s="77">
        <v>-3.5492458000000002E-3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45"/>
      <c r="R190" s="146"/>
      <c r="S190" s="147"/>
    </row>
    <row r="191" spans="1:19" ht="17.25" thickBot="1">
      <c r="A191" s="211" t="s">
        <v>202</v>
      </c>
      <c r="B191" s="212">
        <v>250</v>
      </c>
      <c r="C191" s="77">
        <v>-3.9840637000000002E-3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38"/>
      <c r="R191" s="138"/>
      <c r="S191" s="138"/>
    </row>
    <row r="192" spans="1:19" ht="17.25" thickBot="1">
      <c r="A192" s="211" t="s">
        <v>92</v>
      </c>
      <c r="B192" s="212">
        <v>1880</v>
      </c>
      <c r="C192" s="77">
        <v>-5.2910053000000002E-3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48"/>
      <c r="R192" s="148"/>
      <c r="S192" s="148"/>
    </row>
    <row r="193" spans="1:19" ht="17.25" thickBot="1">
      <c r="A193" s="213" t="s">
        <v>174</v>
      </c>
      <c r="B193" s="214">
        <v>305</v>
      </c>
      <c r="C193" s="78">
        <v>-6.5146580000000004E-3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48"/>
      <c r="R193" s="148"/>
      <c r="S193" s="148"/>
    </row>
    <row r="194" spans="1:19" ht="17.25" thickBot="1">
      <c r="A194" s="211" t="s">
        <v>126</v>
      </c>
      <c r="B194" s="215">
        <v>68.7</v>
      </c>
      <c r="C194" s="80">
        <v>-7.2254334999999996E-3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38"/>
      <c r="R194" s="138"/>
      <c r="S194" s="138"/>
    </row>
    <row r="195" spans="1:19" ht="17.25" thickBot="1">
      <c r="A195" s="211" t="s">
        <v>132</v>
      </c>
      <c r="B195" s="212">
        <v>258</v>
      </c>
      <c r="C195" s="77">
        <v>-7.6923076999999996E-3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38"/>
      <c r="R195" s="138"/>
      <c r="S195" s="138"/>
    </row>
    <row r="196" spans="1:19" ht="17.25" thickBot="1">
      <c r="A196" s="211" t="s">
        <v>208</v>
      </c>
      <c r="B196" s="212">
        <v>550</v>
      </c>
      <c r="C196" s="77">
        <v>-9.0090090000000001E-3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38"/>
      <c r="R196" s="138"/>
      <c r="S196" s="138"/>
    </row>
    <row r="197" spans="1:19">
      <c r="A197" s="211" t="s">
        <v>170</v>
      </c>
      <c r="B197" s="212">
        <v>549</v>
      </c>
      <c r="C197" s="77">
        <v>-9.0252708000000004E-3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27"/>
      <c r="R197" s="128"/>
      <c r="S197" s="129"/>
    </row>
    <row r="198" spans="1:19" ht="17.25" thickBot="1">
      <c r="A198" s="216" t="s">
        <v>204</v>
      </c>
      <c r="B198" s="217">
        <v>9915</v>
      </c>
      <c r="C198" s="79">
        <v>-9.4905094999999991E-3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30"/>
      <c r="R198" s="131"/>
      <c r="S198" s="132"/>
    </row>
    <row r="199" spans="1:19" ht="17.25" thickBot="1">
      <c r="A199" s="218" t="s">
        <v>301</v>
      </c>
      <c r="B199" s="219">
        <f>$B$37</f>
        <v>300000</v>
      </c>
      <c r="C199" s="220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133"/>
      <c r="R199" s="134"/>
      <c r="S199" s="135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2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03" priority="157">
      <formula>AND($N17 &gt; 0, ISNUMBER($N17))</formula>
    </cfRule>
    <cfRule type="expression" dxfId="202" priority="158">
      <formula>AND($N17 = 0 * ISNUMBER($N17))</formula>
    </cfRule>
    <cfRule type="expression" dxfId="201" priority="159">
      <formula>AND($N17 &lt; 0, ISNUMBER($N17))</formula>
    </cfRule>
  </conditionalFormatting>
  <conditionalFormatting sqref="A17:F36">
    <cfRule type="expression" dxfId="200" priority="166">
      <formula>AND($E17 &gt; 0, ISNUMBER($E17))</formula>
    </cfRule>
    <cfRule type="expression" dxfId="199" priority="167">
      <formula>AND($E17 = 0 * ISNUMBER($E17))</formula>
    </cfRule>
    <cfRule type="expression" dxfId="198" priority="168">
      <formula>AND($E17 &lt; 0, ISNUMBER($E17))</formula>
    </cfRule>
  </conditionalFormatting>
  <conditionalFormatting sqref="A17:C36 G17:I36">
    <cfRule type="expression" dxfId="197" priority="163">
      <formula>AND($H17 &gt; 0, ISNUMBER($H17))</formula>
    </cfRule>
    <cfRule type="expression" dxfId="196" priority="164">
      <formula>AND($H17 = 0 * ISNUMBER($H17))</formula>
    </cfRule>
    <cfRule type="expression" dxfId="195" priority="165">
      <formula>AND($H17 &lt; 0, ISNUMBER($H17))</formula>
    </cfRule>
  </conditionalFormatting>
  <conditionalFormatting sqref="A17:C36 J17:L36">
    <cfRule type="expression" dxfId="194" priority="160">
      <formula>AND($K17 &gt; 0, ISNUMBER($K17))</formula>
    </cfRule>
    <cfRule type="expression" dxfId="193" priority="161">
      <formula>AND($K17 = 0 * ISNUMBER($K17))</formula>
    </cfRule>
    <cfRule type="expression" dxfId="192" priority="162">
      <formula>AND($K17 &lt; 0, ISNUMBER($K17))</formula>
    </cfRule>
  </conditionalFormatting>
  <conditionalFormatting sqref="D15:F16 E37:F37">
    <cfRule type="expression" dxfId="191" priority="154">
      <formula>$E$37 &gt; 0</formula>
    </cfRule>
    <cfRule type="expression" dxfId="190" priority="155">
      <formula>$E$37 = 0</formula>
    </cfRule>
    <cfRule type="expression" dxfId="189" priority="156">
      <formula>$E$37 &lt; 0</formula>
    </cfRule>
  </conditionalFormatting>
  <conditionalFormatting sqref="G15:I16 H37:I37">
    <cfRule type="expression" dxfId="188" priority="151">
      <formula>$H$37 &gt; 0</formula>
    </cfRule>
    <cfRule type="expression" dxfId="187" priority="152">
      <formula>$H$37 = 0</formula>
    </cfRule>
    <cfRule type="expression" dxfId="186" priority="153">
      <formula>$H$37 &lt; 0</formula>
    </cfRule>
  </conditionalFormatting>
  <conditionalFormatting sqref="J15:L16 K37:L37">
    <cfRule type="expression" dxfId="185" priority="148">
      <formula>$K$37 &gt; 0</formula>
    </cfRule>
    <cfRule type="expression" dxfId="184" priority="149">
      <formula>$K$37 = 0</formula>
    </cfRule>
    <cfRule type="expression" dxfId="183" priority="150">
      <formula>$K$37 &lt; 0</formula>
    </cfRule>
  </conditionalFormatting>
  <conditionalFormatting sqref="M15:O16 N37:O37">
    <cfRule type="expression" dxfId="182" priority="145">
      <formula>$N$37 &gt; 0</formula>
    </cfRule>
    <cfRule type="expression" dxfId="181" priority="146">
      <formula>$N$37 = 0</formula>
    </cfRule>
    <cfRule type="expression" dxfId="180" priority="147">
      <formula>$N$37 &lt; 0</formula>
    </cfRule>
  </conditionalFormatting>
  <conditionalFormatting sqref="A44:C63 M44:O63">
    <cfRule type="expression" dxfId="179" priority="133">
      <formula>AND($N44 &gt; 0, ISNUMBER($N44))</formula>
    </cfRule>
    <cfRule type="expression" dxfId="178" priority="134">
      <formula>AND($N44 = 0 * ISNUMBER($N44))</formula>
    </cfRule>
    <cfRule type="expression" dxfId="177" priority="135">
      <formula>AND($N44 &lt; 0, ISNUMBER($N44))</formula>
    </cfRule>
  </conditionalFormatting>
  <conditionalFormatting sqref="A44:F63">
    <cfRule type="expression" dxfId="176" priority="142">
      <formula>AND($E44 &gt; 0, ISNUMBER($E44))</formula>
    </cfRule>
    <cfRule type="expression" dxfId="175" priority="143">
      <formula>AND($E44 = 0 * ISNUMBER($E44))</formula>
    </cfRule>
    <cfRule type="expression" dxfId="174" priority="144">
      <formula>AND($E44 &lt; 0, ISNUMBER($E44))</formula>
    </cfRule>
  </conditionalFormatting>
  <conditionalFormatting sqref="A44:C63 G44:I63">
    <cfRule type="expression" dxfId="173" priority="139">
      <formula>AND($H44 &gt; 0, ISNUMBER($H44))</formula>
    </cfRule>
    <cfRule type="expression" dxfId="172" priority="140">
      <formula>AND($H44 = 0 * ISNUMBER($H44))</formula>
    </cfRule>
    <cfRule type="expression" dxfId="171" priority="141">
      <formula>AND($H44 &lt; 0, ISNUMBER($H44))</formula>
    </cfRule>
  </conditionalFormatting>
  <conditionalFormatting sqref="A44:C63 J44:L63">
    <cfRule type="expression" dxfId="170" priority="136">
      <formula>AND($K44 &gt; 0, ISNUMBER($K44))</formula>
    </cfRule>
    <cfRule type="expression" dxfId="169" priority="137">
      <formula>AND($K44 = 0 * ISNUMBER($K44))</formula>
    </cfRule>
    <cfRule type="expression" dxfId="168" priority="138">
      <formula>AND($K44 &lt; 0, ISNUMBER($K44))</formula>
    </cfRule>
  </conditionalFormatting>
  <conditionalFormatting sqref="D42:F43 E64:F64">
    <cfRule type="expression" dxfId="167" priority="130">
      <formula>$E$64 &gt; 0</formula>
    </cfRule>
    <cfRule type="expression" dxfId="166" priority="131">
      <formula>$E$64 = 0</formula>
    </cfRule>
    <cfRule type="expression" dxfId="165" priority="132">
      <formula>$E$64 &lt; 0</formula>
    </cfRule>
  </conditionalFormatting>
  <conditionalFormatting sqref="G42:I43 H64:I64">
    <cfRule type="expression" dxfId="164" priority="127">
      <formula>$H$64 &gt; 0</formula>
    </cfRule>
    <cfRule type="expression" dxfId="163" priority="128">
      <formula>$H$64 = 0</formula>
    </cfRule>
    <cfRule type="expression" dxfId="162" priority="129">
      <formula>$H$64 &lt; 0</formula>
    </cfRule>
  </conditionalFormatting>
  <conditionalFormatting sqref="J42:L43 K64:L64">
    <cfRule type="expression" dxfId="161" priority="124">
      <formula>$K$64 &gt; 0</formula>
    </cfRule>
    <cfRule type="expression" dxfId="160" priority="125">
      <formula>$K$64 = 0</formula>
    </cfRule>
    <cfRule type="expression" dxfId="159" priority="126">
      <formula>$K$64 &lt; 0</formula>
    </cfRule>
  </conditionalFormatting>
  <conditionalFormatting sqref="M42:O43 N64:O64">
    <cfRule type="expression" dxfId="158" priority="121">
      <formula>$N$64 &gt; 0</formula>
    </cfRule>
    <cfRule type="expression" dxfId="157" priority="122">
      <formula>$N$64 = 0</formula>
    </cfRule>
    <cfRule type="expression" dxfId="156" priority="123">
      <formula>$N$64 &lt; 0</formula>
    </cfRule>
  </conditionalFormatting>
  <conditionalFormatting sqref="A71:C90 M71:O90">
    <cfRule type="expression" dxfId="155" priority="109">
      <formula>AND($N71 &gt; 0, ISNUMBER($N71))</formula>
    </cfRule>
    <cfRule type="expression" dxfId="154" priority="110">
      <formula>AND($N71 = 0 * ISNUMBER($N71))</formula>
    </cfRule>
    <cfRule type="expression" dxfId="153" priority="111">
      <formula>AND($N71 &lt; 0, ISNUMBER($N71))</formula>
    </cfRule>
  </conditionalFormatting>
  <conditionalFormatting sqref="A71:F90">
    <cfRule type="expression" dxfId="152" priority="118">
      <formula>AND($E71 &gt; 0, ISNUMBER($E71))</formula>
    </cfRule>
    <cfRule type="expression" dxfId="151" priority="119">
      <formula>AND($E71 = 0 * ISNUMBER($E71))</formula>
    </cfRule>
    <cfRule type="expression" dxfId="150" priority="120">
      <formula>AND($E71 &lt; 0, ISNUMBER($E71))</formula>
    </cfRule>
  </conditionalFormatting>
  <conditionalFormatting sqref="A71:C90 G71:I90">
    <cfRule type="expression" dxfId="149" priority="115">
      <formula>AND($H71 &gt; 0, ISNUMBER($H71))</formula>
    </cfRule>
    <cfRule type="expression" dxfId="148" priority="116">
      <formula>AND($H71 = 0 * ISNUMBER($H71))</formula>
    </cfRule>
    <cfRule type="expression" dxfId="147" priority="117">
      <formula>AND($H71 &lt; 0, ISNUMBER($H71))</formula>
    </cfRule>
  </conditionalFormatting>
  <conditionalFormatting sqref="A71:C90 J71:L90">
    <cfRule type="expression" dxfId="146" priority="112">
      <formula>AND($K71 &gt; 0, ISNUMBER($K71))</formula>
    </cfRule>
    <cfRule type="expression" dxfId="145" priority="113">
      <formula>AND($K71 = 0 * ISNUMBER($K71))</formula>
    </cfRule>
    <cfRule type="expression" dxfId="144" priority="114">
      <formula>AND($K71 &lt; 0, ISNUMBER($K71))</formula>
    </cfRule>
  </conditionalFormatting>
  <conditionalFormatting sqref="D69:F70 E91:F91">
    <cfRule type="expression" dxfId="143" priority="106">
      <formula>$E$91 &gt; 0</formula>
    </cfRule>
    <cfRule type="expression" dxfId="142" priority="107">
      <formula>$E$91 = 0</formula>
    </cfRule>
    <cfRule type="expression" dxfId="141" priority="108">
      <formula>$E$91 &lt; 0</formula>
    </cfRule>
  </conditionalFormatting>
  <conditionalFormatting sqref="G69:I70 H91:I91">
    <cfRule type="expression" dxfId="140" priority="103">
      <formula>$H$91 &gt; 0</formula>
    </cfRule>
    <cfRule type="expression" dxfId="139" priority="104">
      <formula>$H$91 = 0</formula>
    </cfRule>
    <cfRule type="expression" dxfId="138" priority="105">
      <formula>$H$91 &lt; 0</formula>
    </cfRule>
  </conditionalFormatting>
  <conditionalFormatting sqref="J69:L70 K91:L91">
    <cfRule type="expression" dxfId="137" priority="100">
      <formula>$K$91 &gt; 0</formula>
    </cfRule>
    <cfRule type="expression" dxfId="136" priority="101">
      <formula>$K$91 = 0</formula>
    </cfRule>
    <cfRule type="expression" dxfId="135" priority="102">
      <formula>$K$91 &lt; 0</formula>
    </cfRule>
  </conditionalFormatting>
  <conditionalFormatting sqref="M69:O70 N91:O91">
    <cfRule type="expression" dxfId="134" priority="97">
      <formula>$N$91 &gt; 0</formula>
    </cfRule>
    <cfRule type="expression" dxfId="133" priority="98">
      <formula>$N$91 = 0</formula>
    </cfRule>
    <cfRule type="expression" dxfId="132" priority="99">
      <formula>$N$91 &lt; 0</formula>
    </cfRule>
  </conditionalFormatting>
  <conditionalFormatting sqref="A98:C117 M98:O117">
    <cfRule type="expression" dxfId="131" priority="85">
      <formula>AND($N98 &gt; 0, ISNUMBER($N98))</formula>
    </cfRule>
    <cfRule type="expression" dxfId="130" priority="86">
      <formula>AND($N98 = 0 * ISNUMBER($N98))</formula>
    </cfRule>
    <cfRule type="expression" dxfId="129" priority="87">
      <formula>AND($N98 &lt; 0, ISNUMBER($N98))</formula>
    </cfRule>
  </conditionalFormatting>
  <conditionalFormatting sqref="A98:F117">
    <cfRule type="expression" dxfId="128" priority="94">
      <formula>AND($E98 &gt; 0, ISNUMBER($E98))</formula>
    </cfRule>
    <cfRule type="expression" dxfId="127" priority="95">
      <formula>AND($E98 = 0 * ISNUMBER($E98))</formula>
    </cfRule>
    <cfRule type="expression" dxfId="126" priority="96">
      <formula>AND($E98 &lt; 0, ISNUMBER($E98))</formula>
    </cfRule>
  </conditionalFormatting>
  <conditionalFormatting sqref="A98:C117 G98:I117">
    <cfRule type="expression" dxfId="125" priority="91">
      <formula>AND($H98 &gt; 0, ISNUMBER($H98))</formula>
    </cfRule>
    <cfRule type="expression" dxfId="124" priority="92">
      <formula>AND($H98 = 0 * ISNUMBER($H98))</formula>
    </cfRule>
    <cfRule type="expression" dxfId="123" priority="93">
      <formula>AND($H98 &lt; 0, ISNUMBER($H98))</formula>
    </cfRule>
  </conditionalFormatting>
  <conditionalFormatting sqref="A98:C117 J98:L117">
    <cfRule type="expression" dxfId="122" priority="88">
      <formula>AND($K98 &gt; 0, ISNUMBER($K98))</formula>
    </cfRule>
    <cfRule type="expression" dxfId="121" priority="89">
      <formula>AND($K98 = 0 * ISNUMBER($K98))</formula>
    </cfRule>
    <cfRule type="expression" dxfId="120" priority="90">
      <formula>AND($K98 &lt; 0, ISNUMBER($K98))</formula>
    </cfRule>
  </conditionalFormatting>
  <conditionalFormatting sqref="D96:F97 E118:F118">
    <cfRule type="expression" dxfId="119" priority="82">
      <formula>$E$118 &gt; 0</formula>
    </cfRule>
    <cfRule type="expression" dxfId="118" priority="83">
      <formula>$E$118 = 0</formula>
    </cfRule>
    <cfRule type="expression" dxfId="117" priority="84">
      <formula>$E$118 &lt; 0</formula>
    </cfRule>
  </conditionalFormatting>
  <conditionalFormatting sqref="G96:I97 H118:I118">
    <cfRule type="expression" dxfId="116" priority="79">
      <formula>$H$118 &gt; 0</formula>
    </cfRule>
    <cfRule type="expression" dxfId="115" priority="80">
      <formula>$H$118 = 0</formula>
    </cfRule>
    <cfRule type="expression" dxfId="114" priority="81">
      <formula>$H$118 &lt; 0</formula>
    </cfRule>
  </conditionalFormatting>
  <conditionalFormatting sqref="J96:L97 K118:L118">
    <cfRule type="expression" dxfId="113" priority="76">
      <formula>$K$118 &gt; 0</formula>
    </cfRule>
    <cfRule type="expression" dxfId="112" priority="77">
      <formula>$K$118 = 0</formula>
    </cfRule>
    <cfRule type="expression" dxfId="111" priority="78">
      <formula>$K$118 &lt; 0</formula>
    </cfRule>
  </conditionalFormatting>
  <conditionalFormatting sqref="M96:O97 N118:O118">
    <cfRule type="expression" dxfId="110" priority="73">
      <formula>$N$118 &gt; 0</formula>
    </cfRule>
    <cfRule type="expression" dxfId="109" priority="74">
      <formula>$N$118 = 0</formula>
    </cfRule>
    <cfRule type="expression" dxfId="108" priority="75">
      <formula>$N$118 &lt; 0</formula>
    </cfRule>
  </conditionalFormatting>
  <conditionalFormatting sqref="A125:C144 M125:O144">
    <cfRule type="expression" dxfId="107" priority="61">
      <formula>AND($N125 &gt; 0, ISNUMBER($N125))</formula>
    </cfRule>
    <cfRule type="expression" dxfId="106" priority="62">
      <formula>AND($N125 = 0 * ISNUMBER($N125))</formula>
    </cfRule>
    <cfRule type="expression" dxfId="105" priority="63">
      <formula>AND($N125 &lt; 0, ISNUMBER($N125))</formula>
    </cfRule>
  </conditionalFormatting>
  <conditionalFormatting sqref="A125:F144">
    <cfRule type="expression" dxfId="104" priority="70">
      <formula>AND($E125 &gt; 0, ISNUMBER($E125))</formula>
    </cfRule>
    <cfRule type="expression" dxfId="103" priority="71">
      <formula>AND($E125 = 0 * ISNUMBER($E125))</formula>
    </cfRule>
    <cfRule type="expression" dxfId="102" priority="72">
      <formula>AND($E125 &lt; 0, ISNUMBER($E125))</formula>
    </cfRule>
  </conditionalFormatting>
  <conditionalFormatting sqref="A125:C144 G125:I144">
    <cfRule type="expression" dxfId="101" priority="67">
      <formula>AND($H125 &gt; 0, ISNUMBER($H125))</formula>
    </cfRule>
    <cfRule type="expression" dxfId="100" priority="68">
      <formula>AND($H125 = 0 * ISNUMBER($H125))</formula>
    </cfRule>
    <cfRule type="expression" dxfId="99" priority="69">
      <formula>AND($H125 &lt; 0, ISNUMBER($H125))</formula>
    </cfRule>
  </conditionalFormatting>
  <conditionalFormatting sqref="A125:C144 J125:L144">
    <cfRule type="expression" dxfId="98" priority="64">
      <formula>AND($K125 &gt; 0, ISNUMBER($K125))</formula>
    </cfRule>
    <cfRule type="expression" dxfId="97" priority="65">
      <formula>AND($K125 = 0 * ISNUMBER($K125))</formula>
    </cfRule>
    <cfRule type="expression" dxfId="96" priority="66">
      <formula>AND($K125 &lt; 0, ISNUMBER($K125))</formula>
    </cfRule>
  </conditionalFormatting>
  <conditionalFormatting sqref="D123:F124 E145:F145">
    <cfRule type="expression" dxfId="95" priority="58">
      <formula>$E$145 &gt; 0</formula>
    </cfRule>
    <cfRule type="expression" dxfId="94" priority="59">
      <formula>$E$145 = 0</formula>
    </cfRule>
    <cfRule type="expression" dxfId="93" priority="60">
      <formula>$E$145 &lt; 0</formula>
    </cfRule>
  </conditionalFormatting>
  <conditionalFormatting sqref="G123:I124 H145:I145">
    <cfRule type="expression" dxfId="92" priority="55">
      <formula>$H$145 &gt; 0</formula>
    </cfRule>
    <cfRule type="expression" dxfId="91" priority="56">
      <formula>$H$145 = 0</formula>
    </cfRule>
    <cfRule type="expression" dxfId="90" priority="57">
      <formula>$H$145 &lt; 0</formula>
    </cfRule>
  </conditionalFormatting>
  <conditionalFormatting sqref="J123:L124 K145:L145">
    <cfRule type="expression" dxfId="89" priority="52">
      <formula>$K$145 &gt; 0</formula>
    </cfRule>
    <cfRule type="expression" dxfId="88" priority="53">
      <formula>$K$145 = 0</formula>
    </cfRule>
    <cfRule type="expression" dxfId="87" priority="54">
      <formula>$K$145 &lt; 0</formula>
    </cfRule>
  </conditionalFormatting>
  <conditionalFormatting sqref="M123:O124 N145:O145">
    <cfRule type="expression" dxfId="86" priority="49">
      <formula>$N$145 &gt; 0</formula>
    </cfRule>
    <cfRule type="expression" dxfId="85" priority="50">
      <formula>$N$145 = 0</formula>
    </cfRule>
    <cfRule type="expression" dxfId="84" priority="51">
      <formula>$N$145 &lt; 0</formula>
    </cfRule>
  </conditionalFormatting>
  <conditionalFormatting sqref="A152:C171 M152:O171">
    <cfRule type="expression" dxfId="83" priority="37">
      <formula>AND($N152 &gt; 0, ISNUMBER($N152))</formula>
    </cfRule>
    <cfRule type="expression" dxfId="82" priority="38">
      <formula>AND($N152 = 0 * ISNUMBER($N152))</formula>
    </cfRule>
    <cfRule type="expression" dxfId="81" priority="39">
      <formula>AND($N152 &lt; 0, ISNUMBER($N152))</formula>
    </cfRule>
  </conditionalFormatting>
  <conditionalFormatting sqref="A152:F171">
    <cfRule type="expression" dxfId="80" priority="46">
      <formula>AND($E152 &gt; 0, ISNUMBER($E152))</formula>
    </cfRule>
    <cfRule type="expression" dxfId="79" priority="47">
      <formula>AND($E152 = 0 * ISNUMBER($E152))</formula>
    </cfRule>
    <cfRule type="expression" dxfId="78" priority="48">
      <formula>AND($E152 &lt; 0, ISNUMBER($E152))</formula>
    </cfRule>
  </conditionalFormatting>
  <conditionalFormatting sqref="A152:C171 G152:I171">
    <cfRule type="expression" dxfId="77" priority="43">
      <formula>AND($H152 &gt; 0, ISNUMBER($H152))</formula>
    </cfRule>
    <cfRule type="expression" dxfId="76" priority="44">
      <formula>AND($H152 = 0 * ISNUMBER($H152))</formula>
    </cfRule>
    <cfRule type="expression" dxfId="75" priority="45">
      <formula>AND($H152 &lt; 0, ISNUMBER($H152))</formula>
    </cfRule>
  </conditionalFormatting>
  <conditionalFormatting sqref="A152:C171 J152:L171">
    <cfRule type="expression" dxfId="74" priority="40">
      <formula>AND($K152 &gt; 0, ISNUMBER($K152))</formula>
    </cfRule>
    <cfRule type="expression" dxfId="73" priority="41">
      <formula>AND($K152 = 0 * ISNUMBER($K152))</formula>
    </cfRule>
    <cfRule type="expression" dxfId="72" priority="42">
      <formula>AND($K152 &lt; 0, ISNUMBER($K152))</formula>
    </cfRule>
  </conditionalFormatting>
  <conditionalFormatting sqref="D150:F151 E172:F172">
    <cfRule type="expression" dxfId="71" priority="34">
      <formula>$E$172 &gt; 0</formula>
    </cfRule>
    <cfRule type="expression" dxfId="70" priority="35">
      <formula>$E$172 = 0</formula>
    </cfRule>
    <cfRule type="expression" dxfId="69" priority="36">
      <formula>$E$172 &lt; 0</formula>
    </cfRule>
  </conditionalFormatting>
  <conditionalFormatting sqref="G150:I151 H172:I172">
    <cfRule type="expression" dxfId="68" priority="31">
      <formula>$H$172 &gt; 0</formula>
    </cfRule>
    <cfRule type="expression" dxfId="67" priority="32">
      <formula>$H$172 = 0</formula>
    </cfRule>
    <cfRule type="expression" dxfId="66" priority="33">
      <formula>$H$172 &lt; 0</formula>
    </cfRule>
  </conditionalFormatting>
  <conditionalFormatting sqref="J150:L151 K172:L172">
    <cfRule type="expression" dxfId="65" priority="28">
      <formula>$K$172 &gt; 0</formula>
    </cfRule>
    <cfRule type="expression" dxfId="64" priority="29">
      <formula>$K$172 = 0</formula>
    </cfRule>
    <cfRule type="expression" dxfId="63" priority="30">
      <formula>$K$172 &lt; 0</formula>
    </cfRule>
  </conditionalFormatting>
  <conditionalFormatting sqref="M150:O151 N172:O172">
    <cfRule type="expression" dxfId="62" priority="25">
      <formula>$N$172 &gt; 0</formula>
    </cfRule>
    <cfRule type="expression" dxfId="61" priority="26">
      <formula>$N$172 = 0</formula>
    </cfRule>
    <cfRule type="expression" dxfId="60" priority="27">
      <formula>$N$172 &lt; 0</formula>
    </cfRule>
  </conditionalFormatting>
  <conditionalFormatting sqref="A179:C198 M179:O198">
    <cfRule type="expression" dxfId="59" priority="13">
      <formula>AND($N179 &gt; 0, ISNUMBER($N179))</formula>
    </cfRule>
    <cfRule type="expression" dxfId="58" priority="14">
      <formula>AND($N179 = 0 * ISNUMBER($N179))</formula>
    </cfRule>
    <cfRule type="expression" dxfId="57" priority="15">
      <formula>AND($N179 &lt; 0, ISNUMBER($N179))</formula>
    </cfRule>
  </conditionalFormatting>
  <conditionalFormatting sqref="A179:F198">
    <cfRule type="expression" dxfId="56" priority="22">
      <formula>AND($E179 &gt; 0, ISNUMBER($E179))</formula>
    </cfRule>
    <cfRule type="expression" dxfId="55" priority="23">
      <formula>AND($E179 = 0 * ISNUMBER($E179))</formula>
    </cfRule>
    <cfRule type="expression" dxfId="54" priority="24">
      <formula>AND($E179 &lt; 0, ISNUMBER($E179))</formula>
    </cfRule>
  </conditionalFormatting>
  <conditionalFormatting sqref="A179:C198 G179:I198">
    <cfRule type="expression" dxfId="53" priority="19">
      <formula>AND($H179 &gt; 0, ISNUMBER($H179))</formula>
    </cfRule>
    <cfRule type="expression" dxfId="52" priority="20">
      <formula>AND($H179 = 0 * ISNUMBER($H179))</formula>
    </cfRule>
    <cfRule type="expression" dxfId="51" priority="21">
      <formula>AND($H179 &lt; 0, ISNUMBER($H179))</formula>
    </cfRule>
  </conditionalFormatting>
  <conditionalFormatting sqref="A179:C198 J179:L198">
    <cfRule type="expression" dxfId="50" priority="16">
      <formula>AND($K179 &gt; 0, ISNUMBER($K179))</formula>
    </cfRule>
    <cfRule type="expression" dxfId="49" priority="17">
      <formula>AND($K179 = 0 * ISNUMBER($K179))</formula>
    </cfRule>
    <cfRule type="expression" dxfId="48" priority="18">
      <formula>AND($K179 &lt; 0, ISNUMBER($K179))</formula>
    </cfRule>
  </conditionalFormatting>
  <conditionalFormatting sqref="D177:F178 E199:F199">
    <cfRule type="expression" dxfId="47" priority="10">
      <formula>$E$199 &gt; 0</formula>
    </cfRule>
    <cfRule type="expression" dxfId="46" priority="11">
      <formula>$E$199 = 0</formula>
    </cfRule>
    <cfRule type="expression" dxfId="45" priority="12">
      <formula>$E$199 &lt; 0</formula>
    </cfRule>
  </conditionalFormatting>
  <conditionalFormatting sqref="G177:I178 H199:I199">
    <cfRule type="expression" dxfId="44" priority="7">
      <formula>$H$199 &gt; 0</formula>
    </cfRule>
    <cfRule type="expression" dxfId="43" priority="8">
      <formula>$H$199 = 0</formula>
    </cfRule>
    <cfRule type="expression" dxfId="42" priority="9">
      <formula>$H$199 &lt; 0</formula>
    </cfRule>
  </conditionalFormatting>
  <conditionalFormatting sqref="J177:L178 K199:L199">
    <cfRule type="expression" dxfId="41" priority="4">
      <formula>$K$199 &gt; 0</formula>
    </cfRule>
    <cfRule type="expression" dxfId="40" priority="5">
      <formula>$K$199 = 0</formula>
    </cfRule>
    <cfRule type="expression" dxfId="39" priority="6">
      <formula>$K$199 &lt; 0</formula>
    </cfRule>
  </conditionalFormatting>
  <conditionalFormatting sqref="M177:O178 N199:O199">
    <cfRule type="expression" dxfId="38" priority="1">
      <formula>$N$199 &gt; 0</formula>
    </cfRule>
    <cfRule type="expression" dxfId="37" priority="2">
      <formula>$N$199 = 0</formula>
    </cfRule>
    <cfRule type="expression" dxfId="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2021-05-03T17:21:33Z</dcterms:modified>
</cp:coreProperties>
</file>