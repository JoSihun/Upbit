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0923EEF6-2DA0-421D-B33D-D7F265158E7A}" xr6:coauthVersionLast="46" xr6:coauthVersionMax="46" xr10:uidLastSave="{00000000-0000-0000-0000-000000000000}"/>
  <bookViews>
    <workbookView xWindow="28680" yWindow="-120" windowWidth="29040" windowHeight="15840" firstSheet="1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I170" i="29"/>
  <c r="H170" i="29"/>
  <c r="F170" i="29"/>
  <c r="E170" i="29"/>
  <c r="O169" i="29"/>
  <c r="N169" i="29"/>
  <c r="L169" i="29"/>
  <c r="K169" i="29"/>
  <c r="I169" i="29"/>
  <c r="H169" i="29"/>
  <c r="F169" i="29"/>
  <c r="E169" i="29"/>
  <c r="O168" i="29"/>
  <c r="N168" i="29"/>
  <c r="L168" i="29"/>
  <c r="K168" i="29"/>
  <c r="I168" i="29"/>
  <c r="H168" i="29"/>
  <c r="F168" i="29"/>
  <c r="E168" i="29"/>
  <c r="O167" i="29"/>
  <c r="N167" i="29"/>
  <c r="L167" i="29"/>
  <c r="K167" i="29"/>
  <c r="I167" i="29"/>
  <c r="H167" i="29"/>
  <c r="F167" i="29"/>
  <c r="E167" i="29"/>
  <c r="O166" i="29"/>
  <c r="N166" i="29"/>
  <c r="L166" i="29"/>
  <c r="K166" i="29"/>
  <c r="I166" i="29"/>
  <c r="H166" i="29"/>
  <c r="F166" i="29"/>
  <c r="E166" i="29"/>
  <c r="O165" i="29"/>
  <c r="N165" i="29"/>
  <c r="L165" i="29"/>
  <c r="K165" i="29"/>
  <c r="I165" i="29"/>
  <c r="H165" i="29"/>
  <c r="F165" i="29"/>
  <c r="E165" i="29"/>
  <c r="O164" i="29"/>
  <c r="N164" i="29"/>
  <c r="L164" i="29"/>
  <c r="K164" i="29"/>
  <c r="I164" i="29"/>
  <c r="H164" i="29"/>
  <c r="F164" i="29"/>
  <c r="E164" i="29"/>
  <c r="O163" i="29"/>
  <c r="N163" i="29"/>
  <c r="L163" i="29"/>
  <c r="K163" i="29"/>
  <c r="I163" i="29"/>
  <c r="H163" i="29"/>
  <c r="F163" i="29"/>
  <c r="E163" i="29"/>
  <c r="O162" i="29"/>
  <c r="N162" i="29"/>
  <c r="L162" i="29"/>
  <c r="K162" i="29"/>
  <c r="I162" i="29"/>
  <c r="H162" i="29"/>
  <c r="F162" i="29"/>
  <c r="E162" i="29"/>
  <c r="O161" i="29"/>
  <c r="N161" i="29"/>
  <c r="L161" i="29"/>
  <c r="K161" i="29"/>
  <c r="I161" i="29"/>
  <c r="H161" i="29"/>
  <c r="F161" i="29"/>
  <c r="E161" i="29"/>
  <c r="O160" i="29"/>
  <c r="N160" i="29"/>
  <c r="L160" i="29"/>
  <c r="K160" i="29"/>
  <c r="I160" i="29"/>
  <c r="H160" i="29"/>
  <c r="F160" i="29"/>
  <c r="E160" i="29"/>
  <c r="O159" i="29"/>
  <c r="N159" i="29"/>
  <c r="L159" i="29"/>
  <c r="K159" i="29"/>
  <c r="I159" i="29"/>
  <c r="H159" i="29"/>
  <c r="F159" i="29"/>
  <c r="E159" i="29"/>
  <c r="O158" i="29"/>
  <c r="N158" i="29"/>
  <c r="L158" i="29"/>
  <c r="K158" i="29"/>
  <c r="I158" i="29"/>
  <c r="H158" i="29"/>
  <c r="F158" i="29"/>
  <c r="E158" i="29"/>
  <c r="O157" i="29"/>
  <c r="N157" i="29"/>
  <c r="L157" i="29"/>
  <c r="K157" i="29"/>
  <c r="I157" i="29"/>
  <c r="H157" i="29"/>
  <c r="F157" i="29"/>
  <c r="E157" i="29"/>
  <c r="O156" i="29"/>
  <c r="N156" i="29"/>
  <c r="L156" i="29"/>
  <c r="K156" i="29"/>
  <c r="I156" i="29"/>
  <c r="H156" i="29"/>
  <c r="F156" i="29"/>
  <c r="E156" i="29"/>
  <c r="O155" i="29"/>
  <c r="N155" i="29"/>
  <c r="L155" i="29"/>
  <c r="K155" i="29"/>
  <c r="I155" i="29"/>
  <c r="H155" i="29"/>
  <c r="F155" i="29"/>
  <c r="E155" i="29"/>
  <c r="O154" i="29"/>
  <c r="N154" i="29"/>
  <c r="L154" i="29"/>
  <c r="K154" i="29"/>
  <c r="I154" i="29"/>
  <c r="H154" i="29"/>
  <c r="F154" i="29"/>
  <c r="E154" i="29"/>
  <c r="O153" i="29"/>
  <c r="N153" i="29"/>
  <c r="L153" i="29"/>
  <c r="K153" i="29"/>
  <c r="I153" i="29"/>
  <c r="H153" i="29"/>
  <c r="F153" i="29"/>
  <c r="E153" i="29"/>
  <c r="O152" i="29"/>
  <c r="O172" i="29" s="1"/>
  <c r="N152" i="29"/>
  <c r="N172" i="29" s="1"/>
  <c r="L152" i="29"/>
  <c r="L172" i="29" s="1"/>
  <c r="K152" i="29"/>
  <c r="K172" i="29" s="1"/>
  <c r="I152" i="29"/>
  <c r="I172" i="29" s="1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N145" i="29"/>
  <c r="K145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E142" i="29"/>
  <c r="F142" i="29" s="1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E130" i="29"/>
  <c r="F130" i="29" s="1"/>
  <c r="O129" i="29"/>
  <c r="N129" i="29"/>
  <c r="L129" i="29"/>
  <c r="K129" i="29"/>
  <c r="I129" i="29"/>
  <c r="H129" i="29"/>
  <c r="E129" i="29"/>
  <c r="F129" i="29" s="1"/>
  <c r="O128" i="29"/>
  <c r="N128" i="29"/>
  <c r="L128" i="29"/>
  <c r="K128" i="29"/>
  <c r="I128" i="29"/>
  <c r="H128" i="29"/>
  <c r="E128" i="29"/>
  <c r="F128" i="29" s="1"/>
  <c r="O127" i="29"/>
  <c r="N127" i="29"/>
  <c r="L127" i="29"/>
  <c r="K127" i="29"/>
  <c r="I127" i="29"/>
  <c r="H127" i="29"/>
  <c r="E127" i="29"/>
  <c r="F127" i="29" s="1"/>
  <c r="O126" i="29"/>
  <c r="N126" i="29"/>
  <c r="L126" i="29"/>
  <c r="K126" i="29"/>
  <c r="I126" i="29"/>
  <c r="H126" i="29"/>
  <c r="E126" i="29"/>
  <c r="F126" i="29" s="1"/>
  <c r="O125" i="29"/>
  <c r="O145" i="29" s="1"/>
  <c r="N125" i="29"/>
  <c r="L125" i="29"/>
  <c r="L145" i="29" s="1"/>
  <c r="K125" i="29"/>
  <c r="I125" i="29"/>
  <c r="I145" i="29" s="1"/>
  <c r="H125" i="29"/>
  <c r="H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I117" i="29"/>
  <c r="H117" i="29"/>
  <c r="E117" i="29"/>
  <c r="F117" i="29" s="1"/>
  <c r="O116" i="29"/>
  <c r="N116" i="29"/>
  <c r="L116" i="29"/>
  <c r="K116" i="29"/>
  <c r="I116" i="29"/>
  <c r="H116" i="29"/>
  <c r="E116" i="29"/>
  <c r="F116" i="29" s="1"/>
  <c r="F35" i="29" s="1"/>
  <c r="O115" i="29"/>
  <c r="N115" i="29"/>
  <c r="L115" i="29"/>
  <c r="K115" i="29"/>
  <c r="I115" i="29"/>
  <c r="H115" i="29"/>
  <c r="E115" i="29"/>
  <c r="F115" i="29" s="1"/>
  <c r="F34" i="29" s="1"/>
  <c r="O114" i="29"/>
  <c r="N114" i="29"/>
  <c r="L114" i="29"/>
  <c r="K114" i="29"/>
  <c r="I114" i="29"/>
  <c r="H114" i="29"/>
  <c r="E114" i="29"/>
  <c r="F114" i="29" s="1"/>
  <c r="F33" i="29" s="1"/>
  <c r="O113" i="29"/>
  <c r="N113" i="29"/>
  <c r="L113" i="29"/>
  <c r="K113" i="29"/>
  <c r="I113" i="29"/>
  <c r="H113" i="29"/>
  <c r="E113" i="29"/>
  <c r="F113" i="29" s="1"/>
  <c r="F32" i="29" s="1"/>
  <c r="O112" i="29"/>
  <c r="N112" i="29"/>
  <c r="L112" i="29"/>
  <c r="K112" i="29"/>
  <c r="I112" i="29"/>
  <c r="H112" i="29"/>
  <c r="E112" i="29"/>
  <c r="F112" i="29" s="1"/>
  <c r="F31" i="29" s="1"/>
  <c r="O111" i="29"/>
  <c r="N111" i="29"/>
  <c r="L111" i="29"/>
  <c r="K111" i="29"/>
  <c r="I111" i="29"/>
  <c r="H111" i="29"/>
  <c r="E111" i="29"/>
  <c r="F111" i="29" s="1"/>
  <c r="F30" i="29" s="1"/>
  <c r="O110" i="29"/>
  <c r="N110" i="29"/>
  <c r="L110" i="29"/>
  <c r="K110" i="29"/>
  <c r="I110" i="29"/>
  <c r="H110" i="29"/>
  <c r="E110" i="29"/>
  <c r="F110" i="29" s="1"/>
  <c r="F29" i="29" s="1"/>
  <c r="O109" i="29"/>
  <c r="N109" i="29"/>
  <c r="L109" i="29"/>
  <c r="K109" i="29"/>
  <c r="I109" i="29"/>
  <c r="H109" i="29"/>
  <c r="E109" i="29"/>
  <c r="F109" i="29" s="1"/>
  <c r="F28" i="29" s="1"/>
  <c r="O108" i="29"/>
  <c r="N108" i="29"/>
  <c r="L108" i="29"/>
  <c r="K108" i="29"/>
  <c r="I108" i="29"/>
  <c r="H108" i="29"/>
  <c r="E108" i="29"/>
  <c r="F108" i="29" s="1"/>
  <c r="F27" i="29" s="1"/>
  <c r="O107" i="29"/>
  <c r="N107" i="29"/>
  <c r="L107" i="29"/>
  <c r="K107" i="29"/>
  <c r="I107" i="29"/>
  <c r="H107" i="29"/>
  <c r="E107" i="29"/>
  <c r="F107" i="29" s="1"/>
  <c r="O106" i="29"/>
  <c r="N106" i="29"/>
  <c r="L106" i="29"/>
  <c r="K106" i="29"/>
  <c r="I106" i="29"/>
  <c r="H106" i="29"/>
  <c r="E106" i="29"/>
  <c r="F106" i="29" s="1"/>
  <c r="O105" i="29"/>
  <c r="N105" i="29"/>
  <c r="L105" i="29"/>
  <c r="K105" i="29"/>
  <c r="I105" i="29"/>
  <c r="H105" i="29"/>
  <c r="E105" i="29"/>
  <c r="F105" i="29" s="1"/>
  <c r="F24" i="29" s="1"/>
  <c r="O104" i="29"/>
  <c r="N104" i="29"/>
  <c r="L104" i="29"/>
  <c r="K104" i="29"/>
  <c r="I104" i="29"/>
  <c r="H104" i="29"/>
  <c r="E104" i="29"/>
  <c r="F104" i="29" s="1"/>
  <c r="F23" i="29" s="1"/>
  <c r="O103" i="29"/>
  <c r="N103" i="29"/>
  <c r="L103" i="29"/>
  <c r="K103" i="29"/>
  <c r="I103" i="29"/>
  <c r="H103" i="29"/>
  <c r="E103" i="29"/>
  <c r="F103" i="29" s="1"/>
  <c r="F22" i="29" s="1"/>
  <c r="O102" i="29"/>
  <c r="N102" i="29"/>
  <c r="L102" i="29"/>
  <c r="K102" i="29"/>
  <c r="I102" i="29"/>
  <c r="H102" i="29"/>
  <c r="E102" i="29"/>
  <c r="F102" i="29" s="1"/>
  <c r="F21" i="29" s="1"/>
  <c r="O101" i="29"/>
  <c r="N101" i="29"/>
  <c r="L101" i="29"/>
  <c r="K101" i="29"/>
  <c r="I101" i="29"/>
  <c r="H101" i="29"/>
  <c r="E101" i="29"/>
  <c r="F101" i="29" s="1"/>
  <c r="O100" i="29"/>
  <c r="N100" i="29"/>
  <c r="L100" i="29"/>
  <c r="K100" i="29"/>
  <c r="I100" i="29"/>
  <c r="H100" i="29"/>
  <c r="E100" i="29"/>
  <c r="F100" i="29" s="1"/>
  <c r="F19" i="29" s="1"/>
  <c r="O99" i="29"/>
  <c r="N99" i="29"/>
  <c r="L99" i="29"/>
  <c r="K99" i="29"/>
  <c r="I99" i="29"/>
  <c r="H99" i="29"/>
  <c r="E99" i="29"/>
  <c r="F99" i="29" s="1"/>
  <c r="O98" i="29"/>
  <c r="O118" i="29" s="1"/>
  <c r="N98" i="29"/>
  <c r="N118" i="29" s="1"/>
  <c r="L98" i="29"/>
  <c r="L118" i="29" s="1"/>
  <c r="K98" i="29"/>
  <c r="K118" i="29" s="1"/>
  <c r="I98" i="29"/>
  <c r="I118" i="29" s="1"/>
  <c r="H98" i="29"/>
  <c r="H118" i="29" s="1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L90" i="29"/>
  <c r="K90" i="29"/>
  <c r="I90" i="29"/>
  <c r="H90" i="29"/>
  <c r="E90" i="29"/>
  <c r="F90" i="29" s="1"/>
  <c r="O89" i="29"/>
  <c r="N89" i="29"/>
  <c r="L89" i="29"/>
  <c r="K89" i="29"/>
  <c r="I89" i="29"/>
  <c r="H89" i="29"/>
  <c r="E89" i="29"/>
  <c r="F89" i="29" s="1"/>
  <c r="O88" i="29"/>
  <c r="N88" i="29"/>
  <c r="L88" i="29"/>
  <c r="K88" i="29"/>
  <c r="I88" i="29"/>
  <c r="H88" i="29"/>
  <c r="E88" i="29"/>
  <c r="F88" i="29" s="1"/>
  <c r="O87" i="29"/>
  <c r="N87" i="29"/>
  <c r="L87" i="29"/>
  <c r="K87" i="29"/>
  <c r="I87" i="29"/>
  <c r="H87" i="29"/>
  <c r="E87" i="29"/>
  <c r="F87" i="29" s="1"/>
  <c r="O86" i="29"/>
  <c r="N86" i="29"/>
  <c r="L86" i="29"/>
  <c r="K86" i="29"/>
  <c r="I86" i="29"/>
  <c r="H86" i="29"/>
  <c r="E86" i="29"/>
  <c r="F86" i="29" s="1"/>
  <c r="O85" i="29"/>
  <c r="N85" i="29"/>
  <c r="L85" i="29"/>
  <c r="K85" i="29"/>
  <c r="I85" i="29"/>
  <c r="H85" i="29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L83" i="29"/>
  <c r="K83" i="29"/>
  <c r="I83" i="29"/>
  <c r="H83" i="29"/>
  <c r="E83" i="29"/>
  <c r="F83" i="29" s="1"/>
  <c r="O82" i="29"/>
  <c r="N82" i="29"/>
  <c r="L82" i="29"/>
  <c r="K82" i="29"/>
  <c r="I82" i="29"/>
  <c r="H82" i="29"/>
  <c r="E82" i="29"/>
  <c r="F82" i="29" s="1"/>
  <c r="O81" i="29"/>
  <c r="N81" i="29"/>
  <c r="L81" i="29"/>
  <c r="K81" i="29"/>
  <c r="I81" i="29"/>
  <c r="H81" i="29"/>
  <c r="E81" i="29"/>
  <c r="F81" i="29" s="1"/>
  <c r="O80" i="29"/>
  <c r="N80" i="29"/>
  <c r="L80" i="29"/>
  <c r="K80" i="29"/>
  <c r="I80" i="29"/>
  <c r="H80" i="29"/>
  <c r="E80" i="29"/>
  <c r="F80" i="29" s="1"/>
  <c r="O79" i="29"/>
  <c r="N79" i="29"/>
  <c r="L79" i="29"/>
  <c r="K79" i="29"/>
  <c r="I79" i="29"/>
  <c r="H79" i="29"/>
  <c r="E79" i="29"/>
  <c r="F79" i="29" s="1"/>
  <c r="O78" i="29"/>
  <c r="N78" i="29"/>
  <c r="L78" i="29"/>
  <c r="K78" i="29"/>
  <c r="I78" i="29"/>
  <c r="H78" i="29"/>
  <c r="E78" i="29"/>
  <c r="F78" i="29" s="1"/>
  <c r="O77" i="29"/>
  <c r="N77" i="29"/>
  <c r="L77" i="29"/>
  <c r="K77" i="29"/>
  <c r="I77" i="29"/>
  <c r="H77" i="29"/>
  <c r="E77" i="29"/>
  <c r="F77" i="29" s="1"/>
  <c r="O76" i="29"/>
  <c r="N76" i="29"/>
  <c r="L76" i="29"/>
  <c r="K76" i="29"/>
  <c r="I76" i="29"/>
  <c r="H76" i="29"/>
  <c r="E76" i="29"/>
  <c r="F76" i="29" s="1"/>
  <c r="O75" i="29"/>
  <c r="N75" i="29"/>
  <c r="L75" i="29"/>
  <c r="K75" i="29"/>
  <c r="I75" i="29"/>
  <c r="H75" i="29"/>
  <c r="E75" i="29"/>
  <c r="F75" i="29" s="1"/>
  <c r="O74" i="29"/>
  <c r="O36" i="29" s="1"/>
  <c r="N74" i="29"/>
  <c r="L74" i="29"/>
  <c r="K74" i="29"/>
  <c r="I74" i="29"/>
  <c r="I36" i="29" s="1"/>
  <c r="H74" i="29"/>
  <c r="E74" i="29"/>
  <c r="F74" i="29" s="1"/>
  <c r="F36" i="29" s="1"/>
  <c r="O73" i="29"/>
  <c r="N73" i="29"/>
  <c r="L73" i="29"/>
  <c r="K73" i="29"/>
  <c r="I73" i="29"/>
  <c r="H73" i="29"/>
  <c r="E73" i="29"/>
  <c r="F73" i="29" s="1"/>
  <c r="F26" i="29" s="1"/>
  <c r="O72" i="29"/>
  <c r="N72" i="29"/>
  <c r="L72" i="29"/>
  <c r="K72" i="29"/>
  <c r="I72" i="29"/>
  <c r="H72" i="29"/>
  <c r="E72" i="29"/>
  <c r="F72" i="29" s="1"/>
  <c r="F25" i="29" s="1"/>
  <c r="O71" i="29"/>
  <c r="O91" i="29" s="1"/>
  <c r="N71" i="29"/>
  <c r="N91" i="29" s="1"/>
  <c r="L71" i="29"/>
  <c r="L91" i="29" s="1"/>
  <c r="K71" i="29"/>
  <c r="K91" i="29" s="1"/>
  <c r="I71" i="29"/>
  <c r="I91" i="29" s="1"/>
  <c r="H71" i="29"/>
  <c r="H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E61" i="29"/>
  <c r="F61" i="29" s="1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O57" i="29"/>
  <c r="N57" i="29"/>
  <c r="L57" i="29"/>
  <c r="K57" i="29"/>
  <c r="I57" i="29"/>
  <c r="H57" i="29"/>
  <c r="F57" i="29"/>
  <c r="E57" i="29"/>
  <c r="O56" i="29"/>
  <c r="N56" i="29"/>
  <c r="L56" i="29"/>
  <c r="K56" i="29"/>
  <c r="I56" i="29"/>
  <c r="H56" i="29"/>
  <c r="F56" i="29"/>
  <c r="E56" i="29"/>
  <c r="O55" i="29"/>
  <c r="N55" i="29"/>
  <c r="L55" i="29"/>
  <c r="K55" i="29"/>
  <c r="I55" i="29"/>
  <c r="H55" i="29"/>
  <c r="F55" i="29"/>
  <c r="E55" i="29"/>
  <c r="O54" i="29"/>
  <c r="N54" i="29"/>
  <c r="L54" i="29"/>
  <c r="K54" i="29"/>
  <c r="I54" i="29"/>
  <c r="H54" i="29"/>
  <c r="F54" i="29"/>
  <c r="E54" i="29"/>
  <c r="O53" i="29"/>
  <c r="N53" i="29"/>
  <c r="L53" i="29"/>
  <c r="K53" i="29"/>
  <c r="I53" i="29"/>
  <c r="H53" i="29"/>
  <c r="E53" i="29"/>
  <c r="F53" i="29" s="1"/>
  <c r="O52" i="29"/>
  <c r="N52" i="29"/>
  <c r="L52" i="29"/>
  <c r="K52" i="29"/>
  <c r="I52" i="29"/>
  <c r="H52" i="29"/>
  <c r="E52" i="29"/>
  <c r="F52" i="29" s="1"/>
  <c r="O51" i="29"/>
  <c r="N51" i="29"/>
  <c r="L51" i="29"/>
  <c r="K51" i="29"/>
  <c r="I51" i="29"/>
  <c r="H51" i="29"/>
  <c r="E51" i="29"/>
  <c r="F51" i="29" s="1"/>
  <c r="O50" i="29"/>
  <c r="N50" i="29"/>
  <c r="L50" i="29"/>
  <c r="K50" i="29"/>
  <c r="I50" i="29"/>
  <c r="H50" i="29"/>
  <c r="E50" i="29"/>
  <c r="F50" i="29" s="1"/>
  <c r="O49" i="29"/>
  <c r="N49" i="29"/>
  <c r="L49" i="29"/>
  <c r="K49" i="29"/>
  <c r="I49" i="29"/>
  <c r="H49" i="29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L47" i="29"/>
  <c r="K47" i="29"/>
  <c r="I47" i="29"/>
  <c r="H47" i="29"/>
  <c r="E47" i="29"/>
  <c r="F47" i="29" s="1"/>
  <c r="O46" i="29"/>
  <c r="N46" i="29"/>
  <c r="L46" i="29"/>
  <c r="K46" i="29"/>
  <c r="I46" i="29"/>
  <c r="H46" i="29"/>
  <c r="E46" i="29"/>
  <c r="F46" i="29" s="1"/>
  <c r="O45" i="29"/>
  <c r="N45" i="29"/>
  <c r="L45" i="29"/>
  <c r="K45" i="29"/>
  <c r="I45" i="29"/>
  <c r="H45" i="29"/>
  <c r="E45" i="29"/>
  <c r="F45" i="29" s="1"/>
  <c r="F18" i="29" s="1"/>
  <c r="O44" i="29"/>
  <c r="O64" i="29" s="1"/>
  <c r="N44" i="29"/>
  <c r="N64" i="29" s="1"/>
  <c r="L44" i="29"/>
  <c r="L64" i="29" s="1"/>
  <c r="K44" i="29"/>
  <c r="K64" i="29" s="1"/>
  <c r="I44" i="29"/>
  <c r="I64" i="29" s="1"/>
  <c r="H44" i="29"/>
  <c r="H64" i="29" s="1"/>
  <c r="E44" i="29"/>
  <c r="M42" i="29"/>
  <c r="J42" i="29"/>
  <c r="G42" i="29"/>
  <c r="D42" i="29"/>
  <c r="B42" i="29"/>
  <c r="M41" i="29"/>
  <c r="G41" i="29"/>
  <c r="N36" i="29"/>
  <c r="M36" i="29"/>
  <c r="L36" i="29"/>
  <c r="K36" i="29"/>
  <c r="J36" i="29"/>
  <c r="H36" i="29"/>
  <c r="G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E64" i="29" l="1"/>
  <c r="F125" i="29"/>
  <c r="F145" i="29" s="1"/>
  <c r="F98" i="29"/>
  <c r="F71" i="29"/>
  <c r="F91" i="29" s="1"/>
  <c r="G7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E37" i="29"/>
  <c r="I37" i="29"/>
  <c r="K37" i="29"/>
  <c r="O37" i="29"/>
  <c r="H37" i="29"/>
  <c r="L37" i="29"/>
  <c r="N37" i="29"/>
  <c r="G9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F118" i="29" l="1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F37" i="29" l="1"/>
  <c r="G11" i="29" s="1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7" l="1"/>
  <c r="G11" i="26"/>
  <c r="G11" i="24"/>
  <c r="G7" i="24"/>
  <c r="G9" i="6"/>
  <c r="G11" i="6"/>
  <c r="G5" i="6" l="1"/>
  <c r="O202" i="9"/>
  <c r="H182" i="9"/>
  <c r="I194" i="9"/>
  <c r="O176" i="9"/>
  <c r="O184" i="9"/>
  <c r="L76" i="9"/>
  <c r="K112" i="9"/>
  <c r="E251" i="9"/>
  <c r="N220" i="9"/>
  <c r="H234" i="9"/>
  <c r="F251" i="9"/>
  <c r="H73" i="9"/>
  <c r="N186" i="9"/>
  <c r="F190" i="9"/>
  <c r="K278" i="9"/>
  <c r="H270" i="9"/>
  <c r="O192" i="9"/>
  <c r="K190" i="9"/>
  <c r="C213" i="9"/>
  <c r="H212" i="9"/>
  <c r="K228" i="9"/>
  <c r="O266" i="9"/>
  <c r="E137" i="9"/>
  <c r="N268" i="9"/>
  <c r="K106" i="9"/>
  <c r="N278" i="9"/>
  <c r="K271" i="9"/>
  <c r="L222" i="9"/>
  <c r="F259" i="9"/>
  <c r="L162" i="9"/>
  <c r="H235" i="9"/>
  <c r="O251" i="9"/>
  <c r="H276" i="9"/>
  <c r="K235" i="9"/>
  <c r="C163" i="9"/>
  <c r="L144" i="9"/>
  <c r="I263" i="9"/>
  <c r="L275" i="9"/>
  <c r="C83" i="9"/>
  <c r="L161" i="9"/>
  <c r="O183" i="9"/>
  <c r="F147" i="9"/>
  <c r="O180" i="9"/>
  <c r="E185" i="9"/>
  <c r="O88" i="9"/>
  <c r="I90" i="9"/>
  <c r="C103" i="9"/>
  <c r="H258" i="9"/>
  <c r="F197" i="9"/>
  <c r="O230" i="9"/>
  <c r="H230" i="9"/>
  <c r="H259" i="9"/>
  <c r="K226" i="9"/>
  <c r="H266" i="9"/>
  <c r="I260" i="9"/>
  <c r="K198" i="9"/>
  <c r="F115" i="9"/>
  <c r="L153" i="9"/>
  <c r="O273" i="9"/>
  <c r="K252" i="9"/>
  <c r="O108" i="9"/>
  <c r="F73" i="9"/>
  <c r="C195" i="9"/>
  <c r="H178" i="9"/>
  <c r="N254" i="9"/>
  <c r="K214" i="9"/>
  <c r="H110" i="9"/>
  <c r="C100" i="9"/>
  <c r="C90" i="9"/>
  <c r="E221" i="9"/>
  <c r="I60" i="9"/>
  <c r="H232" i="9"/>
  <c r="E186" i="9"/>
  <c r="C240" i="9"/>
  <c r="E111" i="9"/>
  <c r="O162" i="9"/>
  <c r="N143" i="9"/>
  <c r="I225" i="9"/>
  <c r="H217" i="9"/>
  <c r="L258" i="9"/>
  <c r="C174" i="9"/>
  <c r="E162" i="9"/>
  <c r="F159" i="9"/>
  <c r="F149" i="9"/>
  <c r="F202" i="9"/>
  <c r="K186" i="9"/>
  <c r="F187" i="9"/>
  <c r="O193" i="9"/>
  <c r="C279" i="9"/>
  <c r="K236" i="9"/>
  <c r="I280" i="9"/>
  <c r="E275" i="9"/>
  <c r="K145" i="9"/>
  <c r="N141" i="9"/>
  <c r="K127" i="9"/>
  <c r="F275" i="9"/>
  <c r="C190" i="9"/>
  <c r="E157" i="9"/>
  <c r="N250" i="9"/>
  <c r="N202" i="9"/>
  <c r="K242" i="9"/>
  <c r="I224" i="9"/>
  <c r="N264" i="9"/>
  <c r="E270" i="9"/>
  <c r="E230" i="9"/>
  <c r="H179" i="9"/>
  <c r="L224" i="9"/>
  <c r="N257" i="9"/>
  <c r="E161" i="9"/>
  <c r="N122" i="9"/>
  <c r="F250" i="9"/>
  <c r="E252" i="9"/>
  <c r="L75" i="9"/>
  <c r="O125" i="9"/>
  <c r="F112" i="9"/>
  <c r="E62" i="9"/>
  <c r="E198" i="9"/>
  <c r="H255" i="9"/>
  <c r="N100" i="9"/>
  <c r="I262" i="9"/>
  <c r="L267" i="9"/>
  <c r="O275" i="9"/>
  <c r="K107" i="9"/>
  <c r="I251" i="9"/>
  <c r="C217" i="9"/>
  <c r="O148" i="9"/>
  <c r="K258" i="9"/>
  <c r="I176" i="9"/>
  <c r="H278" i="9"/>
  <c r="F186" i="9"/>
  <c r="L157" i="9"/>
  <c r="E257" i="9"/>
  <c r="H242" i="9"/>
  <c r="H111" i="9"/>
  <c r="N128" i="9"/>
  <c r="N223" i="9"/>
  <c r="C266" i="9"/>
  <c r="H181" i="9"/>
  <c r="N276" i="9"/>
  <c r="O271" i="9"/>
  <c r="E280" i="9"/>
  <c r="E225" i="9"/>
  <c r="H151" i="9"/>
  <c r="K229" i="9"/>
  <c r="H189" i="9"/>
  <c r="K116" i="9"/>
  <c r="F174" i="9"/>
  <c r="K272" i="9"/>
  <c r="E187" i="9"/>
  <c r="E189" i="9"/>
  <c r="C278" i="9"/>
  <c r="I191" i="9"/>
  <c r="O107" i="9"/>
  <c r="N262" i="9"/>
  <c r="I274" i="9"/>
  <c r="I275" i="9"/>
  <c r="K225" i="9"/>
  <c r="I153" i="9"/>
  <c r="F192" i="9"/>
  <c r="F212" i="9"/>
  <c r="F267" i="9"/>
  <c r="L257" i="9"/>
  <c r="L263" i="9"/>
  <c r="O112" i="9"/>
  <c r="F213" i="9"/>
  <c r="I279" i="9"/>
  <c r="O158" i="9"/>
  <c r="F181" i="9"/>
  <c r="H233" i="9"/>
  <c r="E194" i="9"/>
  <c r="O61" i="9"/>
  <c r="I267" i="9"/>
  <c r="L105" i="9"/>
  <c r="I114" i="9"/>
  <c r="O154" i="9"/>
  <c r="L252" i="9"/>
  <c r="F253" i="9"/>
  <c r="F227" i="9"/>
  <c r="F260" i="9"/>
  <c r="H77" i="9"/>
  <c r="H275" i="9"/>
  <c r="K253" i="9"/>
  <c r="K277" i="9"/>
  <c r="I259" i="9"/>
  <c r="I158" i="9"/>
  <c r="N196" i="9"/>
  <c r="C264" i="9"/>
  <c r="L266" i="9"/>
  <c r="F239" i="9"/>
  <c r="F68" i="9"/>
  <c r="K101" i="9"/>
  <c r="F225" i="9"/>
  <c r="C236" i="9"/>
  <c r="K217" i="9"/>
  <c r="O150" i="9"/>
  <c r="I228" i="9"/>
  <c r="O128" i="9"/>
  <c r="F195" i="9"/>
  <c r="F183" i="9"/>
  <c r="I216" i="9"/>
  <c r="K152" i="9"/>
  <c r="F80" i="9"/>
  <c r="E105" i="9"/>
  <c r="E219" i="9"/>
  <c r="L242" i="9"/>
  <c r="F86" i="9"/>
  <c r="C227" i="9"/>
  <c r="N255" i="9"/>
  <c r="I252" i="9"/>
  <c r="F196" i="9"/>
  <c r="E106" i="9"/>
  <c r="K201" i="9"/>
  <c r="O253" i="9"/>
  <c r="F177" i="9"/>
  <c r="N275" i="9"/>
  <c r="L152" i="9"/>
  <c r="I277" i="9"/>
  <c r="I188" i="9"/>
  <c r="N212" i="9"/>
  <c r="L269" i="9"/>
  <c r="O262" i="9"/>
  <c r="I192" i="9"/>
  <c r="H115" i="9"/>
  <c r="E273" i="9"/>
  <c r="O256" i="9"/>
  <c r="F146" i="9"/>
  <c r="K196" i="9"/>
  <c r="O252" i="9"/>
  <c r="C253" i="9"/>
  <c r="I230" i="9"/>
  <c r="H224" i="9"/>
  <c r="E118" i="9"/>
  <c r="F203" i="9"/>
  <c r="H187" i="9"/>
  <c r="I264" i="9"/>
  <c r="I202" i="9"/>
  <c r="C215" i="9"/>
  <c r="E218" i="9"/>
  <c r="N258" i="9"/>
  <c r="K183" i="9"/>
  <c r="E123" i="9"/>
  <c r="N241" i="9"/>
  <c r="C161" i="9"/>
  <c r="O70" i="9"/>
  <c r="H154" i="9"/>
  <c r="E236" i="9"/>
  <c r="C177" i="9"/>
  <c r="C231" i="9"/>
  <c r="O199" i="9"/>
  <c r="C123" i="9"/>
  <c r="N219" i="9"/>
  <c r="F155" i="9"/>
  <c r="E254" i="9"/>
  <c r="E261" i="9"/>
  <c r="F180" i="9"/>
  <c r="C146" i="9"/>
  <c r="N273" i="9"/>
  <c r="L274" i="9"/>
  <c r="H186" i="9"/>
  <c r="K251" i="9"/>
  <c r="L145" i="9"/>
  <c r="E266" i="9"/>
  <c r="K179" i="9"/>
  <c r="I250" i="9"/>
  <c r="K280" i="9"/>
  <c r="L138" i="9"/>
  <c r="C218" i="9"/>
  <c r="K261" i="9"/>
  <c r="E258" i="9"/>
  <c r="K230" i="9"/>
  <c r="I83" i="9"/>
  <c r="E112" i="9"/>
  <c r="I231" i="9"/>
  <c r="O242" i="9"/>
  <c r="E213" i="9"/>
  <c r="L225" i="9"/>
  <c r="L255" i="9"/>
  <c r="F269" i="9"/>
  <c r="I163" i="9"/>
  <c r="N148" i="9"/>
  <c r="K194" i="9"/>
  <c r="K193" i="9"/>
  <c r="C201" i="9"/>
  <c r="K237" i="9"/>
  <c r="E259" i="9"/>
  <c r="O225" i="9"/>
  <c r="I239" i="9"/>
  <c r="H123" i="9"/>
  <c r="H176" i="9"/>
  <c r="O238" i="9"/>
  <c r="L154" i="9"/>
  <c r="F223" i="9"/>
  <c r="L195" i="9"/>
  <c r="O200" i="9"/>
  <c r="I185" i="9"/>
  <c r="C179" i="9"/>
  <c r="H87" i="9"/>
  <c r="F268" i="9"/>
  <c r="O81" i="9"/>
  <c r="L71" i="9"/>
  <c r="C73" i="9"/>
  <c r="E196" i="9"/>
  <c r="K234" i="9"/>
  <c r="N269" i="9"/>
  <c r="H148" i="9"/>
  <c r="C254" i="9"/>
  <c r="L230" i="9"/>
  <c r="H119" i="9"/>
  <c r="O151" i="9"/>
  <c r="I177" i="9"/>
  <c r="H231" i="9"/>
  <c r="O213" i="9"/>
  <c r="H240" i="9"/>
  <c r="I195" i="9"/>
  <c r="C156" i="9"/>
  <c r="F263" i="9"/>
  <c r="I175" i="9"/>
  <c r="N189" i="9"/>
  <c r="N183" i="9"/>
  <c r="F222" i="9"/>
  <c r="E203" i="9"/>
  <c r="N117" i="9"/>
  <c r="I157" i="9"/>
  <c r="E214" i="9"/>
  <c r="H229" i="9"/>
  <c r="H192" i="9"/>
  <c r="K125" i="9"/>
  <c r="L176" i="9"/>
  <c r="F199" i="9"/>
  <c r="I125" i="9"/>
  <c r="F184" i="9"/>
  <c r="E160" i="9"/>
  <c r="L165" i="9"/>
  <c r="O276" i="9"/>
  <c r="F193" i="9"/>
  <c r="E150" i="9"/>
  <c r="L200" i="9"/>
  <c r="N187" i="9"/>
  <c r="I271" i="9"/>
  <c r="I179" i="9"/>
  <c r="E278" i="9"/>
  <c r="F234" i="9"/>
  <c r="L268" i="9"/>
  <c r="K221" i="9"/>
  <c r="C271" i="9"/>
  <c r="L240" i="9"/>
  <c r="H144" i="9"/>
  <c r="C164" i="9"/>
  <c r="H185" i="9"/>
  <c r="L213" i="9"/>
  <c r="L280" i="9"/>
  <c r="C251" i="9"/>
  <c r="K257" i="9"/>
  <c r="I213" i="9"/>
  <c r="H271" i="9"/>
  <c r="H190" i="9"/>
  <c r="C99" i="9"/>
  <c r="C153" i="9"/>
  <c r="K222" i="9"/>
  <c r="H221" i="9"/>
  <c r="H102" i="9"/>
  <c r="L231" i="9"/>
  <c r="F228" i="9"/>
  <c r="H254" i="9"/>
  <c r="C252" i="9"/>
  <c r="L106" i="9"/>
  <c r="C162" i="9"/>
  <c r="C198" i="9"/>
  <c r="O254" i="9"/>
  <c r="C265" i="9"/>
  <c r="K233" i="9"/>
  <c r="K240" i="9"/>
  <c r="H273" i="9"/>
  <c r="I143" i="9"/>
  <c r="K192" i="9"/>
  <c r="N213" i="9"/>
  <c r="O189" i="9"/>
  <c r="K177" i="9"/>
  <c r="F217" i="9"/>
  <c r="I232" i="9"/>
  <c r="F235" i="9"/>
  <c r="C175" i="9"/>
  <c r="L202" i="9"/>
  <c r="H64" i="9"/>
  <c r="L194" i="9"/>
  <c r="C144" i="9"/>
  <c r="F255" i="9"/>
  <c r="E226" i="9"/>
  <c r="L234" i="9"/>
  <c r="L265" i="9"/>
  <c r="E253" i="9"/>
  <c r="K175" i="9"/>
  <c r="O259" i="9"/>
  <c r="F258" i="9"/>
  <c r="L238" i="9"/>
  <c r="L120" i="9"/>
  <c r="N111" i="9"/>
  <c r="H153" i="9"/>
  <c r="L228" i="9"/>
  <c r="K123" i="9"/>
  <c r="E265" i="9"/>
  <c r="C151" i="9"/>
  <c r="I187" i="9"/>
  <c r="E233" i="9"/>
  <c r="O115" i="9"/>
  <c r="C145" i="9"/>
  <c r="N104" i="9"/>
  <c r="I200" i="9"/>
  <c r="F179" i="9"/>
  <c r="I121" i="9"/>
  <c r="I127" i="9"/>
  <c r="E177" i="9"/>
  <c r="C109" i="9"/>
  <c r="N60" i="9"/>
  <c r="C124" i="9"/>
  <c r="I203" i="9"/>
  <c r="I86" i="9"/>
  <c r="N81" i="9"/>
  <c r="I265" i="9"/>
  <c r="C147" i="9"/>
  <c r="H262" i="9"/>
  <c r="F116" i="9"/>
  <c r="H219" i="9"/>
  <c r="I278" i="9"/>
  <c r="C72" i="9"/>
  <c r="H213" i="9"/>
  <c r="K62" i="9"/>
  <c r="F164" i="9"/>
  <c r="O231" i="9"/>
  <c r="C116" i="9"/>
  <c r="N192" i="9"/>
  <c r="N62" i="9"/>
  <c r="E64" i="9"/>
  <c r="N72" i="9"/>
  <c r="K75" i="9"/>
  <c r="N188" i="9"/>
  <c r="C204" i="9"/>
  <c r="K178" i="9"/>
  <c r="L147" i="9"/>
  <c r="H155" i="9"/>
  <c r="K137" i="9"/>
  <c r="E277" i="9"/>
  <c r="L86" i="9"/>
  <c r="O265" i="9"/>
  <c r="E264" i="9"/>
  <c r="N160" i="9"/>
  <c r="C143" i="9"/>
  <c r="E109" i="9"/>
  <c r="N266" i="9"/>
  <c r="H223" i="9"/>
  <c r="N231" i="9"/>
  <c r="E141" i="9"/>
  <c r="H204" i="9"/>
  <c r="F204" i="9"/>
  <c r="E66" i="9"/>
  <c r="L237" i="9"/>
  <c r="L123" i="9"/>
  <c r="I64" i="9"/>
  <c r="E276" i="9"/>
  <c r="K267" i="9"/>
  <c r="N115" i="9"/>
  <c r="K147" i="9"/>
  <c r="N163" i="9"/>
  <c r="C128" i="9"/>
  <c r="O277" i="9"/>
  <c r="L118" i="9"/>
  <c r="F136" i="9"/>
  <c r="K77" i="9"/>
  <c r="O113" i="9"/>
  <c r="O75" i="9"/>
  <c r="H61" i="9"/>
  <c r="F276" i="9"/>
  <c r="F108" i="9"/>
  <c r="L166" i="9"/>
  <c r="L127" i="9"/>
  <c r="I255" i="9"/>
  <c r="E260" i="9"/>
  <c r="F274" i="9"/>
  <c r="E115" i="9"/>
  <c r="E155" i="9"/>
  <c r="H120" i="9"/>
  <c r="C180" i="9"/>
  <c r="E202" i="9"/>
  <c r="I215" i="9"/>
  <c r="H127" i="9"/>
  <c r="N161" i="9"/>
  <c r="C182" i="9"/>
  <c r="N98" i="9"/>
  <c r="E235" i="9"/>
  <c r="O164" i="9"/>
  <c r="H162" i="9"/>
  <c r="K117" i="9"/>
  <c r="I140" i="9"/>
  <c r="K184" i="9"/>
  <c r="F280" i="9"/>
  <c r="H202" i="9"/>
  <c r="I273" i="9"/>
  <c r="F240" i="9"/>
  <c r="K120" i="9"/>
  <c r="C136" i="9"/>
  <c r="O221" i="9"/>
  <c r="O257" i="9"/>
  <c r="O222" i="9"/>
  <c r="L277" i="9"/>
  <c r="E200" i="9"/>
  <c r="I193" i="9"/>
  <c r="L114" i="9"/>
  <c r="I268" i="9"/>
  <c r="O258" i="9"/>
  <c r="L174" i="9"/>
  <c r="I75" i="9"/>
  <c r="F76" i="9"/>
  <c r="O204" i="9"/>
  <c r="E274" i="9"/>
  <c r="F218" i="9"/>
  <c r="L192" i="9"/>
  <c r="H280" i="9"/>
  <c r="E227" i="9"/>
  <c r="I269" i="9"/>
  <c r="N61" i="9"/>
  <c r="C126" i="9"/>
  <c r="E73" i="9"/>
  <c r="E212" i="9"/>
  <c r="N145" i="9"/>
  <c r="O264" i="9"/>
  <c r="N181" i="9"/>
  <c r="F264" i="9"/>
  <c r="K197" i="9"/>
  <c r="N195" i="9"/>
  <c r="N164" i="9"/>
  <c r="H252" i="9"/>
  <c r="K262" i="9"/>
  <c r="C239" i="9"/>
  <c r="H195" i="9"/>
  <c r="H158" i="9"/>
  <c r="H145" i="9"/>
  <c r="K65" i="9"/>
  <c r="E191" i="9"/>
  <c r="C185" i="9"/>
  <c r="K180" i="9"/>
  <c r="I189" i="9"/>
  <c r="I181" i="9"/>
  <c r="E279" i="9"/>
  <c r="K90" i="9"/>
  <c r="C200" i="9"/>
  <c r="E180" i="9"/>
  <c r="I183" i="9"/>
  <c r="F238" i="9"/>
  <c r="N230" i="9"/>
  <c r="I254" i="9"/>
  <c r="C230" i="9"/>
  <c r="L125" i="9"/>
  <c r="C263" i="9"/>
  <c r="F242" i="9"/>
  <c r="L203" i="9"/>
  <c r="O144" i="9"/>
  <c r="L101" i="9"/>
  <c r="K268" i="9"/>
  <c r="E70" i="9"/>
  <c r="N73" i="9"/>
  <c r="N242" i="9"/>
  <c r="C121" i="9"/>
  <c r="K124" i="9"/>
  <c r="N222" i="9"/>
  <c r="E149" i="9"/>
  <c r="H274" i="9"/>
  <c r="N83" i="9"/>
  <c r="I71" i="9"/>
  <c r="C237" i="9"/>
  <c r="I221" i="9"/>
  <c r="L201" i="9"/>
  <c r="H253" i="9"/>
  <c r="F270" i="9"/>
  <c r="O226" i="9"/>
  <c r="C242" i="9"/>
  <c r="I238" i="9"/>
  <c r="N142" i="9"/>
  <c r="F152" i="9"/>
  <c r="C139" i="9"/>
  <c r="K105" i="9"/>
  <c r="K266" i="9"/>
  <c r="O62" i="9"/>
  <c r="E144" i="9"/>
  <c r="E165" i="9"/>
  <c r="C149" i="9"/>
  <c r="O101" i="9"/>
  <c r="L111" i="9"/>
  <c r="L70" i="9"/>
  <c r="C220" i="9"/>
  <c r="H137" i="9"/>
  <c r="C272" i="9"/>
  <c r="E166" i="9"/>
  <c r="N103" i="9"/>
  <c r="K220" i="9"/>
  <c r="O138" i="9"/>
  <c r="C260" i="9"/>
  <c r="F63" i="9"/>
  <c r="E126" i="9"/>
  <c r="H116" i="9"/>
  <c r="C65" i="9"/>
  <c r="H140" i="9"/>
  <c r="L141" i="9"/>
  <c r="K203" i="9"/>
  <c r="N271" i="9"/>
  <c r="F215" i="9"/>
  <c r="F161" i="9"/>
  <c r="K159" i="9"/>
  <c r="E184" i="9"/>
  <c r="N232" i="9"/>
  <c r="K215" i="9"/>
  <c r="F79" i="9"/>
  <c r="L214" i="9"/>
  <c r="I165" i="9"/>
  <c r="F64" i="9"/>
  <c r="E74" i="9"/>
  <c r="C235" i="9"/>
  <c r="L99" i="9"/>
  <c r="L110" i="9"/>
  <c r="N159" i="9"/>
  <c r="I161" i="9"/>
  <c r="K260" i="9"/>
  <c r="N110" i="9"/>
  <c r="C157" i="9"/>
  <c r="F200" i="9"/>
  <c r="E271" i="9"/>
  <c r="K227" i="9"/>
  <c r="C137" i="9"/>
  <c r="O122" i="9"/>
  <c r="L159" i="9"/>
  <c r="I79" i="9"/>
  <c r="I63" i="9"/>
  <c r="C189" i="9"/>
  <c r="N138" i="9"/>
  <c r="N251" i="9"/>
  <c r="L261" i="9"/>
  <c r="I270" i="9"/>
  <c r="I198" i="9"/>
  <c r="L220" i="9"/>
  <c r="C127" i="9"/>
  <c r="K255" i="9"/>
  <c r="I162" i="9"/>
  <c r="E61" i="9"/>
  <c r="H184" i="9"/>
  <c r="N198" i="9"/>
  <c r="L229" i="9"/>
  <c r="F141" i="9"/>
  <c r="K274" i="9"/>
  <c r="H269" i="9"/>
  <c r="N226" i="9"/>
  <c r="I240" i="9"/>
  <c r="E222" i="9"/>
  <c r="N136" i="9"/>
  <c r="C60" i="9"/>
  <c r="F175" i="9"/>
  <c r="I123" i="9"/>
  <c r="H263" i="9"/>
  <c r="I272" i="9"/>
  <c r="N119" i="9"/>
  <c r="O219" i="9"/>
  <c r="O269" i="9"/>
  <c r="N216" i="9"/>
  <c r="N177" i="9"/>
  <c r="E267" i="9"/>
  <c r="K138" i="9"/>
  <c r="E107" i="9"/>
  <c r="E142" i="9"/>
  <c r="N199" i="9"/>
  <c r="O126" i="9"/>
  <c r="H72" i="9"/>
  <c r="E101" i="9"/>
  <c r="C238" i="9"/>
  <c r="H107" i="9"/>
  <c r="K108" i="9"/>
  <c r="L77" i="9"/>
  <c r="E269" i="9"/>
  <c r="E193" i="9"/>
  <c r="K71" i="9"/>
  <c r="I276" i="9"/>
  <c r="E188" i="9"/>
  <c r="H136" i="9"/>
  <c r="L187" i="9"/>
  <c r="N112" i="9"/>
  <c r="O117" i="9"/>
  <c r="N280" i="9"/>
  <c r="H251" i="9"/>
  <c r="O179" i="9"/>
  <c r="K263" i="9"/>
  <c r="O74" i="9"/>
  <c r="H261" i="9"/>
  <c r="E215" i="9"/>
  <c r="L175" i="9"/>
  <c r="I217" i="9"/>
  <c r="N144" i="9"/>
  <c r="K216" i="9"/>
  <c r="L221" i="9"/>
  <c r="I99" i="9"/>
  <c r="C241" i="9"/>
  <c r="E197" i="9"/>
  <c r="N165" i="9"/>
  <c r="I151" i="9"/>
  <c r="K78" i="9"/>
  <c r="K181" i="9"/>
  <c r="F229" i="9"/>
  <c r="I119" i="9"/>
  <c r="N137" i="9"/>
  <c r="K150" i="9"/>
  <c r="K72" i="9"/>
  <c r="E68" i="9"/>
  <c r="C276" i="9"/>
  <c r="L100" i="9"/>
  <c r="L113" i="9"/>
  <c r="H62" i="9"/>
  <c r="F137" i="9"/>
  <c r="N233" i="9"/>
  <c r="C268" i="9"/>
  <c r="H236" i="9"/>
  <c r="O241" i="9"/>
  <c r="K259" i="9"/>
  <c r="K143" i="9"/>
  <c r="F233" i="9"/>
  <c r="E90" i="9"/>
  <c r="F232" i="9"/>
  <c r="O137" i="9"/>
  <c r="F142" i="9"/>
  <c r="H71" i="9"/>
  <c r="K231" i="9"/>
  <c r="O156" i="9"/>
  <c r="K270" i="9"/>
  <c r="I144" i="9"/>
  <c r="K87" i="9"/>
  <c r="C98" i="9"/>
  <c r="N67" i="9"/>
  <c r="I145" i="9"/>
  <c r="I227" i="9"/>
  <c r="E117" i="9"/>
  <c r="O227" i="9"/>
  <c r="F277" i="9"/>
  <c r="F104" i="9"/>
  <c r="N152" i="9"/>
  <c r="L212" i="9"/>
  <c r="L65" i="9"/>
  <c r="O223" i="9"/>
  <c r="O104" i="9"/>
  <c r="L164" i="9"/>
  <c r="N215" i="9"/>
  <c r="N229" i="9"/>
  <c r="C274" i="9"/>
  <c r="C222" i="9"/>
  <c r="O203" i="9"/>
  <c r="O232" i="9"/>
  <c r="N274" i="9"/>
  <c r="I233" i="9"/>
  <c r="E147" i="9"/>
  <c r="F105" i="9"/>
  <c r="F165" i="9"/>
  <c r="O229" i="9"/>
  <c r="I112" i="9"/>
  <c r="N263" i="9"/>
  <c r="N149" i="9"/>
  <c r="H257" i="9"/>
  <c r="H241" i="9"/>
  <c r="E174" i="9"/>
  <c r="O174" i="9"/>
  <c r="N265" i="9"/>
  <c r="L232" i="9"/>
  <c r="O201" i="9"/>
  <c r="C229" i="9"/>
  <c r="H149" i="9"/>
  <c r="L233" i="9"/>
  <c r="E153" i="9"/>
  <c r="I137" i="9"/>
  <c r="H141" i="9"/>
  <c r="N191" i="9"/>
  <c r="L278" i="9"/>
  <c r="K276" i="9"/>
  <c r="L199" i="9"/>
  <c r="F278" i="9"/>
  <c r="N259" i="9"/>
  <c r="I234" i="9"/>
  <c r="H89" i="9"/>
  <c r="F62" i="9"/>
  <c r="O89" i="9"/>
  <c r="N107" i="9"/>
  <c r="L74" i="9"/>
  <c r="E237" i="9"/>
  <c r="O197" i="9"/>
  <c r="C214" i="9"/>
  <c r="O214" i="9"/>
  <c r="H197" i="9"/>
  <c r="K139" i="9"/>
  <c r="C77" i="9"/>
  <c r="O190" i="9"/>
  <c r="O71" i="9"/>
  <c r="E116" i="9"/>
  <c r="L85" i="9"/>
  <c r="N166" i="9"/>
  <c r="O123" i="9"/>
  <c r="I103" i="9"/>
  <c r="H63" i="9"/>
  <c r="H174" i="9"/>
  <c r="H108" i="9"/>
  <c r="H214" i="9"/>
  <c r="E263" i="9"/>
  <c r="E272" i="9"/>
  <c r="H238" i="9"/>
  <c r="F99" i="9"/>
  <c r="K103" i="9"/>
  <c r="N65" i="9"/>
  <c r="N182" i="9"/>
  <c r="C76" i="9"/>
  <c r="F150" i="9"/>
  <c r="O165" i="9"/>
  <c r="N201" i="9"/>
  <c r="K189" i="9"/>
  <c r="E152" i="9"/>
  <c r="L112" i="9"/>
  <c r="H199" i="9"/>
  <c r="I111" i="9"/>
  <c r="O234" i="9"/>
  <c r="H272" i="9"/>
  <c r="H256" i="9"/>
  <c r="O145" i="9"/>
  <c r="L227" i="9"/>
  <c r="O194" i="9"/>
  <c r="E104" i="9"/>
  <c r="L87" i="9"/>
  <c r="I182" i="9"/>
  <c r="E183" i="9"/>
  <c r="H191" i="9"/>
  <c r="K82" i="9"/>
  <c r="H128" i="9"/>
  <c r="E140" i="9"/>
  <c r="E192" i="9"/>
  <c r="O268" i="9"/>
  <c r="O255" i="9"/>
  <c r="I98" i="9"/>
  <c r="H228" i="9"/>
  <c r="I229" i="9"/>
  <c r="H84" i="9"/>
  <c r="F221" i="9"/>
  <c r="N239" i="9"/>
  <c r="N174" i="9"/>
  <c r="L271" i="9"/>
  <c r="K224" i="9"/>
  <c r="L253" i="9"/>
  <c r="C104" i="9"/>
  <c r="N270" i="9"/>
  <c r="L197" i="9"/>
  <c r="L239" i="9"/>
  <c r="O270" i="9"/>
  <c r="O153" i="9"/>
  <c r="K165" i="9"/>
  <c r="L217" i="9"/>
  <c r="N228" i="9"/>
  <c r="E138" i="9"/>
  <c r="F123" i="9"/>
  <c r="F114" i="9"/>
  <c r="I80" i="9"/>
  <c r="N109" i="9"/>
  <c r="H118" i="9"/>
  <c r="E224" i="9"/>
  <c r="E84" i="9"/>
  <c r="I117" i="9"/>
  <c r="C176" i="9"/>
  <c r="O90" i="9"/>
  <c r="N76" i="9"/>
  <c r="K202" i="9"/>
  <c r="O139" i="9"/>
  <c r="C193" i="9"/>
  <c r="I100" i="9"/>
  <c r="F122" i="9"/>
  <c r="I148" i="9"/>
  <c r="L190" i="9"/>
  <c r="L156" i="9"/>
  <c r="O267" i="9"/>
  <c r="N260" i="9"/>
  <c r="K232" i="9"/>
  <c r="K76" i="9"/>
  <c r="O250" i="9"/>
  <c r="O160" i="9"/>
  <c r="K273" i="9"/>
  <c r="L262" i="9"/>
  <c r="F256" i="9"/>
  <c r="H215" i="9"/>
  <c r="C256" i="9"/>
  <c r="H216" i="9"/>
  <c r="E195" i="9"/>
  <c r="N178" i="9"/>
  <c r="L179" i="9"/>
  <c r="K86" i="9"/>
  <c r="O239" i="9"/>
  <c r="E268" i="9"/>
  <c r="E250" i="9"/>
  <c r="C258" i="9"/>
  <c r="C187" i="9"/>
  <c r="O224" i="9"/>
  <c r="H175" i="9"/>
  <c r="H277" i="9"/>
  <c r="C267" i="9"/>
  <c r="C219" i="9"/>
  <c r="K199" i="9"/>
  <c r="K60" i="9"/>
  <c r="C178" i="9"/>
  <c r="L81" i="9"/>
  <c r="K157" i="9"/>
  <c r="I105" i="9"/>
  <c r="L136" i="9"/>
  <c r="F257" i="9"/>
  <c r="I150" i="9"/>
  <c r="F265" i="9"/>
  <c r="E238" i="9"/>
  <c r="C114" i="9"/>
  <c r="I72" i="9"/>
  <c r="L122" i="9"/>
  <c r="K188" i="9"/>
  <c r="H69" i="9"/>
  <c r="E128" i="9"/>
  <c r="K185" i="9"/>
  <c r="N218" i="9"/>
  <c r="K256" i="9"/>
  <c r="I218" i="9"/>
  <c r="F201" i="9"/>
  <c r="L198" i="9"/>
  <c r="O67" i="9"/>
  <c r="K218" i="9"/>
  <c r="H124" i="9"/>
  <c r="L236" i="9"/>
  <c r="F70" i="9"/>
  <c r="L279" i="9"/>
  <c r="O218" i="9"/>
  <c r="C155" i="9"/>
  <c r="C186" i="9"/>
  <c r="I61" i="9"/>
  <c r="F117" i="9"/>
  <c r="H198" i="9"/>
  <c r="L184" i="9"/>
  <c r="N214" i="9"/>
  <c r="L119" i="9"/>
  <c r="C216" i="9"/>
  <c r="H66" i="9"/>
  <c r="E136" i="9"/>
  <c r="O159" i="9"/>
  <c r="C71" i="9"/>
  <c r="K166" i="9"/>
  <c r="I178" i="9"/>
  <c r="I223" i="9"/>
  <c r="F138" i="9"/>
  <c r="K269" i="9"/>
  <c r="O141" i="9"/>
  <c r="L160" i="9"/>
  <c r="N236" i="9"/>
  <c r="O274" i="9"/>
  <c r="H265" i="9"/>
  <c r="C233" i="9"/>
  <c r="C269" i="9"/>
  <c r="H164" i="9"/>
  <c r="L256" i="9"/>
  <c r="E99" i="9"/>
  <c r="H193" i="9"/>
  <c r="I118" i="9"/>
  <c r="L107" i="9"/>
  <c r="K176" i="9"/>
  <c r="C115" i="9"/>
  <c r="N79" i="9"/>
  <c r="F220" i="9"/>
  <c r="F191" i="9"/>
  <c r="F178" i="9"/>
  <c r="E201" i="9"/>
  <c r="N90" i="9"/>
  <c r="E240" i="9"/>
  <c r="L241" i="9"/>
  <c r="H218" i="9"/>
  <c r="K100" i="9"/>
  <c r="E239" i="9"/>
  <c r="C159" i="9"/>
  <c r="F237" i="9"/>
  <c r="C259" i="9"/>
  <c r="C226" i="9"/>
  <c r="C108" i="9"/>
  <c r="C270" i="9"/>
  <c r="L124" i="9"/>
  <c r="F188" i="9"/>
  <c r="E80" i="9"/>
  <c r="L186" i="9"/>
  <c r="C113" i="9"/>
  <c r="I212" i="9"/>
  <c r="N197" i="9"/>
  <c r="L273" i="9"/>
  <c r="F125" i="9"/>
  <c r="K279" i="9"/>
  <c r="N153" i="9"/>
  <c r="C66" i="9"/>
  <c r="I190" i="9"/>
  <c r="K161" i="9"/>
  <c r="E154" i="9"/>
  <c r="N180" i="9"/>
  <c r="H225" i="9"/>
  <c r="F219" i="9"/>
  <c r="L108" i="9"/>
  <c r="F216" i="9"/>
  <c r="N80" i="9"/>
  <c r="C160" i="9"/>
  <c r="O278" i="9"/>
  <c r="N190" i="9"/>
  <c r="F83" i="9"/>
  <c r="L182" i="9"/>
  <c r="E228" i="9"/>
  <c r="E151" i="9"/>
  <c r="E255" i="9"/>
  <c r="L250" i="9"/>
  <c r="E223" i="9"/>
  <c r="O136" i="9"/>
  <c r="H220" i="9"/>
  <c r="I241" i="9"/>
  <c r="I89" i="9"/>
  <c r="K88" i="9"/>
  <c r="L254" i="9"/>
  <c r="E182" i="9"/>
  <c r="C183" i="9"/>
  <c r="I257" i="9"/>
  <c r="L272" i="9"/>
  <c r="C184" i="9"/>
  <c r="I126" i="9"/>
  <c r="N155" i="9"/>
  <c r="C111" i="9"/>
  <c r="N179" i="9"/>
  <c r="N89" i="9"/>
  <c r="C150" i="9"/>
  <c r="L215" i="9"/>
  <c r="H90" i="9"/>
  <c r="N139" i="9"/>
  <c r="H196" i="9"/>
  <c r="L219" i="9"/>
  <c r="L218" i="9"/>
  <c r="N240" i="9"/>
  <c r="E71" i="9"/>
  <c r="H112" i="9"/>
  <c r="N147" i="9"/>
  <c r="H104" i="9"/>
  <c r="H160" i="9"/>
  <c r="F151" i="9"/>
  <c r="O140" i="9"/>
  <c r="I166" i="9"/>
  <c r="C138" i="9"/>
  <c r="O60" i="9"/>
  <c r="K204" i="9"/>
  <c r="N156" i="9"/>
  <c r="F61" i="9"/>
  <c r="K126" i="9"/>
  <c r="K121" i="9"/>
  <c r="C106" i="9"/>
  <c r="N146" i="9"/>
  <c r="I77" i="9"/>
  <c r="O279" i="9"/>
  <c r="I85" i="9"/>
  <c r="O146" i="9"/>
  <c r="N86" i="9"/>
  <c r="F140" i="9"/>
  <c r="H183" i="9"/>
  <c r="I242" i="9"/>
  <c r="N106" i="9"/>
  <c r="K119" i="9"/>
  <c r="O272" i="9"/>
  <c r="O175" i="9"/>
  <c r="F128" i="9"/>
  <c r="L193" i="9"/>
  <c r="C196" i="9"/>
  <c r="L251" i="9"/>
  <c r="L139" i="9"/>
  <c r="O110" i="9"/>
  <c r="O280" i="9"/>
  <c r="F185" i="9"/>
  <c r="L142" i="9"/>
  <c r="E175" i="9"/>
  <c r="F158" i="9"/>
  <c r="N123" i="9"/>
  <c r="L84" i="9"/>
  <c r="H75" i="9"/>
  <c r="E60" i="9"/>
  <c r="H79" i="9"/>
  <c r="F113" i="9"/>
  <c r="F154" i="9"/>
  <c r="O212" i="9"/>
  <c r="H122" i="9"/>
  <c r="C152" i="9"/>
  <c r="C225" i="9"/>
  <c r="C67" i="9"/>
  <c r="N68" i="9"/>
  <c r="L60" i="9"/>
  <c r="F60" i="9"/>
  <c r="K187" i="9"/>
  <c r="N224" i="9"/>
  <c r="H88" i="9"/>
  <c r="K81" i="9"/>
  <c r="E67" i="9"/>
  <c r="F77" i="9"/>
  <c r="E102" i="9"/>
  <c r="L150" i="9"/>
  <c r="O83" i="9"/>
  <c r="H264" i="9"/>
  <c r="K140" i="9"/>
  <c r="O196" i="9"/>
  <c r="F82" i="9"/>
  <c r="L260" i="9"/>
  <c r="F279" i="9"/>
  <c r="N194" i="9"/>
  <c r="I186" i="9"/>
  <c r="N116" i="9"/>
  <c r="C70" i="9"/>
  <c r="H67" i="9"/>
  <c r="E159" i="9"/>
  <c r="C78" i="9"/>
  <c r="O161" i="9"/>
  <c r="I237" i="9"/>
  <c r="I147" i="9"/>
  <c r="O64" i="9"/>
  <c r="K83" i="9"/>
  <c r="H114" i="9"/>
  <c r="L196" i="9"/>
  <c r="L102" i="9"/>
  <c r="E98" i="9"/>
  <c r="F109" i="9"/>
  <c r="C85" i="9"/>
  <c r="K74" i="9"/>
  <c r="O236" i="9"/>
  <c r="K128" i="9"/>
  <c r="H200" i="9"/>
  <c r="K160" i="9"/>
  <c r="I81" i="9"/>
  <c r="F254" i="9"/>
  <c r="C118" i="9"/>
  <c r="E163" i="9"/>
  <c r="I69" i="9"/>
  <c r="L126" i="9"/>
  <c r="I115" i="9"/>
  <c r="I62" i="9"/>
  <c r="N70" i="9"/>
  <c r="K146" i="9"/>
  <c r="L158" i="9"/>
  <c r="F126" i="9"/>
  <c r="E241" i="9"/>
  <c r="F89" i="9"/>
  <c r="E176" i="9"/>
  <c r="I108" i="9"/>
  <c r="C141" i="9"/>
  <c r="I152" i="9"/>
  <c r="K109" i="9"/>
  <c r="O163" i="9"/>
  <c r="O82" i="9"/>
  <c r="I180" i="9"/>
  <c r="H60" i="9"/>
  <c r="H126" i="9"/>
  <c r="L117" i="9"/>
  <c r="C46" i="9"/>
  <c r="O44" i="3"/>
  <c r="C43" i="9"/>
  <c r="K9" i="3"/>
  <c r="K25" i="3"/>
  <c r="K65" i="3"/>
  <c r="F48" i="9"/>
  <c r="O67" i="3"/>
  <c r="K63" i="3"/>
  <c r="C25" i="9"/>
  <c r="K39" i="9"/>
  <c r="K17" i="3"/>
  <c r="K69" i="3"/>
  <c r="G65" i="3"/>
  <c r="L40" i="9"/>
  <c r="K62" i="3"/>
  <c r="O29" i="9"/>
  <c r="K15" i="3"/>
  <c r="I37" i="9"/>
  <c r="K22" i="9"/>
  <c r="O33" i="9"/>
  <c r="K33" i="9"/>
  <c r="H34" i="9"/>
  <c r="K35" i="9"/>
  <c r="C41" i="9"/>
  <c r="K61" i="3"/>
  <c r="K49" i="3"/>
  <c r="K18" i="5"/>
  <c r="O59" i="3"/>
  <c r="K67" i="3"/>
  <c r="H36" i="9"/>
  <c r="L28" i="9"/>
  <c r="G73" i="3"/>
  <c r="H50" i="9"/>
  <c r="O43" i="9"/>
  <c r="F46" i="9"/>
  <c r="F23" i="9"/>
  <c r="H49" i="9"/>
  <c r="L30" i="9"/>
  <c r="F44" i="9"/>
  <c r="H42" i="9"/>
  <c r="N30" i="9"/>
  <c r="F24" i="9"/>
  <c r="O31" i="3"/>
  <c r="I26" i="9"/>
  <c r="O38" i="9"/>
  <c r="K43" i="9"/>
  <c r="O23" i="9"/>
  <c r="K50" i="3"/>
  <c r="E27" i="9"/>
  <c r="F50" i="9"/>
  <c r="H22" i="9"/>
  <c r="H35" i="9"/>
  <c r="I50" i="9"/>
  <c r="E42" i="9"/>
  <c r="K32" i="3"/>
  <c r="O62" i="3"/>
  <c r="I31" i="9"/>
  <c r="I44" i="9"/>
  <c r="O41" i="3"/>
  <c r="F25" i="9"/>
  <c r="C47" i="9"/>
  <c r="K57" i="3"/>
  <c r="L43" i="9"/>
  <c r="O34" i="3"/>
  <c r="G35" i="3"/>
  <c r="C33" i="9"/>
  <c r="L37" i="9"/>
  <c r="L41" i="9"/>
  <c r="O72" i="3"/>
  <c r="O47" i="9"/>
  <c r="N42" i="9"/>
  <c r="E50" i="9"/>
  <c r="G67" i="3"/>
  <c r="N49" i="9"/>
  <c r="K59" i="3"/>
  <c r="N33" i="9"/>
  <c r="E30" i="9"/>
  <c r="K60" i="3"/>
  <c r="K72" i="3"/>
  <c r="L78" i="9"/>
  <c r="H268" i="9"/>
  <c r="I235" i="9"/>
  <c r="F119" i="9"/>
  <c r="N225" i="9"/>
  <c r="I113" i="9"/>
  <c r="O237" i="9"/>
  <c r="L181" i="9"/>
  <c r="O177" i="9"/>
  <c r="O260" i="9"/>
  <c r="E199" i="9"/>
  <c r="K200" i="9"/>
  <c r="C273" i="9"/>
  <c r="E190" i="9"/>
  <c r="F103" i="9"/>
  <c r="F156" i="9"/>
  <c r="L73" i="9"/>
  <c r="N256" i="9"/>
  <c r="L83" i="9"/>
  <c r="O178" i="9"/>
  <c r="F231" i="9"/>
  <c r="C80" i="9"/>
  <c r="K265" i="9"/>
  <c r="N85" i="9"/>
  <c r="E242" i="9"/>
  <c r="I266" i="9"/>
  <c r="L259" i="9"/>
  <c r="H70" i="9"/>
  <c r="E181" i="9"/>
  <c r="L151" i="9"/>
  <c r="E139" i="9"/>
  <c r="K223" i="9"/>
  <c r="E156" i="9"/>
  <c r="N185" i="9"/>
  <c r="N66" i="9"/>
  <c r="L104" i="9"/>
  <c r="K144" i="9"/>
  <c r="H152" i="9"/>
  <c r="E75" i="9"/>
  <c r="K254" i="9"/>
  <c r="F214" i="9"/>
  <c r="O261" i="9"/>
  <c r="F271" i="9"/>
  <c r="H125" i="9"/>
  <c r="F148" i="9"/>
  <c r="I88" i="9"/>
  <c r="F85" i="9"/>
  <c r="F166" i="9"/>
  <c r="E86" i="9"/>
  <c r="O228" i="9"/>
  <c r="H194" i="9"/>
  <c r="C203" i="9"/>
  <c r="K114" i="9"/>
  <c r="L204" i="9"/>
  <c r="O121" i="9"/>
  <c r="H226" i="9"/>
  <c r="C119" i="9"/>
  <c r="C89" i="9"/>
  <c r="K195" i="9"/>
  <c r="O120" i="9"/>
  <c r="H100" i="9"/>
  <c r="I199" i="9"/>
  <c r="E69" i="9"/>
  <c r="F273" i="9"/>
  <c r="N162" i="9"/>
  <c r="F160" i="9"/>
  <c r="F198" i="9"/>
  <c r="N176" i="9"/>
  <c r="N277" i="9"/>
  <c r="N101" i="9"/>
  <c r="N200" i="9"/>
  <c r="I128" i="9"/>
  <c r="H146" i="9"/>
  <c r="L137" i="9"/>
  <c r="C142" i="9"/>
  <c r="H166" i="9"/>
  <c r="N88" i="9"/>
  <c r="K61" i="9"/>
  <c r="N234" i="9"/>
  <c r="E146" i="9"/>
  <c r="I256" i="9"/>
  <c r="F102" i="9"/>
  <c r="F176" i="9"/>
  <c r="O114" i="9"/>
  <c r="N69" i="9"/>
  <c r="K79" i="9"/>
  <c r="F157" i="9"/>
  <c r="E234" i="9"/>
  <c r="I204" i="9"/>
  <c r="F266" i="9"/>
  <c r="I164" i="9"/>
  <c r="N267" i="9"/>
  <c r="F84" i="9"/>
  <c r="C125" i="9"/>
  <c r="C122" i="9"/>
  <c r="O143" i="9"/>
  <c r="K118" i="9"/>
  <c r="F66" i="9"/>
  <c r="E78" i="9"/>
  <c r="N125" i="9"/>
  <c r="L67" i="9"/>
  <c r="K122" i="9"/>
  <c r="C69" i="9"/>
  <c r="C191" i="9"/>
  <c r="K191" i="9"/>
  <c r="N63" i="9"/>
  <c r="I174" i="9"/>
  <c r="K174" i="9"/>
  <c r="O235" i="9"/>
  <c r="C84" i="9"/>
  <c r="K238" i="9"/>
  <c r="N154" i="9"/>
  <c r="E145" i="9"/>
  <c r="H222" i="9"/>
  <c r="F162" i="9"/>
  <c r="L155" i="9"/>
  <c r="L62" i="9"/>
  <c r="O76" i="9"/>
  <c r="I104" i="9"/>
  <c r="O216" i="9"/>
  <c r="N120" i="9"/>
  <c r="C107" i="9"/>
  <c r="I142" i="9"/>
  <c r="O80" i="9"/>
  <c r="L89" i="9"/>
  <c r="C82" i="9"/>
  <c r="L88" i="9"/>
  <c r="H180" i="9"/>
  <c r="O181" i="9"/>
  <c r="H76" i="9"/>
  <c r="L163" i="9"/>
  <c r="N99" i="9"/>
  <c r="I67" i="9"/>
  <c r="C181" i="9"/>
  <c r="L121" i="9"/>
  <c r="N121" i="9"/>
  <c r="O78" i="9"/>
  <c r="C224" i="9"/>
  <c r="E108" i="9"/>
  <c r="O263" i="9"/>
  <c r="O73" i="9"/>
  <c r="C75" i="9"/>
  <c r="I106" i="9"/>
  <c r="H83" i="9"/>
  <c r="H159" i="9"/>
  <c r="I154" i="9"/>
  <c r="H250" i="9"/>
  <c r="E77" i="9"/>
  <c r="O185" i="9"/>
  <c r="L178" i="9"/>
  <c r="N64" i="9"/>
  <c r="K99" i="9"/>
  <c r="H142" i="9"/>
  <c r="K154" i="9"/>
  <c r="C79" i="9"/>
  <c r="F75" i="9"/>
  <c r="O69" i="9"/>
  <c r="H80" i="9"/>
  <c r="F143" i="9"/>
  <c r="F252" i="9"/>
  <c r="O149" i="9"/>
  <c r="O119" i="9"/>
  <c r="E85" i="9"/>
  <c r="O105" i="9"/>
  <c r="I68" i="9"/>
  <c r="C74" i="9"/>
  <c r="N82" i="9"/>
  <c r="O198" i="9"/>
  <c r="I214" i="9"/>
  <c r="I160" i="9"/>
  <c r="O86" i="9"/>
  <c r="F74" i="9"/>
  <c r="H121" i="9"/>
  <c r="C68" i="9"/>
  <c r="K64" i="3"/>
  <c r="O60" i="3"/>
  <c r="K22" i="3"/>
  <c r="C32" i="9"/>
  <c r="I34" i="9"/>
  <c r="O45" i="3"/>
  <c r="O31" i="9"/>
  <c r="K25" i="9"/>
  <c r="I45" i="9"/>
  <c r="G47" i="3"/>
  <c r="I22" i="9"/>
  <c r="G41" i="3"/>
  <c r="K34" i="9"/>
  <c r="N39" i="9"/>
  <c r="H43" i="9"/>
  <c r="K46" i="9"/>
  <c r="E29" i="9"/>
  <c r="L46" i="9"/>
  <c r="K35" i="3"/>
  <c r="F45" i="9"/>
  <c r="H23" i="9"/>
  <c r="O57" i="3"/>
  <c r="G74" i="3"/>
  <c r="I27" i="9"/>
  <c r="K45" i="9"/>
  <c r="K14" i="5"/>
  <c r="L22" i="9"/>
  <c r="E51" i="9"/>
  <c r="K23" i="3"/>
  <c r="K41" i="3"/>
  <c r="I47" i="9"/>
  <c r="F34" i="9"/>
  <c r="F26" i="9"/>
  <c r="N34" i="9"/>
  <c r="O50" i="3"/>
  <c r="K13" i="3"/>
  <c r="N35" i="9"/>
  <c r="N51" i="9"/>
  <c r="C34" i="9"/>
  <c r="K51" i="9"/>
  <c r="K14" i="3"/>
  <c r="K7" i="5"/>
  <c r="G57" i="3"/>
  <c r="E38" i="9"/>
  <c r="O42" i="9"/>
  <c r="L39" i="9"/>
  <c r="G68" i="3"/>
  <c r="F33" i="9"/>
  <c r="K10" i="3"/>
  <c r="E52" i="9"/>
  <c r="O65" i="3"/>
  <c r="E41" i="9"/>
  <c r="H47" i="9"/>
  <c r="K74" i="3"/>
  <c r="O58" i="3"/>
  <c r="L52" i="9"/>
  <c r="I49" i="9"/>
  <c r="K20" i="5"/>
  <c r="L38" i="9"/>
  <c r="K31" i="3"/>
  <c r="L42" i="9"/>
  <c r="L24" i="9"/>
  <c r="N47" i="9"/>
  <c r="O33" i="3"/>
  <c r="K30" i="9"/>
  <c r="N27" i="9"/>
  <c r="O48" i="3"/>
  <c r="L35" i="9"/>
  <c r="N44" i="9"/>
  <c r="K23" i="9"/>
  <c r="O22" i="9"/>
  <c r="K16" i="5"/>
  <c r="I28" i="9"/>
  <c r="H28" i="9"/>
  <c r="H46" i="9"/>
  <c r="K33" i="3"/>
  <c r="K43" i="3"/>
  <c r="K73" i="3"/>
  <c r="G60" i="3"/>
  <c r="C37" i="9"/>
  <c r="G31" i="3"/>
  <c r="I138" i="9"/>
  <c r="N252" i="9"/>
  <c r="E231" i="9"/>
  <c r="O72" i="9"/>
  <c r="N203" i="9"/>
  <c r="K68" i="9"/>
  <c r="E158" i="9"/>
  <c r="H103" i="9"/>
  <c r="I65" i="9"/>
  <c r="C261" i="9"/>
  <c r="H237" i="9"/>
  <c r="H81" i="9"/>
  <c r="H105" i="9"/>
  <c r="H99" i="9"/>
  <c r="H260" i="9"/>
  <c r="I201" i="9"/>
  <c r="H109" i="9"/>
  <c r="L103" i="9"/>
  <c r="H139" i="9"/>
  <c r="F182" i="9"/>
  <c r="C120" i="9"/>
  <c r="O157" i="9"/>
  <c r="K70" i="9"/>
  <c r="C275" i="9"/>
  <c r="O124" i="9"/>
  <c r="O220" i="9"/>
  <c r="O66" i="9"/>
  <c r="O233" i="9"/>
  <c r="O77" i="9"/>
  <c r="H188" i="9"/>
  <c r="L69" i="9"/>
  <c r="F189" i="9"/>
  <c r="H239" i="9"/>
  <c r="K66" i="9"/>
  <c r="O215" i="9"/>
  <c r="K115" i="9"/>
  <c r="F110" i="9"/>
  <c r="L177" i="9"/>
  <c r="C212" i="9"/>
  <c r="O217" i="9"/>
  <c r="C257" i="9"/>
  <c r="I258" i="9"/>
  <c r="N235" i="9"/>
  <c r="F194" i="9"/>
  <c r="K212" i="9"/>
  <c r="H203" i="9"/>
  <c r="C202" i="9"/>
  <c r="N237" i="9"/>
  <c r="N74" i="9"/>
  <c r="I101" i="9"/>
  <c r="L115" i="9"/>
  <c r="F153" i="9"/>
  <c r="E87" i="9"/>
  <c r="I141" i="9"/>
  <c r="N140" i="9"/>
  <c r="C228" i="9"/>
  <c r="K67" i="9"/>
  <c r="K64" i="9"/>
  <c r="K164" i="9"/>
  <c r="I136" i="9"/>
  <c r="C102" i="9"/>
  <c r="L276" i="9"/>
  <c r="K213" i="9"/>
  <c r="O85" i="9"/>
  <c r="E120" i="9"/>
  <c r="E256" i="9"/>
  <c r="I253" i="9"/>
  <c r="K73" i="9"/>
  <c r="N75" i="9"/>
  <c r="C140" i="9"/>
  <c r="H177" i="9"/>
  <c r="I146" i="9"/>
  <c r="I155" i="9"/>
  <c r="I107" i="9"/>
  <c r="E122" i="9"/>
  <c r="O147" i="9"/>
  <c r="C105" i="9"/>
  <c r="E124" i="9"/>
  <c r="N102" i="9"/>
  <c r="H157" i="9"/>
  <c r="O98" i="9"/>
  <c r="C262" i="9"/>
  <c r="E22" i="9"/>
  <c r="O155" i="9"/>
  <c r="N184" i="9"/>
  <c r="F124" i="9"/>
  <c r="F272" i="9"/>
  <c r="E83" i="9"/>
  <c r="K155" i="9"/>
  <c r="I261" i="9"/>
  <c r="N217" i="9"/>
  <c r="L235" i="9"/>
  <c r="K111" i="9"/>
  <c r="N108" i="9"/>
  <c r="C158" i="9"/>
  <c r="I82" i="9"/>
  <c r="C221" i="9"/>
  <c r="N193" i="9"/>
  <c r="E76" i="9"/>
  <c r="I116" i="9"/>
  <c r="E81" i="9"/>
  <c r="O142" i="9"/>
  <c r="C194" i="9"/>
  <c r="H113" i="9"/>
  <c r="O240" i="9"/>
  <c r="N279" i="9"/>
  <c r="K241" i="9"/>
  <c r="K182" i="9"/>
  <c r="F107" i="9"/>
  <c r="F81" i="9"/>
  <c r="F139" i="9"/>
  <c r="C197" i="9"/>
  <c r="E262" i="9"/>
  <c r="N78" i="9"/>
  <c r="O187" i="9"/>
  <c r="H201" i="9"/>
  <c r="K141" i="9"/>
  <c r="E110" i="9"/>
  <c r="L68" i="9"/>
  <c r="F67" i="9"/>
  <c r="C63" i="9"/>
  <c r="K89" i="9"/>
  <c r="N87" i="9"/>
  <c r="I66" i="9"/>
  <c r="L148" i="9"/>
  <c r="K69" i="9"/>
  <c r="H161" i="9"/>
  <c r="K264" i="9"/>
  <c r="F236" i="9"/>
  <c r="C166" i="9"/>
  <c r="C277" i="9"/>
  <c r="O109" i="9"/>
  <c r="K104" i="9"/>
  <c r="I120" i="9"/>
  <c r="I78" i="9"/>
  <c r="I197" i="9"/>
  <c r="O102" i="9"/>
  <c r="L143" i="9"/>
  <c r="L216" i="9"/>
  <c r="K163" i="9"/>
  <c r="E229" i="9"/>
  <c r="F144" i="9"/>
  <c r="L264" i="9"/>
  <c r="K148" i="9"/>
  <c r="C192" i="9"/>
  <c r="L72" i="9"/>
  <c r="L223" i="9"/>
  <c r="L146" i="9"/>
  <c r="K142" i="9"/>
  <c r="N126" i="9"/>
  <c r="O127" i="9"/>
  <c r="I159" i="9"/>
  <c r="E220" i="9"/>
  <c r="F127" i="9"/>
  <c r="F72" i="9"/>
  <c r="E148" i="9"/>
  <c r="E113" i="9"/>
  <c r="F118" i="9"/>
  <c r="E121" i="9"/>
  <c r="H279" i="9"/>
  <c r="O182" i="9"/>
  <c r="O103" i="9"/>
  <c r="E178" i="9"/>
  <c r="O106" i="9"/>
  <c r="L185" i="9"/>
  <c r="L61" i="9"/>
  <c r="C199" i="9"/>
  <c r="O195" i="9"/>
  <c r="K149" i="9"/>
  <c r="H106" i="9"/>
  <c r="C165" i="9"/>
  <c r="N114" i="9"/>
  <c r="N71" i="9"/>
  <c r="C101" i="9"/>
  <c r="H41" i="9"/>
  <c r="C29" i="9"/>
  <c r="N26" i="9"/>
  <c r="I35" i="9"/>
  <c r="G38" i="3"/>
  <c r="K38" i="9"/>
  <c r="G61" i="3"/>
  <c r="L48" i="9"/>
  <c r="I33" i="9"/>
  <c r="O35" i="9"/>
  <c r="L50" i="9"/>
  <c r="H38" i="9"/>
  <c r="I30" i="9"/>
  <c r="O28" i="9"/>
  <c r="F28" i="9"/>
  <c r="G33" i="3"/>
  <c r="K12" i="3"/>
  <c r="K44" i="9"/>
  <c r="L51" i="9"/>
  <c r="O32" i="3"/>
  <c r="K46" i="3"/>
  <c r="E33" i="9"/>
  <c r="F30" i="9"/>
  <c r="K11" i="5"/>
  <c r="C23" i="9"/>
  <c r="E43" i="9"/>
  <c r="I38" i="9"/>
  <c r="K15" i="5"/>
  <c r="N36" i="9"/>
  <c r="K6" i="5"/>
  <c r="K21" i="3"/>
  <c r="G36" i="3"/>
  <c r="N41" i="9"/>
  <c r="F40" i="9"/>
  <c r="L34" i="9"/>
  <c r="K47" i="3"/>
  <c r="G70" i="3"/>
  <c r="O56" i="3"/>
  <c r="K47" i="9"/>
  <c r="H44" i="9"/>
  <c r="E26" i="9"/>
  <c r="K20" i="3"/>
  <c r="O37" i="9"/>
  <c r="F22" i="9"/>
  <c r="L45" i="9"/>
  <c r="O61" i="3"/>
  <c r="L27" i="9"/>
  <c r="O68" i="3"/>
  <c r="C28" i="9"/>
  <c r="I29" i="9"/>
  <c r="F31" i="9"/>
  <c r="O49" i="9"/>
  <c r="E37" i="9"/>
  <c r="O40" i="9"/>
  <c r="N31" i="9"/>
  <c r="G32" i="3"/>
  <c r="H24" i="9"/>
  <c r="O49" i="3"/>
  <c r="N25" i="9"/>
  <c r="O75" i="3"/>
  <c r="H51" i="9"/>
  <c r="G75" i="3"/>
  <c r="O44" i="9"/>
  <c r="N23" i="9"/>
  <c r="G42" i="3"/>
  <c r="K42" i="3"/>
  <c r="G44" i="3"/>
  <c r="L44" i="9"/>
  <c r="N52" i="9"/>
  <c r="E31" i="9"/>
  <c r="N45" i="9"/>
  <c r="H29" i="9"/>
  <c r="L33" i="9"/>
  <c r="N29" i="9"/>
  <c r="O39" i="9"/>
  <c r="K37" i="3"/>
  <c r="E46" i="9"/>
  <c r="E25" i="9"/>
  <c r="G58" i="3"/>
  <c r="G45" i="3"/>
  <c r="O26" i="9"/>
  <c r="F100" i="9"/>
  <c r="I139" i="9"/>
  <c r="L189" i="9"/>
  <c r="I236" i="9"/>
  <c r="K219" i="9"/>
  <c r="E103" i="9"/>
  <c r="H98" i="9"/>
  <c r="F87" i="9"/>
  <c r="C250" i="9"/>
  <c r="I102" i="9"/>
  <c r="C64" i="9"/>
  <c r="F78" i="9"/>
  <c r="C223" i="9"/>
  <c r="N204" i="9"/>
  <c r="K239" i="9"/>
  <c r="E164" i="9"/>
  <c r="L116" i="9"/>
  <c r="H267" i="9"/>
  <c r="E204" i="9"/>
  <c r="F71" i="9"/>
  <c r="L80" i="9"/>
  <c r="N158" i="9"/>
  <c r="N150" i="9"/>
  <c r="N261" i="9"/>
  <c r="N77" i="9"/>
  <c r="H156" i="9"/>
  <c r="E127" i="9"/>
  <c r="E232" i="9"/>
  <c r="K275" i="9"/>
  <c r="F120" i="9"/>
  <c r="F261" i="9"/>
  <c r="H78" i="9"/>
  <c r="L183" i="9"/>
  <c r="E63" i="9"/>
  <c r="C280" i="9"/>
  <c r="N151" i="9"/>
  <c r="L109" i="9"/>
  <c r="F69" i="9"/>
  <c r="K102" i="9"/>
  <c r="I149" i="9"/>
  <c r="F262" i="9"/>
  <c r="H165" i="9"/>
  <c r="L63" i="9"/>
  <c r="F88" i="9"/>
  <c r="C117" i="9"/>
  <c r="F65" i="9"/>
  <c r="H40" i="9"/>
  <c r="E35" i="9"/>
  <c r="I24" i="9"/>
  <c r="K40" i="3"/>
  <c r="F49" i="9"/>
  <c r="K26" i="9"/>
  <c r="K13" i="5"/>
  <c r="G71" i="3"/>
  <c r="K23" i="5"/>
  <c r="O71" i="3"/>
  <c r="H27" i="9"/>
  <c r="I41" i="9"/>
  <c r="K7" i="3"/>
  <c r="K41" i="9"/>
  <c r="K50" i="9"/>
  <c r="L29" i="9"/>
  <c r="F35" i="9"/>
  <c r="H48" i="9"/>
  <c r="K34" i="3"/>
  <c r="C31" i="9"/>
  <c r="C38" i="9"/>
  <c r="O24" i="9"/>
  <c r="K39" i="3"/>
  <c r="K52" i="9"/>
  <c r="N28" i="9"/>
  <c r="K32" i="9"/>
  <c r="G69" i="3"/>
  <c r="E39" i="9"/>
  <c r="K31" i="9"/>
  <c r="F43" i="9"/>
  <c r="K28" i="9"/>
  <c r="F47" i="9"/>
  <c r="L23" i="9"/>
  <c r="E44" i="9"/>
  <c r="O40" i="3"/>
  <c r="C24" i="9"/>
  <c r="K75" i="3"/>
  <c r="F38" i="9"/>
  <c r="K8" i="5"/>
  <c r="K58" i="3"/>
  <c r="I48" i="9"/>
  <c r="K22" i="5"/>
  <c r="C48" i="9"/>
  <c r="O51" i="9"/>
  <c r="H37" i="9"/>
  <c r="C49" i="9"/>
  <c r="O46" i="9"/>
  <c r="G46" i="3"/>
  <c r="C51" i="9"/>
  <c r="F241" i="9"/>
  <c r="N221" i="9"/>
  <c r="L226" i="9"/>
  <c r="O99" i="9"/>
  <c r="C110" i="9"/>
  <c r="O84" i="9"/>
  <c r="F101" i="9"/>
  <c r="I122" i="9"/>
  <c r="K113" i="9"/>
  <c r="L79" i="9"/>
  <c r="C148" i="9"/>
  <c r="K36" i="9"/>
  <c r="O52" i="9"/>
  <c r="K9" i="5"/>
  <c r="N48" i="9"/>
  <c r="K49" i="9"/>
  <c r="K25" i="5"/>
  <c r="N40" i="9"/>
  <c r="I32" i="9"/>
  <c r="E32" i="9"/>
  <c r="E48" i="9"/>
  <c r="H31" i="9"/>
  <c r="G34" i="3"/>
  <c r="K48" i="3"/>
  <c r="G43" i="3"/>
  <c r="E49" i="9"/>
  <c r="C30" i="9"/>
  <c r="K29" i="9"/>
  <c r="K18" i="3"/>
  <c r="I74" i="9"/>
  <c r="K84" i="9"/>
  <c r="C87" i="9"/>
  <c r="L191" i="9"/>
  <c r="C232" i="9"/>
  <c r="H227" i="9"/>
  <c r="H82" i="9"/>
  <c r="E79" i="9"/>
  <c r="N157" i="9"/>
  <c r="I219" i="9"/>
  <c r="N227" i="9"/>
  <c r="K98" i="9"/>
  <c r="F111" i="9"/>
  <c r="K136" i="9"/>
  <c r="H143" i="9"/>
  <c r="F98" i="9"/>
  <c r="C61" i="9"/>
  <c r="E119" i="9"/>
  <c r="L128" i="9"/>
  <c r="N113" i="9"/>
  <c r="F226" i="9"/>
  <c r="I196" i="9"/>
  <c r="O118" i="9"/>
  <c r="E65" i="9"/>
  <c r="N84" i="9"/>
  <c r="O191" i="9"/>
  <c r="I73" i="9"/>
  <c r="E217" i="9"/>
  <c r="H150" i="9"/>
  <c r="H101" i="9"/>
  <c r="K156" i="9"/>
  <c r="O152" i="9"/>
  <c r="O116" i="9"/>
  <c r="F163" i="9"/>
  <c r="H65" i="9"/>
  <c r="I156" i="9"/>
  <c r="L188" i="9"/>
  <c r="F145" i="9"/>
  <c r="N127" i="9"/>
  <c r="F90" i="9"/>
  <c r="E89" i="9"/>
  <c r="L82" i="9"/>
  <c r="E114" i="9"/>
  <c r="K66" i="3"/>
  <c r="O34" i="9"/>
  <c r="I51" i="9"/>
  <c r="N38" i="9"/>
  <c r="F41" i="9"/>
  <c r="G56" i="3"/>
  <c r="K24" i="3"/>
  <c r="C22" i="9"/>
  <c r="G63" i="3"/>
  <c r="C52" i="9"/>
  <c r="H45" i="9"/>
  <c r="K17" i="5"/>
  <c r="E34" i="9"/>
  <c r="N46" i="9"/>
  <c r="F36" i="9"/>
  <c r="O47" i="3"/>
  <c r="K37" i="9"/>
  <c r="C45" i="9"/>
  <c r="K12" i="5"/>
  <c r="G39" i="3"/>
  <c r="K56" i="3"/>
  <c r="F27" i="9"/>
  <c r="F39" i="9"/>
  <c r="O43" i="3"/>
  <c r="K24" i="9"/>
  <c r="N24" i="9"/>
  <c r="G72" i="3"/>
  <c r="E23" i="9"/>
  <c r="O50" i="9"/>
  <c r="O41" i="9"/>
  <c r="G66" i="3"/>
  <c r="L31" i="9"/>
  <c r="K36" i="3"/>
  <c r="E28" i="9"/>
  <c r="L49" i="9"/>
  <c r="K6" i="3"/>
  <c r="C42" i="9"/>
  <c r="O30" i="9"/>
  <c r="O46" i="3"/>
  <c r="O63" i="3"/>
  <c r="F52" i="9"/>
  <c r="I39" i="9"/>
  <c r="H39" i="9"/>
  <c r="I40" i="9"/>
  <c r="L32" i="9"/>
  <c r="G37" i="3"/>
  <c r="L47" i="9"/>
  <c r="C39" i="9"/>
  <c r="C36" i="9"/>
  <c r="G64" i="3"/>
  <c r="E24" i="9"/>
  <c r="C40" i="9"/>
  <c r="O38" i="3"/>
  <c r="O73" i="3"/>
  <c r="C234" i="9"/>
  <c r="K63" i="9"/>
  <c r="K162" i="9"/>
  <c r="E88" i="9"/>
  <c r="E72" i="9"/>
  <c r="H138" i="9"/>
  <c r="O63" i="9"/>
  <c r="C86" i="9"/>
  <c r="L98" i="9"/>
  <c r="E179" i="9"/>
  <c r="I184" i="9"/>
  <c r="E82" i="9"/>
  <c r="K71" i="3"/>
  <c r="K48" i="9"/>
  <c r="O39" i="3"/>
  <c r="I25" i="9"/>
  <c r="O66" i="3"/>
  <c r="F37" i="9"/>
  <c r="K10" i="5"/>
  <c r="C26" i="9"/>
  <c r="K16" i="3"/>
  <c r="K24" i="5"/>
  <c r="O42" i="3"/>
  <c r="K19" i="5"/>
  <c r="L25" i="9"/>
  <c r="L26" i="9"/>
  <c r="O64" i="3"/>
  <c r="O70" i="3"/>
  <c r="H117" i="9"/>
  <c r="C255" i="9"/>
  <c r="K158" i="9"/>
  <c r="I124" i="9"/>
  <c r="K85" i="9"/>
  <c r="I222" i="9"/>
  <c r="I87" i="9"/>
  <c r="E143" i="9"/>
  <c r="N272" i="9"/>
  <c r="L180" i="9"/>
  <c r="H68" i="9"/>
  <c r="F121" i="9"/>
  <c r="F230" i="9"/>
  <c r="K151" i="9"/>
  <c r="L66" i="9"/>
  <c r="O65" i="9"/>
  <c r="F224" i="9"/>
  <c r="L270" i="9"/>
  <c r="I76" i="9"/>
  <c r="C88" i="9"/>
  <c r="C188" i="9"/>
  <c r="I109" i="9"/>
  <c r="O100" i="9"/>
  <c r="O79" i="9"/>
  <c r="L90" i="9"/>
  <c r="K250" i="9"/>
  <c r="N118" i="9"/>
  <c r="I110" i="9"/>
  <c r="K110" i="9"/>
  <c r="E100" i="9"/>
  <c r="I70" i="9"/>
  <c r="I220" i="9"/>
  <c r="C154" i="9"/>
  <c r="C81" i="9"/>
  <c r="N175" i="9"/>
  <c r="C62" i="9"/>
  <c r="O87" i="9"/>
  <c r="H163" i="9"/>
  <c r="L64" i="9"/>
  <c r="L140" i="9"/>
  <c r="I84" i="9"/>
  <c r="L149" i="9"/>
  <c r="E216" i="9"/>
  <c r="G49" i="3"/>
  <c r="I23" i="9"/>
  <c r="F42" i="9"/>
  <c r="O32" i="9"/>
  <c r="O27" i="9"/>
  <c r="K70" i="3"/>
  <c r="C27" i="9"/>
  <c r="I36" i="9"/>
  <c r="N32" i="9"/>
  <c r="N22" i="9"/>
  <c r="K68" i="3"/>
  <c r="K11" i="3"/>
  <c r="G50" i="3"/>
  <c r="L36" i="9"/>
  <c r="O48" i="9"/>
  <c r="C44" i="9"/>
  <c r="H52" i="9"/>
  <c r="K19" i="3"/>
  <c r="K44" i="3"/>
  <c r="N37" i="9"/>
  <c r="G48" i="3"/>
  <c r="I43" i="9"/>
  <c r="N43" i="9"/>
  <c r="O69" i="3"/>
  <c r="O74" i="3"/>
  <c r="E47" i="9"/>
  <c r="K40" i="9"/>
  <c r="G59" i="3"/>
  <c r="O36" i="3"/>
  <c r="I42" i="9"/>
  <c r="H30" i="9"/>
  <c r="K42" i="9"/>
  <c r="I46" i="9"/>
  <c r="E45" i="9"/>
  <c r="K38" i="3"/>
  <c r="H26" i="9"/>
  <c r="O25" i="9"/>
  <c r="C35" i="9"/>
  <c r="F51" i="9"/>
  <c r="H32" i="9"/>
  <c r="G40" i="3"/>
  <c r="K27" i="9"/>
  <c r="O36" i="9"/>
  <c r="H33" i="9"/>
  <c r="F106" i="9"/>
  <c r="N238" i="9"/>
  <c r="I226" i="9"/>
  <c r="N124" i="9"/>
  <c r="E125" i="9"/>
  <c r="O68" i="9"/>
  <c r="N253" i="9"/>
  <c r="N105" i="9"/>
  <c r="H85" i="9"/>
  <c r="K80" i="9"/>
  <c r="H86" i="9"/>
  <c r="K153" i="9"/>
  <c r="O188" i="9"/>
  <c r="C112" i="9"/>
  <c r="H74" i="9"/>
  <c r="O111" i="9"/>
  <c r="O186" i="9"/>
  <c r="H147" i="9"/>
  <c r="O166" i="9"/>
  <c r="K8" i="3"/>
  <c r="K21" i="5"/>
  <c r="F32" i="9"/>
  <c r="K45" i="3"/>
  <c r="F29" i="9"/>
  <c r="C50" i="9"/>
  <c r="E40" i="9"/>
  <c r="I52" i="9"/>
  <c r="O37" i="3"/>
  <c r="O45" i="9"/>
  <c r="E36" i="9"/>
  <c r="O35" i="3"/>
  <c r="H25" i="9"/>
  <c r="N50" i="9"/>
  <c r="G62" i="3"/>
  <c r="I62" i="3" l="1"/>
  <c r="H62" i="3"/>
  <c r="J62" i="3"/>
  <c r="R35" i="3"/>
  <c r="Q35" i="3"/>
  <c r="P35" i="3"/>
  <c r="R37" i="3"/>
  <c r="Q37" i="3"/>
  <c r="P37" i="3"/>
  <c r="D50" i="9"/>
  <c r="M50" i="9"/>
  <c r="J50" i="9"/>
  <c r="G50" i="9"/>
  <c r="L45" i="3"/>
  <c r="M45" i="3"/>
  <c r="N45" i="3"/>
  <c r="L21" i="5"/>
  <c r="M21" i="5"/>
  <c r="N21" i="5"/>
  <c r="L8" i="3"/>
  <c r="M8" i="3"/>
  <c r="N8" i="3"/>
  <c r="G112" i="9"/>
  <c r="J112" i="9"/>
  <c r="D112" i="9"/>
  <c r="M112" i="9"/>
  <c r="J40" i="3"/>
  <c r="I40" i="3"/>
  <c r="H40" i="3"/>
  <c r="J35" i="9"/>
  <c r="G35" i="9"/>
  <c r="D35" i="9"/>
  <c r="M35" i="9"/>
  <c r="M38" i="3"/>
  <c r="N38" i="3"/>
  <c r="L38" i="3"/>
  <c r="Q36" i="3"/>
  <c r="R36" i="3"/>
  <c r="P36" i="3"/>
  <c r="J59" i="3"/>
  <c r="I59" i="3"/>
  <c r="H59" i="3"/>
  <c r="P74" i="3"/>
  <c r="Q74" i="3"/>
  <c r="R74" i="3"/>
  <c r="Q69" i="3"/>
  <c r="R69" i="3"/>
  <c r="P69" i="3"/>
  <c r="I48" i="3"/>
  <c r="J48" i="3"/>
  <c r="H48" i="3"/>
  <c r="N44" i="3"/>
  <c r="L44" i="3"/>
  <c r="M44" i="3"/>
  <c r="N19" i="3"/>
  <c r="L19" i="3"/>
  <c r="M19" i="3"/>
  <c r="D44" i="9"/>
  <c r="M44" i="9"/>
  <c r="J44" i="9"/>
  <c r="G44" i="9"/>
  <c r="I50" i="3"/>
  <c r="J50" i="3"/>
  <c r="H50" i="3"/>
  <c r="M11" i="3"/>
  <c r="L11" i="3"/>
  <c r="N11" i="3"/>
  <c r="N68" i="3"/>
  <c r="M68" i="3"/>
  <c r="L68" i="3"/>
  <c r="G27" i="9"/>
  <c r="D27" i="9"/>
  <c r="M27" i="9"/>
  <c r="J27" i="9"/>
  <c r="M70" i="3"/>
  <c r="N70" i="3"/>
  <c r="L70" i="3"/>
  <c r="I49" i="3"/>
  <c r="J49" i="3"/>
  <c r="H49" i="3"/>
  <c r="M62" i="9"/>
  <c r="J62" i="9"/>
  <c r="G62" i="9"/>
  <c r="D62" i="9"/>
  <c r="J81" i="9"/>
  <c r="M81" i="9"/>
  <c r="G81" i="9"/>
  <c r="D81" i="9"/>
  <c r="J154" i="9"/>
  <c r="G154" i="9"/>
  <c r="M154" i="9"/>
  <c r="D154" i="9"/>
  <c r="D188" i="9"/>
  <c r="G188" i="9"/>
  <c r="M188" i="9"/>
  <c r="J188" i="9"/>
  <c r="M88" i="9"/>
  <c r="D88" i="9"/>
  <c r="G88" i="9"/>
  <c r="J88" i="9"/>
  <c r="J255" i="9"/>
  <c r="G255" i="9"/>
  <c r="D255" i="9"/>
  <c r="M255" i="9"/>
  <c r="Q70" i="3"/>
  <c r="R70" i="3"/>
  <c r="P70" i="3"/>
  <c r="R64" i="3"/>
  <c r="Q64" i="3"/>
  <c r="P64" i="3"/>
  <c r="M19" i="5"/>
  <c r="N19" i="5"/>
  <c r="L19" i="5"/>
  <c r="Q42" i="3"/>
  <c r="R42" i="3"/>
  <c r="P42" i="3"/>
  <c r="L24" i="5"/>
  <c r="N24" i="5"/>
  <c r="M24" i="5"/>
  <c r="M16" i="3"/>
  <c r="N16" i="3"/>
  <c r="L16" i="3"/>
  <c r="J26" i="9"/>
  <c r="G26" i="9"/>
  <c r="D26" i="9"/>
  <c r="M26" i="9"/>
  <c r="M10" i="5"/>
  <c r="L10" i="5"/>
  <c r="N10" i="5"/>
  <c r="P66" i="3"/>
  <c r="R66" i="3"/>
  <c r="Q66" i="3"/>
  <c r="Q39" i="3"/>
  <c r="P39" i="3"/>
  <c r="R39" i="3"/>
  <c r="N71" i="3"/>
  <c r="M71" i="3"/>
  <c r="L71" i="3"/>
  <c r="L130" i="9"/>
  <c r="D86" i="9"/>
  <c r="M86" i="9"/>
  <c r="G86" i="9"/>
  <c r="J86" i="9"/>
  <c r="J234" i="9"/>
  <c r="G234" i="9"/>
  <c r="D234" i="9"/>
  <c r="M234" i="9"/>
  <c r="R73" i="3"/>
  <c r="Q73" i="3"/>
  <c r="P73" i="3"/>
  <c r="Q38" i="3"/>
  <c r="P38" i="3"/>
  <c r="R38" i="3"/>
  <c r="M40" i="9"/>
  <c r="D40" i="9"/>
  <c r="G40" i="9"/>
  <c r="J40" i="9"/>
  <c r="I64" i="3"/>
  <c r="J64" i="3"/>
  <c r="H64" i="3"/>
  <c r="G36" i="9"/>
  <c r="J36" i="9"/>
  <c r="M36" i="9"/>
  <c r="D36" i="9"/>
  <c r="D39" i="9"/>
  <c r="G39" i="9"/>
  <c r="J39" i="9"/>
  <c r="M39" i="9"/>
  <c r="H37" i="3"/>
  <c r="J37" i="3"/>
  <c r="I37" i="3"/>
  <c r="P63" i="3"/>
  <c r="R63" i="3"/>
  <c r="Q63" i="3"/>
  <c r="Q46" i="3"/>
  <c r="P46" i="3"/>
  <c r="R46" i="3"/>
  <c r="G42" i="9"/>
  <c r="D42" i="9"/>
  <c r="M42" i="9"/>
  <c r="J42" i="9"/>
  <c r="N6" i="3"/>
  <c r="L6" i="3"/>
  <c r="M6" i="3"/>
  <c r="L36" i="3"/>
  <c r="N36" i="3"/>
  <c r="M36" i="3"/>
  <c r="J66" i="3"/>
  <c r="I66" i="3"/>
  <c r="H66" i="3"/>
  <c r="I72" i="3"/>
  <c r="H72" i="3"/>
  <c r="J72" i="3"/>
  <c r="P43" i="3"/>
  <c r="R43" i="3"/>
  <c r="Q43" i="3"/>
  <c r="M56" i="3"/>
  <c r="N56" i="3"/>
  <c r="L56" i="3"/>
  <c r="J39" i="3"/>
  <c r="H39" i="3"/>
  <c r="I39" i="3"/>
  <c r="M12" i="5"/>
  <c r="N12" i="5"/>
  <c r="L12" i="5"/>
  <c r="G45" i="9"/>
  <c r="M45" i="9"/>
  <c r="J45" i="9"/>
  <c r="D45" i="9"/>
  <c r="P47" i="3"/>
  <c r="Q47" i="3"/>
  <c r="R47" i="3"/>
  <c r="M17" i="5"/>
  <c r="N17" i="5"/>
  <c r="L17" i="5"/>
  <c r="M52" i="9"/>
  <c r="J52" i="9"/>
  <c r="G52" i="9"/>
  <c r="D52" i="9"/>
  <c r="I63" i="3"/>
  <c r="J63" i="3"/>
  <c r="H63" i="3"/>
  <c r="G22" i="9"/>
  <c r="M22" i="9"/>
  <c r="C54" i="9"/>
  <c r="J22" i="9"/>
  <c r="D22" i="9"/>
  <c r="N24" i="3"/>
  <c r="M24" i="3"/>
  <c r="L24" i="3"/>
  <c r="H56" i="3"/>
  <c r="J56" i="3"/>
  <c r="I56" i="3"/>
  <c r="M66" i="3"/>
  <c r="N66" i="3"/>
  <c r="L66" i="3"/>
  <c r="J61" i="9"/>
  <c r="D61" i="9"/>
  <c r="G61" i="9"/>
  <c r="M61" i="9"/>
  <c r="F130" i="9"/>
  <c r="M232" i="9"/>
  <c r="D232" i="9"/>
  <c r="G232" i="9"/>
  <c r="J232" i="9"/>
  <c r="J87" i="9"/>
  <c r="D87" i="9"/>
  <c r="G87" i="9"/>
  <c r="M87" i="9"/>
  <c r="M18" i="3"/>
  <c r="L18" i="3"/>
  <c r="N18" i="3"/>
  <c r="D30" i="9"/>
  <c r="M30" i="9"/>
  <c r="J30" i="9"/>
  <c r="G30" i="9"/>
  <c r="J43" i="3"/>
  <c r="I43" i="3"/>
  <c r="H43" i="3"/>
  <c r="L48" i="3"/>
  <c r="M48" i="3"/>
  <c r="N48" i="3"/>
  <c r="J34" i="3"/>
  <c r="I34" i="3"/>
  <c r="H34" i="3"/>
  <c r="N25" i="5"/>
  <c r="M25" i="5"/>
  <c r="L25" i="5"/>
  <c r="N9" i="5"/>
  <c r="L9" i="5"/>
  <c r="M9" i="5"/>
  <c r="M148" i="9"/>
  <c r="G148" i="9"/>
  <c r="D148" i="9"/>
  <c r="J148" i="9"/>
  <c r="J110" i="9"/>
  <c r="M110" i="9"/>
  <c r="G110" i="9"/>
  <c r="D110" i="9"/>
  <c r="J51" i="9"/>
  <c r="G51" i="9"/>
  <c r="D51" i="9"/>
  <c r="M51" i="9"/>
  <c r="H46" i="3"/>
  <c r="I46" i="3"/>
  <c r="J46" i="3"/>
  <c r="G49" i="9"/>
  <c r="D49" i="9"/>
  <c r="M49" i="9"/>
  <c r="J49" i="9"/>
  <c r="G48" i="9"/>
  <c r="D48" i="9"/>
  <c r="M48" i="9"/>
  <c r="J48" i="9"/>
  <c r="N22" i="5"/>
  <c r="L22" i="5"/>
  <c r="M22" i="5"/>
  <c r="M58" i="3"/>
  <c r="L58" i="3"/>
  <c r="N58" i="3"/>
  <c r="M8" i="5"/>
  <c r="L8" i="5"/>
  <c r="N8" i="5"/>
  <c r="N75" i="3"/>
  <c r="L75" i="3"/>
  <c r="M75" i="3"/>
  <c r="D24" i="9"/>
  <c r="G24" i="9"/>
  <c r="M24" i="9"/>
  <c r="J24" i="9"/>
  <c r="P40" i="3"/>
  <c r="R40" i="3"/>
  <c r="Q40" i="3"/>
  <c r="I69" i="3"/>
  <c r="H69" i="3"/>
  <c r="J69" i="3"/>
  <c r="N39" i="3"/>
  <c r="M39" i="3"/>
  <c r="L39" i="3"/>
  <c r="G38" i="9"/>
  <c r="J38" i="9"/>
  <c r="M38" i="9"/>
  <c r="D38" i="9"/>
  <c r="G31" i="9"/>
  <c r="M31" i="9"/>
  <c r="D31" i="9"/>
  <c r="J31" i="9"/>
  <c r="L34" i="3"/>
  <c r="M34" i="3"/>
  <c r="N34" i="3"/>
  <c r="N7" i="3"/>
  <c r="L7" i="3"/>
  <c r="M7" i="3"/>
  <c r="P71" i="3"/>
  <c r="Q71" i="3"/>
  <c r="R71" i="3"/>
  <c r="M23" i="5"/>
  <c r="L23" i="5"/>
  <c r="N23" i="5"/>
  <c r="I71" i="3"/>
  <c r="H71" i="3"/>
  <c r="J71" i="3"/>
  <c r="L13" i="5"/>
  <c r="N13" i="5"/>
  <c r="M13" i="5"/>
  <c r="N40" i="3"/>
  <c r="L40" i="3"/>
  <c r="M40" i="3"/>
  <c r="G117" i="9"/>
  <c r="M117" i="9"/>
  <c r="D117" i="9"/>
  <c r="J117" i="9"/>
  <c r="D280" i="9"/>
  <c r="J280" i="9"/>
  <c r="G280" i="9"/>
  <c r="M280" i="9"/>
  <c r="M223" i="9"/>
  <c r="G223" i="9"/>
  <c r="D223" i="9"/>
  <c r="J223" i="9"/>
  <c r="M64" i="9"/>
  <c r="D64" i="9"/>
  <c r="J64" i="9"/>
  <c r="G64" i="9"/>
  <c r="M250" i="9"/>
  <c r="J250" i="9"/>
  <c r="D250" i="9"/>
  <c r="G250" i="9"/>
  <c r="C282" i="9"/>
  <c r="J45" i="3"/>
  <c r="H45" i="3"/>
  <c r="I45" i="3"/>
  <c r="H58" i="3"/>
  <c r="I58" i="3"/>
  <c r="J58" i="3"/>
  <c r="M37" i="3"/>
  <c r="N37" i="3"/>
  <c r="L37" i="3"/>
  <c r="I44" i="3"/>
  <c r="H44" i="3"/>
  <c r="J44" i="3"/>
  <c r="M42" i="3"/>
  <c r="N42" i="3"/>
  <c r="L42" i="3"/>
  <c r="J42" i="3"/>
  <c r="H42" i="3"/>
  <c r="I42" i="3"/>
  <c r="J75" i="3"/>
  <c r="I75" i="3"/>
  <c r="H75" i="3"/>
  <c r="P75" i="3"/>
  <c r="R75" i="3"/>
  <c r="Q75" i="3"/>
  <c r="P49" i="3"/>
  <c r="Q49" i="3"/>
  <c r="R49" i="3"/>
  <c r="I32" i="3"/>
  <c r="J32" i="3"/>
  <c r="H32" i="3"/>
  <c r="M28" i="9"/>
  <c r="G28" i="9"/>
  <c r="J28" i="9"/>
  <c r="D28" i="9"/>
  <c r="Q68" i="3"/>
  <c r="P68" i="3"/>
  <c r="R68" i="3"/>
  <c r="Q61" i="3"/>
  <c r="P61" i="3"/>
  <c r="R61" i="3"/>
  <c r="F54" i="9"/>
  <c r="M20" i="3"/>
  <c r="L20" i="3"/>
  <c r="N20" i="3"/>
  <c r="R56" i="3"/>
  <c r="Q56" i="3"/>
  <c r="P56" i="3"/>
  <c r="I70" i="3"/>
  <c r="J70" i="3"/>
  <c r="H70" i="3"/>
  <c r="M47" i="3"/>
  <c r="L47" i="3"/>
  <c r="N47" i="3"/>
  <c r="H36" i="3"/>
  <c r="J36" i="3"/>
  <c r="I36" i="3"/>
  <c r="M21" i="3"/>
  <c r="N21" i="3"/>
  <c r="L21" i="3"/>
  <c r="N6" i="5"/>
  <c r="L6" i="5"/>
  <c r="M6" i="5"/>
  <c r="N15" i="5"/>
  <c r="M15" i="5"/>
  <c r="L15" i="5"/>
  <c r="J23" i="9"/>
  <c r="G23" i="9"/>
  <c r="D23" i="9"/>
  <c r="M23" i="9"/>
  <c r="L11" i="5"/>
  <c r="M11" i="5"/>
  <c r="N11" i="5"/>
  <c r="L46" i="3"/>
  <c r="N46" i="3"/>
  <c r="M46" i="3"/>
  <c r="P32" i="3"/>
  <c r="R32" i="3"/>
  <c r="Q32" i="3"/>
  <c r="M12" i="3"/>
  <c r="N12" i="3"/>
  <c r="L12" i="3"/>
  <c r="H33" i="3"/>
  <c r="J33" i="3"/>
  <c r="I33" i="3"/>
  <c r="I61" i="3"/>
  <c r="J61" i="3"/>
  <c r="H61" i="3"/>
  <c r="I38" i="3"/>
  <c r="H38" i="3"/>
  <c r="J38" i="3"/>
  <c r="G29" i="9"/>
  <c r="M29" i="9"/>
  <c r="J29" i="9"/>
  <c r="D29" i="9"/>
  <c r="J101" i="9"/>
  <c r="D101" i="9"/>
  <c r="G101" i="9"/>
  <c r="M101" i="9"/>
  <c r="G165" i="9"/>
  <c r="J165" i="9"/>
  <c r="M165" i="9"/>
  <c r="D165" i="9"/>
  <c r="D199" i="9"/>
  <c r="M199" i="9"/>
  <c r="G199" i="9"/>
  <c r="J199" i="9"/>
  <c r="M192" i="9"/>
  <c r="J192" i="9"/>
  <c r="D192" i="9"/>
  <c r="G192" i="9"/>
  <c r="J277" i="9"/>
  <c r="M277" i="9"/>
  <c r="G277" i="9"/>
  <c r="D277" i="9"/>
  <c r="M166" i="9"/>
  <c r="D166" i="9"/>
  <c r="J166" i="9"/>
  <c r="G166" i="9"/>
  <c r="D63" i="9"/>
  <c r="G63" i="9"/>
  <c r="J63" i="9"/>
  <c r="M63" i="9"/>
  <c r="M197" i="9"/>
  <c r="D197" i="9"/>
  <c r="J197" i="9"/>
  <c r="G197" i="9"/>
  <c r="D194" i="9"/>
  <c r="M194" i="9"/>
  <c r="J194" i="9"/>
  <c r="G194" i="9"/>
  <c r="G221" i="9"/>
  <c r="M221" i="9"/>
  <c r="D221" i="9"/>
  <c r="J221" i="9"/>
  <c r="J158" i="9"/>
  <c r="D158" i="9"/>
  <c r="M158" i="9"/>
  <c r="G158" i="9"/>
  <c r="J262" i="9"/>
  <c r="D262" i="9"/>
  <c r="M262" i="9"/>
  <c r="G262" i="9"/>
  <c r="O130" i="9"/>
  <c r="J105" i="9"/>
  <c r="D105" i="9"/>
  <c r="G105" i="9"/>
  <c r="M105" i="9"/>
  <c r="D140" i="9"/>
  <c r="J140" i="9"/>
  <c r="G140" i="9"/>
  <c r="M140" i="9"/>
  <c r="J102" i="9"/>
  <c r="D102" i="9"/>
  <c r="G102" i="9"/>
  <c r="M102" i="9"/>
  <c r="I168" i="9"/>
  <c r="J228" i="9"/>
  <c r="D228" i="9"/>
  <c r="G228" i="9"/>
  <c r="M228" i="9"/>
  <c r="D202" i="9"/>
  <c r="G202" i="9"/>
  <c r="J202" i="9"/>
  <c r="M202" i="9"/>
  <c r="J257" i="9"/>
  <c r="M257" i="9"/>
  <c r="G257" i="9"/>
  <c r="D257" i="9"/>
  <c r="C244" i="9"/>
  <c r="M212" i="9"/>
  <c r="G212" i="9"/>
  <c r="D212" i="9"/>
  <c r="J212" i="9"/>
  <c r="M275" i="9"/>
  <c r="G275" i="9"/>
  <c r="D275" i="9"/>
  <c r="J275" i="9"/>
  <c r="J120" i="9"/>
  <c r="G120" i="9"/>
  <c r="M120" i="9"/>
  <c r="D120" i="9"/>
  <c r="J261" i="9"/>
  <c r="D261" i="9"/>
  <c r="G261" i="9"/>
  <c r="M261" i="9"/>
  <c r="I31" i="3"/>
  <c r="H31" i="3"/>
  <c r="J31" i="3"/>
  <c r="D37" i="9"/>
  <c r="M37" i="9"/>
  <c r="G37" i="9"/>
  <c r="J37" i="9"/>
  <c r="H60" i="3"/>
  <c r="J60" i="3"/>
  <c r="I60" i="3"/>
  <c r="N73" i="3"/>
  <c r="L73" i="3"/>
  <c r="M73" i="3"/>
  <c r="L43" i="3"/>
  <c r="M43" i="3"/>
  <c r="N43" i="3"/>
  <c r="N33" i="3"/>
  <c r="M33" i="3"/>
  <c r="L33" i="3"/>
  <c r="N16" i="5"/>
  <c r="M16" i="5"/>
  <c r="L16" i="5"/>
  <c r="O54" i="9"/>
  <c r="P48" i="3"/>
  <c r="R48" i="3"/>
  <c r="Q48" i="3"/>
  <c r="Q33" i="3"/>
  <c r="R33" i="3"/>
  <c r="P33" i="3"/>
  <c r="N31" i="3"/>
  <c r="L31" i="3"/>
  <c r="M31" i="3"/>
  <c r="M20" i="5"/>
  <c r="N20" i="5"/>
  <c r="L20" i="5"/>
  <c r="Q58" i="3"/>
  <c r="P58" i="3"/>
  <c r="R58" i="3"/>
  <c r="N74" i="3"/>
  <c r="M74" i="3"/>
  <c r="L74" i="3"/>
  <c r="R65" i="3"/>
  <c r="P65" i="3"/>
  <c r="Q65" i="3"/>
  <c r="L10" i="3"/>
  <c r="M10" i="3"/>
  <c r="N10" i="3"/>
  <c r="J68" i="3"/>
  <c r="H68" i="3"/>
  <c r="I68" i="3"/>
  <c r="I57" i="3"/>
  <c r="J57" i="3"/>
  <c r="H57" i="3"/>
  <c r="M7" i="5"/>
  <c r="L7" i="5"/>
  <c r="N7" i="5"/>
  <c r="M14" i="3"/>
  <c r="N14" i="3"/>
  <c r="L14" i="3"/>
  <c r="G34" i="9"/>
  <c r="M34" i="9"/>
  <c r="D34" i="9"/>
  <c r="J34" i="9"/>
  <c r="L13" i="3"/>
  <c r="N13" i="3"/>
  <c r="M13" i="3"/>
  <c r="R50" i="3"/>
  <c r="P50" i="3"/>
  <c r="Q50" i="3"/>
  <c r="L41" i="3"/>
  <c r="N41" i="3"/>
  <c r="M41" i="3"/>
  <c r="N23" i="3"/>
  <c r="L23" i="3"/>
  <c r="M23" i="3"/>
  <c r="L54" i="9"/>
  <c r="N14" i="5"/>
  <c r="M14" i="5"/>
  <c r="L14" i="5"/>
  <c r="H74" i="3"/>
  <c r="I74" i="3"/>
  <c r="J74" i="3"/>
  <c r="R57" i="3"/>
  <c r="P57" i="3"/>
  <c r="Q57" i="3"/>
  <c r="L35" i="3"/>
  <c r="M35" i="3"/>
  <c r="N35" i="3"/>
  <c r="J41" i="3"/>
  <c r="I41" i="3"/>
  <c r="H41" i="3"/>
  <c r="I54" i="9"/>
  <c r="H47" i="3"/>
  <c r="J47" i="3"/>
  <c r="I47" i="3"/>
  <c r="P45" i="3"/>
  <c r="Q45" i="3"/>
  <c r="R45" i="3"/>
  <c r="G32" i="9"/>
  <c r="J32" i="9"/>
  <c r="D32" i="9"/>
  <c r="M32" i="9"/>
  <c r="L22" i="3"/>
  <c r="M22" i="3"/>
  <c r="N22" i="3"/>
  <c r="Q60" i="3"/>
  <c r="P60" i="3"/>
  <c r="R60" i="3"/>
  <c r="L64" i="3"/>
  <c r="N64" i="3"/>
  <c r="M64" i="3"/>
  <c r="D68" i="9"/>
  <c r="J68" i="9"/>
  <c r="G68" i="9"/>
  <c r="M68" i="9"/>
  <c r="D74" i="9"/>
  <c r="J74" i="9"/>
  <c r="G74" i="9"/>
  <c r="M74" i="9"/>
  <c r="D79" i="9"/>
  <c r="J79" i="9"/>
  <c r="M79" i="9"/>
  <c r="G79" i="9"/>
  <c r="M75" i="9"/>
  <c r="J75" i="9"/>
  <c r="G75" i="9"/>
  <c r="D75" i="9"/>
  <c r="J224" i="9"/>
  <c r="G224" i="9"/>
  <c r="M224" i="9"/>
  <c r="D224" i="9"/>
  <c r="J181" i="9"/>
  <c r="G181" i="9"/>
  <c r="M181" i="9"/>
  <c r="D181" i="9"/>
  <c r="G82" i="9"/>
  <c r="D82" i="9"/>
  <c r="J82" i="9"/>
  <c r="M82" i="9"/>
  <c r="G107" i="9"/>
  <c r="J107" i="9"/>
  <c r="D107" i="9"/>
  <c r="M107" i="9"/>
  <c r="D84" i="9"/>
  <c r="M84" i="9"/>
  <c r="G84" i="9"/>
  <c r="J84" i="9"/>
  <c r="I206" i="9"/>
  <c r="D191" i="9"/>
  <c r="J191" i="9"/>
  <c r="G191" i="9"/>
  <c r="M191" i="9"/>
  <c r="J69" i="9"/>
  <c r="G69" i="9"/>
  <c r="D69" i="9"/>
  <c r="M69" i="9"/>
  <c r="G122" i="9"/>
  <c r="M122" i="9"/>
  <c r="J122" i="9"/>
  <c r="D122" i="9"/>
  <c r="D125" i="9"/>
  <c r="G125" i="9"/>
  <c r="M125" i="9"/>
  <c r="J125" i="9"/>
  <c r="G142" i="9"/>
  <c r="M142" i="9"/>
  <c r="D142" i="9"/>
  <c r="J142" i="9"/>
  <c r="J89" i="9"/>
  <c r="G89" i="9"/>
  <c r="M89" i="9"/>
  <c r="D89" i="9"/>
  <c r="D119" i="9"/>
  <c r="J119" i="9"/>
  <c r="M119" i="9"/>
  <c r="G119" i="9"/>
  <c r="G203" i="9"/>
  <c r="M203" i="9"/>
  <c r="D203" i="9"/>
  <c r="J203" i="9"/>
  <c r="D80" i="9"/>
  <c r="M80" i="9"/>
  <c r="G80" i="9"/>
  <c r="J80" i="9"/>
  <c r="D273" i="9"/>
  <c r="M273" i="9"/>
  <c r="J273" i="9"/>
  <c r="G273" i="9"/>
  <c r="N72" i="3"/>
  <c r="L72" i="3"/>
  <c r="M72" i="3"/>
  <c r="L60" i="3"/>
  <c r="N60" i="3"/>
  <c r="M60" i="3"/>
  <c r="N59" i="3"/>
  <c r="M59" i="3"/>
  <c r="L59" i="3"/>
  <c r="H67" i="3"/>
  <c r="J67" i="3"/>
  <c r="I67" i="3"/>
  <c r="R72" i="3"/>
  <c r="P72" i="3"/>
  <c r="Q72" i="3"/>
  <c r="M33" i="9"/>
  <c r="G33" i="9"/>
  <c r="D33" i="9"/>
  <c r="J33" i="9"/>
  <c r="H35" i="3"/>
  <c r="J35" i="3"/>
  <c r="I35" i="3"/>
  <c r="P34" i="3"/>
  <c r="R34" i="3"/>
  <c r="Q34" i="3"/>
  <c r="L57" i="3"/>
  <c r="M57" i="3"/>
  <c r="N57" i="3"/>
  <c r="G47" i="9"/>
  <c r="J47" i="9"/>
  <c r="M47" i="9"/>
  <c r="D47" i="9"/>
  <c r="R41" i="3"/>
  <c r="P41" i="3"/>
  <c r="Q41" i="3"/>
  <c r="P62" i="3"/>
  <c r="R62" i="3"/>
  <c r="Q62" i="3"/>
  <c r="L32" i="3"/>
  <c r="N32" i="3"/>
  <c r="M32" i="3"/>
  <c r="N50" i="3"/>
  <c r="M50" i="3"/>
  <c r="L50" i="3"/>
  <c r="R31" i="3"/>
  <c r="Q31" i="3"/>
  <c r="P31" i="3"/>
  <c r="J73" i="3"/>
  <c r="H73" i="3"/>
  <c r="I73" i="3"/>
  <c r="M67" i="3"/>
  <c r="N67" i="3"/>
  <c r="L67" i="3"/>
  <c r="R59" i="3"/>
  <c r="Q59" i="3"/>
  <c r="P59" i="3"/>
  <c r="M18" i="5"/>
  <c r="L18" i="5"/>
  <c r="N18" i="5"/>
  <c r="N49" i="3"/>
  <c r="M49" i="3"/>
  <c r="L49" i="3"/>
  <c r="M61" i="3"/>
  <c r="N61" i="3"/>
  <c r="L61" i="3"/>
  <c r="D41" i="9"/>
  <c r="J41" i="9"/>
  <c r="M41" i="9"/>
  <c r="G41" i="9"/>
  <c r="M15" i="3"/>
  <c r="L15" i="3"/>
  <c r="N15" i="3"/>
  <c r="M62" i="3"/>
  <c r="N62" i="3"/>
  <c r="L62" i="3"/>
  <c r="I65" i="3"/>
  <c r="J65" i="3"/>
  <c r="H65" i="3"/>
  <c r="M69" i="3"/>
  <c r="L69" i="3"/>
  <c r="N69" i="3"/>
  <c r="N17" i="3"/>
  <c r="M17" i="3"/>
  <c r="L17" i="3"/>
  <c r="J25" i="9"/>
  <c r="G25" i="9"/>
  <c r="D25" i="9"/>
  <c r="M25" i="9"/>
  <c r="M63" i="3"/>
  <c r="L63" i="3"/>
  <c r="N63" i="3"/>
  <c r="R67" i="3"/>
  <c r="Q67" i="3"/>
  <c r="P67" i="3"/>
  <c r="N65" i="3"/>
  <c r="L65" i="3"/>
  <c r="M65" i="3"/>
  <c r="M25" i="3"/>
  <c r="N25" i="3"/>
  <c r="L25" i="3"/>
  <c r="N9" i="3"/>
  <c r="L9" i="3"/>
  <c r="M9" i="3"/>
  <c r="M43" i="9"/>
  <c r="G43" i="9"/>
  <c r="D43" i="9"/>
  <c r="J43" i="9"/>
  <c r="P44" i="3"/>
  <c r="Q44" i="3"/>
  <c r="R44" i="3"/>
  <c r="D46" i="9"/>
  <c r="J46" i="9"/>
  <c r="M46" i="9"/>
  <c r="G46" i="9"/>
  <c r="J141" i="9"/>
  <c r="M141" i="9"/>
  <c r="D141" i="9"/>
  <c r="G141" i="9"/>
  <c r="J118" i="9"/>
  <c r="G118" i="9"/>
  <c r="D118" i="9"/>
  <c r="M118" i="9"/>
  <c r="J85" i="9"/>
  <c r="G85" i="9"/>
  <c r="D85" i="9"/>
  <c r="M85" i="9"/>
  <c r="D78" i="9"/>
  <c r="M78" i="9"/>
  <c r="J78" i="9"/>
  <c r="G78" i="9"/>
  <c r="G70" i="9"/>
  <c r="D70" i="9"/>
  <c r="M70" i="9"/>
  <c r="J70" i="9"/>
  <c r="F92" i="9"/>
  <c r="L92" i="9"/>
  <c r="D67" i="9"/>
  <c r="M67" i="9"/>
  <c r="G67" i="9"/>
  <c r="J67" i="9"/>
  <c r="G225" i="9"/>
  <c r="M225" i="9"/>
  <c r="J225" i="9"/>
  <c r="D225" i="9"/>
  <c r="J152" i="9"/>
  <c r="G152" i="9"/>
  <c r="D152" i="9"/>
  <c r="M152" i="9"/>
  <c r="O244" i="9"/>
  <c r="G196" i="9"/>
  <c r="M196" i="9"/>
  <c r="D196" i="9"/>
  <c r="J196" i="9"/>
  <c r="G106" i="9"/>
  <c r="D106" i="9"/>
  <c r="M106" i="9"/>
  <c r="J106" i="9"/>
  <c r="O92" i="9"/>
  <c r="M138" i="9"/>
  <c r="G138" i="9"/>
  <c r="D138" i="9"/>
  <c r="J138" i="9"/>
  <c r="G150" i="9"/>
  <c r="J150" i="9"/>
  <c r="D150" i="9"/>
  <c r="M150" i="9"/>
  <c r="J111" i="9"/>
  <c r="G111" i="9"/>
  <c r="M111" i="9"/>
  <c r="D111" i="9"/>
  <c r="D184" i="9"/>
  <c r="G184" i="9"/>
  <c r="M184" i="9"/>
  <c r="J184" i="9"/>
  <c r="M183" i="9"/>
  <c r="J183" i="9"/>
  <c r="G183" i="9"/>
  <c r="D183" i="9"/>
  <c r="O168" i="9"/>
  <c r="L282" i="9"/>
  <c r="G160" i="9"/>
  <c r="M160" i="9"/>
  <c r="D160" i="9"/>
  <c r="J160" i="9"/>
  <c r="J66" i="9"/>
  <c r="M66" i="9"/>
  <c r="G66" i="9"/>
  <c r="D66" i="9"/>
  <c r="I244" i="9"/>
  <c r="G113" i="9"/>
  <c r="J113" i="9"/>
  <c r="D113" i="9"/>
  <c r="M113" i="9"/>
  <c r="D270" i="9"/>
  <c r="J270" i="9"/>
  <c r="G270" i="9"/>
  <c r="M270" i="9"/>
  <c r="M108" i="9"/>
  <c r="G108" i="9"/>
  <c r="J108" i="9"/>
  <c r="D108" i="9"/>
  <c r="D226" i="9"/>
  <c r="M226" i="9"/>
  <c r="J226" i="9"/>
  <c r="G226" i="9"/>
  <c r="D259" i="9"/>
  <c r="G259" i="9"/>
  <c r="M259" i="9"/>
  <c r="J259" i="9"/>
  <c r="M159" i="9"/>
  <c r="G159" i="9"/>
  <c r="J159" i="9"/>
  <c r="D159" i="9"/>
  <c r="M115" i="9"/>
  <c r="D115" i="9"/>
  <c r="J115" i="9"/>
  <c r="G115" i="9"/>
  <c r="D269" i="9"/>
  <c r="M269" i="9"/>
  <c r="G269" i="9"/>
  <c r="J269" i="9"/>
  <c r="J233" i="9"/>
  <c r="G233" i="9"/>
  <c r="D233" i="9"/>
  <c r="M233" i="9"/>
  <c r="J71" i="9"/>
  <c r="D71" i="9"/>
  <c r="M71" i="9"/>
  <c r="G71" i="9"/>
  <c r="G216" i="9"/>
  <c r="J216" i="9"/>
  <c r="D216" i="9"/>
  <c r="M216" i="9"/>
  <c r="G186" i="9"/>
  <c r="M186" i="9"/>
  <c r="J186" i="9"/>
  <c r="D186" i="9"/>
  <c r="J155" i="9"/>
  <c r="M155" i="9"/>
  <c r="G155" i="9"/>
  <c r="D155" i="9"/>
  <c r="D114" i="9"/>
  <c r="G114" i="9"/>
  <c r="M114" i="9"/>
  <c r="J114" i="9"/>
  <c r="L168" i="9"/>
  <c r="D178" i="9"/>
  <c r="G178" i="9"/>
  <c r="J178" i="9"/>
  <c r="M178" i="9"/>
  <c r="G219" i="9"/>
  <c r="M219" i="9"/>
  <c r="D219" i="9"/>
  <c r="J219" i="9"/>
  <c r="D267" i="9"/>
  <c r="G267" i="9"/>
  <c r="J267" i="9"/>
  <c r="M267" i="9"/>
  <c r="J187" i="9"/>
  <c r="D187" i="9"/>
  <c r="G187" i="9"/>
  <c r="M187" i="9"/>
  <c r="D258" i="9"/>
  <c r="G258" i="9"/>
  <c r="J258" i="9"/>
  <c r="M258" i="9"/>
  <c r="J256" i="9"/>
  <c r="G256" i="9"/>
  <c r="D256" i="9"/>
  <c r="M256" i="9"/>
  <c r="O282" i="9"/>
  <c r="D193" i="9"/>
  <c r="M193" i="9"/>
  <c r="G193" i="9"/>
  <c r="J193" i="9"/>
  <c r="G176" i="9"/>
  <c r="M176" i="9"/>
  <c r="D176" i="9"/>
  <c r="J176" i="9"/>
  <c r="G104" i="9"/>
  <c r="D104" i="9"/>
  <c r="J104" i="9"/>
  <c r="M104" i="9"/>
  <c r="I130" i="9"/>
  <c r="G76" i="9"/>
  <c r="D76" i="9"/>
  <c r="J76" i="9"/>
  <c r="M76" i="9"/>
  <c r="J77" i="9"/>
  <c r="M77" i="9"/>
  <c r="G77" i="9"/>
  <c r="D77" i="9"/>
  <c r="D214" i="9"/>
  <c r="J214" i="9"/>
  <c r="G214" i="9"/>
  <c r="M214" i="9"/>
  <c r="M229" i="9"/>
  <c r="G229" i="9"/>
  <c r="J229" i="9"/>
  <c r="D229" i="9"/>
  <c r="O206" i="9"/>
  <c r="M222" i="9"/>
  <c r="J222" i="9"/>
  <c r="D222" i="9"/>
  <c r="G222" i="9"/>
  <c r="G274" i="9"/>
  <c r="J274" i="9"/>
  <c r="D274" i="9"/>
  <c r="M274" i="9"/>
  <c r="L244" i="9"/>
  <c r="J98" i="9"/>
  <c r="C130" i="9"/>
  <c r="G98" i="9"/>
  <c r="D98" i="9"/>
  <c r="M98" i="9"/>
  <c r="D268" i="9"/>
  <c r="J268" i="9"/>
  <c r="M268" i="9"/>
  <c r="G268" i="9"/>
  <c r="D276" i="9"/>
  <c r="G276" i="9"/>
  <c r="J276" i="9"/>
  <c r="M276" i="9"/>
  <c r="G241" i="9"/>
  <c r="J241" i="9"/>
  <c r="M241" i="9"/>
  <c r="D241" i="9"/>
  <c r="M238" i="9"/>
  <c r="G238" i="9"/>
  <c r="J238" i="9"/>
  <c r="D238" i="9"/>
  <c r="J60" i="9"/>
  <c r="D60" i="9"/>
  <c r="M60" i="9"/>
  <c r="C92" i="9"/>
  <c r="G60" i="9"/>
  <c r="G127" i="9"/>
  <c r="J127" i="9"/>
  <c r="M127" i="9"/>
  <c r="D127" i="9"/>
  <c r="D189" i="9"/>
  <c r="M189" i="9"/>
  <c r="J189" i="9"/>
  <c r="G189" i="9"/>
  <c r="J137" i="9"/>
  <c r="M137" i="9"/>
  <c r="D137" i="9"/>
  <c r="G137" i="9"/>
  <c r="G157" i="9"/>
  <c r="D157" i="9"/>
  <c r="M157" i="9"/>
  <c r="J157" i="9"/>
  <c r="J235" i="9"/>
  <c r="G235" i="9"/>
  <c r="M235" i="9"/>
  <c r="D235" i="9"/>
  <c r="D65" i="9"/>
  <c r="M65" i="9"/>
  <c r="J65" i="9"/>
  <c r="G65" i="9"/>
  <c r="D260" i="9"/>
  <c r="M260" i="9"/>
  <c r="G260" i="9"/>
  <c r="J260" i="9"/>
  <c r="G272" i="9"/>
  <c r="J272" i="9"/>
  <c r="M272" i="9"/>
  <c r="D272" i="9"/>
  <c r="G220" i="9"/>
  <c r="D220" i="9"/>
  <c r="J220" i="9"/>
  <c r="M220" i="9"/>
  <c r="J149" i="9"/>
  <c r="D149" i="9"/>
  <c r="G149" i="9"/>
  <c r="M149" i="9"/>
  <c r="M139" i="9"/>
  <c r="G139" i="9"/>
  <c r="D139" i="9"/>
  <c r="J139" i="9"/>
  <c r="D242" i="9"/>
  <c r="M242" i="9"/>
  <c r="J242" i="9"/>
  <c r="G242" i="9"/>
  <c r="G237" i="9"/>
  <c r="M237" i="9"/>
  <c r="J237" i="9"/>
  <c r="D237" i="9"/>
  <c r="G121" i="9"/>
  <c r="D121" i="9"/>
  <c r="M121" i="9"/>
  <c r="J121" i="9"/>
  <c r="D263" i="9"/>
  <c r="M263" i="9"/>
  <c r="J263" i="9"/>
  <c r="G263" i="9"/>
  <c r="J230" i="9"/>
  <c r="G230" i="9"/>
  <c r="D230" i="9"/>
  <c r="M230" i="9"/>
  <c r="G200" i="9"/>
  <c r="D200" i="9"/>
  <c r="J200" i="9"/>
  <c r="M200" i="9"/>
  <c r="M185" i="9"/>
  <c r="G185" i="9"/>
  <c r="J185" i="9"/>
  <c r="D185" i="9"/>
  <c r="M239" i="9"/>
  <c r="J239" i="9"/>
  <c r="G239" i="9"/>
  <c r="D239" i="9"/>
  <c r="G126" i="9"/>
  <c r="D126" i="9"/>
  <c r="M126" i="9"/>
  <c r="J126" i="9"/>
  <c r="L206" i="9"/>
  <c r="C168" i="9"/>
  <c r="J136" i="9"/>
  <c r="M136" i="9"/>
  <c r="D136" i="9"/>
  <c r="G136" i="9"/>
  <c r="J182" i="9"/>
  <c r="M182" i="9"/>
  <c r="D182" i="9"/>
  <c r="G182" i="9"/>
  <c r="J180" i="9"/>
  <c r="D180" i="9"/>
  <c r="M180" i="9"/>
  <c r="G180" i="9"/>
  <c r="F168" i="9"/>
  <c r="J128" i="9"/>
  <c r="M128" i="9"/>
  <c r="G128" i="9"/>
  <c r="D128" i="9"/>
  <c r="D143" i="9"/>
  <c r="G143" i="9"/>
  <c r="J143" i="9"/>
  <c r="M143" i="9"/>
  <c r="J204" i="9"/>
  <c r="G204" i="9"/>
  <c r="D204" i="9"/>
  <c r="M204" i="9"/>
  <c r="G116" i="9"/>
  <c r="M116" i="9"/>
  <c r="J116" i="9"/>
  <c r="D116" i="9"/>
  <c r="M72" i="9"/>
  <c r="J72" i="9"/>
  <c r="D72" i="9"/>
  <c r="G72" i="9"/>
  <c r="J147" i="9"/>
  <c r="G147" i="9"/>
  <c r="D147" i="9"/>
  <c r="M147" i="9"/>
  <c r="J124" i="9"/>
  <c r="G124" i="9"/>
  <c r="M124" i="9"/>
  <c r="D124" i="9"/>
  <c r="D109" i="9"/>
  <c r="J109" i="9"/>
  <c r="M109" i="9"/>
  <c r="G109" i="9"/>
  <c r="M145" i="9"/>
  <c r="J145" i="9"/>
  <c r="G145" i="9"/>
  <c r="D145" i="9"/>
  <c r="G151" i="9"/>
  <c r="D151" i="9"/>
  <c r="M151" i="9"/>
  <c r="J151" i="9"/>
  <c r="J144" i="9"/>
  <c r="G144" i="9"/>
  <c r="D144" i="9"/>
  <c r="M144" i="9"/>
  <c r="J175" i="9"/>
  <c r="M175" i="9"/>
  <c r="D175" i="9"/>
  <c r="G175" i="9"/>
  <c r="D265" i="9"/>
  <c r="J265" i="9"/>
  <c r="M265" i="9"/>
  <c r="G265" i="9"/>
  <c r="J198" i="9"/>
  <c r="M198" i="9"/>
  <c r="D198" i="9"/>
  <c r="G198" i="9"/>
  <c r="G162" i="9"/>
  <c r="J162" i="9"/>
  <c r="M162" i="9"/>
  <c r="D162" i="9"/>
  <c r="G252" i="9"/>
  <c r="J252" i="9"/>
  <c r="D252" i="9"/>
  <c r="M252" i="9"/>
  <c r="J153" i="9"/>
  <c r="G153" i="9"/>
  <c r="D153" i="9"/>
  <c r="M153" i="9"/>
  <c r="G99" i="9"/>
  <c r="D99" i="9"/>
  <c r="M99" i="9"/>
  <c r="J99" i="9"/>
  <c r="G251" i="9"/>
  <c r="D251" i="9"/>
  <c r="M251" i="9"/>
  <c r="J251" i="9"/>
  <c r="D164" i="9"/>
  <c r="G164" i="9"/>
  <c r="M164" i="9"/>
  <c r="J164" i="9"/>
  <c r="J271" i="9"/>
  <c r="M271" i="9"/>
  <c r="G271" i="9"/>
  <c r="D271" i="9"/>
  <c r="J156" i="9"/>
  <c r="D156" i="9"/>
  <c r="G156" i="9"/>
  <c r="M156" i="9"/>
  <c r="M254" i="9"/>
  <c r="J254" i="9"/>
  <c r="D254" i="9"/>
  <c r="G254" i="9"/>
  <c r="J73" i="9"/>
  <c r="D73" i="9"/>
  <c r="M73" i="9"/>
  <c r="G73" i="9"/>
  <c r="M179" i="9"/>
  <c r="J179" i="9"/>
  <c r="D179" i="9"/>
  <c r="G179" i="9"/>
  <c r="D201" i="9"/>
  <c r="G201" i="9"/>
  <c r="M201" i="9"/>
  <c r="J201" i="9"/>
  <c r="M218" i="9"/>
  <c r="G218" i="9"/>
  <c r="D218" i="9"/>
  <c r="J218" i="9"/>
  <c r="I282" i="9"/>
  <c r="D146" i="9"/>
  <c r="M146" i="9"/>
  <c r="J146" i="9"/>
  <c r="G146" i="9"/>
  <c r="D123" i="9"/>
  <c r="J123" i="9"/>
  <c r="G123" i="9"/>
  <c r="M123" i="9"/>
  <c r="M231" i="9"/>
  <c r="D231" i="9"/>
  <c r="J231" i="9"/>
  <c r="G231" i="9"/>
  <c r="M177" i="9"/>
  <c r="J177" i="9"/>
  <c r="G177" i="9"/>
  <c r="D177" i="9"/>
  <c r="G161" i="9"/>
  <c r="M161" i="9"/>
  <c r="J161" i="9"/>
  <c r="D161" i="9"/>
  <c r="J215" i="9"/>
  <c r="M215" i="9"/>
  <c r="D215" i="9"/>
  <c r="G215" i="9"/>
  <c r="J253" i="9"/>
  <c r="G253" i="9"/>
  <c r="M253" i="9"/>
  <c r="D253" i="9"/>
  <c r="M227" i="9"/>
  <c r="J227" i="9"/>
  <c r="G227" i="9"/>
  <c r="D227" i="9"/>
  <c r="D236" i="9"/>
  <c r="M236" i="9"/>
  <c r="G236" i="9"/>
  <c r="J236" i="9"/>
  <c r="G264" i="9"/>
  <c r="M264" i="9"/>
  <c r="J264" i="9"/>
  <c r="D264" i="9"/>
  <c r="F244" i="9"/>
  <c r="G278" i="9"/>
  <c r="D278" i="9"/>
  <c r="M278" i="9"/>
  <c r="J278" i="9"/>
  <c r="F206" i="9"/>
  <c r="D266" i="9"/>
  <c r="M266" i="9"/>
  <c r="G266" i="9"/>
  <c r="J266" i="9"/>
  <c r="J217" i="9"/>
  <c r="G217" i="9"/>
  <c r="D217" i="9"/>
  <c r="M217" i="9"/>
  <c r="F282" i="9"/>
  <c r="D190" i="9"/>
  <c r="M190" i="9"/>
  <c r="J190" i="9"/>
  <c r="G190" i="9"/>
  <c r="G279" i="9"/>
  <c r="D279" i="9"/>
  <c r="J279" i="9"/>
  <c r="M279" i="9"/>
  <c r="J174" i="9"/>
  <c r="C206" i="9"/>
  <c r="D174" i="9"/>
  <c r="M174" i="9"/>
  <c r="G174" i="9"/>
  <c r="D240" i="9"/>
  <c r="M240" i="9"/>
  <c r="J240" i="9"/>
  <c r="G240" i="9"/>
  <c r="I92" i="9"/>
  <c r="M90" i="9"/>
  <c r="J90" i="9"/>
  <c r="G90" i="9"/>
  <c r="D90" i="9"/>
  <c r="G100" i="9"/>
  <c r="J100" i="9"/>
  <c r="M100" i="9"/>
  <c r="D100" i="9"/>
  <c r="G195" i="9"/>
  <c r="M195" i="9"/>
  <c r="D195" i="9"/>
  <c r="J195" i="9"/>
  <c r="M103" i="9"/>
  <c r="D103" i="9"/>
  <c r="G103" i="9"/>
  <c r="J103" i="9"/>
  <c r="D83" i="9"/>
  <c r="M83" i="9"/>
  <c r="G83" i="9"/>
  <c r="J83" i="9"/>
  <c r="M163" i="9"/>
  <c r="G163" i="9"/>
  <c r="J163" i="9"/>
  <c r="D163" i="9"/>
  <c r="J213" i="9"/>
  <c r="M213" i="9"/>
  <c r="G213" i="9"/>
  <c r="D213" i="9"/>
  <c r="N282" i="9" l="1"/>
  <c r="M14" i="9" s="1"/>
  <c r="N168" i="9"/>
  <c r="M12" i="9" s="1"/>
  <c r="N244" i="9"/>
  <c r="M10" i="9" s="1"/>
  <c r="N206" i="9"/>
  <c r="M8" i="9" s="1"/>
  <c r="N130" i="9"/>
  <c r="M6" i="9" s="1"/>
  <c r="N92" i="9"/>
  <c r="M4" i="9" s="1"/>
  <c r="K282" i="9"/>
  <c r="J14" i="9" s="1"/>
  <c r="K168" i="9"/>
  <c r="J12" i="9" s="1"/>
  <c r="K244" i="9"/>
  <c r="J10" i="9" s="1"/>
  <c r="K206" i="9"/>
  <c r="J8" i="9" s="1"/>
  <c r="K130" i="9"/>
  <c r="J6" i="9" s="1"/>
  <c r="K92" i="9"/>
  <c r="J4" i="9" s="1"/>
  <c r="H282" i="9"/>
  <c r="G14" i="9" s="1"/>
  <c r="H168" i="9"/>
  <c r="G12" i="9" s="1"/>
  <c r="H244" i="9"/>
  <c r="G10" i="9" s="1"/>
  <c r="H206" i="9"/>
  <c r="G8" i="9" s="1"/>
  <c r="H130" i="9"/>
  <c r="G6" i="9" s="1"/>
  <c r="H92" i="9"/>
  <c r="G4" i="9" s="1"/>
  <c r="E282" i="9"/>
  <c r="D14" i="9" s="1"/>
  <c r="E168" i="9"/>
  <c r="D12" i="9" s="1"/>
  <c r="E244" i="9"/>
  <c r="D10" i="9" s="1"/>
  <c r="E206" i="9"/>
  <c r="D8" i="9" s="1"/>
  <c r="E130" i="9"/>
  <c r="D6" i="9" s="1"/>
  <c r="E92" i="9"/>
  <c r="D4" i="9" s="1"/>
  <c r="H54" i="9"/>
  <c r="K54" i="9"/>
  <c r="N54" i="9"/>
  <c r="J206" i="9"/>
  <c r="M206" i="9"/>
  <c r="J282" i="9"/>
  <c r="J168" i="9"/>
  <c r="D206" i="9"/>
  <c r="G168" i="9"/>
  <c r="M92" i="9"/>
  <c r="D130" i="9"/>
  <c r="G244" i="9"/>
  <c r="G282" i="9"/>
  <c r="M54" i="9"/>
  <c r="M168" i="9"/>
  <c r="G92" i="9"/>
  <c r="J130" i="9"/>
  <c r="D168" i="9"/>
  <c r="D92" i="9"/>
  <c r="G130" i="9"/>
  <c r="M244" i="9"/>
  <c r="D282" i="9"/>
  <c r="D54" i="9"/>
  <c r="G54" i="9"/>
  <c r="J244" i="9"/>
  <c r="E54" i="9"/>
  <c r="J54" i="9"/>
  <c r="J92" i="9"/>
  <c r="G206" i="9"/>
  <c r="M130" i="9"/>
  <c r="D244" i="9"/>
  <c r="M282" i="9"/>
  <c r="B15" i="9" l="1"/>
  <c r="B13" i="9"/>
  <c r="B9" i="9"/>
  <c r="D16" i="9"/>
  <c r="M16" i="9"/>
  <c r="J16" i="9"/>
  <c r="G16" i="9"/>
  <c r="B11" i="9" s="1"/>
  <c r="B3" i="9" l="1"/>
  <c r="B10" i="9"/>
  <c r="B5" i="9"/>
  <c r="B7" i="9"/>
  <c r="B14" i="9"/>
  <c r="B16" i="9"/>
  <c r="B6" i="9"/>
  <c r="B12" i="9"/>
  <c r="B4" i="9"/>
  <c r="B8" i="9"/>
</calcChain>
</file>

<file path=xl/sharedStrings.xml><?xml version="1.0" encoding="utf-8"?>
<sst xmlns="http://schemas.openxmlformats.org/spreadsheetml/2006/main" count="3609" uniqueCount="356">
  <si>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</si>
  <si>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</si>
  <si>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</si>
  <si>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</si>
  <si>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</si>
  <si>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</si>
  <si>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</si>
  <si>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</si>
  <si>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</si>
  <si>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</si>
  <si>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</si>
  <si>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</si>
  <si>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</si>
  <si>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</si>
  <si>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</si>
  <si>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</si>
  <si>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</si>
  <si>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</si>
  <si>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</si>
  <si>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</si>
  <si>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</si>
  <si>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</si>
  <si>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</si>
  <si>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</si>
  <si>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</si>
  <si>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</si>
  <si>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</si>
  <si>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</si>
  <si>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</si>
  <si>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</si>
  <si>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</si>
  <si>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</si>
  <si>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</si>
  <si>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</si>
  <si>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</si>
  <si>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</si>
  <si>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</si>
  <si>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</si>
  <si>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</si>
  <si>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</si>
  <si>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</si>
  <si>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</si>
  <si>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</si>
  <si>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</si>
  <si>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</si>
  <si>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</si>
  <si>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</si>
  <si>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</si>
  <si>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</si>
  <si>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</si>
  <si>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</si>
  <si>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</si>
  <si>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</si>
  <si>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</si>
  <si>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</si>
  <si>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</si>
  <si>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</si>
  <si>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</si>
  <si>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</si>
  <si>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</si>
  <si>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</si>
  <si>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</si>
  <si>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</si>
  <si>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</si>
  <si>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</si>
  <si>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</si>
  <si>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</si>
  <si>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</si>
  <si>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</si>
  <si>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</si>
  <si>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</si>
  <si>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</si>
  <si>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</si>
  <si>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</si>
  <si>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</si>
  <si>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</si>
  <si>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</si>
  <si>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</si>
  <si>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</si>
  <si>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</si>
  <si>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</si>
  <si>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</si>
  <si>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</si>
  <si>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</si>
  <si>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</si>
  <si>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</si>
  <si>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</si>
  <si>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</si>
  <si>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</si>
  <si>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</si>
  <si>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</si>
  <si>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</si>
  <si>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</si>
  <si>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</si>
  <si>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</si>
  <si>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</si>
  <si>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</si>
  <si>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</si>
  <si>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</si>
  <si>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</si>
  <si>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</si>
  <si>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</si>
  <si>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</si>
  <si>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</si>
  <si>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</si>
  <si>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</si>
  <si>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</si>
  <si>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</si>
  <si>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</si>
  <si>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</si>
  <si>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</si>
  <si>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</si>
  <si>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</si>
  <si>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</si>
  <si>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</si>
  <si>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</si>
  <si>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</si>
  <si>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</si>
  <si>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</si>
  <si>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</si>
  <si>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</si>
  <si>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</si>
  <si>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</si>
  <si>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</si>
  <si>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</si>
  <si>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</si>
  <si>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</si>
  <si>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</si>
  <si>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</si>
  <si>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</si>
  <si>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</si>
  <si>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</si>
  <si>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</si>
  <si>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</si>
  <si>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</si>
  <si>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</si>
  <si>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</si>
  <si>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</si>
  <si>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</si>
  <si>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</si>
  <si>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</si>
  <si>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</si>
  <si>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</si>
  <si>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</si>
  <si>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</si>
  <si>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</si>
  <si>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</si>
  <si>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</si>
  <si>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</si>
  <si>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</si>
  <si>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</si>
  <si>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</si>
  <si>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</si>
  <si>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</si>
  <si>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</si>
  <si>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</si>
  <si>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</si>
  <si>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</si>
  <si>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</si>
  <si>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</si>
  <si>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</si>
  <si>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</si>
  <si>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</si>
  <si>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</si>
  <si>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</si>
  <si>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</si>
  <si>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</si>
  <si>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</si>
  <si>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</si>
  <si>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</si>
  <si>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</si>
  <si>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</si>
  <si>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</si>
  <si>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</si>
  <si>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</si>
  <si>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</si>
  <si>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</si>
  <si>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</si>
  <si>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</si>
  <si>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</si>
  <si>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</si>
  <si>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</si>
  <si>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</si>
  <si>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</si>
  <si>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</si>
  <si>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</si>
  <si>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</si>
  <si>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</si>
  <si>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</si>
  <si>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</si>
  <si>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</si>
  <si>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</si>
  <si>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</si>
  <si>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</si>
  <si>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</si>
  <si>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</si>
  <si>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</si>
  <si>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</si>
  <si>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</si>
  <si>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</si>
  <si>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</si>
  <si>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</si>
  <si>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</si>
  <si>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</si>
  <si>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</si>
  <si>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</si>
  <si>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</si>
  <si>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</si>
  <si>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</si>
  <si>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</si>
  <si>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</si>
  <si>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</si>
  <si>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</si>
  <si>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</si>
  <si>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</si>
  <si>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</si>
  <si>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</si>
  <si>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</si>
  <si>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</si>
  <si>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</si>
  <si>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</si>
  <si>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</si>
  <si>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</si>
  <si>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</si>
  <si>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</si>
  <si>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</si>
  <si>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</si>
  <si>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</si>
  <si>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</si>
  <si>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</si>
  <si>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</si>
  <si>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</si>
  <si>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</si>
  <si>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</si>
  <si>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</si>
  <si>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</si>
  <si>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</si>
  <si>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</si>
  <si>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</si>
  <si>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</si>
  <si>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</si>
  <si>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</si>
  <si>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</si>
  <si>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</si>
  <si>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</si>
  <si>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</si>
  <si>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</si>
  <si>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</si>
  <si>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</si>
  <si>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</si>
  <si>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</si>
  <si>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</si>
  <si>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</si>
  <si>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</si>
  <si>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</si>
  <si>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</si>
  <si>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</si>
  <si>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</si>
  <si>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</si>
  <si>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</si>
  <si>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</si>
  <si>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</si>
  <si>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</si>
  <si>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</si>
  <si>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</si>
  <si>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</si>
  <si>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</si>
  <si>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</si>
  <si>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</si>
  <si>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</si>
  <si>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</si>
  <si>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</si>
  <si>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</si>
  <si>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</si>
  <si>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</si>
  <si>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</si>
  <si>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</si>
  <si>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</si>
  <si>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</si>
  <si>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</si>
  <si>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</si>
  <si>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</si>
  <si>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</si>
  <si>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</si>
  <si>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</si>
  <si>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</si>
  <si>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</si>
  <si>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</si>
  <si>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</si>
  <si>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</si>
  <si>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</si>
  <si>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</si>
  <si>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</si>
  <si>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</si>
  <si>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</si>
  <si>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</si>
  <si>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</si>
  <si>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</si>
  <si>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</si>
  <si>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</si>
  <si>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</si>
  <si>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</si>
  <si>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</si>
  <si>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</si>
  <si>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</si>
  <si>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</si>
  <si>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</si>
  <si>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</si>
  <si>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</si>
  <si>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</si>
  <si>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</si>
  <si>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</si>
  <si>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</si>
  <si>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</si>
  <si>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</si>
  <si>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</si>
  <si>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</si>
  <si>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</si>
  <si>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</si>
  <si>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</si>
  <si>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</si>
  <si>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2021.05.06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</si>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</sst>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95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42D5EE30-6785-4096-967E-0DB52C31D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219074</xdr:rowOff>
        </xdr:from>
        <xdr:to>
          <xdr:col>22</xdr:col>
          <xdr:colOff>0</xdr:colOff>
          <xdr:row>4</xdr:row>
          <xdr:rowOff>219074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219074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219074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1</xdr:rowOff>
        </xdr:from>
        <xdr:to>
          <xdr:col>22</xdr:col>
          <xdr:colOff>0</xdr:colOff>
          <xdr:row>14</xdr:row>
          <xdr:rowOff>1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7DD29D30-761F-43D3-ADED-B5D5089DA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23</xdr:row>
          <xdr:rowOff>1</xdr:rowOff>
        </xdr:from>
        <xdr:to>
          <xdr:col>18</xdr:col>
          <xdr:colOff>923924</xdr:colOff>
          <xdr:row>26</xdr:row>
          <xdr:rowOff>1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26</xdr:row>
          <xdr:rowOff>0</xdr:rowOff>
        </xdr:from>
        <xdr:to>
          <xdr:col>16</xdr:col>
          <xdr:colOff>923924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923924</xdr:colOff>
          <xdr:row>26</xdr:row>
          <xdr:rowOff>0</xdr:rowOff>
        </xdr:from>
        <xdr:to>
          <xdr:col>17</xdr:col>
          <xdr:colOff>923924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29</xdr:row>
          <xdr:rowOff>0</xdr:rowOff>
        </xdr:from>
        <xdr:to>
          <xdr:col>16</xdr:col>
          <xdr:colOff>923924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923924</xdr:colOff>
          <xdr:row>29</xdr:row>
          <xdr:rowOff>0</xdr:rowOff>
        </xdr:from>
        <xdr:to>
          <xdr:col>17</xdr:col>
          <xdr:colOff>923924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923924</xdr:colOff>
          <xdr:row>26</xdr:row>
          <xdr:rowOff>0</xdr:rowOff>
        </xdr:from>
        <xdr:to>
          <xdr:col>18</xdr:col>
          <xdr:colOff>923924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923924</xdr:colOff>
          <xdr:row>29</xdr:row>
          <xdr:rowOff>0</xdr:rowOff>
        </xdr:from>
        <xdr:to>
          <xdr:col>18</xdr:col>
          <xdr:colOff>923924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32</xdr:row>
          <xdr:rowOff>1</xdr:rowOff>
        </xdr:from>
        <xdr:to>
          <xdr:col>18</xdr:col>
          <xdr:colOff>923924</xdr:colOff>
          <xdr:row>35</xdr:row>
          <xdr:rowOff>1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F87734CC-54D8-4710-A4DF-DC4186A17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219074</xdr:rowOff>
        </xdr:from>
        <xdr:to>
          <xdr:col>19</xdr:col>
          <xdr:colOff>0</xdr:colOff>
          <xdr:row>6</xdr:row>
          <xdr:rowOff>209549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247E97AC-8E92-4EDB-98E4-4C8FF7985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9F24ECA6-68AA-46A2-9244-7C92F686E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E585791F-6B94-43E4-B05E-882730389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209549</xdr:rowOff>
        </xdr:from>
        <xdr:to>
          <xdr:col>17</xdr:col>
          <xdr:colOff>0</xdr:colOff>
          <xdr:row>66</xdr:row>
          <xdr:rowOff>209549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209549</xdr:rowOff>
        </xdr:from>
        <xdr:to>
          <xdr:col>18</xdr:col>
          <xdr:colOff>0</xdr:colOff>
          <xdr:row>66</xdr:row>
          <xdr:rowOff>209549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209549</xdr:rowOff>
        </xdr:from>
        <xdr:to>
          <xdr:col>17</xdr:col>
          <xdr:colOff>0</xdr:colOff>
          <xdr:row>69</xdr:row>
          <xdr:rowOff>209549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209549</xdr:rowOff>
        </xdr:from>
        <xdr:to>
          <xdr:col>18</xdr:col>
          <xdr:colOff>0</xdr:colOff>
          <xdr:row>69</xdr:row>
          <xdr:rowOff>209549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209549</xdr:rowOff>
        </xdr:from>
        <xdr:to>
          <xdr:col>19</xdr:col>
          <xdr:colOff>0</xdr:colOff>
          <xdr:row>66</xdr:row>
          <xdr:rowOff>209549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209549</xdr:rowOff>
        </xdr:from>
        <xdr:to>
          <xdr:col>19</xdr:col>
          <xdr:colOff>0</xdr:colOff>
          <xdr:row>69</xdr:row>
          <xdr:rowOff>209549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74</xdr:row>
          <xdr:rowOff>209549</xdr:rowOff>
        </xdr:from>
        <xdr:to>
          <xdr:col>19</xdr:col>
          <xdr:colOff>1</xdr:colOff>
          <xdr:row>77</xdr:row>
          <xdr:rowOff>209549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77</xdr:row>
          <xdr:rowOff>209549</xdr:rowOff>
        </xdr:from>
        <xdr:to>
          <xdr:col>19</xdr:col>
          <xdr:colOff>1</xdr:colOff>
          <xdr:row>80</xdr:row>
          <xdr:rowOff>209549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80</xdr:row>
          <xdr:rowOff>209549</xdr:rowOff>
        </xdr:from>
        <xdr:to>
          <xdr:col>19</xdr:col>
          <xdr:colOff>1</xdr:colOff>
          <xdr:row>83</xdr:row>
          <xdr:rowOff>209549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83</xdr:row>
          <xdr:rowOff>209549</xdr:rowOff>
        </xdr:from>
        <xdr:to>
          <xdr:col>19</xdr:col>
          <xdr:colOff>1</xdr:colOff>
          <xdr:row>86</xdr:row>
          <xdr:rowOff>209549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86</xdr:row>
          <xdr:rowOff>209549</xdr:rowOff>
        </xdr:from>
        <xdr:to>
          <xdr:col>19</xdr:col>
          <xdr:colOff>1</xdr:colOff>
          <xdr:row>89</xdr:row>
          <xdr:rowOff>209549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209549</xdr:rowOff>
        </xdr:from>
        <xdr:to>
          <xdr:col>17</xdr:col>
          <xdr:colOff>0</xdr:colOff>
          <xdr:row>104</xdr:row>
          <xdr:rowOff>209549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209549</xdr:rowOff>
        </xdr:from>
        <xdr:to>
          <xdr:col>18</xdr:col>
          <xdr:colOff>0</xdr:colOff>
          <xdr:row>104</xdr:row>
          <xdr:rowOff>209549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209549</xdr:rowOff>
        </xdr:from>
        <xdr:to>
          <xdr:col>17</xdr:col>
          <xdr:colOff>0</xdr:colOff>
          <xdr:row>107</xdr:row>
          <xdr:rowOff>209549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209549</xdr:rowOff>
        </xdr:from>
        <xdr:to>
          <xdr:col>18</xdr:col>
          <xdr:colOff>0</xdr:colOff>
          <xdr:row>107</xdr:row>
          <xdr:rowOff>209549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209549</xdr:rowOff>
        </xdr:from>
        <xdr:to>
          <xdr:col>19</xdr:col>
          <xdr:colOff>0</xdr:colOff>
          <xdr:row>104</xdr:row>
          <xdr:rowOff>209549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209549</xdr:rowOff>
        </xdr:from>
        <xdr:to>
          <xdr:col>19</xdr:col>
          <xdr:colOff>0</xdr:colOff>
          <xdr:row>107</xdr:row>
          <xdr:rowOff>209549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112</xdr:row>
          <xdr:rowOff>209549</xdr:rowOff>
        </xdr:from>
        <xdr:to>
          <xdr:col>19</xdr:col>
          <xdr:colOff>1</xdr:colOff>
          <xdr:row>115</xdr:row>
          <xdr:rowOff>209549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115</xdr:row>
          <xdr:rowOff>209549</xdr:rowOff>
        </xdr:from>
        <xdr:to>
          <xdr:col>19</xdr:col>
          <xdr:colOff>1</xdr:colOff>
          <xdr:row>118</xdr:row>
          <xdr:rowOff>209549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118</xdr:row>
          <xdr:rowOff>209549</xdr:rowOff>
        </xdr:from>
        <xdr:to>
          <xdr:col>19</xdr:col>
          <xdr:colOff>1</xdr:colOff>
          <xdr:row>121</xdr:row>
          <xdr:rowOff>209549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121</xdr:row>
          <xdr:rowOff>209549</xdr:rowOff>
        </xdr:from>
        <xdr:to>
          <xdr:col>19</xdr:col>
          <xdr:colOff>1</xdr:colOff>
          <xdr:row>124</xdr:row>
          <xdr:rowOff>209549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124</xdr:row>
          <xdr:rowOff>209549</xdr:rowOff>
        </xdr:from>
        <xdr:to>
          <xdr:col>19</xdr:col>
          <xdr:colOff>1</xdr:colOff>
          <xdr:row>127</xdr:row>
          <xdr:rowOff>209549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209549</xdr:rowOff>
        </xdr:from>
        <xdr:to>
          <xdr:col>17</xdr:col>
          <xdr:colOff>0</xdr:colOff>
          <xdr:row>142</xdr:row>
          <xdr:rowOff>209549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209549</xdr:rowOff>
        </xdr:from>
        <xdr:to>
          <xdr:col>18</xdr:col>
          <xdr:colOff>0</xdr:colOff>
          <xdr:row>142</xdr:row>
          <xdr:rowOff>209549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209549</xdr:rowOff>
        </xdr:from>
        <xdr:to>
          <xdr:col>17</xdr:col>
          <xdr:colOff>0</xdr:colOff>
          <xdr:row>145</xdr:row>
          <xdr:rowOff>209549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209549</xdr:rowOff>
        </xdr:from>
        <xdr:to>
          <xdr:col>18</xdr:col>
          <xdr:colOff>0</xdr:colOff>
          <xdr:row>145</xdr:row>
          <xdr:rowOff>209549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209549</xdr:rowOff>
        </xdr:from>
        <xdr:to>
          <xdr:col>19</xdr:col>
          <xdr:colOff>0</xdr:colOff>
          <xdr:row>142</xdr:row>
          <xdr:rowOff>209549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209549</xdr:rowOff>
        </xdr:from>
        <xdr:to>
          <xdr:col>19</xdr:col>
          <xdr:colOff>0</xdr:colOff>
          <xdr:row>145</xdr:row>
          <xdr:rowOff>209549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150</xdr:row>
          <xdr:rowOff>209549</xdr:rowOff>
        </xdr:from>
        <xdr:to>
          <xdr:col>19</xdr:col>
          <xdr:colOff>1</xdr:colOff>
          <xdr:row>153</xdr:row>
          <xdr:rowOff>209549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153</xdr:row>
          <xdr:rowOff>209549</xdr:rowOff>
        </xdr:from>
        <xdr:to>
          <xdr:col>19</xdr:col>
          <xdr:colOff>1</xdr:colOff>
          <xdr:row>156</xdr:row>
          <xdr:rowOff>209549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156</xdr:row>
          <xdr:rowOff>209549</xdr:rowOff>
        </xdr:from>
        <xdr:to>
          <xdr:col>19</xdr:col>
          <xdr:colOff>1</xdr:colOff>
          <xdr:row>159</xdr:row>
          <xdr:rowOff>209549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159</xdr:row>
          <xdr:rowOff>209549</xdr:rowOff>
        </xdr:from>
        <xdr:to>
          <xdr:col>19</xdr:col>
          <xdr:colOff>1</xdr:colOff>
          <xdr:row>162</xdr:row>
          <xdr:rowOff>209549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162</xdr:row>
          <xdr:rowOff>209549</xdr:rowOff>
        </xdr:from>
        <xdr:to>
          <xdr:col>19</xdr:col>
          <xdr:colOff>1</xdr:colOff>
          <xdr:row>165</xdr:row>
          <xdr:rowOff>209549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209549</xdr:rowOff>
        </xdr:from>
        <xdr:to>
          <xdr:col>17</xdr:col>
          <xdr:colOff>0</xdr:colOff>
          <xdr:row>180</xdr:row>
          <xdr:rowOff>209549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209549</xdr:rowOff>
        </xdr:from>
        <xdr:to>
          <xdr:col>18</xdr:col>
          <xdr:colOff>0</xdr:colOff>
          <xdr:row>180</xdr:row>
          <xdr:rowOff>209549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209549</xdr:rowOff>
        </xdr:from>
        <xdr:to>
          <xdr:col>17</xdr:col>
          <xdr:colOff>0</xdr:colOff>
          <xdr:row>183</xdr:row>
          <xdr:rowOff>209549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209549</xdr:rowOff>
        </xdr:from>
        <xdr:to>
          <xdr:col>18</xdr:col>
          <xdr:colOff>0</xdr:colOff>
          <xdr:row>183</xdr:row>
          <xdr:rowOff>209549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209549</xdr:rowOff>
        </xdr:from>
        <xdr:to>
          <xdr:col>19</xdr:col>
          <xdr:colOff>0</xdr:colOff>
          <xdr:row>180</xdr:row>
          <xdr:rowOff>209549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209549</xdr:rowOff>
        </xdr:from>
        <xdr:to>
          <xdr:col>19</xdr:col>
          <xdr:colOff>0</xdr:colOff>
          <xdr:row>183</xdr:row>
          <xdr:rowOff>209549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188</xdr:row>
          <xdr:rowOff>209549</xdr:rowOff>
        </xdr:from>
        <xdr:to>
          <xdr:col>19</xdr:col>
          <xdr:colOff>1</xdr:colOff>
          <xdr:row>191</xdr:row>
          <xdr:rowOff>209549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191</xdr:row>
          <xdr:rowOff>209549</xdr:rowOff>
        </xdr:from>
        <xdr:to>
          <xdr:col>19</xdr:col>
          <xdr:colOff>1</xdr:colOff>
          <xdr:row>194</xdr:row>
          <xdr:rowOff>209549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194</xdr:row>
          <xdr:rowOff>209549</xdr:rowOff>
        </xdr:from>
        <xdr:to>
          <xdr:col>19</xdr:col>
          <xdr:colOff>1</xdr:colOff>
          <xdr:row>197</xdr:row>
          <xdr:rowOff>209549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197</xdr:row>
          <xdr:rowOff>209549</xdr:rowOff>
        </xdr:from>
        <xdr:to>
          <xdr:col>19</xdr:col>
          <xdr:colOff>1</xdr:colOff>
          <xdr:row>200</xdr:row>
          <xdr:rowOff>209549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200</xdr:row>
          <xdr:rowOff>209549</xdr:rowOff>
        </xdr:from>
        <xdr:to>
          <xdr:col>19</xdr:col>
          <xdr:colOff>1</xdr:colOff>
          <xdr:row>203</xdr:row>
          <xdr:rowOff>209549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209549</xdr:rowOff>
        </xdr:from>
        <xdr:to>
          <xdr:col>17</xdr:col>
          <xdr:colOff>0</xdr:colOff>
          <xdr:row>218</xdr:row>
          <xdr:rowOff>209549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209549</xdr:rowOff>
        </xdr:from>
        <xdr:to>
          <xdr:col>18</xdr:col>
          <xdr:colOff>0</xdr:colOff>
          <xdr:row>218</xdr:row>
          <xdr:rowOff>209549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209549</xdr:rowOff>
        </xdr:from>
        <xdr:to>
          <xdr:col>17</xdr:col>
          <xdr:colOff>0</xdr:colOff>
          <xdr:row>221</xdr:row>
          <xdr:rowOff>209549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209549</xdr:rowOff>
        </xdr:from>
        <xdr:to>
          <xdr:col>18</xdr:col>
          <xdr:colOff>0</xdr:colOff>
          <xdr:row>221</xdr:row>
          <xdr:rowOff>209549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209549</xdr:rowOff>
        </xdr:from>
        <xdr:to>
          <xdr:col>19</xdr:col>
          <xdr:colOff>0</xdr:colOff>
          <xdr:row>218</xdr:row>
          <xdr:rowOff>209549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209549</xdr:rowOff>
        </xdr:from>
        <xdr:to>
          <xdr:col>19</xdr:col>
          <xdr:colOff>0</xdr:colOff>
          <xdr:row>221</xdr:row>
          <xdr:rowOff>209549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226</xdr:row>
          <xdr:rowOff>209549</xdr:rowOff>
        </xdr:from>
        <xdr:to>
          <xdr:col>19</xdr:col>
          <xdr:colOff>1</xdr:colOff>
          <xdr:row>229</xdr:row>
          <xdr:rowOff>209549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229</xdr:row>
          <xdr:rowOff>209549</xdr:rowOff>
        </xdr:from>
        <xdr:to>
          <xdr:col>19</xdr:col>
          <xdr:colOff>1</xdr:colOff>
          <xdr:row>232</xdr:row>
          <xdr:rowOff>209549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232</xdr:row>
          <xdr:rowOff>209549</xdr:rowOff>
        </xdr:from>
        <xdr:to>
          <xdr:col>19</xdr:col>
          <xdr:colOff>1</xdr:colOff>
          <xdr:row>235</xdr:row>
          <xdr:rowOff>209549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235</xdr:row>
          <xdr:rowOff>209549</xdr:rowOff>
        </xdr:from>
        <xdr:to>
          <xdr:col>19</xdr:col>
          <xdr:colOff>1</xdr:colOff>
          <xdr:row>238</xdr:row>
          <xdr:rowOff>209549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238</xdr:row>
          <xdr:rowOff>209549</xdr:rowOff>
        </xdr:from>
        <xdr:to>
          <xdr:col>19</xdr:col>
          <xdr:colOff>1</xdr:colOff>
          <xdr:row>241</xdr:row>
          <xdr:rowOff>209549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209549</xdr:rowOff>
        </xdr:from>
        <xdr:to>
          <xdr:col>17</xdr:col>
          <xdr:colOff>0</xdr:colOff>
          <xdr:row>256</xdr:row>
          <xdr:rowOff>209549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209549</xdr:rowOff>
        </xdr:from>
        <xdr:to>
          <xdr:col>18</xdr:col>
          <xdr:colOff>0</xdr:colOff>
          <xdr:row>256</xdr:row>
          <xdr:rowOff>209549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209549</xdr:rowOff>
        </xdr:from>
        <xdr:to>
          <xdr:col>17</xdr:col>
          <xdr:colOff>0</xdr:colOff>
          <xdr:row>259</xdr:row>
          <xdr:rowOff>209549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209549</xdr:rowOff>
        </xdr:from>
        <xdr:to>
          <xdr:col>18</xdr:col>
          <xdr:colOff>0</xdr:colOff>
          <xdr:row>259</xdr:row>
          <xdr:rowOff>209549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209549</xdr:rowOff>
        </xdr:from>
        <xdr:to>
          <xdr:col>19</xdr:col>
          <xdr:colOff>0</xdr:colOff>
          <xdr:row>256</xdr:row>
          <xdr:rowOff>209549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209549</xdr:rowOff>
        </xdr:from>
        <xdr:to>
          <xdr:col>19</xdr:col>
          <xdr:colOff>0</xdr:colOff>
          <xdr:row>259</xdr:row>
          <xdr:rowOff>209549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264</xdr:row>
          <xdr:rowOff>209549</xdr:rowOff>
        </xdr:from>
        <xdr:to>
          <xdr:col>19</xdr:col>
          <xdr:colOff>1</xdr:colOff>
          <xdr:row>267</xdr:row>
          <xdr:rowOff>209549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267</xdr:row>
          <xdr:rowOff>209549</xdr:rowOff>
        </xdr:from>
        <xdr:to>
          <xdr:col>19</xdr:col>
          <xdr:colOff>1</xdr:colOff>
          <xdr:row>270</xdr:row>
          <xdr:rowOff>209549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270</xdr:row>
          <xdr:rowOff>209549</xdr:rowOff>
        </xdr:from>
        <xdr:to>
          <xdr:col>19</xdr:col>
          <xdr:colOff>1</xdr:colOff>
          <xdr:row>273</xdr:row>
          <xdr:rowOff>209549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273</xdr:row>
          <xdr:rowOff>209549</xdr:rowOff>
        </xdr:from>
        <xdr:to>
          <xdr:col>19</xdr:col>
          <xdr:colOff>1</xdr:colOff>
          <xdr:row>276</xdr:row>
          <xdr:rowOff>209549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276</xdr:row>
          <xdr:rowOff>209549</xdr:rowOff>
        </xdr:from>
        <xdr:to>
          <xdr:col>19</xdr:col>
          <xdr:colOff>1</xdr:colOff>
          <xdr:row>279</xdr:row>
          <xdr:rowOff>209549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C11BDC0B-762E-426B-9F1B-B9DC41ABD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C2DC82C6-53A2-45C2-A066-7C21B21BE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938877A5-4779-44D4-89EE-D3EF7F4A8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97990221-F265-4C83-8F10-4BC9627DC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8564A229-0E84-433F-BAC2-38B69EA21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3DBB7FB-596F-40F8-9A32-99DBB554E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1F9626C-57FB-419D-8CD7-56C9B5B15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26AD7A8D-A87F-4AF6-9AC4-8DE5073EA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474BC9D5-EAD6-45FC-BA5D-C0B4D2B60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AC20A4B9-6D47-4C44-AEB8-2CD456F09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19CC188D-45CE-41E0-8933-071A275EA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7E0E990C-1429-4FB2-A4F2-2A3624F0D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DE84AAA8-00DE-43B0-B84F-3068CA362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B6F07D8-5740-4C98-8254-2B6E5C8BB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9C7A54B3-B1AA-42A3-B9B0-57AC666AD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735F9174-259D-48F2-9560-242661609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37FBB617-C3DD-4AE2-B60A-C911CF03A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B31E8A56-E0EF-4031-B5C5-E32117ED9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BED47EA5-B5FB-4C4B-9A45-7D6407423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7E35AAB7-A8D4-46E3-9490-1F3F892B4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6DB26CE0-3045-43BC-9643-52B1F207E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70BE0AC7-659E-478D-ABCA-9AE0F06CC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130FA1F-6C51-4511-94D2-65FADB2A3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994E0C74-0EAE-4ACA-A30B-2C7516617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431CA89E-F4C7-430D-A75C-B3C8B04EF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EB0AFF2C-0EBF-4358-A94D-8087D7A57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58A04EB7-4AEE-463E-A96A-A383831B1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57D766F9-E459-4DFC-BEC4-0638DEB00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80FD7BEA-FC64-48C3-BA19-671391281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638CF6-00EC-4444-ABF6-DEC1A036E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944B0A4B-FEAA-4683-BE25-DCD6F8DD7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D326B12C-8508-4222-BA01-A0B913EC1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AC510F25-6A2B-48FB-AD7B-8D7E55F69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4B62946C-778D-49B9-93E0-6A78932CC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DD4618BF-1333-48E2-B1DF-6FC8B9774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DFF797AB-F30E-4D5F-83C0-13E84CB61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E6BEEBFE-7F69-4B0A-BFEE-7EF19956B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ED8F4150-859E-4370-BEFD-26B68FBED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10D172F1-BD8E-4BE7-B136-CC4245EAC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D2C9BFCE-A29A-4B6D-BB19-00A0D951A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2EBFB765-D9AE-49E1-B4D7-8C92F6B05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6E258AD-7058-4ADC-9F93-D40340B9D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E71AD485-E1C2-4713-81B8-5B809AC31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99E849F0-E1D2-44C1-A952-5B17B741A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E7228E46-1E58-43B7-A98F-534A62FA6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6F09E7B5-9558-4543-B42A-1C5B21871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2BC76954-3E7E-4CD8-9799-38C1C4F47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AD51738D-BE7C-49E9-A7BF-97F708BDE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D6490AFB-8819-4F16-B309-EA183E21F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44F98F7B-BD3F-4A57-A473-5BF2566CF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105AD03F-33C5-4321-B53F-D5AFA1C31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31CBDE45-C9EC-46CB-8C99-549B13277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CF036E47-AD7E-4EA3-9759-AFFC0A47D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60CE66BC-5146-4F1A-A709-BE0CE9131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8BEB5917-9569-4EE2-BAAA-075A5B709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D89FE6C9-BC12-41C6-BD7C-2486095FC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304599DA-AEB4-425A-957C-8CD1A75AF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DDE7CD09-56D2-4DBD-96B9-E937293DF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C8D1FED6-1A01-4455-ADED-9DEAED262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A2C65EEA-E712-44BE-9234-2B80B1234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8E727FAF-C449-47E9-9469-04A87C96B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398BAC8C-D2D2-49B5-8FEB-615C4CBC7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D9040265-F25C-4F0C-9952-E3E8B016D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EDD572B9-AECE-4330-8F8D-100DA3343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607EF3B2-AFEC-4B7A-8DAA-10E094A00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D39E4CB0-DDA3-46B7-A67D-8B83A5665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549CA163-1C69-43DE-9478-0527D01C0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729869AC-1F8F-4B85-80E8-7255DC893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EFD77E32-3F99-438F-8587-262E7EF2B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F4A02B61-F936-4A8A-9763-14CBE3059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EEE71ABF-2E71-4889-9079-DB254CE8F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4091B384-6CE4-44CB-8A1C-FA7231779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950D964-DBEB-4A7A-A544-9FC4120FE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F7DD5790-7EE3-4FBD-9C2D-BFA3CB308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18BFAB25-E21A-47FC-8DF2-9FEF275DD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54F38608-F0E9-4D3A-A353-08C2B37A1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2E407839-86A8-4064-9100-147BA835C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1D7E58CA-684A-4196-B16D-EA4927908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A32F18B3-B5ED-42E4-A59C-04231D291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36DDFBBE-2B74-423E-B8E4-45112EFA9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37BE373A-164C-4DF5-96DE-80BAB34FB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1179EB76-5E28-4556-962A-ACAAB684B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B6676BA9-E7C2-4791-995B-6E128DB89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F05985FF-7841-4ECA-A802-64357FB66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B63C286A-AAAB-4F77-AF27-7AABBA70A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A41B9A08-8594-4639-BA41-2573F7867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7BA1C7F6-1919-4CE9-8965-C81998C6D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5DB7449C-425D-42B1-BDEA-7383FADDE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6ABC352F-6A6F-4AB9-A8E9-93E31534A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5BEC7967-A4F4-44AC-B593-881B9638F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C9E14FF2-9C1C-4C6C-9B4B-AE1CD2BE1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E3510A34-7385-428B-9F92-C4AFBF26C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C5FFE9F9-A486-426E-A7EA-1C85D6CC3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46EB1D68-EFB0-4F53-8DF6-BB79F2C56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A68B53D4-EFC7-4B98-BCBE-780EC2571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8AD30AB5-C47B-433F-840A-92A15C116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7A9BA27A-AB14-460E-AB19-16BAD1AF8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AC3FDB70-F076-4B36-B40D-9C8144009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87483FBB-38EC-486E-8286-BB0B9002D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7F650C34-D813-437F-9531-C143F56ED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EEB253DC-D89B-4C79-8AD7-CF2A74856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2093FE8-4EA4-4A23-9443-71F20B9E8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811C73F0-2EF1-4252-9970-0F99CE2CC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6688E271-3A8F-48F8-A67A-758BD42F9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846D536B-718C-4C9F-AE9A-CA12EAD8D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A9790614-3926-40E9-8AE8-45468F8E8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4794C1C5-5316-475B-BEE5-1ABE3CB51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9DEDD018-50F5-453E-AEA0-A31F092642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68B4697E-C3E5-4BAF-9BA1-5FCC43E57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E76816FA-DCC2-4F3C-A4BF-1DAE02029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A28CD95F-B5EB-4AA6-94F2-2B0FE914E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5E4379F8-622E-4EF9-AA06-F9DF610ED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F564186B-9CB0-4A41-8987-BA8D105C5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3C43ACC8-9442-4491-B568-719B18A95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F7DD37CA-A054-4085-B2E7-0FC2B5C3F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8DCC9BEA-5A06-475E-8EE5-46E11F05D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963DA5C7-38D1-4CC1-9719-BF5C231DA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481A21B1-3AB7-4949-BBC6-320EB46D2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BFF8766A-A564-4A25-BE44-E2E9C4DDD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35EA5007-BC48-4FC4-B816-933295E26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65297765-F6A4-4CFC-A45A-FF084EE12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C006858A-79A3-4259-9E14-A75C3DE4E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2BD3C701-3360-4179-BBB9-596DFFE1B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79FC4B8E-0C0E-40E3-A64A-A30F46257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5DF38D5B-9329-44DF-9B9E-80379E3F6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E08BCB13-CE6F-42C4-8F69-6C7C2C928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F815A59A-3DC0-4D5E-869D-887F5C70B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BB3DA2E3-E4BF-4E4C-9651-AEE0E7AB6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833B6815-4668-46C7-A9EE-784E45596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4C324B89-CC9D-4B69-A751-070A23F86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485A57BC-4260-47FE-AB2B-F973D1C76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7BCB90E0-9FE9-4A10-ACB5-5CEDF627D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164017E6-752B-4BB3-880B-98E74AE48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35A6A160-D4C4-4BF9-9469-C3BCFD55E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322D70DC-9BAC-4F9B-8F6A-180CD80BF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CC83E761-3BDB-4169-B6B1-B83D6C714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93767101-635F-4463-9BD1-CBA09180C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4E5B42CF-B0C9-482C-AF3F-2D301424F6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2A220A50-C9EB-48DB-9D4A-3E64E84B6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4D3DAB56-BC8E-44EB-BCDE-F5EF5705B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44287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2021-04-01(목) 오전 00:00</v>
      </c>
      <c r="C15" s="201"/>
      <c r="D15" s="190" t="str">
        <f>TEXT($G$1, "[$-ko-KR]yyyy-mm-dd(ddd) ") &amp; "오후 14:00"</f>
        <v>2021-04-01(목) 오후 14:00</v>
      </c>
      <c r="E15" s="191"/>
      <c r="F15" s="192"/>
      <c r="G15" s="190" t="str">
        <f>TEXT($G$1, "[$-ko-KR]yyyy-mm-dd(ddd) ") &amp; "오후 19:00"</f>
        <v>2021-04-01(목) 오후 19:00</v>
      </c>
      <c r="H15" s="191"/>
      <c r="I15" s="192"/>
      <c r="J15" s="190" t="str">
        <f>TEXT($G$1, "[$-ko-KR]yyyy-mm-dd(ddd) ") &amp; "오후 21:00"</f>
        <v>2021-04-01(목) 오후 21:00</v>
      </c>
      <c r="K15" s="191"/>
      <c r="L15" s="192"/>
      <c r="M15" s="190" t="str">
        <f>TEXT($G$1+1, "[$-ko-KR]yyyy-mm-dd(ddd) ") &amp; "오전 00:00"</f>
        <v>2021-04-02(금)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2021-04-01(목) 오전 00:00</v>
      </c>
      <c r="C42" s="214"/>
      <c r="D42" s="190" t="str">
        <f>TEXT($G$1, "[$-ko-KR]yyyy-mm-dd(ddd) ") &amp; "오후 14:00"</f>
        <v>2021-04-01(목) 오후 14:00</v>
      </c>
      <c r="E42" s="191"/>
      <c r="F42" s="192"/>
      <c r="G42" s="190" t="str">
        <f>TEXT($G$1, "[$-ko-KR]yyyy-mm-dd(ddd) ") &amp; "오후 19:00"</f>
        <v>2021-04-01(목) 오후 19:00</v>
      </c>
      <c r="H42" s="191"/>
      <c r="I42" s="192"/>
      <c r="J42" s="190" t="str">
        <f>TEXT($G$1, "[$-ko-KR]yyyy-mm-dd(ddd) ") &amp; "오후 21:00"</f>
        <v>2021-04-01(목) 오후 21:00</v>
      </c>
      <c r="K42" s="191"/>
      <c r="L42" s="192"/>
      <c r="M42" s="190" t="str">
        <f>TEXT($G$1+1, "[$-ko-KR]yyyy-mm-dd(ddd) ") &amp; "오전 00:00"</f>
        <v>2021-04-02(금)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2021-04-01(목) 오전 00:00</v>
      </c>
      <c r="C69" s="214"/>
      <c r="D69" s="190" t="str">
        <f>TEXT($G$1, "[$-ko-KR]yyyy-mm-dd(ddd) ") &amp; "오후 14:00"</f>
        <v>2021-04-01(목) 오후 14:00</v>
      </c>
      <c r="E69" s="191"/>
      <c r="F69" s="192"/>
      <c r="G69" s="190" t="str">
        <f>TEXT($G$1, "[$-ko-KR]yyyy-mm-dd(ddd) ") &amp; "오후 19:00"</f>
        <v>2021-04-01(목) 오후 19:00</v>
      </c>
      <c r="H69" s="191"/>
      <c r="I69" s="192"/>
      <c r="J69" s="190" t="str">
        <f>TEXT($G$1, "[$-ko-KR]yyyy-mm-dd(ddd) ") &amp; "오후 21:00"</f>
        <v>2021-04-01(목) 오후 21:00</v>
      </c>
      <c r="K69" s="191"/>
      <c r="L69" s="192"/>
      <c r="M69" s="190" t="str">
        <f>TEXT($G$1+1, "[$-ko-KR]yyyy-mm-dd(ddd) ") &amp; "오전 00:00"</f>
        <v>2021-04-02(금)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2021-04-01(목) 오전 00:00</v>
      </c>
      <c r="C96" s="214"/>
      <c r="D96" s="190" t="str">
        <f>TEXT($G$1, "[$-ko-KR]yyyy-mm-dd(ddd) ") &amp; "오후 14:00"</f>
        <v>2021-04-01(목) 오후 14:00</v>
      </c>
      <c r="E96" s="191"/>
      <c r="F96" s="192"/>
      <c r="G96" s="190" t="str">
        <f>TEXT($G$1, "[$-ko-KR]yyyy-mm-dd(ddd) ") &amp; "오후 19:00"</f>
        <v>2021-04-01(목) 오후 19:00</v>
      </c>
      <c r="H96" s="191"/>
      <c r="I96" s="192"/>
      <c r="J96" s="190" t="str">
        <f>TEXT($G$1, "[$-ko-KR]yyyy-mm-dd(ddd) ") &amp; "오후 21:00"</f>
        <v>2021-04-01(목) 오후 21:00</v>
      </c>
      <c r="K96" s="191"/>
      <c r="L96" s="192"/>
      <c r="M96" s="190" t="str">
        <f>TEXT($G$1+1, "[$-ko-KR]yyyy-mm-dd(ddd) ") &amp; "오전 00:00"</f>
        <v>2021-04-02(금)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2021-04-01(목) 오전 00:00</v>
      </c>
      <c r="C123" s="214"/>
      <c r="D123" s="190" t="str">
        <f>TEXT($G$1, "[$-ko-KR]yyyy-mm-dd(ddd) ") &amp; "오후 14:00"</f>
        <v>2021-04-01(목) 오후 14:00</v>
      </c>
      <c r="E123" s="191"/>
      <c r="F123" s="192"/>
      <c r="G123" s="190" t="str">
        <f>TEXT($G$1, "[$-ko-KR]yyyy-mm-dd(ddd) ") &amp; "오후 19:00"</f>
        <v>2021-04-01(목) 오후 19:00</v>
      </c>
      <c r="H123" s="191"/>
      <c r="I123" s="192"/>
      <c r="J123" s="190" t="str">
        <f>TEXT($G$1, "[$-ko-KR]yyyy-mm-dd(ddd) ") &amp; "오후 21:00"</f>
        <v>2021-04-01(목) 오후 21:00</v>
      </c>
      <c r="K123" s="191"/>
      <c r="L123" s="192"/>
      <c r="M123" s="190" t="str">
        <f>TEXT($G$1+1, "[$-ko-KR]yyyy-mm-dd(ddd) ") &amp; "오전 00:00"</f>
        <v>2021-04-02(금)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2021-04-01(목) 오전 00:00</v>
      </c>
      <c r="C150" s="214"/>
      <c r="D150" s="190" t="str">
        <f>TEXT($G$1, "[$-ko-KR]yyyy-mm-dd(ddd) ") &amp; "오후 14:00"</f>
        <v>2021-04-01(목) 오후 14:00</v>
      </c>
      <c r="E150" s="191"/>
      <c r="F150" s="192"/>
      <c r="G150" s="190" t="str">
        <f>TEXT($G$1, "[$-ko-KR]yyyy-mm-dd(ddd) ") &amp; "오후 19:00"</f>
        <v>2021-04-01(목) 오후 19:00</v>
      </c>
      <c r="H150" s="191"/>
      <c r="I150" s="192"/>
      <c r="J150" s="190" t="str">
        <f>TEXT($G$1, "[$-ko-KR]yyyy-mm-dd(ddd) ") &amp; "오후 21:00"</f>
        <v>2021-04-01(목) 오후 21:00</v>
      </c>
      <c r="K150" s="191"/>
      <c r="L150" s="192"/>
      <c r="M150" s="190" t="str">
        <f>TEXT($G$1+1, "[$-ko-KR]yyyy-mm-dd(ddd) ") &amp; "오전 00:00"</f>
        <v>2021-04-02(금)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2021-04-01(목) 오전 00:00</v>
      </c>
      <c r="C177" s="214"/>
      <c r="D177" s="190" t="str">
        <f>TEXT($G$1, "[$-ko-KR]yyyy-mm-dd(ddd) ") &amp; "오후 14:00"</f>
        <v>2021-04-01(목) 오후 14:00</v>
      </c>
      <c r="E177" s="191"/>
      <c r="F177" s="192"/>
      <c r="G177" s="190" t="str">
        <f>TEXT($G$1, "[$-ko-KR]yyyy-mm-dd(ddd) ") &amp; "오후 19:00"</f>
        <v>2021-04-01(목) 오후 19:00</v>
      </c>
      <c r="H177" s="191"/>
      <c r="I177" s="192"/>
      <c r="J177" s="190" t="str">
        <f>TEXT($G$1, "[$-ko-KR]yyyy-mm-dd(ddd) ") &amp; "오후 21:00"</f>
        <v>2021-04-01(목) 오후 21:00</v>
      </c>
      <c r="K177" s="191"/>
      <c r="L177" s="192"/>
      <c r="M177" s="190" t="str">
        <f>TEXT($G$1+1, "[$-ko-KR]yyyy-mm-dd(ddd) ") &amp; "오전 00:00"</f>
        <v>2021-04-02(금)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9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9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9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9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9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8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8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8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8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8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84" priority="157">
      <formula>AND($N17 &gt; 0, ISNUMBER($N17))</formula>
    </cfRule>
    <cfRule type="expression" dxfId="3683" priority="158">
      <formula>AND($N17 = 0 * ISNUMBER($N17))</formula>
    </cfRule>
    <cfRule type="expression" dxfId="3682" priority="159">
      <formula>AND($N17 &lt; 0, ISNUMBER($N17))</formula>
    </cfRule>
  </conditionalFormatting>
  <conditionalFormatting sqref="A17:F36">
    <cfRule type="expression" dxfId="3681" priority="166">
      <formula>AND($E17 &gt; 0, ISNUMBER($E17))</formula>
    </cfRule>
    <cfRule type="expression" dxfId="3680" priority="167">
      <formula>AND($E17 = 0 * ISNUMBER($E17))</formula>
    </cfRule>
    <cfRule type="expression" dxfId="3679" priority="168">
      <formula>AND($E17 &lt; 0, ISNUMBER($E17))</formula>
    </cfRule>
  </conditionalFormatting>
  <conditionalFormatting sqref="A17:C36 G17:I36">
    <cfRule type="expression" dxfId="3678" priority="163">
      <formula>AND($H17 &gt; 0, ISNUMBER($H17))</formula>
    </cfRule>
    <cfRule type="expression" dxfId="3677" priority="164">
      <formula>AND($H17 = 0 * ISNUMBER($H17))</formula>
    </cfRule>
    <cfRule type="expression" dxfId="3676" priority="165">
      <formula>AND($H17 &lt; 0, ISNUMBER($H17))</formula>
    </cfRule>
  </conditionalFormatting>
  <conditionalFormatting sqref="A17:C36 J17:L36">
    <cfRule type="expression" dxfId="3675" priority="160">
      <formula>AND($K17 &gt; 0, ISNUMBER($K17))</formula>
    </cfRule>
    <cfRule type="expression" dxfId="3674" priority="161">
      <formula>AND($K17 = 0 * ISNUMBER($K17))</formula>
    </cfRule>
    <cfRule type="expression" dxfId="3673" priority="162">
      <formula>AND($K17 &lt; 0, ISNUMBER($K17))</formula>
    </cfRule>
  </conditionalFormatting>
  <conditionalFormatting sqref="D15:F16 E37:F37">
    <cfRule type="expression" dxfId="3672" priority="154">
      <formula>$E$37 &gt; 0</formula>
    </cfRule>
    <cfRule type="expression" dxfId="3671" priority="155">
      <formula>$E$37 = 0</formula>
    </cfRule>
    <cfRule type="expression" dxfId="3670" priority="156">
      <formula>$E$37 &lt; 0</formula>
    </cfRule>
  </conditionalFormatting>
  <conditionalFormatting sqref="G15:I16 H37:I37">
    <cfRule type="expression" dxfId="3669" priority="151">
      <formula>$H$37 &gt; 0</formula>
    </cfRule>
    <cfRule type="expression" dxfId="3668" priority="152">
      <formula>$H$37 = 0</formula>
    </cfRule>
    <cfRule type="expression" dxfId="3667" priority="153">
      <formula>$H$37 &lt; 0</formula>
    </cfRule>
  </conditionalFormatting>
  <conditionalFormatting sqref="J15:L16 K37:L37">
    <cfRule type="expression" dxfId="3666" priority="148">
      <formula>$K$37 &gt; 0</formula>
    </cfRule>
    <cfRule type="expression" dxfId="3665" priority="149">
      <formula>$K$37 = 0</formula>
    </cfRule>
    <cfRule type="expression" dxfId="3664" priority="150">
      <formula>$K$37 &lt; 0</formula>
    </cfRule>
  </conditionalFormatting>
  <conditionalFormatting sqref="M15:O16 N37:O37">
    <cfRule type="expression" dxfId="3663" priority="145">
      <formula>$N$37 &gt; 0</formula>
    </cfRule>
    <cfRule type="expression" dxfId="3662" priority="146">
      <formula>$N$37 = 0</formula>
    </cfRule>
    <cfRule type="expression" dxfId="3661" priority="147">
      <formula>$N$37 &lt; 0</formula>
    </cfRule>
  </conditionalFormatting>
  <conditionalFormatting sqref="A44:C63 M44:O63">
    <cfRule type="expression" dxfId="3660" priority="133">
      <formula>AND($N44 &gt; 0, ISNUMBER($N44))</formula>
    </cfRule>
    <cfRule type="expression" dxfId="3659" priority="134">
      <formula>AND($N44 = 0 * ISNUMBER($N44))</formula>
    </cfRule>
    <cfRule type="expression" dxfId="3658" priority="135">
      <formula>AND($N44 &lt; 0, ISNUMBER($N44))</formula>
    </cfRule>
  </conditionalFormatting>
  <conditionalFormatting sqref="A44:F63">
    <cfRule type="expression" dxfId="3657" priority="142">
      <formula>AND($E44 &gt; 0, ISNUMBER($E44))</formula>
    </cfRule>
    <cfRule type="expression" dxfId="3656" priority="143">
      <formula>AND($E44 = 0 * ISNUMBER($E44))</formula>
    </cfRule>
    <cfRule type="expression" dxfId="3655" priority="144">
      <formula>AND($E44 &lt; 0, ISNUMBER($E44))</formula>
    </cfRule>
  </conditionalFormatting>
  <conditionalFormatting sqref="A44:C63 G44:I63">
    <cfRule type="expression" dxfId="3654" priority="139">
      <formula>AND($H44 &gt; 0, ISNUMBER($H44))</formula>
    </cfRule>
    <cfRule type="expression" dxfId="3653" priority="140">
      <formula>AND($H44 = 0 * ISNUMBER($H44))</formula>
    </cfRule>
    <cfRule type="expression" dxfId="3652" priority="141">
      <formula>AND($H44 &lt; 0, ISNUMBER($H44))</formula>
    </cfRule>
  </conditionalFormatting>
  <conditionalFormatting sqref="A44:C63 J44:L63">
    <cfRule type="expression" dxfId="3651" priority="136">
      <formula>AND($K44 &gt; 0, ISNUMBER($K44))</formula>
    </cfRule>
    <cfRule type="expression" dxfId="3650" priority="137">
      <formula>AND($K44 = 0 * ISNUMBER($K44))</formula>
    </cfRule>
    <cfRule type="expression" dxfId="3649" priority="138">
      <formula>AND($K44 &lt; 0, ISNUMBER($K44))</formula>
    </cfRule>
  </conditionalFormatting>
  <conditionalFormatting sqref="D42:F43 E64:F64">
    <cfRule type="expression" dxfId="3648" priority="130">
      <formula>$E$64 &gt; 0</formula>
    </cfRule>
    <cfRule type="expression" dxfId="3647" priority="131">
      <formula>$E$64 = 0</formula>
    </cfRule>
    <cfRule type="expression" dxfId="3646" priority="132">
      <formula>$E$64 &lt; 0</formula>
    </cfRule>
  </conditionalFormatting>
  <conditionalFormatting sqref="G42:I43 H64:I64">
    <cfRule type="expression" dxfId="3645" priority="127">
      <formula>$H$64 &gt; 0</formula>
    </cfRule>
    <cfRule type="expression" dxfId="3644" priority="128">
      <formula>$H$64 = 0</formula>
    </cfRule>
    <cfRule type="expression" dxfId="3643" priority="129">
      <formula>$H$64 &lt; 0</formula>
    </cfRule>
  </conditionalFormatting>
  <conditionalFormatting sqref="J42:L43 K64:L64">
    <cfRule type="expression" dxfId="3642" priority="124">
      <formula>$K$64 &gt; 0</formula>
    </cfRule>
    <cfRule type="expression" dxfId="3641" priority="125">
      <formula>$K$64 = 0</formula>
    </cfRule>
    <cfRule type="expression" dxfId="3640" priority="126">
      <formula>$K$64 &lt; 0</formula>
    </cfRule>
  </conditionalFormatting>
  <conditionalFormatting sqref="M42:O43 N64:O64">
    <cfRule type="expression" dxfId="3639" priority="121">
      <formula>$N$64 &gt; 0</formula>
    </cfRule>
    <cfRule type="expression" dxfId="3638" priority="122">
      <formula>$N$64 = 0</formula>
    </cfRule>
    <cfRule type="expression" dxfId="3637" priority="123">
      <formula>$N$64 &lt; 0</formula>
    </cfRule>
  </conditionalFormatting>
  <conditionalFormatting sqref="A71:C90 M71:O90">
    <cfRule type="expression" dxfId="3636" priority="109">
      <formula>AND($N71 &gt; 0, ISNUMBER($N71))</formula>
    </cfRule>
    <cfRule type="expression" dxfId="3635" priority="110">
      <formula>AND($N71 = 0 * ISNUMBER($N71))</formula>
    </cfRule>
    <cfRule type="expression" dxfId="3634" priority="111">
      <formula>AND($N71 &lt; 0, ISNUMBER($N71))</formula>
    </cfRule>
  </conditionalFormatting>
  <conditionalFormatting sqref="A71:F90">
    <cfRule type="expression" dxfId="3633" priority="118">
      <formula>AND($E71 &gt; 0, ISNUMBER($E71))</formula>
    </cfRule>
    <cfRule type="expression" dxfId="3632" priority="119">
      <formula>AND($E71 = 0 * ISNUMBER($E71))</formula>
    </cfRule>
    <cfRule type="expression" dxfId="3631" priority="120">
      <formula>AND($E71 &lt; 0, ISNUMBER($E71))</formula>
    </cfRule>
  </conditionalFormatting>
  <conditionalFormatting sqref="A71:C90 G71:I90">
    <cfRule type="expression" dxfId="3630" priority="115">
      <formula>AND($H71 &gt; 0, ISNUMBER($H71))</formula>
    </cfRule>
    <cfRule type="expression" dxfId="3629" priority="116">
      <formula>AND($H71 = 0 * ISNUMBER($H71))</formula>
    </cfRule>
    <cfRule type="expression" dxfId="3628" priority="117">
      <formula>AND($H71 &lt; 0, ISNUMBER($H71))</formula>
    </cfRule>
  </conditionalFormatting>
  <conditionalFormatting sqref="A71:C90 J71:L90">
    <cfRule type="expression" dxfId="3627" priority="112">
      <formula>AND($K71 &gt; 0, ISNUMBER($K71))</formula>
    </cfRule>
    <cfRule type="expression" dxfId="3626" priority="113">
      <formula>AND($K71 = 0 * ISNUMBER($K71))</formula>
    </cfRule>
    <cfRule type="expression" dxfId="3625" priority="114">
      <formula>AND($K71 &lt; 0, ISNUMBER($K71))</formula>
    </cfRule>
  </conditionalFormatting>
  <conditionalFormatting sqref="D69:F70 E91:F91">
    <cfRule type="expression" dxfId="3624" priority="106">
      <formula>$E$91 &gt; 0</formula>
    </cfRule>
    <cfRule type="expression" dxfId="3623" priority="107">
      <formula>$E$91 = 0</formula>
    </cfRule>
    <cfRule type="expression" dxfId="3622" priority="108">
      <formula>$E$91 &lt; 0</formula>
    </cfRule>
  </conditionalFormatting>
  <conditionalFormatting sqref="G69:I70 H91:I91">
    <cfRule type="expression" dxfId="3621" priority="103">
      <formula>$H$91 &gt; 0</formula>
    </cfRule>
    <cfRule type="expression" dxfId="3620" priority="104">
      <formula>$H$91 = 0</formula>
    </cfRule>
    <cfRule type="expression" dxfId="3619" priority="105">
      <formula>$H$91 &lt; 0</formula>
    </cfRule>
  </conditionalFormatting>
  <conditionalFormatting sqref="J69:L70 K91:L91">
    <cfRule type="expression" dxfId="3618" priority="100">
      <formula>$K$91 &gt; 0</formula>
    </cfRule>
    <cfRule type="expression" dxfId="3617" priority="101">
      <formula>$K$91 = 0</formula>
    </cfRule>
    <cfRule type="expression" dxfId="3616" priority="102">
      <formula>$K$91 &lt; 0</formula>
    </cfRule>
  </conditionalFormatting>
  <conditionalFormatting sqref="M69:O70 N91:O91">
    <cfRule type="expression" dxfId="3615" priority="97">
      <formula>$N$91 &gt; 0</formula>
    </cfRule>
    <cfRule type="expression" dxfId="3614" priority="98">
      <formula>$N$91 = 0</formula>
    </cfRule>
    <cfRule type="expression" dxfId="3613" priority="99">
      <formula>$N$91 &lt; 0</formula>
    </cfRule>
  </conditionalFormatting>
  <conditionalFormatting sqref="A98:C117 M98:O117">
    <cfRule type="expression" dxfId="3612" priority="85">
      <formula>AND($N98 &gt; 0, ISNUMBER($N98))</formula>
    </cfRule>
    <cfRule type="expression" dxfId="3611" priority="86">
      <formula>AND($N98 = 0 * ISNUMBER($N98))</formula>
    </cfRule>
    <cfRule type="expression" dxfId="3610" priority="87">
      <formula>AND($N98 &lt; 0, ISNUMBER($N98))</formula>
    </cfRule>
  </conditionalFormatting>
  <conditionalFormatting sqref="A98:F117">
    <cfRule type="expression" dxfId="3609" priority="94">
      <formula>AND($E98 &gt; 0, ISNUMBER($E98))</formula>
    </cfRule>
    <cfRule type="expression" dxfId="3608" priority="95">
      <formula>AND($E98 = 0 * ISNUMBER($E98))</formula>
    </cfRule>
    <cfRule type="expression" dxfId="3607" priority="96">
      <formula>AND($E98 &lt; 0, ISNUMBER($E98))</formula>
    </cfRule>
  </conditionalFormatting>
  <conditionalFormatting sqref="A98:C117 G98:I117">
    <cfRule type="expression" dxfId="3606" priority="91">
      <formula>AND($H98 &gt; 0, ISNUMBER($H98))</formula>
    </cfRule>
    <cfRule type="expression" dxfId="3605" priority="92">
      <formula>AND($H98 = 0 * ISNUMBER($H98))</formula>
    </cfRule>
    <cfRule type="expression" dxfId="3604" priority="93">
      <formula>AND($H98 &lt; 0, ISNUMBER($H98))</formula>
    </cfRule>
  </conditionalFormatting>
  <conditionalFormatting sqref="A98:C117 J98:L117">
    <cfRule type="expression" dxfId="3603" priority="88">
      <formula>AND($K98 &gt; 0, ISNUMBER($K98))</formula>
    </cfRule>
    <cfRule type="expression" dxfId="3602" priority="89">
      <formula>AND($K98 = 0 * ISNUMBER($K98))</formula>
    </cfRule>
    <cfRule type="expression" dxfId="3601" priority="90">
      <formula>AND($K98 &lt; 0, ISNUMBER($K98))</formula>
    </cfRule>
  </conditionalFormatting>
  <conditionalFormatting sqref="D96:F97 E118:F118">
    <cfRule type="expression" dxfId="3600" priority="82">
      <formula>$E$118 &gt; 0</formula>
    </cfRule>
    <cfRule type="expression" dxfId="3599" priority="83">
      <formula>$E$118 = 0</formula>
    </cfRule>
    <cfRule type="expression" dxfId="3598" priority="84">
      <formula>$E$118 &lt; 0</formula>
    </cfRule>
  </conditionalFormatting>
  <conditionalFormatting sqref="G96:I97 H118:I118">
    <cfRule type="expression" dxfId="3597" priority="79">
      <formula>$H$118 &gt; 0</formula>
    </cfRule>
    <cfRule type="expression" dxfId="3596" priority="80">
      <formula>$H$118 = 0</formula>
    </cfRule>
    <cfRule type="expression" dxfId="3595" priority="81">
      <formula>$H$118 &lt; 0</formula>
    </cfRule>
  </conditionalFormatting>
  <conditionalFormatting sqref="J96:L97 K118:L118">
    <cfRule type="expression" dxfId="3594" priority="76">
      <formula>$K$118 &gt; 0</formula>
    </cfRule>
    <cfRule type="expression" dxfId="3593" priority="77">
      <formula>$K$118 = 0</formula>
    </cfRule>
    <cfRule type="expression" dxfId="3592" priority="78">
      <formula>$K$118 &lt; 0</formula>
    </cfRule>
  </conditionalFormatting>
  <conditionalFormatting sqref="M96:O97 N118:O118">
    <cfRule type="expression" dxfId="3591" priority="73">
      <formula>$N$118 &gt; 0</formula>
    </cfRule>
    <cfRule type="expression" dxfId="3590" priority="74">
      <formula>$N$118 = 0</formula>
    </cfRule>
    <cfRule type="expression" dxfId="3589" priority="75">
      <formula>$N$118 &lt; 0</formula>
    </cfRule>
  </conditionalFormatting>
  <conditionalFormatting sqref="A125:C144 M125:O144">
    <cfRule type="expression" dxfId="3588" priority="61">
      <formula>AND($N125 &gt; 0, ISNUMBER($N125))</formula>
    </cfRule>
    <cfRule type="expression" dxfId="3587" priority="62">
      <formula>AND($N125 = 0 * ISNUMBER($N125))</formula>
    </cfRule>
    <cfRule type="expression" dxfId="3586" priority="63">
      <formula>AND($N125 &lt; 0, ISNUMBER($N125))</formula>
    </cfRule>
  </conditionalFormatting>
  <conditionalFormatting sqref="A125:F144">
    <cfRule type="expression" dxfId="3585" priority="70">
      <formula>AND($E125 &gt; 0, ISNUMBER($E125))</formula>
    </cfRule>
    <cfRule type="expression" dxfId="3584" priority="71">
      <formula>AND($E125 = 0 * ISNUMBER($E125))</formula>
    </cfRule>
    <cfRule type="expression" dxfId="3583" priority="72">
      <formula>AND($E125 &lt; 0, ISNUMBER($E125))</formula>
    </cfRule>
  </conditionalFormatting>
  <conditionalFormatting sqref="A125:C144 G125:I144">
    <cfRule type="expression" dxfId="3582" priority="67">
      <formula>AND($H125 &gt; 0, ISNUMBER($H125))</formula>
    </cfRule>
    <cfRule type="expression" dxfId="3581" priority="68">
      <formula>AND($H125 = 0 * ISNUMBER($H125))</formula>
    </cfRule>
    <cfRule type="expression" dxfId="3580" priority="69">
      <formula>AND($H125 &lt; 0, ISNUMBER($H125))</formula>
    </cfRule>
  </conditionalFormatting>
  <conditionalFormatting sqref="A125:C144 J125:L144">
    <cfRule type="expression" dxfId="3579" priority="64">
      <formula>AND($K125 &gt; 0, ISNUMBER($K125))</formula>
    </cfRule>
    <cfRule type="expression" dxfId="3578" priority="65">
      <formula>AND($K125 = 0 * ISNUMBER($K125))</formula>
    </cfRule>
    <cfRule type="expression" dxfId="3577" priority="66">
      <formula>AND($K125 &lt; 0, ISNUMBER($K125))</formula>
    </cfRule>
  </conditionalFormatting>
  <conditionalFormatting sqref="D123:F124 E145:F145">
    <cfRule type="expression" dxfId="3576" priority="58">
      <formula>$E$145 &gt; 0</formula>
    </cfRule>
    <cfRule type="expression" dxfId="3575" priority="59">
      <formula>$E$145 = 0</formula>
    </cfRule>
    <cfRule type="expression" dxfId="3574" priority="60">
      <formula>$E$145 &lt; 0</formula>
    </cfRule>
  </conditionalFormatting>
  <conditionalFormatting sqref="G123:I124 H145:I145">
    <cfRule type="expression" dxfId="3573" priority="55">
      <formula>$H$145 &gt; 0</formula>
    </cfRule>
    <cfRule type="expression" dxfId="3572" priority="56">
      <formula>$H$145 = 0</formula>
    </cfRule>
    <cfRule type="expression" dxfId="3571" priority="57">
      <formula>$H$145 &lt; 0</formula>
    </cfRule>
  </conditionalFormatting>
  <conditionalFormatting sqref="J123:L124 K145:L145">
    <cfRule type="expression" dxfId="3570" priority="52">
      <formula>$K$145 &gt; 0</formula>
    </cfRule>
    <cfRule type="expression" dxfId="3569" priority="53">
      <formula>$K$145 = 0</formula>
    </cfRule>
    <cfRule type="expression" dxfId="3568" priority="54">
      <formula>$K$145 &lt; 0</formula>
    </cfRule>
  </conditionalFormatting>
  <conditionalFormatting sqref="M123:O124 N145:O145">
    <cfRule type="expression" dxfId="3567" priority="49">
      <formula>$N$145 &gt; 0</formula>
    </cfRule>
    <cfRule type="expression" dxfId="3566" priority="50">
      <formula>$N$145 = 0</formula>
    </cfRule>
    <cfRule type="expression" dxfId="3565" priority="51">
      <formula>$N$145 &lt; 0</formula>
    </cfRule>
  </conditionalFormatting>
  <conditionalFormatting sqref="A152:C171 M152:O171">
    <cfRule type="expression" dxfId="3564" priority="37">
      <formula>AND($N152 &gt; 0, ISNUMBER($N152))</formula>
    </cfRule>
    <cfRule type="expression" dxfId="3563" priority="38">
      <formula>AND($N152 = 0 * ISNUMBER($N152))</formula>
    </cfRule>
    <cfRule type="expression" dxfId="3562" priority="39">
      <formula>AND($N152 &lt; 0, ISNUMBER($N152))</formula>
    </cfRule>
  </conditionalFormatting>
  <conditionalFormatting sqref="A152:F171">
    <cfRule type="expression" dxfId="3561" priority="46">
      <formula>AND($E152 &gt; 0, ISNUMBER($E152))</formula>
    </cfRule>
    <cfRule type="expression" dxfId="3560" priority="47">
      <formula>AND($E152 = 0 * ISNUMBER($E152))</formula>
    </cfRule>
    <cfRule type="expression" dxfId="3559" priority="48">
      <formula>AND($E152 &lt; 0, ISNUMBER($E152))</formula>
    </cfRule>
  </conditionalFormatting>
  <conditionalFormatting sqref="A152:C171 G152:I171">
    <cfRule type="expression" dxfId="3558" priority="43">
      <formula>AND($H152 &gt; 0, ISNUMBER($H152))</formula>
    </cfRule>
    <cfRule type="expression" dxfId="3557" priority="44">
      <formula>AND($H152 = 0 * ISNUMBER($H152))</formula>
    </cfRule>
    <cfRule type="expression" dxfId="3556" priority="45">
      <formula>AND($H152 &lt; 0, ISNUMBER($H152))</formula>
    </cfRule>
  </conditionalFormatting>
  <conditionalFormatting sqref="A152:C171 J152:L171">
    <cfRule type="expression" dxfId="3555" priority="40">
      <formula>AND($K152 &gt; 0, ISNUMBER($K152))</formula>
    </cfRule>
    <cfRule type="expression" dxfId="3554" priority="41">
      <formula>AND($K152 = 0 * ISNUMBER($K152))</formula>
    </cfRule>
    <cfRule type="expression" dxfId="3553" priority="42">
      <formula>AND($K152 &lt; 0, ISNUMBER($K152))</formula>
    </cfRule>
  </conditionalFormatting>
  <conditionalFormatting sqref="D150:F151 E172:F172">
    <cfRule type="expression" dxfId="3552" priority="34">
      <formula>$E$172 &gt; 0</formula>
    </cfRule>
    <cfRule type="expression" dxfId="3551" priority="35">
      <formula>$E$172 = 0</formula>
    </cfRule>
    <cfRule type="expression" dxfId="3550" priority="36">
      <formula>$E$172 &lt; 0</formula>
    </cfRule>
  </conditionalFormatting>
  <conditionalFormatting sqref="G150:I151 H172:I172">
    <cfRule type="expression" dxfId="3549" priority="31">
      <formula>$H$172 &gt; 0</formula>
    </cfRule>
    <cfRule type="expression" dxfId="3548" priority="32">
      <formula>$H$172 = 0</formula>
    </cfRule>
    <cfRule type="expression" dxfId="3547" priority="33">
      <formula>$H$172 &lt; 0</formula>
    </cfRule>
  </conditionalFormatting>
  <conditionalFormatting sqref="J150:L151 K172:L172">
    <cfRule type="expression" dxfId="3546" priority="28">
      <formula>$K$172 &gt; 0</formula>
    </cfRule>
    <cfRule type="expression" dxfId="3545" priority="29">
      <formula>$K$172 = 0</formula>
    </cfRule>
    <cfRule type="expression" dxfId="3544" priority="30">
      <formula>$K$172 &lt; 0</formula>
    </cfRule>
  </conditionalFormatting>
  <conditionalFormatting sqref="M150:O151 N172:O172">
    <cfRule type="expression" dxfId="3543" priority="25">
      <formula>$N$172 &gt; 0</formula>
    </cfRule>
    <cfRule type="expression" dxfId="3542" priority="26">
      <formula>$N$172 = 0</formula>
    </cfRule>
    <cfRule type="expression" dxfId="3541" priority="27">
      <formula>$N$172 &lt; 0</formula>
    </cfRule>
  </conditionalFormatting>
  <conditionalFormatting sqref="A179:C198 M179:O198">
    <cfRule type="expression" dxfId="3540" priority="13">
      <formula>AND($N179 &gt; 0, ISNUMBER($N179))</formula>
    </cfRule>
    <cfRule type="expression" dxfId="3539" priority="14">
      <formula>AND($N179 = 0 * ISNUMBER($N179))</formula>
    </cfRule>
    <cfRule type="expression" dxfId="3538" priority="15">
      <formula>AND($N179 &lt; 0, ISNUMBER($N179))</formula>
    </cfRule>
  </conditionalFormatting>
  <conditionalFormatting sqref="A179:F198">
    <cfRule type="expression" dxfId="3537" priority="22">
      <formula>AND($E179 &gt; 0, ISNUMBER($E179))</formula>
    </cfRule>
    <cfRule type="expression" dxfId="3536" priority="23">
      <formula>AND($E179 = 0 * ISNUMBER($E179))</formula>
    </cfRule>
    <cfRule type="expression" dxfId="3535" priority="24">
      <formula>AND($E179 &lt; 0, ISNUMBER($E179))</formula>
    </cfRule>
  </conditionalFormatting>
  <conditionalFormatting sqref="A179:C198 G179:I198">
    <cfRule type="expression" dxfId="3534" priority="19">
      <formula>AND($H179 &gt; 0, ISNUMBER($H179))</formula>
    </cfRule>
    <cfRule type="expression" dxfId="3533" priority="20">
      <formula>AND($H179 = 0 * ISNUMBER($H179))</formula>
    </cfRule>
    <cfRule type="expression" dxfId="3532" priority="21">
      <formula>AND($H179 &lt; 0, ISNUMBER($H179))</formula>
    </cfRule>
  </conditionalFormatting>
  <conditionalFormatting sqref="A179:C198 J179:L198">
    <cfRule type="expression" dxfId="3531" priority="16">
      <formula>AND($K179 &gt; 0, ISNUMBER($K179))</formula>
    </cfRule>
    <cfRule type="expression" dxfId="3530" priority="17">
      <formula>AND($K179 = 0 * ISNUMBER($K179))</formula>
    </cfRule>
    <cfRule type="expression" dxfId="3529" priority="18">
      <formula>AND($K179 &lt; 0, ISNUMBER($K179))</formula>
    </cfRule>
  </conditionalFormatting>
  <conditionalFormatting sqref="D177:F178 E199:F199">
    <cfRule type="expression" dxfId="3528" priority="10">
      <formula>$E$199 &gt; 0</formula>
    </cfRule>
    <cfRule type="expression" dxfId="3527" priority="11">
      <formula>$E$199 = 0</formula>
    </cfRule>
    <cfRule type="expression" dxfId="3526" priority="12">
      <formula>$E$199 &lt; 0</formula>
    </cfRule>
  </conditionalFormatting>
  <conditionalFormatting sqref="G177:I178 H199:I199">
    <cfRule type="expression" dxfId="3525" priority="7">
      <formula>$H$199 &gt; 0</formula>
    </cfRule>
    <cfRule type="expression" dxfId="3524" priority="8">
      <formula>$H$199 = 0</formula>
    </cfRule>
    <cfRule type="expression" dxfId="3523" priority="9">
      <formula>$H$199 &lt; 0</formula>
    </cfRule>
  </conditionalFormatting>
  <conditionalFormatting sqref="J177:L178 K199:L199">
    <cfRule type="expression" dxfId="3522" priority="4">
      <formula>$K$199 &gt; 0</formula>
    </cfRule>
    <cfRule type="expression" dxfId="3521" priority="5">
      <formula>$K$199 = 0</formula>
    </cfRule>
    <cfRule type="expression" dxfId="3520" priority="6">
      <formula>$K$199 &lt; 0</formula>
    </cfRule>
  </conditionalFormatting>
  <conditionalFormatting sqref="M177:O178 N199:O199">
    <cfRule type="expression" dxfId="3519" priority="1">
      <formula>$N$199 &gt; 0</formula>
    </cfRule>
    <cfRule type="expression" dxfId="3518" priority="2">
      <formula>$N$199 = 0</formula>
    </cfRule>
    <cfRule type="expression" dxfId="35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6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2021-05-01(토) 오전 00:00</v>
      </c>
      <c r="C15" s="234"/>
      <c r="D15" s="190" t="str">
        <f>TEXT($G$1, "[$-ko-KR]yyyy-mm-dd(ddd) ") &amp; "오후 14:00"</f>
        <v>2021-05-01(토) 오후 14:00</v>
      </c>
      <c r="E15" s="191"/>
      <c r="F15" s="192"/>
      <c r="G15" s="190" t="str">
        <f>TEXT($G$1, "[$-ko-KR]yyyy-mm-dd(ddd) ") &amp; "오후 19:00"</f>
        <v>2021-05-01(토) 오후 19:00</v>
      </c>
      <c r="H15" s="191"/>
      <c r="I15" s="192"/>
      <c r="J15" s="190" t="str">
        <f>TEXT($G$1, "[$-ko-KR]yyyy-mm-dd(ddd) ") &amp; "오후 21:00"</f>
        <v>2021-05-01(토) 오후 21:00</v>
      </c>
      <c r="K15" s="191"/>
      <c r="L15" s="192"/>
      <c r="M15" s="190" t="str">
        <f>TEXT($G$1+1, "[$-ko-KR]yyyy-mm-dd(ddd) ") &amp; "오전 00:00"</f>
        <v>2021-05-02(일)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300000</v>
      </c>
      <c r="C37" s="22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6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2021-05-01(토) 오전 00:00</v>
      </c>
      <c r="C42" s="231"/>
      <c r="D42" s="190" t="str">
        <f>TEXT($G$1, "[$-ko-KR]yyyy-mm-dd(ddd) ") &amp; "오후 14:00"</f>
        <v>2021-05-01(토) 오후 14:00</v>
      </c>
      <c r="E42" s="191"/>
      <c r="F42" s="192"/>
      <c r="G42" s="190" t="str">
        <f>TEXT($G$1, "[$-ko-KR]yyyy-mm-dd(ddd) ") &amp; "오후 19:00"</f>
        <v>2021-05-01(토) 오후 19:00</v>
      </c>
      <c r="H42" s="191"/>
      <c r="I42" s="192"/>
      <c r="J42" s="190" t="str">
        <f>TEXT($G$1, "[$-ko-KR]yyyy-mm-dd(ddd) ") &amp; "오후 21:00"</f>
        <v>2021-05-01(토) 오후 21:00</v>
      </c>
      <c r="K42" s="191"/>
      <c r="L42" s="192"/>
      <c r="M42" s="190" t="str">
        <f>TEXT($G$1+1, "[$-ko-KR]yyyy-mm-dd(ddd) ") &amp; "오전 00:00"</f>
        <v>2021-05-02(일)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6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2021-05-01(토) 오전 00:00</v>
      </c>
      <c r="C69" s="231"/>
      <c r="D69" s="190" t="str">
        <f>TEXT($G$1, "[$-ko-KR]yyyy-mm-dd(ddd) ") &amp; "오후 14:00"</f>
        <v>2021-05-01(토) 오후 14:00</v>
      </c>
      <c r="E69" s="191"/>
      <c r="F69" s="192"/>
      <c r="G69" s="190" t="str">
        <f>TEXT($G$1, "[$-ko-KR]yyyy-mm-dd(ddd) ") &amp; "오후 19:00"</f>
        <v>2021-05-01(토) 오후 19:00</v>
      </c>
      <c r="H69" s="191"/>
      <c r="I69" s="192"/>
      <c r="J69" s="190" t="str">
        <f>TEXT($G$1, "[$-ko-KR]yyyy-mm-dd(ddd) ") &amp; "오후 21:00"</f>
        <v>2021-05-01(토) 오후 21:00</v>
      </c>
      <c r="K69" s="191"/>
      <c r="L69" s="192"/>
      <c r="M69" s="190" t="str">
        <f>TEXT($G$1+1, "[$-ko-KR]yyyy-mm-dd(ddd) ") &amp; "오전 00:00"</f>
        <v>2021-05-02(일)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135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6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2021-05-01(토) 오전 00:00</v>
      </c>
      <c r="C96" s="231"/>
      <c r="D96" s="190" t="str">
        <f>TEXT($G$1, "[$-ko-KR]yyyy-mm-dd(ddd) ") &amp; "오후 14:00"</f>
        <v>2021-05-01(토) 오후 14:00</v>
      </c>
      <c r="E96" s="191"/>
      <c r="F96" s="192"/>
      <c r="G96" s="190" t="str">
        <f>TEXT($G$1, "[$-ko-KR]yyyy-mm-dd(ddd) ") &amp; "오후 19:00"</f>
        <v>2021-05-01(토) 오후 19:00</v>
      </c>
      <c r="H96" s="191"/>
      <c r="I96" s="192"/>
      <c r="J96" s="190" t="str">
        <f>TEXT($G$1, "[$-ko-KR]yyyy-mm-dd(ddd) ") &amp; "오후 21:00"</f>
        <v>2021-05-01(토) 오후 21:00</v>
      </c>
      <c r="K96" s="191"/>
      <c r="L96" s="192"/>
      <c r="M96" s="190" t="str">
        <f>TEXT($G$1+1, "[$-ko-KR]yyyy-mm-dd(ddd) ") &amp; "오전 00:00"</f>
        <v>2021-05-02(일)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6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2021-05-01(토) 오전 00:00</v>
      </c>
      <c r="C123" s="231"/>
      <c r="D123" s="190" t="str">
        <f>TEXT($G$1, "[$-ko-KR]yyyy-mm-dd(ddd) ") &amp; "오후 14:00"</f>
        <v>2021-05-01(토) 오후 14:00</v>
      </c>
      <c r="E123" s="191"/>
      <c r="F123" s="192"/>
      <c r="G123" s="190" t="str">
        <f>TEXT($G$1, "[$-ko-KR]yyyy-mm-dd(ddd) ") &amp; "오후 19:00"</f>
        <v>2021-05-01(토) 오후 19:00</v>
      </c>
      <c r="H123" s="191"/>
      <c r="I123" s="192"/>
      <c r="J123" s="190" t="str">
        <f>TEXT($G$1, "[$-ko-KR]yyyy-mm-dd(ddd) ") &amp; "오후 21:00"</f>
        <v>2021-05-01(토) 오후 21:00</v>
      </c>
      <c r="K123" s="191"/>
      <c r="L123" s="192"/>
      <c r="M123" s="190" t="str">
        <f>TEXT($G$1+1, "[$-ko-KR]yyyy-mm-dd(ddd) ") &amp; "오전 00:00"</f>
        <v>2021-05-02(일)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6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2021-05-01(토) 오전 00:00</v>
      </c>
      <c r="C150" s="231"/>
      <c r="D150" s="190" t="str">
        <f>TEXT($G$1, "[$-ko-KR]yyyy-mm-dd(ddd) ") &amp; "오후 14:00"</f>
        <v>2021-05-01(토) 오후 14:00</v>
      </c>
      <c r="E150" s="191"/>
      <c r="F150" s="192"/>
      <c r="G150" s="190" t="str">
        <f>TEXT($G$1, "[$-ko-KR]yyyy-mm-dd(ddd) ") &amp; "오후 19:00"</f>
        <v>2021-05-01(토) 오후 19:00</v>
      </c>
      <c r="H150" s="191"/>
      <c r="I150" s="192"/>
      <c r="J150" s="190" t="str">
        <f>TEXT($G$1, "[$-ko-KR]yyyy-mm-dd(ddd) ") &amp; "오후 21:00"</f>
        <v>2021-05-01(토) 오후 21:00</v>
      </c>
      <c r="K150" s="191"/>
      <c r="L150" s="192"/>
      <c r="M150" s="190" t="str">
        <f>TEXT($G$1+1, "[$-ko-KR]yyyy-mm-dd(ddd) ") &amp; "오전 00:00"</f>
        <v>2021-05-02(일)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6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2021-05-01(토) 오전 00:00</v>
      </c>
      <c r="C177" s="231"/>
      <c r="D177" s="190" t="str">
        <f>TEXT($G$1, "[$-ko-KR]yyyy-mm-dd(ddd) ") &amp; "오후 14:00"</f>
        <v>2021-05-01(토) 오후 14:00</v>
      </c>
      <c r="E177" s="191"/>
      <c r="F177" s="192"/>
      <c r="G177" s="190" t="str">
        <f>TEXT($G$1, "[$-ko-KR]yyyy-mm-dd(ddd) ") &amp; "오후 19:00"</f>
        <v>2021-05-01(토) 오후 19:00</v>
      </c>
      <c r="H177" s="191"/>
      <c r="I177" s="192"/>
      <c r="J177" s="190" t="str">
        <f>TEXT($G$1, "[$-ko-KR]yyyy-mm-dd(ddd) ") &amp; "오후 21:00"</f>
        <v>2021-05-01(토) 오후 21:00</v>
      </c>
      <c r="K177" s="191"/>
      <c r="L177" s="192"/>
      <c r="M177" s="190" t="str">
        <f>TEXT($G$1+1, "[$-ko-KR]yyyy-mm-dd(ddd) ") &amp; "오전 00:00"</f>
        <v>2021-05-02(일)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516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15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14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13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2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11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10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09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08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07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06" priority="289">
      <formula>AND($N17 &gt; 0, ISNUMBER($N17))</formula>
    </cfRule>
    <cfRule type="expression" dxfId="3505" priority="290">
      <formula>AND($N17 = 0 * ISNUMBER($N17))</formula>
    </cfRule>
    <cfRule type="expression" dxfId="3504" priority="291">
      <formula>AND($N17 &lt; 0, ISNUMBER($N17))</formula>
    </cfRule>
  </conditionalFormatting>
  <conditionalFormatting sqref="A17:C36 D17:F36">
    <cfRule type="expression" dxfId="3503" priority="298">
      <formula>AND($E17 &gt; 0, ISNUMBER($E17))</formula>
    </cfRule>
    <cfRule type="expression" dxfId="3502" priority="299">
      <formula>AND($E17 = 0 * ISNUMBER($E17))</formula>
    </cfRule>
    <cfRule type="expression" dxfId="3501" priority="300">
      <formula>AND($E17 &lt; 0, ISNUMBER($E17))</formula>
    </cfRule>
  </conditionalFormatting>
  <conditionalFormatting sqref="A17:C36 G17:I36">
    <cfRule type="expression" dxfId="3500" priority="295">
      <formula>AND($H17 &gt; 0, ISNUMBER($H17))</formula>
    </cfRule>
    <cfRule type="expression" dxfId="3499" priority="296">
      <formula>AND($H17 = 0 * ISNUMBER($H17))</formula>
    </cfRule>
    <cfRule type="expression" dxfId="3498" priority="297">
      <formula>AND($H17 &lt; 0, ISNUMBER($H17))</formula>
    </cfRule>
  </conditionalFormatting>
  <conditionalFormatting sqref="A17:C36 J17:L36">
    <cfRule type="expression" dxfId="3497" priority="292">
      <formula>AND($K17 &gt; 0, ISNUMBER($K17))</formula>
    </cfRule>
    <cfRule type="expression" dxfId="3496" priority="293">
      <formula>AND($K17 = 0 * ISNUMBER($K17))</formula>
    </cfRule>
    <cfRule type="expression" dxfId="3495" priority="294">
      <formula>AND($K17 &lt; 0, ISNUMBER($K17))</formula>
    </cfRule>
  </conditionalFormatting>
  <conditionalFormatting sqref="D15:F16 E37:F37">
    <cfRule type="expression" dxfId="3494" priority="286">
      <formula>$E$37 &gt; 0</formula>
    </cfRule>
    <cfRule type="expression" dxfId="3493" priority="287">
      <formula>$E$37 = 0</formula>
    </cfRule>
    <cfRule type="expression" dxfId="3492" priority="288">
      <formula>$E$37 &lt; 0</formula>
    </cfRule>
  </conditionalFormatting>
  <conditionalFormatting sqref="G15:I16 H37:I37">
    <cfRule type="expression" dxfId="3491" priority="283">
      <formula>$H$37 &gt; 0</formula>
    </cfRule>
    <cfRule type="expression" dxfId="3490" priority="284">
      <formula>$H$37 = 0</formula>
    </cfRule>
    <cfRule type="expression" dxfId="3489" priority="285">
      <formula>$H$37 &lt; 0</formula>
    </cfRule>
  </conditionalFormatting>
  <conditionalFormatting sqref="J15:L16 K37:L37">
    <cfRule type="expression" dxfId="3488" priority="280">
      <formula>$K$37 &gt; 0</formula>
    </cfRule>
    <cfRule type="expression" dxfId="3487" priority="281">
      <formula>$K$37 = 0</formula>
    </cfRule>
    <cfRule type="expression" dxfId="3486" priority="282">
      <formula>$K$37 &lt; 0</formula>
    </cfRule>
  </conditionalFormatting>
  <conditionalFormatting sqref="M15:O16 N37:O37">
    <cfRule type="expression" dxfId="3485" priority="277">
      <formula>$N$37 &gt; 0</formula>
    </cfRule>
    <cfRule type="expression" dxfId="3484" priority="278">
      <formula>$N$37 = 0</formula>
    </cfRule>
    <cfRule type="expression" dxfId="3483" priority="279">
      <formula>$N$37 &lt; 0</formula>
    </cfRule>
  </conditionalFormatting>
  <conditionalFormatting sqref="A44:C63 M44:O63">
    <cfRule type="expression" dxfId="3482" priority="265">
      <formula>AND($N44 &gt; 0, ISNUMBER($N44))</formula>
    </cfRule>
    <cfRule type="expression" dxfId="3481" priority="266">
      <formula>AND($N44 = 0 * ISNUMBER($N44))</formula>
    </cfRule>
    <cfRule type="expression" dxfId="3480" priority="267">
      <formula>AND($N44 &lt; 0, ISNUMBER($N44))</formula>
    </cfRule>
  </conditionalFormatting>
  <conditionalFormatting sqref="A44:F63">
    <cfRule type="expression" dxfId="3479" priority="274">
      <formula>AND($E44 &gt; 0, ISNUMBER($E44))</formula>
    </cfRule>
    <cfRule type="expression" dxfId="3478" priority="275">
      <formula>AND($E44 = 0 * ISNUMBER($E44))</formula>
    </cfRule>
    <cfRule type="expression" dxfId="3477" priority="276">
      <formula>AND($E44 &lt; 0, ISNUMBER($E44))</formula>
    </cfRule>
  </conditionalFormatting>
  <conditionalFormatting sqref="A44:C63 G44:I63">
    <cfRule type="expression" dxfId="3476" priority="271">
      <formula>AND($H44 &gt; 0, ISNUMBER($H44))</formula>
    </cfRule>
    <cfRule type="expression" dxfId="3475" priority="272">
      <formula>AND($H44 = 0 * ISNUMBER($H44))</formula>
    </cfRule>
    <cfRule type="expression" dxfId="3474" priority="273">
      <formula>AND($H44 &lt; 0, ISNUMBER($H44))</formula>
    </cfRule>
  </conditionalFormatting>
  <conditionalFormatting sqref="A44:C63 J44:L63">
    <cfRule type="expression" dxfId="3473" priority="268">
      <formula>AND($K44 &gt; 0, ISNUMBER($K44))</formula>
    </cfRule>
    <cfRule type="expression" dxfId="3472" priority="269">
      <formula>AND($K44 = 0 * ISNUMBER($K44))</formula>
    </cfRule>
    <cfRule type="expression" dxfId="3471" priority="270">
      <formula>AND($K44 &lt; 0, ISNUMBER($K44))</formula>
    </cfRule>
  </conditionalFormatting>
  <conditionalFormatting sqref="D42:F43 E64:F64">
    <cfRule type="expression" dxfId="3470" priority="262">
      <formula>$E$64 &gt; 0</formula>
    </cfRule>
    <cfRule type="expression" dxfId="3469" priority="263">
      <formula>$E$64 = 0</formula>
    </cfRule>
    <cfRule type="expression" dxfId="3468" priority="264">
      <formula>$E$64 &lt; 0</formula>
    </cfRule>
  </conditionalFormatting>
  <conditionalFormatting sqref="G42:I43 H64:I64">
    <cfRule type="expression" dxfId="3467" priority="259">
      <formula>$H$64 &gt; 0</formula>
    </cfRule>
    <cfRule type="expression" dxfId="3466" priority="260">
      <formula>$H$64 = 0</formula>
    </cfRule>
    <cfRule type="expression" dxfId="3465" priority="261">
      <formula>$H$64 &lt; 0</formula>
    </cfRule>
  </conditionalFormatting>
  <conditionalFormatting sqref="J42:L43 K64:L64">
    <cfRule type="expression" dxfId="3464" priority="256">
      <formula>$K$64 &gt; 0</formula>
    </cfRule>
    <cfRule type="expression" dxfId="3463" priority="257">
      <formula>$K$64 = 0</formula>
    </cfRule>
    <cfRule type="expression" dxfId="3462" priority="258">
      <formula>$K$64 &lt; 0</formula>
    </cfRule>
  </conditionalFormatting>
  <conditionalFormatting sqref="M42:O43 N64:O64">
    <cfRule type="expression" dxfId="3461" priority="253">
      <formula>$N$64 &gt; 0</formula>
    </cfRule>
    <cfRule type="expression" dxfId="3460" priority="254">
      <formula>$N$64 = 0</formula>
    </cfRule>
    <cfRule type="expression" dxfId="3459" priority="255">
      <formula>$N$64 &lt; 0</formula>
    </cfRule>
  </conditionalFormatting>
  <conditionalFormatting sqref="A71:C90 M71:O90">
    <cfRule type="expression" dxfId="3458" priority="109">
      <formula>AND($N71 &gt; 0, ISNUMBER($N71))</formula>
    </cfRule>
    <cfRule type="expression" dxfId="3457" priority="110">
      <formula>AND($N71 = 0 * ISNUMBER($N71))</formula>
    </cfRule>
    <cfRule type="expression" dxfId="3456" priority="111">
      <formula>AND($N71 &lt; 0, ISNUMBER($N71))</formula>
    </cfRule>
  </conditionalFormatting>
  <conditionalFormatting sqref="A71:F90">
    <cfRule type="expression" dxfId="3455" priority="118">
      <formula>AND($E71 &gt; 0, ISNUMBER($E71))</formula>
    </cfRule>
    <cfRule type="expression" dxfId="3454" priority="119">
      <formula>AND($E71 = 0 * ISNUMBER($E71))</formula>
    </cfRule>
    <cfRule type="expression" dxfId="3453" priority="120">
      <formula>AND($E71 &lt; 0, ISNUMBER($E71))</formula>
    </cfRule>
  </conditionalFormatting>
  <conditionalFormatting sqref="A71:C90 G71:I90">
    <cfRule type="expression" dxfId="3452" priority="115">
      <formula>AND($H71 &gt; 0, ISNUMBER($H71))</formula>
    </cfRule>
    <cfRule type="expression" dxfId="3451" priority="116">
      <formula>AND($H71 = 0 * ISNUMBER($H71))</formula>
    </cfRule>
    <cfRule type="expression" dxfId="3450" priority="117">
      <formula>AND($H71 &lt; 0, ISNUMBER($H71))</formula>
    </cfRule>
  </conditionalFormatting>
  <conditionalFormatting sqref="A71:C90 J71:L90">
    <cfRule type="expression" dxfId="3449" priority="112">
      <formula>AND($K71 &gt; 0, ISNUMBER($K71))</formula>
    </cfRule>
    <cfRule type="expression" dxfId="3448" priority="113">
      <formula>AND($K71 = 0 * ISNUMBER($K71))</formula>
    </cfRule>
    <cfRule type="expression" dxfId="3447" priority="114">
      <formula>AND($K71 &lt; 0, ISNUMBER($K71))</formula>
    </cfRule>
  </conditionalFormatting>
  <conditionalFormatting sqref="D69:F70 E91:F91">
    <cfRule type="expression" dxfId="3446" priority="106">
      <formula>$E$91 &gt; 0</formula>
    </cfRule>
    <cfRule type="expression" dxfId="3445" priority="107">
      <formula>$E$91 = 0</formula>
    </cfRule>
    <cfRule type="expression" dxfId="3444" priority="108">
      <formula>$E$91 &lt; 0</formula>
    </cfRule>
  </conditionalFormatting>
  <conditionalFormatting sqref="G69:I70 H91:I91">
    <cfRule type="expression" dxfId="3443" priority="103">
      <formula>$H$91 &gt; 0</formula>
    </cfRule>
    <cfRule type="expression" dxfId="3442" priority="104">
      <formula>$H$91 = 0</formula>
    </cfRule>
    <cfRule type="expression" dxfId="3441" priority="105">
      <formula>$H$91 &lt; 0</formula>
    </cfRule>
  </conditionalFormatting>
  <conditionalFormatting sqref="J69:L70 K91:L91">
    <cfRule type="expression" dxfId="3440" priority="100">
      <formula>$K$91 &gt; 0</formula>
    </cfRule>
    <cfRule type="expression" dxfId="3439" priority="101">
      <formula>$K$91 = 0</formula>
    </cfRule>
    <cfRule type="expression" dxfId="3438" priority="102">
      <formula>$K$91 &lt; 0</formula>
    </cfRule>
  </conditionalFormatting>
  <conditionalFormatting sqref="M69:O70 N91:O91">
    <cfRule type="expression" dxfId="3437" priority="97">
      <formula>$N$91 &gt; 0</formula>
    </cfRule>
    <cfRule type="expression" dxfId="3436" priority="98">
      <formula>$N$91 = 0</formula>
    </cfRule>
    <cfRule type="expression" dxfId="3435" priority="99">
      <formula>$N$91 &lt; 0</formula>
    </cfRule>
  </conditionalFormatting>
  <conditionalFormatting sqref="A98:C117 M98:O117">
    <cfRule type="expression" dxfId="3434" priority="85">
      <formula>AND($N98 &gt; 0, ISNUMBER($N98))</formula>
    </cfRule>
    <cfRule type="expression" dxfId="3433" priority="86">
      <formula>AND($N98 = 0 * ISNUMBER($N98))</formula>
    </cfRule>
    <cfRule type="expression" dxfId="3432" priority="87">
      <formula>AND($N98 &lt; 0, ISNUMBER($N98))</formula>
    </cfRule>
  </conditionalFormatting>
  <conditionalFormatting sqref="A98:F117">
    <cfRule type="expression" dxfId="3431" priority="94">
      <formula>AND($E98 &gt; 0, ISNUMBER($E98))</formula>
    </cfRule>
    <cfRule type="expression" dxfId="3430" priority="95">
      <formula>AND($E98 = 0 * ISNUMBER($E98))</formula>
    </cfRule>
    <cfRule type="expression" dxfId="3429" priority="96">
      <formula>AND($E98 &lt; 0, ISNUMBER($E98))</formula>
    </cfRule>
  </conditionalFormatting>
  <conditionalFormatting sqref="A98:C117 G98:I117">
    <cfRule type="expression" dxfId="3428" priority="91">
      <formula>AND($H98 &gt; 0, ISNUMBER($H98))</formula>
    </cfRule>
    <cfRule type="expression" dxfId="3427" priority="92">
      <formula>AND($H98 = 0 * ISNUMBER($H98))</formula>
    </cfRule>
    <cfRule type="expression" dxfId="3426" priority="93">
      <formula>AND($H98 &lt; 0, ISNUMBER($H98))</formula>
    </cfRule>
  </conditionalFormatting>
  <conditionalFormatting sqref="A98:C117 J98:L117">
    <cfRule type="expression" dxfId="3425" priority="88">
      <formula>AND($K98 &gt; 0, ISNUMBER($K98))</formula>
    </cfRule>
    <cfRule type="expression" dxfId="3424" priority="89">
      <formula>AND($K98 = 0 * ISNUMBER($K98))</formula>
    </cfRule>
    <cfRule type="expression" dxfId="3423" priority="90">
      <formula>AND($K98 &lt; 0, ISNUMBER($K98))</formula>
    </cfRule>
  </conditionalFormatting>
  <conditionalFormatting sqref="D96:F97 E118:F118">
    <cfRule type="expression" dxfId="3422" priority="82">
      <formula>$E$118 &gt; 0</formula>
    </cfRule>
    <cfRule type="expression" dxfId="3421" priority="83">
      <formula>$E$118 = 0</formula>
    </cfRule>
    <cfRule type="expression" dxfId="3420" priority="84">
      <formula>$E$118 &lt; 0</formula>
    </cfRule>
  </conditionalFormatting>
  <conditionalFormatting sqref="G96:I97 H118:I118">
    <cfRule type="expression" dxfId="3419" priority="79">
      <formula>$H$118 &gt; 0</formula>
    </cfRule>
    <cfRule type="expression" dxfId="3418" priority="80">
      <formula>$H$118 = 0</formula>
    </cfRule>
    <cfRule type="expression" dxfId="3417" priority="81">
      <formula>$H$118 &lt; 0</formula>
    </cfRule>
  </conditionalFormatting>
  <conditionalFormatting sqref="J96:L97 K118:L118">
    <cfRule type="expression" dxfId="3416" priority="76">
      <formula>$K$118 &gt; 0</formula>
    </cfRule>
    <cfRule type="expression" dxfId="3415" priority="77">
      <formula>$K$118 = 0</formula>
    </cfRule>
    <cfRule type="expression" dxfId="3414" priority="78">
      <formula>$K$118 &lt; 0</formula>
    </cfRule>
  </conditionalFormatting>
  <conditionalFormatting sqref="M96:O97 N118:O118">
    <cfRule type="expression" dxfId="3413" priority="73">
      <formula>$N$118 &gt; 0</formula>
    </cfRule>
    <cfRule type="expression" dxfId="3412" priority="74">
      <formula>$N$118 = 0</formula>
    </cfRule>
    <cfRule type="expression" dxfId="3411" priority="75">
      <formula>$N$118 &lt; 0</formula>
    </cfRule>
  </conditionalFormatting>
  <conditionalFormatting sqref="A125:C144 M125:O144">
    <cfRule type="expression" dxfId="3410" priority="61">
      <formula>AND($N125 &gt; 0, ISNUMBER($N125))</formula>
    </cfRule>
    <cfRule type="expression" dxfId="3409" priority="62">
      <formula>AND($N125 = 0 * ISNUMBER($N125))</formula>
    </cfRule>
    <cfRule type="expression" dxfId="3408" priority="63">
      <formula>AND($N125 &lt; 0, ISNUMBER($N125))</formula>
    </cfRule>
  </conditionalFormatting>
  <conditionalFormatting sqref="A125:F144">
    <cfRule type="expression" dxfId="3407" priority="70">
      <formula>AND($E125 &gt; 0, ISNUMBER($E125))</formula>
    </cfRule>
    <cfRule type="expression" dxfId="3406" priority="71">
      <formula>AND($E125 = 0 * ISNUMBER($E125))</formula>
    </cfRule>
    <cfRule type="expression" dxfId="3405" priority="72">
      <formula>AND($E125 &lt; 0, ISNUMBER($E125))</formula>
    </cfRule>
  </conditionalFormatting>
  <conditionalFormatting sqref="A125:C144 G125:I144">
    <cfRule type="expression" dxfId="3404" priority="67">
      <formula>AND($H125 &gt; 0, ISNUMBER($H125))</formula>
    </cfRule>
    <cfRule type="expression" dxfId="3403" priority="68">
      <formula>AND($H125 = 0 * ISNUMBER($H125))</formula>
    </cfRule>
    <cfRule type="expression" dxfId="3402" priority="69">
      <formula>AND($H125 &lt; 0, ISNUMBER($H125))</formula>
    </cfRule>
  </conditionalFormatting>
  <conditionalFormatting sqref="A125:C144 J125:L144">
    <cfRule type="expression" dxfId="3401" priority="64">
      <formula>AND($K125 &gt; 0, ISNUMBER($K125))</formula>
    </cfRule>
    <cfRule type="expression" dxfId="3400" priority="65">
      <formula>AND($K125 = 0 * ISNUMBER($K125))</formula>
    </cfRule>
    <cfRule type="expression" dxfId="3399" priority="66">
      <formula>AND($K125 &lt; 0, ISNUMBER($K125))</formula>
    </cfRule>
  </conditionalFormatting>
  <conditionalFormatting sqref="D123:F124 E145:F145">
    <cfRule type="expression" dxfId="3398" priority="58">
      <formula>$E$145 &gt; 0</formula>
    </cfRule>
    <cfRule type="expression" dxfId="3397" priority="59">
      <formula>$E$145 = 0</formula>
    </cfRule>
    <cfRule type="expression" dxfId="3396" priority="60">
      <formula>$E$145 &lt; 0</formula>
    </cfRule>
  </conditionalFormatting>
  <conditionalFormatting sqref="G123:I124 H145:I145">
    <cfRule type="expression" dxfId="3395" priority="55">
      <formula>$H$145 &gt; 0</formula>
    </cfRule>
    <cfRule type="expression" dxfId="3394" priority="56">
      <formula>$H$145 = 0</formula>
    </cfRule>
    <cfRule type="expression" dxfId="3393" priority="57">
      <formula>$H$145 &lt; 0</formula>
    </cfRule>
  </conditionalFormatting>
  <conditionalFormatting sqref="J123:L124 K145:L145">
    <cfRule type="expression" dxfId="3392" priority="52">
      <formula>$K$145 &gt; 0</formula>
    </cfRule>
    <cfRule type="expression" dxfId="3391" priority="53">
      <formula>$K$145 = 0</formula>
    </cfRule>
    <cfRule type="expression" dxfId="3390" priority="54">
      <formula>$K$145 &lt; 0</formula>
    </cfRule>
  </conditionalFormatting>
  <conditionalFormatting sqref="M123:O124 N145:O145">
    <cfRule type="expression" dxfId="3389" priority="49">
      <formula>$N$145 &gt; 0</formula>
    </cfRule>
    <cfRule type="expression" dxfId="3388" priority="50">
      <formula>$N$145 = 0</formula>
    </cfRule>
    <cfRule type="expression" dxfId="3387" priority="51">
      <formula>$N$145 &lt; 0</formula>
    </cfRule>
  </conditionalFormatting>
  <conditionalFormatting sqref="A152:C171 M152:O171">
    <cfRule type="expression" dxfId="3386" priority="37">
      <formula>AND($N152 &gt; 0, ISNUMBER($N152))</formula>
    </cfRule>
    <cfRule type="expression" dxfId="3385" priority="38">
      <formula>AND($N152 = 0 * ISNUMBER($N152))</formula>
    </cfRule>
    <cfRule type="expression" dxfId="3384" priority="39">
      <formula>AND($N152 &lt; 0, ISNUMBER($N152))</formula>
    </cfRule>
  </conditionalFormatting>
  <conditionalFormatting sqref="A152:F171">
    <cfRule type="expression" dxfId="3383" priority="46">
      <formula>AND($E152 &gt; 0, ISNUMBER($E152))</formula>
    </cfRule>
    <cfRule type="expression" dxfId="3382" priority="47">
      <formula>AND($E152 = 0 * ISNUMBER($E152))</formula>
    </cfRule>
    <cfRule type="expression" dxfId="3381" priority="48">
      <formula>AND($E152 &lt; 0, ISNUMBER($E152))</formula>
    </cfRule>
  </conditionalFormatting>
  <conditionalFormatting sqref="A152:C171 G152:I171">
    <cfRule type="expression" dxfId="3380" priority="43">
      <formula>AND($H152 &gt; 0, ISNUMBER($H152))</formula>
    </cfRule>
    <cfRule type="expression" dxfId="3379" priority="44">
      <formula>AND($H152 = 0 * ISNUMBER($H152))</formula>
    </cfRule>
    <cfRule type="expression" dxfId="3378" priority="45">
      <formula>AND($H152 &lt; 0, ISNUMBER($H152))</formula>
    </cfRule>
  </conditionalFormatting>
  <conditionalFormatting sqref="A152:C171 J152:L171">
    <cfRule type="expression" dxfId="3377" priority="40">
      <formula>AND($K152 &gt; 0, ISNUMBER($K152))</formula>
    </cfRule>
    <cfRule type="expression" dxfId="3376" priority="41">
      <formula>AND($K152 = 0 * ISNUMBER($K152))</formula>
    </cfRule>
    <cfRule type="expression" dxfId="3375" priority="42">
      <formula>AND($K152 &lt; 0, ISNUMBER($K152))</formula>
    </cfRule>
  </conditionalFormatting>
  <conditionalFormatting sqref="D150:F151 E172:F172">
    <cfRule type="expression" dxfId="3374" priority="34">
      <formula>$E$172 &gt; 0</formula>
    </cfRule>
    <cfRule type="expression" dxfId="3373" priority="35">
      <formula>$E$172 = 0</formula>
    </cfRule>
    <cfRule type="expression" dxfId="3372" priority="36">
      <formula>$E$172 &lt; 0</formula>
    </cfRule>
  </conditionalFormatting>
  <conditionalFormatting sqref="G150:I151 H172:I172">
    <cfRule type="expression" dxfId="3371" priority="31">
      <formula>$H$172 &gt; 0</formula>
    </cfRule>
    <cfRule type="expression" dxfId="3370" priority="32">
      <formula>$H$172 = 0</formula>
    </cfRule>
    <cfRule type="expression" dxfId="3369" priority="33">
      <formula>$H$172 &lt; 0</formula>
    </cfRule>
  </conditionalFormatting>
  <conditionalFormatting sqref="J150:L151 K172:L172">
    <cfRule type="expression" dxfId="3368" priority="28">
      <formula>$K$172 &gt; 0</formula>
    </cfRule>
    <cfRule type="expression" dxfId="3367" priority="29">
      <formula>$K$172 = 0</formula>
    </cfRule>
    <cfRule type="expression" dxfId="3366" priority="30">
      <formula>$K$172 &lt; 0</formula>
    </cfRule>
  </conditionalFormatting>
  <conditionalFormatting sqref="M150:O151 N172:O172">
    <cfRule type="expression" dxfId="3365" priority="25">
      <formula>$N$172 &gt; 0</formula>
    </cfRule>
    <cfRule type="expression" dxfId="3364" priority="26">
      <formula>$N$172 = 0</formula>
    </cfRule>
    <cfRule type="expression" dxfId="3363" priority="27">
      <formula>$N$172 &lt; 0</formula>
    </cfRule>
  </conditionalFormatting>
  <conditionalFormatting sqref="A179:C198 M179:O198">
    <cfRule type="expression" dxfId="3362" priority="13">
      <formula>AND($N179 &gt; 0, ISNUMBER($N179))</formula>
    </cfRule>
    <cfRule type="expression" dxfId="3361" priority="14">
      <formula>AND($N179 = 0 * ISNUMBER($N179))</formula>
    </cfRule>
    <cfRule type="expression" dxfId="3360" priority="15">
      <formula>AND($N179 &lt; 0, ISNUMBER($N179))</formula>
    </cfRule>
  </conditionalFormatting>
  <conditionalFormatting sqref="A179:F198">
    <cfRule type="expression" dxfId="3359" priority="22">
      <formula>AND($E179 &gt; 0, ISNUMBER($E179))</formula>
    </cfRule>
    <cfRule type="expression" dxfId="3358" priority="23">
      <formula>AND($E179 = 0 * ISNUMBER($E179))</formula>
    </cfRule>
    <cfRule type="expression" dxfId="3357" priority="24">
      <formula>AND($E179 &lt; 0, ISNUMBER($E179))</formula>
    </cfRule>
  </conditionalFormatting>
  <conditionalFormatting sqref="A179:C198 G179:I198">
    <cfRule type="expression" dxfId="3356" priority="19">
      <formula>AND($H179 &gt; 0, ISNUMBER($H179))</formula>
    </cfRule>
    <cfRule type="expression" dxfId="3355" priority="20">
      <formula>AND($H179 = 0 * ISNUMBER($H179))</formula>
    </cfRule>
    <cfRule type="expression" dxfId="3354" priority="21">
      <formula>AND($H179 &lt; 0, ISNUMBER($H179))</formula>
    </cfRule>
  </conditionalFormatting>
  <conditionalFormatting sqref="A179:C198 J179:L198">
    <cfRule type="expression" dxfId="3353" priority="16">
      <formula>AND($K179 &gt; 0, ISNUMBER($K179))</formula>
    </cfRule>
    <cfRule type="expression" dxfId="3352" priority="17">
      <formula>AND($K179 = 0 * ISNUMBER($K179))</formula>
    </cfRule>
    <cfRule type="expression" dxfId="3351" priority="18">
      <formula>AND($K179 &lt; 0, ISNUMBER($K179))</formula>
    </cfRule>
  </conditionalFormatting>
  <conditionalFormatting sqref="D177:F178 E199:F199">
    <cfRule type="expression" dxfId="3350" priority="10">
      <formula>$E$199 &gt; 0</formula>
    </cfRule>
    <cfRule type="expression" dxfId="3349" priority="11">
      <formula>$E$199 = 0</formula>
    </cfRule>
    <cfRule type="expression" dxfId="3348" priority="12">
      <formula>$E$199 &lt; 0</formula>
    </cfRule>
  </conditionalFormatting>
  <conditionalFormatting sqref="G177:I178 H199:I199">
    <cfRule type="expression" dxfId="3347" priority="7">
      <formula>$H$199 &gt; 0</formula>
    </cfRule>
    <cfRule type="expression" dxfId="3346" priority="8">
      <formula>$H$199 = 0</formula>
    </cfRule>
    <cfRule type="expression" dxfId="3345" priority="9">
      <formula>$H$199 &lt; 0</formula>
    </cfRule>
  </conditionalFormatting>
  <conditionalFormatting sqref="J177:L178 K199:L199">
    <cfRule type="expression" dxfId="3344" priority="4">
      <formula>$K$199 &gt; 0</formula>
    </cfRule>
    <cfRule type="expression" dxfId="3343" priority="5">
      <formula>$K$199 = 0</formula>
    </cfRule>
    <cfRule type="expression" dxfId="3342" priority="6">
      <formula>$K$199 &lt; 0</formula>
    </cfRule>
  </conditionalFormatting>
  <conditionalFormatting sqref="M177:O178 N199:O199">
    <cfRule type="expression" dxfId="3341" priority="1">
      <formula>$N$199 &gt; 0</formula>
    </cfRule>
    <cfRule type="expression" dxfId="3340" priority="2">
      <formula>$N$199 = 0</formula>
    </cfRule>
    <cfRule type="expression" dxfId="33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77</v>
      </c>
      <c r="B2" s="11" t="s">
        <v>78</v>
      </c>
      <c r="C2" s="95">
        <v>1554000</v>
      </c>
      <c r="D2" s="92">
        <v>0.29069767439999999</v>
      </c>
      <c r="E2" s="93">
        <v>883920.89288688998</v>
      </c>
      <c r="F2" s="35"/>
      <c r="G2" s="54"/>
      <c r="H2" s="35"/>
      <c r="I2" s="35"/>
    </row>
    <row r="3" spans="1:18" ht="17.25" thickBot="1">
      <c r="A3" s="40" t="s">
        <v>89</v>
      </c>
      <c r="B3" s="11" t="s">
        <v>90</v>
      </c>
      <c r="C3" s="95">
        <v>489750</v>
      </c>
      <c r="D3" s="92">
        <v>0.1903025884</v>
      </c>
      <c r="E3" s="93">
        <v>211123.24293097001</v>
      </c>
      <c r="F3" s="35"/>
      <c r="G3" s="228" t="s">
        <v>290</v>
      </c>
      <c r="H3" s="240" t="s">
        <v>321</v>
      </c>
      <c r="I3" s="240"/>
      <c r="K3" s="167" t="s">
        <v>34</v>
      </c>
      <c r="L3" s="168"/>
      <c r="M3" s="168"/>
      <c r="N3" s="169"/>
      <c r="O3" s="167" t="s">
        <v>292</v>
      </c>
      <c r="P3" s="168"/>
      <c r="Q3" s="168"/>
      <c r="R3" s="169"/>
    </row>
    <row r="4" spans="1:18" ht="17.25" thickBot="1">
      <c r="A4" s="40" t="s">
        <v>85</v>
      </c>
      <c r="B4" s="11" t="s">
        <v>86</v>
      </c>
      <c r="C4" s="95">
        <v>9390</v>
      </c>
      <c r="D4" s="92">
        <v>0.17521902380000001</v>
      </c>
      <c r="E4" s="93">
        <v>85447852.580644995</v>
      </c>
      <c r="F4" s="35"/>
      <c r="G4" s="229"/>
      <c r="H4" s="241"/>
      <c r="I4" s="241"/>
      <c r="K4" s="232" t="s">
        <v>55</v>
      </c>
      <c r="L4" s="244">
        <f ca="1">NOW()</f>
        <v>44322.202776620368</v>
      </c>
      <c r="M4" s="245"/>
      <c r="N4" s="246"/>
      <c r="O4" s="235" t="s">
        <v>55</v>
      </c>
      <c r="P4" s="244">
        <f ca="1">NOW()</f>
        <v>44322.202776620368</v>
      </c>
      <c r="Q4" s="245"/>
      <c r="R4" s="246"/>
    </row>
    <row r="5" spans="1:18" ht="17.25" thickBot="1">
      <c r="A5" s="40" t="s">
        <v>107</v>
      </c>
      <c r="B5" s="11" t="s">
        <v>108</v>
      </c>
      <c r="C5" s="95">
        <v>64290</v>
      </c>
      <c r="D5" s="92">
        <v>0.16361990949999999</v>
      </c>
      <c r="E5" s="93">
        <v>2662726.2512504999</v>
      </c>
      <c r="F5" s="35"/>
      <c r="K5" s="229"/>
      <c r="L5" s="36" t="s">
        <v>58</v>
      </c>
      <c r="M5" s="73" t="s">
        <v>59</v>
      </c>
      <c r="N5" s="69" t="s">
        <v>294</v>
      </c>
      <c r="O5" s="229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151</v>
      </c>
      <c r="B6" s="11" t="s">
        <v>152</v>
      </c>
      <c r="C6" s="95">
        <v>52.3</v>
      </c>
      <c r="D6" s="92">
        <v>0.15964523280000001</v>
      </c>
      <c r="E6" s="93">
        <v>2771457704.8306823</v>
      </c>
      <c r="F6" s="35"/>
      <c r="G6" s="167" t="s">
        <v>52</v>
      </c>
      <c r="H6" s="168"/>
      <c r="I6" s="169"/>
      <c r="K6" s="55" t="str">
        <f ca="1">IFERROR(OFFSET(INDIRECT($H$3 &amp; "!A17"), 0, 0), "")</f>
        <v>비트코인캐시</v>
      </c>
      <c r="L6" s="38">
        <f t="shared" ref="L6:L24" ca="1" si="0">_xlfn.IFNA(VLOOKUP(K6, $B$2:$E$200, 2, FALSE), "")</f>
        <v>1554000</v>
      </c>
      <c r="M6" s="76">
        <f t="shared" ref="M6:M25" ca="1" si="1">_xlfn.IFNA(VLOOKUP(K6, $B$2:$E$200, 3, FALSE), "")</f>
        <v>0.29069767439999999</v>
      </c>
      <c r="N6" s="85">
        <f ca="1">_xlfn.IFNA(VLOOKUP(K6, $B$2:$E$200, 4, FALSE), "")</f>
        <v>883920.89288688998</v>
      </c>
      <c r="O6" s="46" t="str">
        <f>INDEX($A$2:$D$200, MATCH(LARGE($D$2:$D$200, 1), $D$2:$D$200, 0), 2)</f>
        <v>비트코인캐시</v>
      </c>
      <c r="P6" s="38">
        <f t="shared" ref="P6:P25" si="2">_xlfn.IFNA(VLOOKUP(O6, $B$2:$D$200, 2, FALSE), "")</f>
        <v>1554000</v>
      </c>
      <c r="Q6" s="76">
        <f t="shared" ref="Q6:Q25" si="3">_xlfn.IFNA(VLOOKUP(O6, $B$2:$D$200, 3, FALSE), "")</f>
        <v>0.29069767439999999</v>
      </c>
      <c r="R6" s="85">
        <f>_xlfn.IFNA(VLOOKUP(O6, $B$2:$E$200, 4, FALSE), "")</f>
        <v>883920.89288688998</v>
      </c>
    </row>
    <row r="7" spans="1:18">
      <c r="A7" s="40" t="s">
        <v>101</v>
      </c>
      <c r="B7" s="11" t="s">
        <v>102</v>
      </c>
      <c r="C7" s="95">
        <v>99530</v>
      </c>
      <c r="D7" s="92">
        <v>0.1573255814</v>
      </c>
      <c r="E7" s="93">
        <v>41198981.332014114</v>
      </c>
      <c r="F7" s="35"/>
      <c r="G7" s="176" t="s">
        <v>36</v>
      </c>
      <c r="H7" s="177"/>
      <c r="I7" s="178"/>
      <c r="K7" s="56" t="str">
        <f ca="1">IFERROR(OFFSET(INDIRECT($H$3 &amp; "!A17"), 1, 0), "")</f>
        <v>스톰엑스</v>
      </c>
      <c r="L7" s="39">
        <f t="shared" ca="1" si="0"/>
        <v>65.8</v>
      </c>
      <c r="M7" s="77">
        <f t="shared" ca="1" si="1"/>
        <v>6.9918699200000003E-2</v>
      </c>
      <c r="N7" s="86">
        <f t="shared" ref="N7:N25" ca="1" si="4">_xlfn.IFNA(VLOOKUP(K7, $B$2:$E$200, 4, FALSE), "")</f>
        <v>499040374.57505888</v>
      </c>
      <c r="O7" s="47" t="str">
        <f>INDEX($A$2:$D$200, MATCH(LARGE($D$2:$D$200, 2), $D$2:$D$200, 0), 2)</f>
        <v>비트코인에스브이</v>
      </c>
      <c r="P7" s="39">
        <f t="shared" si="2"/>
        <v>489750</v>
      </c>
      <c r="Q7" s="77">
        <f t="shared" si="3"/>
        <v>0.1903025884</v>
      </c>
      <c r="R7" s="86">
        <f t="shared" ref="R7:R25" si="5">_xlfn.IFNA(VLOOKUP(O7, $B$2:$E$200, 4, FALSE), "")</f>
        <v>211123.24293097001</v>
      </c>
    </row>
    <row r="8" spans="1:18" ht="17.25" thickBot="1">
      <c r="A8" s="40" t="s">
        <v>141</v>
      </c>
      <c r="B8" s="11" t="s">
        <v>142</v>
      </c>
      <c r="C8" s="95">
        <v>468</v>
      </c>
      <c r="D8" s="92">
        <v>0.13317191279999999</v>
      </c>
      <c r="E8" s="93">
        <v>348263505.41968036</v>
      </c>
      <c r="F8" s="35"/>
      <c r="G8" s="182"/>
      <c r="H8" s="183"/>
      <c r="I8" s="184"/>
      <c r="K8" s="56" t="str">
        <f ca="1">IFERROR(OFFSET(INDIRECT($H$3 &amp; "!A17"), 2, 0), "")</f>
        <v>이오스</v>
      </c>
      <c r="L8" s="39">
        <f t="shared" ca="1" si="0"/>
        <v>9390</v>
      </c>
      <c r="M8" s="77">
        <f t="shared" ca="1" si="1"/>
        <v>0.17521902380000001</v>
      </c>
      <c r="N8" s="86">
        <f t="shared" ca="1" si="4"/>
        <v>85447852.580644995</v>
      </c>
      <c r="O8" s="47" t="str">
        <f>INDEX($A$2:$D$200, MATCH(LARGE($D$2:$D$200, 3), $D$2:$D$200, 0), 2)</f>
        <v>이오스</v>
      </c>
      <c r="P8" s="39">
        <f t="shared" si="2"/>
        <v>9390</v>
      </c>
      <c r="Q8" s="77">
        <f t="shared" si="3"/>
        <v>0.17521902380000001</v>
      </c>
      <c r="R8" s="86">
        <f t="shared" si="5"/>
        <v>85447852.580644995</v>
      </c>
    </row>
    <row r="9" spans="1:18" ht="17.25" thickBot="1">
      <c r="A9" s="40" t="s">
        <v>50</v>
      </c>
      <c r="B9" s="11" t="s">
        <v>51</v>
      </c>
      <c r="C9" s="95">
        <v>713</v>
      </c>
      <c r="D9" s="92">
        <v>0.1299524564</v>
      </c>
      <c r="E9" s="93">
        <v>240626641.45494282</v>
      </c>
      <c r="F9" s="35"/>
      <c r="G9" s="9" t="s">
        <v>38</v>
      </c>
      <c r="H9" s="168" t="s">
        <v>37</v>
      </c>
      <c r="I9" s="169"/>
      <c r="K9" s="56" t="str">
        <f ca="1">IFERROR(OFFSET(INDIRECT($H$3 &amp; "!A17"), 3, 0), "")</f>
        <v>시아코인</v>
      </c>
      <c r="L9" s="39">
        <f t="shared" ca="1" si="0"/>
        <v>52.3</v>
      </c>
      <c r="M9" s="77">
        <f t="shared" ca="1" si="1"/>
        <v>0.15964523280000001</v>
      </c>
      <c r="N9" s="86">
        <f t="shared" ca="1" si="4"/>
        <v>2771457704.8306823</v>
      </c>
      <c r="O9" s="47" t="str">
        <f>INDEX($A$2:$D$200, MATCH(LARGE($D$2:$D$200, 4), $D$2:$D$200, 0), 2)</f>
        <v>비트코인캐시에이비씨</v>
      </c>
      <c r="P9" s="39">
        <f t="shared" si="2"/>
        <v>64290</v>
      </c>
      <c r="Q9" s="77">
        <f t="shared" si="3"/>
        <v>0.16361990949999999</v>
      </c>
      <c r="R9" s="86">
        <f t="shared" si="5"/>
        <v>2662726.2512504999</v>
      </c>
    </row>
    <row r="10" spans="1:18">
      <c r="A10" s="40" t="s">
        <v>97</v>
      </c>
      <c r="B10" s="11" t="s">
        <v>98</v>
      </c>
      <c r="C10" s="95">
        <v>7790</v>
      </c>
      <c r="D10" s="92">
        <v>0.1273516643</v>
      </c>
      <c r="E10" s="93">
        <v>16543525.83248339</v>
      </c>
      <c r="F10" s="35"/>
      <c r="G10" s="242">
        <f>_xlfn.IFNA(VLOOKUP(G7, $B$2:$D$200, 3, FALSE), "-")</f>
        <v>4.74494606E-2</v>
      </c>
      <c r="H10" s="236">
        <f>_xlfn.IFNA(VLOOKUP(G7, $B$2:$D$200, 2, FALSE), "-")</f>
        <v>70000000</v>
      </c>
      <c r="I10" s="237"/>
      <c r="K10" s="58" t="str">
        <f ca="1">IFERROR(OFFSET(INDIRECT($H$3 &amp; "!A17"), 4, 0), "")</f>
        <v>비트코인에스브이</v>
      </c>
      <c r="L10" s="44">
        <f t="shared" ca="1" si="0"/>
        <v>489750</v>
      </c>
      <c r="M10" s="78">
        <f t="shared" ca="1" si="1"/>
        <v>0.1903025884</v>
      </c>
      <c r="N10" s="90">
        <f t="shared" ca="1" si="4"/>
        <v>211123.24293097001</v>
      </c>
      <c r="O10" s="47" t="str">
        <f>INDEX($A$2:$D$200, MATCH(LARGE($D$2:$D$200, 5), $D$2:$D$200, 0), 2)</f>
        <v>시아코인</v>
      </c>
      <c r="P10" s="39">
        <f t="shared" si="2"/>
        <v>52.3</v>
      </c>
      <c r="Q10" s="77">
        <f t="shared" si="3"/>
        <v>0.15964523280000001</v>
      </c>
      <c r="R10" s="90">
        <f t="shared" si="5"/>
        <v>2771457704.8306823</v>
      </c>
    </row>
    <row r="11" spans="1:18" ht="17.25" thickBot="1">
      <c r="A11" s="40" t="s">
        <v>137</v>
      </c>
      <c r="B11" s="11" t="s">
        <v>138</v>
      </c>
      <c r="C11" s="95">
        <v>48970</v>
      </c>
      <c r="D11" s="92">
        <v>0.1231651376</v>
      </c>
      <c r="E11" s="93">
        <v>2282925.5679614302</v>
      </c>
      <c r="F11" s="35"/>
      <c r="G11" s="243"/>
      <c r="H11" s="238"/>
      <c r="I11" s="239"/>
      <c r="K11" s="56" t="str">
        <f ca="1">IFERROR(OFFSET(INDIRECT($H$3 &amp; "!A17"), 5, 0), "")</f>
        <v>비트코인캐시에이비씨</v>
      </c>
      <c r="L11" s="39">
        <f t="shared" ca="1" si="0"/>
        <v>64290</v>
      </c>
      <c r="M11" s="77">
        <f t="shared" ca="1" si="1"/>
        <v>0.16361990949999999</v>
      </c>
      <c r="N11" s="99">
        <f t="shared" ca="1" si="4"/>
        <v>2662726.2512504999</v>
      </c>
      <c r="O11" s="49" t="str">
        <f>INDEX($A$2:$D$200, MATCH(LARGE($D$2:$D$200, 6), $D$2:$D$200, 0), 2)</f>
        <v>이더리움클래식</v>
      </c>
      <c r="P11" s="45">
        <f t="shared" si="2"/>
        <v>99530</v>
      </c>
      <c r="Q11" s="80">
        <f t="shared" si="3"/>
        <v>0.1573255814</v>
      </c>
      <c r="R11" s="99">
        <f t="shared" si="5"/>
        <v>41198981.332014114</v>
      </c>
    </row>
    <row r="12" spans="1:18" ht="17.25" thickBot="1">
      <c r="A12" s="40" t="s">
        <v>177</v>
      </c>
      <c r="B12" s="11" t="s">
        <v>178</v>
      </c>
      <c r="C12" s="95">
        <v>54660</v>
      </c>
      <c r="D12" s="92">
        <v>0.1157379057</v>
      </c>
      <c r="E12" s="93">
        <v>556925.87445332005</v>
      </c>
      <c r="F12" s="35"/>
      <c r="K12" s="56" t="str">
        <f ca="1">IFERROR(OFFSET(INDIRECT($H$3 &amp; "!A17"), 6, 0), "")</f>
        <v>테조스</v>
      </c>
      <c r="L12" s="39">
        <f t="shared" ca="1" si="0"/>
        <v>7790</v>
      </c>
      <c r="M12" s="77">
        <f t="shared" ca="1" si="1"/>
        <v>0.1273516643</v>
      </c>
      <c r="N12" s="86">
        <f t="shared" ca="1" si="4"/>
        <v>16543525.83248339</v>
      </c>
      <c r="O12" s="47" t="str">
        <f>INDEX($A$2:$D$200, MATCH(LARGE($D$2:$D$200, 7), $D$2:$D$200, 0), 2)</f>
        <v>쎄타퓨엘</v>
      </c>
      <c r="P12" s="39">
        <f t="shared" si="2"/>
        <v>468</v>
      </c>
      <c r="Q12" s="77">
        <f t="shared" si="3"/>
        <v>0.13317191279999999</v>
      </c>
      <c r="R12" s="86">
        <f t="shared" si="5"/>
        <v>348263505.41968036</v>
      </c>
    </row>
    <row r="13" spans="1:18" ht="17.25" thickBot="1">
      <c r="A13" s="40" t="s">
        <v>129</v>
      </c>
      <c r="B13" s="11" t="s">
        <v>130</v>
      </c>
      <c r="C13" s="95">
        <v>428150</v>
      </c>
      <c r="D13" s="92">
        <v>0.1138137357</v>
      </c>
      <c r="E13" s="93">
        <v>612179.14351845998</v>
      </c>
      <c r="F13" s="35"/>
      <c r="G13" s="167" t="s">
        <v>70</v>
      </c>
      <c r="H13" s="168"/>
      <c r="I13" s="169"/>
      <c r="K13" s="56" t="str">
        <f ca="1">IFERROR(OFFSET(INDIRECT($H$3 &amp; "!A17"), 7, 0), "")</f>
        <v>폴카닷</v>
      </c>
      <c r="L13" s="39">
        <f t="shared" ca="1" si="0"/>
        <v>48970</v>
      </c>
      <c r="M13" s="77">
        <f t="shared" ca="1" si="1"/>
        <v>0.1231651376</v>
      </c>
      <c r="N13" s="86">
        <f t="shared" ca="1" si="4"/>
        <v>2282925.5679614302</v>
      </c>
      <c r="O13" s="47" t="str">
        <f>INDEX($A$2:$D$200, MATCH(LARGE($D$2:$D$200, 8), $D$2:$D$200, 0), 2)</f>
        <v>스텔라루멘</v>
      </c>
      <c r="P13" s="39">
        <f t="shared" si="2"/>
        <v>713</v>
      </c>
      <c r="Q13" s="77">
        <f t="shared" si="3"/>
        <v>0.1299524564</v>
      </c>
      <c r="R13" s="86">
        <f t="shared" si="5"/>
        <v>240626641.45494282</v>
      </c>
    </row>
    <row r="14" spans="1:18">
      <c r="A14" s="40" t="s">
        <v>187</v>
      </c>
      <c r="B14" s="11" t="s">
        <v>188</v>
      </c>
      <c r="C14" s="95">
        <v>19080</v>
      </c>
      <c r="D14" s="92">
        <v>9.7182288699999994E-2</v>
      </c>
      <c r="E14" s="93">
        <v>9977205.8246353399</v>
      </c>
      <c r="F14" s="35"/>
      <c r="G14" s="176" t="s">
        <v>36</v>
      </c>
      <c r="H14" s="177"/>
      <c r="I14" s="178"/>
      <c r="K14" s="56" t="str">
        <f ca="1">IFERROR(OFFSET(INDIRECT($H$3 &amp; "!A17"), 8, 0), "")</f>
        <v>쎄타퓨엘</v>
      </c>
      <c r="L14" s="39">
        <f t="shared" ca="1" si="0"/>
        <v>468</v>
      </c>
      <c r="M14" s="77">
        <f t="shared" ca="1" si="1"/>
        <v>0.13317191279999999</v>
      </c>
      <c r="N14" s="86">
        <f t="shared" ca="1" si="4"/>
        <v>348263505.41968036</v>
      </c>
      <c r="O14" s="47" t="str">
        <f>INDEX($A$2:$D$200, MATCH(LARGE($D$2:$D$200, 9), $D$2:$D$200, 0), 2)</f>
        <v>테조스</v>
      </c>
      <c r="P14" s="39">
        <f t="shared" si="2"/>
        <v>7790</v>
      </c>
      <c r="Q14" s="77">
        <f t="shared" si="3"/>
        <v>0.1273516643</v>
      </c>
      <c r="R14" s="86">
        <f t="shared" si="5"/>
        <v>16543525.83248339</v>
      </c>
    </row>
    <row r="15" spans="1:18" ht="17.25" thickBot="1">
      <c r="A15" s="40" t="s">
        <v>143</v>
      </c>
      <c r="B15" s="11" t="s">
        <v>144</v>
      </c>
      <c r="C15" s="95">
        <v>11970</v>
      </c>
      <c r="D15" s="92">
        <v>9.6153846200000004E-2</v>
      </c>
      <c r="E15" s="93">
        <v>11394026.722815789</v>
      </c>
      <c r="F15" s="35"/>
      <c r="G15" s="182"/>
      <c r="H15" s="183"/>
      <c r="I15" s="184"/>
      <c r="K15" s="57" t="str">
        <f ca="1">IFERROR(OFFSET(INDIRECT($H$3 &amp; "!A17"), 9, 0), "")</f>
        <v>스텔라루멘</v>
      </c>
      <c r="L15" s="37">
        <f t="shared" ca="1" si="0"/>
        <v>713</v>
      </c>
      <c r="M15" s="79">
        <f t="shared" ca="1" si="1"/>
        <v>0.1299524564</v>
      </c>
      <c r="N15" s="87">
        <f t="shared" ca="1" si="4"/>
        <v>240626641.45494282</v>
      </c>
      <c r="O15" s="48" t="str">
        <f>INDEX($A$2:$D$200, MATCH(LARGE($D$2:$D$200, 10), $D$2:$D$200, 0), 2)</f>
        <v>폴카닷</v>
      </c>
      <c r="P15" s="37">
        <f t="shared" si="2"/>
        <v>48970</v>
      </c>
      <c r="Q15" s="79">
        <f t="shared" si="3"/>
        <v>0.1231651376</v>
      </c>
      <c r="R15" s="87">
        <f t="shared" si="5"/>
        <v>2282925.5679614302</v>
      </c>
    </row>
    <row r="16" spans="1:18" ht="17.25" thickBot="1">
      <c r="A16" s="40" t="s">
        <v>103</v>
      </c>
      <c r="B16" s="11" t="s">
        <v>104</v>
      </c>
      <c r="C16" s="95">
        <v>2430</v>
      </c>
      <c r="D16" s="92">
        <v>9.4594594599999998E-2</v>
      </c>
      <c r="E16" s="93">
        <v>24110372.078860272</v>
      </c>
      <c r="F16" s="35"/>
      <c r="G16" s="9" t="s">
        <v>38</v>
      </c>
      <c r="H16" s="168" t="s">
        <v>37</v>
      </c>
      <c r="I16" s="169"/>
      <c r="K16" s="55" t="str">
        <f ca="1">IFERROR(OFFSET(INDIRECT($H$3 &amp; "!A17"), 10, 0), "")</f>
        <v>오미세고</v>
      </c>
      <c r="L16" s="38">
        <f t="shared" ca="1" si="0"/>
        <v>11970</v>
      </c>
      <c r="M16" s="76">
        <f t="shared" ca="1" si="1"/>
        <v>9.6153846200000004E-2</v>
      </c>
      <c r="N16" s="85">
        <f t="shared" ca="1" si="4"/>
        <v>11394026.722815789</v>
      </c>
      <c r="O16" s="46" t="str">
        <f>INDEX($A$2:$D$200, MATCH(LARGE($D$2:$D$200, 11), $D$2:$D$200, 0), 2)</f>
        <v>어거</v>
      </c>
      <c r="P16" s="38">
        <f t="shared" si="2"/>
        <v>54660</v>
      </c>
      <c r="Q16" s="76">
        <f t="shared" si="3"/>
        <v>0.1157379057</v>
      </c>
      <c r="R16" s="85">
        <f t="shared" si="5"/>
        <v>556925.87445332005</v>
      </c>
    </row>
    <row r="17" spans="1:18">
      <c r="A17" s="40" t="s">
        <v>79</v>
      </c>
      <c r="B17" s="11" t="s">
        <v>80</v>
      </c>
      <c r="C17" s="95">
        <v>1600</v>
      </c>
      <c r="D17" s="92">
        <v>9.2150170599999998E-2</v>
      </c>
      <c r="E17" s="93">
        <v>11669634.284121821</v>
      </c>
      <c r="F17" s="35"/>
      <c r="G17" s="242">
        <f>_xlfn.IFNA(VLOOKUP(G14, $B$2:$D$200, 3, FALSE), "-")</f>
        <v>4.74494606E-2</v>
      </c>
      <c r="H17" s="236">
        <f>_xlfn.IFNA(VLOOKUP(G14, $B$2:$D$200, 2, FALSE), "-")</f>
        <v>70000000</v>
      </c>
      <c r="I17" s="237"/>
      <c r="K17" s="56" t="str">
        <f ca="1">IFERROR(OFFSET(INDIRECT($H$3 &amp; "!A17"), 11, 0), "")</f>
        <v>베이직어텐션토큰</v>
      </c>
      <c r="L17" s="39">
        <f t="shared" ca="1" si="0"/>
        <v>1600</v>
      </c>
      <c r="M17" s="77">
        <f t="shared" ca="1" si="1"/>
        <v>9.2150170599999998E-2</v>
      </c>
      <c r="N17" s="86">
        <f t="shared" ca="1" si="4"/>
        <v>11669634.284121821</v>
      </c>
      <c r="O17" s="47" t="str">
        <f>INDEX($A$2:$D$200, MATCH(LARGE($D$2:$D$200, 12), $D$2:$D$200, 0), 2)</f>
        <v>라이트코인</v>
      </c>
      <c r="P17" s="39">
        <f t="shared" si="2"/>
        <v>428150</v>
      </c>
      <c r="Q17" s="77">
        <f t="shared" si="3"/>
        <v>0.1138137357</v>
      </c>
      <c r="R17" s="86">
        <f t="shared" si="5"/>
        <v>612179.14351845998</v>
      </c>
    </row>
    <row r="18" spans="1:18" ht="17.25" thickBot="1">
      <c r="A18" s="40" t="s">
        <v>93</v>
      </c>
      <c r="B18" s="11" t="s">
        <v>94</v>
      </c>
      <c r="C18" s="95">
        <v>147800</v>
      </c>
      <c r="D18" s="92">
        <v>8.6764705900000003E-2</v>
      </c>
      <c r="E18" s="93">
        <v>3202977.8891160502</v>
      </c>
      <c r="F18" s="35"/>
      <c r="G18" s="243"/>
      <c r="H18" s="238"/>
      <c r="I18" s="239"/>
      <c r="K18" s="56" t="str">
        <f ca="1">IFERROR(OFFSET(INDIRECT($H$3 &amp; "!A17"), 12, 0), "")</f>
        <v>어거</v>
      </c>
      <c r="L18" s="39">
        <f t="shared" ca="1" si="0"/>
        <v>54660</v>
      </c>
      <c r="M18" s="77">
        <f t="shared" ca="1" si="1"/>
        <v>0.1157379057</v>
      </c>
      <c r="N18" s="86">
        <f t="shared" ca="1" si="4"/>
        <v>556925.87445332005</v>
      </c>
      <c r="O18" s="47" t="str">
        <f>INDEX($A$2:$D$200, MATCH(LARGE($D$2:$D$200, 13), $D$2:$D$200, 0), 2)</f>
        <v>퀀텀</v>
      </c>
      <c r="P18" s="39">
        <f t="shared" si="2"/>
        <v>19080</v>
      </c>
      <c r="Q18" s="77">
        <f t="shared" si="3"/>
        <v>9.7182288699999994E-2</v>
      </c>
      <c r="R18" s="86">
        <f t="shared" si="5"/>
        <v>9977205.8246353399</v>
      </c>
    </row>
    <row r="19" spans="1:18" ht="17.25" thickBot="1">
      <c r="A19" s="40" t="s">
        <v>91</v>
      </c>
      <c r="B19" s="11" t="s">
        <v>92</v>
      </c>
      <c r="C19" s="95">
        <v>1875</v>
      </c>
      <c r="D19" s="92">
        <v>7.4498567299999999E-2</v>
      </c>
      <c r="E19" s="93">
        <v>1117150234.7646031</v>
      </c>
      <c r="F19" s="35"/>
      <c r="K19" s="56" t="str">
        <f ca="1">IFERROR(OFFSET(INDIRECT($H$3 &amp; "!A17"), 13, 0), "")</f>
        <v>리플</v>
      </c>
      <c r="L19" s="39">
        <f t="shared" ca="1" si="0"/>
        <v>1875</v>
      </c>
      <c r="M19" s="77">
        <f t="shared" ca="1" si="1"/>
        <v>7.4498567299999999E-2</v>
      </c>
      <c r="N19" s="86">
        <f t="shared" ca="1" si="4"/>
        <v>1117150234.7646031</v>
      </c>
      <c r="O19" s="47" t="str">
        <f>INDEX($A$2:$D$200, MATCH(LARGE($D$2:$D$200, 14), $D$2:$D$200, 0), 2)</f>
        <v>오미세고</v>
      </c>
      <c r="P19" s="39">
        <f t="shared" si="2"/>
        <v>11970</v>
      </c>
      <c r="Q19" s="77">
        <f t="shared" si="3"/>
        <v>9.6153846200000004E-2</v>
      </c>
      <c r="R19" s="86">
        <f t="shared" si="5"/>
        <v>11394026.722815789</v>
      </c>
    </row>
    <row r="20" spans="1:18" ht="17.25" thickBot="1">
      <c r="A20" s="40" t="s">
        <v>155</v>
      </c>
      <c r="B20" s="11" t="s">
        <v>156</v>
      </c>
      <c r="C20" s="95">
        <v>161</v>
      </c>
      <c r="D20" s="92">
        <v>7.3333333299999998E-2</v>
      </c>
      <c r="E20" s="93">
        <v>1014552646.3085994</v>
      </c>
      <c r="F20" s="35"/>
      <c r="G20" s="167" t="s">
        <v>286</v>
      </c>
      <c r="H20" s="168"/>
      <c r="I20" s="169"/>
      <c r="K20" s="58" t="str">
        <f ca="1">IFERROR(OFFSET(INDIRECT($H$3 &amp; "!A17"), 14, 0), "")</f>
        <v>온톨로지</v>
      </c>
      <c r="L20" s="44">
        <f t="shared" ca="1" si="0"/>
        <v>2430</v>
      </c>
      <c r="M20" s="78">
        <f t="shared" ca="1" si="1"/>
        <v>9.4594594599999998E-2</v>
      </c>
      <c r="N20" s="90">
        <f t="shared" ca="1" si="4"/>
        <v>24110372.078860272</v>
      </c>
      <c r="O20" s="47" t="str">
        <f>INDEX($A$2:$D$200, MATCH(LARGE($D$2:$D$200, 15), $D$2:$D$200, 0), 2)</f>
        <v>온톨로지</v>
      </c>
      <c r="P20" s="39">
        <f t="shared" si="2"/>
        <v>2430</v>
      </c>
      <c r="Q20" s="77">
        <f t="shared" si="3"/>
        <v>9.4594594599999998E-2</v>
      </c>
      <c r="R20" s="90">
        <f t="shared" si="5"/>
        <v>24110372.078860272</v>
      </c>
    </row>
    <row r="21" spans="1:18">
      <c r="A21" s="40" t="s">
        <v>62</v>
      </c>
      <c r="B21" s="11" t="s">
        <v>63</v>
      </c>
      <c r="C21" s="95">
        <v>129900</v>
      </c>
      <c r="D21" s="92">
        <v>7.1340206200000006E-2</v>
      </c>
      <c r="E21" s="93">
        <v>2071383.29622481</v>
      </c>
      <c r="F21" s="35"/>
      <c r="G21" s="176" t="s">
        <v>36</v>
      </c>
      <c r="H21" s="177"/>
      <c r="I21" s="178"/>
      <c r="K21" s="56" t="str">
        <f ca="1">IFERROR(OFFSET(INDIRECT($H$3 &amp; "!A17"), 15, 0), "")</f>
        <v>이더리움클래식</v>
      </c>
      <c r="L21" s="39">
        <f t="shared" ca="1" si="0"/>
        <v>99530</v>
      </c>
      <c r="M21" s="77">
        <f t="shared" ca="1" si="1"/>
        <v>0.1573255814</v>
      </c>
      <c r="N21" s="99">
        <f t="shared" ca="1" si="4"/>
        <v>41198981.332014114</v>
      </c>
      <c r="O21" s="49" t="str">
        <f>INDEX($A$2:$D$200, MATCH(LARGE($D$2:$D$200, 16), $D$2:$D$200, 0), 2)</f>
        <v>베이직어텐션토큰</v>
      </c>
      <c r="P21" s="45">
        <f t="shared" si="2"/>
        <v>1600</v>
      </c>
      <c r="Q21" s="80">
        <f t="shared" si="3"/>
        <v>9.2150170599999998E-2</v>
      </c>
      <c r="R21" s="99">
        <f t="shared" si="5"/>
        <v>11669634.284121821</v>
      </c>
    </row>
    <row r="22" spans="1:18" ht="17.25" thickBot="1">
      <c r="A22" s="40" t="s">
        <v>167</v>
      </c>
      <c r="B22" s="11" t="s">
        <v>168</v>
      </c>
      <c r="C22" s="95">
        <v>212</v>
      </c>
      <c r="D22" s="92">
        <v>7.0707070699999999E-2</v>
      </c>
      <c r="E22" s="93">
        <v>287267660.45827067</v>
      </c>
      <c r="F22" s="35"/>
      <c r="G22" s="182"/>
      <c r="H22" s="183"/>
      <c r="I22" s="184"/>
      <c r="K22" s="56" t="str">
        <f ca="1">IFERROR(OFFSET(INDIRECT($H$3 &amp; "!A17"), 16, 0), "")</f>
        <v>퀀텀</v>
      </c>
      <c r="L22" s="39">
        <f t="shared" ca="1" si="0"/>
        <v>19080</v>
      </c>
      <c r="M22" s="77">
        <f t="shared" ca="1" si="1"/>
        <v>9.7182288699999994E-2</v>
      </c>
      <c r="N22" s="86">
        <f t="shared" ca="1" si="4"/>
        <v>9977205.8246353399</v>
      </c>
      <c r="O22" s="47" t="str">
        <f>INDEX($A$2:$D$200, MATCH(LARGE($D$2:$D$200, 17), $D$2:$D$200, 0), 2)</f>
        <v>비트코인골드</v>
      </c>
      <c r="P22" s="39">
        <f t="shared" si="2"/>
        <v>147800</v>
      </c>
      <c r="Q22" s="77">
        <f t="shared" si="3"/>
        <v>8.6764705900000003E-2</v>
      </c>
      <c r="R22" s="86">
        <f t="shared" si="5"/>
        <v>3202977.8891160502</v>
      </c>
    </row>
    <row r="23" spans="1:18" ht="17.25" thickBot="1">
      <c r="A23" s="40" t="s">
        <v>125</v>
      </c>
      <c r="B23" s="11" t="s">
        <v>126</v>
      </c>
      <c r="C23" s="95">
        <v>65.8</v>
      </c>
      <c r="D23" s="92">
        <v>6.9918699200000003E-2</v>
      </c>
      <c r="E23" s="93">
        <v>499040374.57505888</v>
      </c>
      <c r="F23" s="35"/>
      <c r="G23" s="9" t="s">
        <v>38</v>
      </c>
      <c r="H23" s="168" t="s">
        <v>37</v>
      </c>
      <c r="I23" s="169"/>
      <c r="K23" s="56" t="str">
        <f ca="1">IFERROR(OFFSET(INDIRECT($H$3 &amp; "!A17"), 17, 0), "")</f>
        <v>디센트럴랜드</v>
      </c>
      <c r="L23" s="39">
        <f t="shared" ca="1" si="0"/>
        <v>1705</v>
      </c>
      <c r="M23" s="77">
        <f t="shared" ca="1" si="1"/>
        <v>6.8965517200000007E-2</v>
      </c>
      <c r="N23" s="86">
        <f t="shared" ca="1" si="4"/>
        <v>39841347.15987619</v>
      </c>
      <c r="O23" s="47" t="str">
        <f>INDEX($A$2:$D$200, MATCH(LARGE($D$2:$D$200, 18), $D$2:$D$200, 0), 2)</f>
        <v>리플</v>
      </c>
      <c r="P23" s="39">
        <f t="shared" si="2"/>
        <v>1875</v>
      </c>
      <c r="Q23" s="77">
        <f t="shared" si="3"/>
        <v>7.4498567299999999E-2</v>
      </c>
      <c r="R23" s="86">
        <f t="shared" si="5"/>
        <v>1117150234.7646031</v>
      </c>
    </row>
    <row r="24" spans="1:18">
      <c r="A24" s="40" t="s">
        <v>60</v>
      </c>
      <c r="B24" s="11" t="s">
        <v>61</v>
      </c>
      <c r="C24" s="95">
        <v>1705</v>
      </c>
      <c r="D24" s="92">
        <v>6.8965517200000007E-2</v>
      </c>
      <c r="E24" s="93">
        <v>39841347.15987619</v>
      </c>
      <c r="F24" s="35"/>
      <c r="G24" s="242">
        <f>_xlfn.IFNA(VLOOKUP(G21, $B$2:$D$200, 3, FALSE), "-")</f>
        <v>4.74494606E-2</v>
      </c>
      <c r="H24" s="236">
        <f>_xlfn.IFNA(VLOOKUP(G21, $B$2:$D$200, 2, FALSE), "-")</f>
        <v>70000000</v>
      </c>
      <c r="I24" s="237"/>
      <c r="K24" s="56" t="str">
        <f ca="1">IFERROR(OFFSET(INDIRECT($H$3 &amp; "!A17"), 18, 0), "")</f>
        <v>라이트코인</v>
      </c>
      <c r="L24" s="39">
        <f t="shared" ca="1" si="0"/>
        <v>428150</v>
      </c>
      <c r="M24" s="77">
        <f t="shared" ca="1" si="1"/>
        <v>0.1138137357</v>
      </c>
      <c r="N24" s="86">
        <f t="shared" ca="1" si="4"/>
        <v>612179.14351845998</v>
      </c>
      <c r="O24" s="47" t="str">
        <f>INDEX($A$2:$D$200, MATCH(LARGE($D$2:$D$200, 19), $D$2:$D$200, 0), 2)</f>
        <v>트론</v>
      </c>
      <c r="P24" s="39">
        <f t="shared" si="2"/>
        <v>161</v>
      </c>
      <c r="Q24" s="77">
        <f t="shared" si="3"/>
        <v>7.3333333299999998E-2</v>
      </c>
      <c r="R24" s="86">
        <f t="shared" si="5"/>
        <v>1014552646.3085994</v>
      </c>
    </row>
    <row r="25" spans="1:18" ht="17.25" thickBot="1">
      <c r="A25" s="40" t="s">
        <v>241</v>
      </c>
      <c r="B25" s="11" t="s">
        <v>242</v>
      </c>
      <c r="C25" s="95">
        <v>7135</v>
      </c>
      <c r="D25" s="92">
        <v>6.5720687099999994E-2</v>
      </c>
      <c r="E25" s="93">
        <v>2836222.7207399299</v>
      </c>
      <c r="F25" s="35"/>
      <c r="G25" s="243"/>
      <c r="H25" s="238"/>
      <c r="I25" s="239"/>
      <c r="K25" s="57" t="str">
        <f ca="1">IFERROR(OFFSET(INDIRECT($H$3 &amp; "!A17"), 19, 0), "")</f>
        <v>트론</v>
      </c>
      <c r="L25" s="37">
        <f t="shared" ref="L25" ca="1" si="6">_xlfn.IFNA(VLOOKUP(K25, $B$2:$D$200, 2, FALSE), "")</f>
        <v>161</v>
      </c>
      <c r="M25" s="79">
        <f t="shared" ca="1" si="1"/>
        <v>7.3333333299999998E-2</v>
      </c>
      <c r="N25" s="87">
        <f t="shared" ca="1" si="4"/>
        <v>1014552646.3085994</v>
      </c>
      <c r="O25" s="48" t="str">
        <f>INDEX($A$2:$D$200, MATCH(LARGE($D$2:$D$200, 20), $D$2:$D$200, 0), 2)</f>
        <v>네오</v>
      </c>
      <c r="P25" s="37">
        <f t="shared" si="2"/>
        <v>129900</v>
      </c>
      <c r="Q25" s="79">
        <f t="shared" si="3"/>
        <v>7.1340206200000006E-2</v>
      </c>
      <c r="R25" s="87">
        <f t="shared" si="5"/>
        <v>2071383.29622481</v>
      </c>
    </row>
    <row r="26" spans="1:18">
      <c r="A26" s="40" t="s">
        <v>191</v>
      </c>
      <c r="B26" s="11" t="s">
        <v>192</v>
      </c>
      <c r="C26" s="95">
        <v>1160</v>
      </c>
      <c r="D26" s="92">
        <v>6.42201835E-2</v>
      </c>
      <c r="E26" s="93">
        <v>10513860.66089938</v>
      </c>
      <c r="F26" s="35"/>
    </row>
    <row r="27" spans="1:18" ht="17.25" thickBot="1">
      <c r="A27" s="40" t="s">
        <v>183</v>
      </c>
      <c r="B27" s="11" t="s">
        <v>184</v>
      </c>
      <c r="C27" s="95">
        <v>2525</v>
      </c>
      <c r="D27" s="92">
        <v>6.3157894699999995E-2</v>
      </c>
      <c r="E27" s="93">
        <v>2339476.7463686899</v>
      </c>
      <c r="F27" s="35"/>
    </row>
    <row r="28" spans="1:18" ht="17.25" thickBot="1">
      <c r="A28" s="40" t="s">
        <v>295</v>
      </c>
      <c r="B28" s="11" t="s">
        <v>296</v>
      </c>
      <c r="C28" s="95">
        <v>716</v>
      </c>
      <c r="D28" s="92">
        <v>6.0740740699999997E-2</v>
      </c>
      <c r="E28" s="93">
        <v>11653920006.261757</v>
      </c>
      <c r="F28" s="35"/>
      <c r="G28" s="167" t="s">
        <v>46</v>
      </c>
      <c r="H28" s="168"/>
      <c r="I28" s="168"/>
      <c r="J28" s="169"/>
      <c r="K28" s="167" t="s">
        <v>44</v>
      </c>
      <c r="L28" s="168"/>
      <c r="M28" s="168"/>
      <c r="N28" s="169"/>
      <c r="O28" s="167" t="s">
        <v>45</v>
      </c>
      <c r="P28" s="168"/>
      <c r="Q28" s="168"/>
      <c r="R28" s="169"/>
    </row>
    <row r="29" spans="1:18" ht="17.25" thickBot="1">
      <c r="A29" s="40" t="s">
        <v>73</v>
      </c>
      <c r="B29" s="11" t="s">
        <v>74</v>
      </c>
      <c r="C29" s="95">
        <v>27880</v>
      </c>
      <c r="D29" s="92">
        <v>5.6861258499999998E-2</v>
      </c>
      <c r="E29" s="93">
        <v>1127607.7670257201</v>
      </c>
      <c r="F29" s="35"/>
      <c r="G29" s="232" t="s">
        <v>55</v>
      </c>
      <c r="H29" s="244">
        <f ca="1">NOW()</f>
        <v>44322.202776620368</v>
      </c>
      <c r="I29" s="245"/>
      <c r="J29" s="246"/>
      <c r="K29" s="235" t="s">
        <v>55</v>
      </c>
      <c r="L29" s="244">
        <f ca="1">NOW()</f>
        <v>44322.202776620368</v>
      </c>
      <c r="M29" s="245"/>
      <c r="N29" s="246"/>
      <c r="O29" s="235" t="s">
        <v>55</v>
      </c>
      <c r="P29" s="244">
        <f ca="1">NOW()</f>
        <v>44322.202776620368</v>
      </c>
      <c r="Q29" s="245"/>
      <c r="R29" s="246"/>
    </row>
    <row r="30" spans="1:18" ht="17.25" thickBot="1">
      <c r="A30" s="40" t="s">
        <v>105</v>
      </c>
      <c r="B30" s="11" t="s">
        <v>106</v>
      </c>
      <c r="C30" s="95">
        <v>2225</v>
      </c>
      <c r="D30" s="92">
        <v>5.4502369699999997E-2</v>
      </c>
      <c r="E30" s="93">
        <v>6193581.0944937803</v>
      </c>
      <c r="F30" s="35"/>
      <c r="G30" s="229"/>
      <c r="H30" s="36" t="s">
        <v>58</v>
      </c>
      <c r="I30" s="73" t="s">
        <v>59</v>
      </c>
      <c r="J30" s="69" t="s">
        <v>294</v>
      </c>
      <c r="K30" s="229"/>
      <c r="L30" s="36" t="s">
        <v>58</v>
      </c>
      <c r="M30" s="73" t="s">
        <v>59</v>
      </c>
      <c r="N30" s="69" t="s">
        <v>294</v>
      </c>
      <c r="O30" s="229"/>
      <c r="P30" s="36" t="s">
        <v>58</v>
      </c>
      <c r="Q30" s="73" t="s">
        <v>59</v>
      </c>
      <c r="R30" s="69" t="s">
        <v>294</v>
      </c>
    </row>
    <row r="31" spans="1:18">
      <c r="A31" s="40" t="s">
        <v>135</v>
      </c>
      <c r="B31" s="11" t="s">
        <v>136</v>
      </c>
      <c r="C31" s="95">
        <v>256</v>
      </c>
      <c r="D31" s="92">
        <v>5.3497942399999998E-2</v>
      </c>
      <c r="E31" s="93">
        <v>51072563.707166657</v>
      </c>
      <c r="F31" s="35"/>
      <c r="G31" s="55" t="str">
        <f ca="1">IFERROR(OFFSET(INDIRECT($H$3 &amp; "!A98"), 0, 0), "")</f>
        <v>비트코인캐시</v>
      </c>
      <c r="H31" s="38">
        <f t="shared" ref="H31:H50" ca="1" si="7">_xlfn.IFNA(VLOOKUP(G31, $B$2:$D$200, 2, FALSE), "")</f>
        <v>1554000</v>
      </c>
      <c r="I31" s="76">
        <f t="shared" ref="I31:I50" ca="1" si="8">_xlfn.IFNA(VLOOKUP(G31, $B$2:$D$200, 3, FALSE), "")</f>
        <v>0.29069767439999999</v>
      </c>
      <c r="J31" s="85">
        <f ca="1">_xlfn.IFNA(VLOOKUP(G31, $B$2:$E$200, 4, FALSE), "")</f>
        <v>883920.89288688998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52.3</v>
      </c>
      <c r="M31" s="76">
        <f t="shared" ref="M31:M50" ca="1" si="10">_xlfn.IFNA(VLOOKUP(K31, $B$2:$D$200, 3, FALSE), "")</f>
        <v>0.15964523280000001</v>
      </c>
      <c r="N31" s="85">
        <f ca="1">_xlfn.IFNA(VLOOKUP(K31, $B$2:$E$200, 4, FALSE), "")</f>
        <v>2771457704.8306823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716</v>
      </c>
      <c r="Q31" s="76">
        <f t="shared" ref="Q31:Q50" ca="1" si="12">_xlfn.IFNA(VLOOKUP(O31, $B$2:$D$200, 3, FALSE), "")</f>
        <v>6.0740740699999997E-2</v>
      </c>
      <c r="R31" s="85">
        <f ca="1">_xlfn.IFNA(VLOOKUP(O31, $B$2:$E$200, 4, FALSE), "")</f>
        <v>11653920006.261757</v>
      </c>
    </row>
    <row r="32" spans="1:18">
      <c r="A32" s="40" t="s">
        <v>83</v>
      </c>
      <c r="B32" s="11" t="s">
        <v>84</v>
      </c>
      <c r="C32" s="95">
        <v>1675</v>
      </c>
      <c r="D32" s="92">
        <v>5.3459119499999999E-2</v>
      </c>
      <c r="E32" s="93">
        <v>63140955.346559063</v>
      </c>
      <c r="F32" s="35"/>
      <c r="G32" s="56" t="str">
        <f ca="1">IFERROR(OFFSET(INDIRECT($H$3 &amp; "!A98"), 1, 0), "")</f>
        <v>도지코인</v>
      </c>
      <c r="H32" s="39">
        <f t="shared" ca="1" si="7"/>
        <v>716</v>
      </c>
      <c r="I32" s="77">
        <f t="shared" ca="1" si="8"/>
        <v>6.0740740699999997E-2</v>
      </c>
      <c r="J32" s="86">
        <f t="shared" ref="J32:J50" ca="1" si="13">_xlfn.IFNA(VLOOKUP(G32, $B$2:$E$200, 4, FALSE), "")</f>
        <v>11653920006.261757</v>
      </c>
      <c r="K32" s="56" t="str">
        <f ca="1">IFERROR(OFFSET(INDIRECT($H$3 &amp; "!A44"), 1, 0), "")</f>
        <v>스톰엑스</v>
      </c>
      <c r="L32" s="39">
        <f t="shared" ca="1" si="9"/>
        <v>65.8</v>
      </c>
      <c r="M32" s="77">
        <f t="shared" ca="1" si="10"/>
        <v>6.9918699200000003E-2</v>
      </c>
      <c r="N32" s="86">
        <f t="shared" ref="N32:N50" ca="1" si="14">_xlfn.IFNA(VLOOKUP(K32, $B$2:$E$200, 4, FALSE), "")</f>
        <v>499040374.57505888</v>
      </c>
      <c r="O32" s="56" t="str">
        <f ca="1">IFERROR(OFFSET(INDIRECT($H$3 &amp; "!A71"), 1, 0), "")</f>
        <v>쎄타퓨엘</v>
      </c>
      <c r="P32" s="39">
        <f t="shared" ca="1" si="11"/>
        <v>468</v>
      </c>
      <c r="Q32" s="77">
        <f t="shared" ca="1" si="12"/>
        <v>0.13317191279999999</v>
      </c>
      <c r="R32" s="86">
        <f t="shared" ref="R32:R50" ca="1" si="15">_xlfn.IFNA(VLOOKUP(O32, $B$2:$E$200, 4, FALSE), "")</f>
        <v>348263505.41968036</v>
      </c>
    </row>
    <row r="33" spans="1:18">
      <c r="A33" s="40" t="s">
        <v>119</v>
      </c>
      <c r="B33" s="11" t="s">
        <v>120</v>
      </c>
      <c r="C33" s="95">
        <v>218</v>
      </c>
      <c r="D33" s="92">
        <v>5.3140096599999999E-2</v>
      </c>
      <c r="E33" s="93">
        <v>125048857.43552791</v>
      </c>
      <c r="F33" s="35"/>
      <c r="G33" s="56" t="str">
        <f ca="1">IFERROR(OFFSET(INDIRECT($H$3 &amp; "!A98"), 2, 0), "")</f>
        <v>이오스</v>
      </c>
      <c r="H33" s="39">
        <f t="shared" ca="1" si="7"/>
        <v>9390</v>
      </c>
      <c r="I33" s="77">
        <f t="shared" ca="1" si="8"/>
        <v>0.17521902380000001</v>
      </c>
      <c r="J33" s="86">
        <f t="shared" ca="1" si="13"/>
        <v>85447852.580644995</v>
      </c>
      <c r="K33" s="56" t="str">
        <f ca="1">IFERROR(OFFSET(INDIRECT($H$3 &amp; "!A44"), 2, 0), "")</f>
        <v>비트토렌트</v>
      </c>
      <c r="L33" s="39">
        <f t="shared" ca="1" si="9"/>
        <v>8.43</v>
      </c>
      <c r="M33" s="77">
        <f t="shared" ca="1" si="10"/>
        <v>5.2434456900000002E-2</v>
      </c>
      <c r="N33" s="86">
        <f t="shared" ca="1" si="14"/>
        <v>144446453533.8797</v>
      </c>
      <c r="O33" s="56" t="str">
        <f ca="1">IFERROR(OFFSET(INDIRECT($H$3 &amp; "!A71"), 2, 0), "")</f>
        <v>스텔라루멘</v>
      </c>
      <c r="P33" s="39">
        <f t="shared" ca="1" si="11"/>
        <v>713</v>
      </c>
      <c r="Q33" s="77">
        <f t="shared" ca="1" si="12"/>
        <v>0.1299524564</v>
      </c>
      <c r="R33" s="86">
        <f t="shared" ca="1" si="15"/>
        <v>240626641.45494282</v>
      </c>
    </row>
    <row r="34" spans="1:18">
      <c r="A34" s="40" t="s">
        <v>99</v>
      </c>
      <c r="B34" s="11" t="s">
        <v>100</v>
      </c>
      <c r="C34" s="95">
        <v>8.43</v>
      </c>
      <c r="D34" s="92">
        <v>5.2434456900000002E-2</v>
      </c>
      <c r="E34" s="93">
        <v>144446453533.8797</v>
      </c>
      <c r="F34" s="35"/>
      <c r="G34" s="56" t="str">
        <f ca="1">IFERROR(OFFSET(INDIRECT($H$3 &amp; "!A98"), 3, 0), "")</f>
        <v>시아코인</v>
      </c>
      <c r="H34" s="39">
        <f t="shared" ca="1" si="7"/>
        <v>52.3</v>
      </c>
      <c r="I34" s="77">
        <f t="shared" ca="1" si="8"/>
        <v>0.15964523280000001</v>
      </c>
      <c r="J34" s="86">
        <f t="shared" ca="1" si="13"/>
        <v>2771457704.8306823</v>
      </c>
      <c r="K34" s="56" t="str">
        <f ca="1">IFERROR(OFFSET(INDIRECT($H$3 &amp; "!A44"), 3, 0), "")</f>
        <v>쿼크체인</v>
      </c>
      <c r="L34" s="39">
        <f t="shared" ca="1" si="9"/>
        <v>35.799999999999997</v>
      </c>
      <c r="M34" s="77">
        <f t="shared" ca="1" si="10"/>
        <v>3.1700288200000003E-2</v>
      </c>
      <c r="N34" s="86">
        <f t="shared" ca="1" si="14"/>
        <v>153734075.85854876</v>
      </c>
      <c r="O34" s="56" t="str">
        <f ca="1">IFERROR(OFFSET(INDIRECT($H$3 &amp; "!A71"), 3, 0), "")</f>
        <v>트론</v>
      </c>
      <c r="P34" s="39">
        <f t="shared" ca="1" si="11"/>
        <v>161</v>
      </c>
      <c r="Q34" s="77">
        <f t="shared" ca="1" si="12"/>
        <v>7.3333333299999998E-2</v>
      </c>
      <c r="R34" s="86">
        <f t="shared" ca="1" si="15"/>
        <v>1014552646.3085994</v>
      </c>
    </row>
    <row r="35" spans="1:18">
      <c r="A35" s="40" t="s">
        <v>48</v>
      </c>
      <c r="B35" s="11" t="s">
        <v>49</v>
      </c>
      <c r="C35" s="95">
        <v>70000000</v>
      </c>
      <c r="D35" s="92">
        <v>4.74494606E-2</v>
      </c>
      <c r="E35" s="93">
        <v>8934.1576370700004</v>
      </c>
      <c r="F35" s="35"/>
      <c r="G35" s="58" t="str">
        <f ca="1">IFERROR(OFFSET(INDIRECT($H$3 &amp; "!A98"), 4, 0), "")</f>
        <v>비트코인에스브이</v>
      </c>
      <c r="H35" s="44">
        <f t="shared" ca="1" si="7"/>
        <v>489750</v>
      </c>
      <c r="I35" s="78">
        <f t="shared" ca="1" si="8"/>
        <v>0.1903025884</v>
      </c>
      <c r="J35" s="90">
        <f t="shared" ca="1" si="13"/>
        <v>211123.24293097001</v>
      </c>
      <c r="K35" s="58" t="str">
        <f ca="1">IFERROR(OFFSET(INDIRECT($H$3 &amp; "!A44"), 4, 0), "")</f>
        <v>아이오에스티</v>
      </c>
      <c r="L35" s="44">
        <f t="shared" ca="1" si="9"/>
        <v>73.2</v>
      </c>
      <c r="M35" s="78">
        <f t="shared" ca="1" si="10"/>
        <v>2.6647966299999999E-2</v>
      </c>
      <c r="N35" s="90">
        <f t="shared" ca="1" si="14"/>
        <v>164070256.55698773</v>
      </c>
      <c r="O35" s="58" t="str">
        <f ca="1">IFERROR(OFFSET(INDIRECT($H$3 &amp; "!A71"), 4, 0), "")</f>
        <v>헤데라해시그래프</v>
      </c>
      <c r="P35" s="44">
        <f t="shared" ca="1" si="11"/>
        <v>370</v>
      </c>
      <c r="Q35" s="78">
        <f t="shared" ca="1" si="12"/>
        <v>4.5197740100000001E-2</v>
      </c>
      <c r="R35" s="90">
        <f t="shared" ca="1" si="15"/>
        <v>38289656.261294901</v>
      </c>
    </row>
    <row r="36" spans="1:18">
      <c r="A36" s="40" t="s">
        <v>277</v>
      </c>
      <c r="B36" s="11" t="s">
        <v>278</v>
      </c>
      <c r="C36" s="95">
        <v>157</v>
      </c>
      <c r="D36" s="92">
        <v>4.6666666699999998E-2</v>
      </c>
      <c r="E36" s="93">
        <v>91479893.348973364</v>
      </c>
      <c r="F36" s="35"/>
      <c r="G36" s="56" t="str">
        <f ca="1">IFERROR(OFFSET(INDIRECT($H$3 &amp; "!A98"), 5, 0), "")</f>
        <v>비트코인캐시에이비씨</v>
      </c>
      <c r="H36" s="39">
        <f t="shared" ca="1" si="7"/>
        <v>64290</v>
      </c>
      <c r="I36" s="77">
        <f t="shared" ca="1" si="8"/>
        <v>0.16361990949999999</v>
      </c>
      <c r="J36" s="99">
        <f t="shared" ca="1" si="13"/>
        <v>2662726.2512504999</v>
      </c>
      <c r="K36" s="56" t="str">
        <f ca="1">IFERROR(OFFSET(INDIRECT($H$3 &amp; "!A44"), 5, 0), "")</f>
        <v>퀴즈톡</v>
      </c>
      <c r="L36" s="39">
        <f t="shared" ca="1" si="9"/>
        <v>88.9</v>
      </c>
      <c r="M36" s="77">
        <f t="shared" ca="1" si="10"/>
        <v>-2.0925110100000002E-2</v>
      </c>
      <c r="N36" s="99">
        <f t="shared" ca="1" si="14"/>
        <v>185274564.44615278</v>
      </c>
      <c r="O36" s="56" t="str">
        <f ca="1">IFERROR(OFFSET(INDIRECT($H$3 &amp; "!A71"), 5, 0), "")</f>
        <v>스테이터스네트워크토큰</v>
      </c>
      <c r="P36" s="39">
        <f t="shared" ca="1" si="11"/>
        <v>212</v>
      </c>
      <c r="Q36" s="77">
        <f t="shared" ca="1" si="12"/>
        <v>7.0707070699999999E-2</v>
      </c>
      <c r="R36" s="99">
        <f t="shared" ca="1" si="15"/>
        <v>287267660.45827067</v>
      </c>
    </row>
    <row r="37" spans="1:18">
      <c r="A37" s="40" t="s">
        <v>117</v>
      </c>
      <c r="B37" s="11" t="s">
        <v>118</v>
      </c>
      <c r="C37" s="95">
        <v>7430</v>
      </c>
      <c r="D37" s="92">
        <v>4.64788732E-2</v>
      </c>
      <c r="E37" s="93">
        <v>1668016.50073318</v>
      </c>
      <c r="F37" s="35"/>
      <c r="G37" s="56" t="str">
        <f ca="1">IFERROR(OFFSET(INDIRECT($H$3 &amp; "!A98"), 6, 0), "")</f>
        <v>테조스</v>
      </c>
      <c r="H37" s="39">
        <f t="shared" ca="1" si="7"/>
        <v>7790</v>
      </c>
      <c r="I37" s="77">
        <f t="shared" ca="1" si="8"/>
        <v>0.1273516643</v>
      </c>
      <c r="J37" s="86">
        <f t="shared" ca="1" si="13"/>
        <v>16543525.83248339</v>
      </c>
      <c r="K37" s="56" t="str">
        <f ca="1">IFERROR(OFFSET(INDIRECT($H$3 &amp; "!A44"), 6, 0), "")</f>
        <v>썬더토큰</v>
      </c>
      <c r="L37" s="39">
        <f t="shared" ca="1" si="9"/>
        <v>20.7</v>
      </c>
      <c r="M37" s="77">
        <f t="shared" ca="1" si="10"/>
        <v>0</v>
      </c>
      <c r="N37" s="86">
        <f t="shared" ca="1" si="14"/>
        <v>585232752.97924209</v>
      </c>
      <c r="O37" s="56" t="str">
        <f ca="1">IFERROR(OFFSET(INDIRECT($H$3 &amp; "!A71"), 6, 0), "")</f>
        <v>질리카</v>
      </c>
      <c r="P37" s="39">
        <f t="shared" ca="1" si="11"/>
        <v>256</v>
      </c>
      <c r="Q37" s="77">
        <f t="shared" ca="1" si="12"/>
        <v>5.3497942399999998E-2</v>
      </c>
      <c r="R37" s="86">
        <f t="shared" ca="1" si="15"/>
        <v>51072563.707166657</v>
      </c>
    </row>
    <row r="38" spans="1:18">
      <c r="A38" s="40" t="s">
        <v>53</v>
      </c>
      <c r="B38" s="11" t="s">
        <v>54</v>
      </c>
      <c r="C38" s="95">
        <v>370</v>
      </c>
      <c r="D38" s="92">
        <v>4.5197740100000001E-2</v>
      </c>
      <c r="E38" s="93">
        <v>38289656.261294901</v>
      </c>
      <c r="F38" s="35"/>
      <c r="G38" s="56" t="str">
        <f ca="1">IFERROR(OFFSET(INDIRECT($H$3 &amp; "!A98"), 7, 0), "")</f>
        <v>폴카닷</v>
      </c>
      <c r="H38" s="39">
        <f t="shared" ca="1" si="7"/>
        <v>48970</v>
      </c>
      <c r="I38" s="77">
        <f t="shared" ca="1" si="8"/>
        <v>0.1231651376</v>
      </c>
      <c r="J38" s="86">
        <f t="shared" ca="1" si="13"/>
        <v>2282925.5679614302</v>
      </c>
      <c r="K38" s="56" t="str">
        <f ca="1">IFERROR(OFFSET(INDIRECT($H$3 &amp; "!A44"), 7, 0), "")</f>
        <v>메인프레임</v>
      </c>
      <c r="L38" s="39">
        <f t="shared" ca="1" si="9"/>
        <v>22.4</v>
      </c>
      <c r="M38" s="77">
        <f t="shared" ca="1" si="10"/>
        <v>9.0090090000000001E-3</v>
      </c>
      <c r="N38" s="86">
        <f t="shared" ca="1" si="14"/>
        <v>1166610215.9856822</v>
      </c>
      <c r="O38" s="56" t="str">
        <f ca="1">IFERROR(OFFSET(INDIRECT($H$3 &amp; "!A71"), 7, 0), "")</f>
        <v>넴</v>
      </c>
      <c r="P38" s="39">
        <f t="shared" ca="1" si="11"/>
        <v>407</v>
      </c>
      <c r="Q38" s="77">
        <f t="shared" ca="1" si="12"/>
        <v>4.3589743600000001E-2</v>
      </c>
      <c r="R38" s="86">
        <f t="shared" ca="1" si="15"/>
        <v>122287735.25954223</v>
      </c>
    </row>
    <row r="39" spans="1:18">
      <c r="A39" s="40" t="s">
        <v>56</v>
      </c>
      <c r="B39" s="11" t="s">
        <v>57</v>
      </c>
      <c r="C39" s="95">
        <v>407</v>
      </c>
      <c r="D39" s="92">
        <v>4.3589743600000001E-2</v>
      </c>
      <c r="E39" s="93">
        <v>122287735.25954223</v>
      </c>
      <c r="F39" s="35"/>
      <c r="G39" s="56" t="str">
        <f ca="1">IFERROR(OFFSET(INDIRECT($H$3 &amp; "!A98"), 8, 0), "")</f>
        <v>쎄타퓨엘</v>
      </c>
      <c r="H39" s="39">
        <f t="shared" ca="1" si="7"/>
        <v>468</v>
      </c>
      <c r="I39" s="77">
        <f t="shared" ca="1" si="8"/>
        <v>0.13317191279999999</v>
      </c>
      <c r="J39" s="86">
        <f t="shared" ca="1" si="13"/>
        <v>348263505.41968036</v>
      </c>
      <c r="K39" s="56" t="str">
        <f ca="1">IFERROR(OFFSET(INDIRECT($H$3 &amp; "!A44"), 8, 0), "")</f>
        <v>람다</v>
      </c>
      <c r="L39" s="39">
        <f t="shared" ca="1" si="9"/>
        <v>99.4</v>
      </c>
      <c r="M39" s="77">
        <f t="shared" ca="1" si="10"/>
        <v>-6.0000000000000001E-3</v>
      </c>
      <c r="N39" s="86">
        <f t="shared" ca="1" si="14"/>
        <v>221889418.98495752</v>
      </c>
      <c r="O39" s="56" t="str">
        <f ca="1">IFERROR(OFFSET(INDIRECT($H$3 &amp; "!A71"), 8, 0), "")</f>
        <v>저스트</v>
      </c>
      <c r="P39" s="39">
        <f t="shared" ca="1" si="11"/>
        <v>157</v>
      </c>
      <c r="Q39" s="77">
        <f t="shared" ca="1" si="12"/>
        <v>4.6666666699999998E-2</v>
      </c>
      <c r="R39" s="86">
        <f t="shared" ca="1" si="15"/>
        <v>91479893.348973364</v>
      </c>
    </row>
    <row r="40" spans="1:18" ht="17.25" thickBot="1">
      <c r="A40" s="40" t="s">
        <v>159</v>
      </c>
      <c r="B40" s="11" t="s">
        <v>160</v>
      </c>
      <c r="C40" s="95">
        <v>3050</v>
      </c>
      <c r="D40" s="92">
        <v>4.0955631399999998E-2</v>
      </c>
      <c r="E40" s="93">
        <v>5735154.2037221398</v>
      </c>
      <c r="F40" s="35"/>
      <c r="G40" s="57" t="str">
        <f ca="1">IFERROR(OFFSET(INDIRECT($H$3 &amp; "!A98"), 9, 0), "")</f>
        <v>스텔라루멘</v>
      </c>
      <c r="H40" s="37">
        <f t="shared" ca="1" si="7"/>
        <v>713</v>
      </c>
      <c r="I40" s="79">
        <f t="shared" ca="1" si="8"/>
        <v>0.1299524564</v>
      </c>
      <c r="J40" s="87">
        <f t="shared" ca="1" si="13"/>
        <v>240626641.45494282</v>
      </c>
      <c r="K40" s="57" t="str">
        <f ca="1">IFERROR(OFFSET(INDIRECT($H$3 &amp; "!A44"), 9, 0), "")</f>
        <v>엠블</v>
      </c>
      <c r="L40" s="37">
        <f t="shared" ca="1" si="9"/>
        <v>29.4</v>
      </c>
      <c r="M40" s="79">
        <f t="shared" ca="1" si="10"/>
        <v>1.03092784E-2</v>
      </c>
      <c r="N40" s="87">
        <f t="shared" ca="1" si="14"/>
        <v>1058899518.6911216</v>
      </c>
      <c r="O40" s="57" t="str">
        <f ca="1">IFERROR(OFFSET(INDIRECT($H$3 &amp; "!A71"), 9, 0), "")</f>
        <v>크립토닷컴체인</v>
      </c>
      <c r="P40" s="37">
        <f t="shared" ca="1" si="11"/>
        <v>218</v>
      </c>
      <c r="Q40" s="79">
        <f t="shared" ca="1" si="12"/>
        <v>5.3140096599999999E-2</v>
      </c>
      <c r="R40" s="87">
        <f t="shared" ca="1" si="15"/>
        <v>125048857.43552791</v>
      </c>
    </row>
    <row r="41" spans="1:18">
      <c r="A41" s="40" t="s">
        <v>149</v>
      </c>
      <c r="B41" s="11" t="s">
        <v>150</v>
      </c>
      <c r="C41" s="95">
        <v>6160</v>
      </c>
      <c r="D41" s="92">
        <v>3.8785834700000001E-2</v>
      </c>
      <c r="E41" s="93">
        <v>10860705.937073549</v>
      </c>
      <c r="F41" s="35"/>
      <c r="G41" s="59" t="str">
        <f ca="1">IFERROR(OFFSET(INDIRECT($H$3 &amp; "!A98"), 10, 0), "")</f>
        <v>오미세고</v>
      </c>
      <c r="H41" s="38">
        <f t="shared" ca="1" si="7"/>
        <v>11970</v>
      </c>
      <c r="I41" s="76">
        <f t="shared" ca="1" si="8"/>
        <v>9.6153846200000004E-2</v>
      </c>
      <c r="J41" s="85">
        <f t="shared" ca="1" si="13"/>
        <v>11394026.722815789</v>
      </c>
      <c r="K41" s="55" t="str">
        <f ca="1">IFERROR(OFFSET(INDIRECT($H$3 &amp; "!A44"), 10, 0), "")</f>
        <v>에브리피디아</v>
      </c>
      <c r="L41" s="38">
        <f t="shared" ca="1" si="9"/>
        <v>26.2</v>
      </c>
      <c r="M41" s="76">
        <f t="shared" ca="1" si="10"/>
        <v>7.6923076999999996E-3</v>
      </c>
      <c r="N41" s="85">
        <f t="shared" ca="1" si="14"/>
        <v>619316453.65330219</v>
      </c>
      <c r="O41" s="55" t="str">
        <f ca="1">IFERROR(OFFSET(INDIRECT($H$3 &amp; "!A71"), 10, 0), "")</f>
        <v>비체인</v>
      </c>
      <c r="P41" s="38">
        <f t="shared" ca="1" si="11"/>
        <v>242</v>
      </c>
      <c r="Q41" s="76">
        <f t="shared" ca="1" si="12"/>
        <v>2.9787233999999999E-2</v>
      </c>
      <c r="R41" s="85">
        <f t="shared" ca="1" si="15"/>
        <v>1104241770.2252271</v>
      </c>
    </row>
    <row r="42" spans="1:18">
      <c r="A42" s="40" t="s">
        <v>165</v>
      </c>
      <c r="B42" s="11" t="s">
        <v>166</v>
      </c>
      <c r="C42" s="95">
        <v>2355</v>
      </c>
      <c r="D42" s="92">
        <v>3.7444933899999998E-2</v>
      </c>
      <c r="E42" s="93">
        <v>3161685.2491589398</v>
      </c>
      <c r="F42" s="35"/>
      <c r="G42" s="56" t="str">
        <f ca="1">IFERROR(OFFSET(INDIRECT($H$3 &amp; "!A98"), 11, 0), "")</f>
        <v>베이직어텐션토큰</v>
      </c>
      <c r="H42" s="39">
        <f t="shared" ca="1" si="7"/>
        <v>1600</v>
      </c>
      <c r="I42" s="77">
        <f t="shared" ca="1" si="8"/>
        <v>9.2150170599999998E-2</v>
      </c>
      <c r="J42" s="86">
        <f t="shared" ca="1" si="13"/>
        <v>11669634.284121821</v>
      </c>
      <c r="K42" s="56" t="str">
        <f ca="1">IFERROR(OFFSET(INDIRECT($H$3 &amp; "!A44"), 11, 0), "")</f>
        <v>무비블록</v>
      </c>
      <c r="L42" s="39">
        <f t="shared" ca="1" si="9"/>
        <v>18.899999999999999</v>
      </c>
      <c r="M42" s="77">
        <f t="shared" ca="1" si="10"/>
        <v>5.3191489E-3</v>
      </c>
      <c r="N42" s="86">
        <f t="shared" ca="1" si="14"/>
        <v>1421498370.761802</v>
      </c>
      <c r="O42" s="56" t="str">
        <f ca="1">IFERROR(OFFSET(INDIRECT($H$3 &amp; "!A71"), 11, 0), "")</f>
        <v>오브스</v>
      </c>
      <c r="P42" s="39">
        <f t="shared" ca="1" si="11"/>
        <v>151</v>
      </c>
      <c r="Q42" s="77">
        <f t="shared" ca="1" si="12"/>
        <v>2.72108844E-2</v>
      </c>
      <c r="R42" s="86">
        <f t="shared" ca="1" si="15"/>
        <v>87494179.770052403</v>
      </c>
    </row>
    <row r="43" spans="1:18">
      <c r="A43" s="40" t="s">
        <v>139</v>
      </c>
      <c r="B43" s="11" t="s">
        <v>140</v>
      </c>
      <c r="C43" s="95">
        <v>3870</v>
      </c>
      <c r="D43" s="92">
        <v>3.4759358300000001E-2</v>
      </c>
      <c r="E43" s="93">
        <v>2435612.8865044899</v>
      </c>
      <c r="F43" s="35"/>
      <c r="G43" s="56" t="str">
        <f ca="1">IFERROR(OFFSET(INDIRECT($H$3 &amp; "!A98"), 12, 0), "")</f>
        <v>어거</v>
      </c>
      <c r="H43" s="39">
        <f t="shared" ca="1" si="7"/>
        <v>54660</v>
      </c>
      <c r="I43" s="77">
        <f t="shared" ca="1" si="8"/>
        <v>0.1157379057</v>
      </c>
      <c r="J43" s="86">
        <f t="shared" ca="1" si="13"/>
        <v>556925.87445332005</v>
      </c>
      <c r="K43" s="56" t="str">
        <f ca="1">IFERROR(OFFSET(INDIRECT($H$3 &amp; "!A44"), 12, 0), "")</f>
        <v>아하토큰</v>
      </c>
      <c r="L43" s="39">
        <f t="shared" ca="1" si="9"/>
        <v>18.8</v>
      </c>
      <c r="M43" s="77">
        <f t="shared" ca="1" si="10"/>
        <v>0</v>
      </c>
      <c r="N43" s="86">
        <f t="shared" ca="1" si="14"/>
        <v>406048106.9257195</v>
      </c>
      <c r="O43" s="56" t="str">
        <f ca="1">IFERROR(OFFSET(INDIRECT($H$3 &amp; "!A71"), 12, 0), "")</f>
        <v>파워렛저</v>
      </c>
      <c r="P43" s="39">
        <f t="shared" ca="1" si="11"/>
        <v>472</v>
      </c>
      <c r="Q43" s="77">
        <f t="shared" ca="1" si="12"/>
        <v>3.2822757100000002E-2</v>
      </c>
      <c r="R43" s="86">
        <f t="shared" ca="1" si="15"/>
        <v>9405222.0859836601</v>
      </c>
    </row>
    <row r="44" spans="1:18">
      <c r="A44" s="40" t="s">
        <v>109</v>
      </c>
      <c r="B44" s="11" t="s">
        <v>110</v>
      </c>
      <c r="C44" s="95">
        <v>2800</v>
      </c>
      <c r="D44" s="92">
        <v>3.3210332100000003E-2</v>
      </c>
      <c r="E44" s="93">
        <v>2139441.8335636398</v>
      </c>
      <c r="F44" s="35"/>
      <c r="G44" s="56" t="str">
        <f ca="1">IFERROR(OFFSET(INDIRECT($H$3 &amp; "!A98"), 13, 0), "")</f>
        <v>리플</v>
      </c>
      <c r="H44" s="39">
        <f t="shared" ca="1" si="7"/>
        <v>1875</v>
      </c>
      <c r="I44" s="77">
        <f t="shared" ca="1" si="8"/>
        <v>7.4498567299999999E-2</v>
      </c>
      <c r="J44" s="86">
        <f t="shared" ca="1" si="13"/>
        <v>1117150234.7646031</v>
      </c>
      <c r="K44" s="56" t="str">
        <f ca="1">IFERROR(OFFSET(INDIRECT($H$3 &amp; "!A44"), 13, 0), "")</f>
        <v>캐리프로토콜</v>
      </c>
      <c r="L44" s="39">
        <f t="shared" ca="1" si="9"/>
        <v>21.8</v>
      </c>
      <c r="M44" s="77">
        <f t="shared" ca="1" si="10"/>
        <v>4.6082948999999996E-3</v>
      </c>
      <c r="N44" s="86">
        <f t="shared" ca="1" si="14"/>
        <v>1183808733.3069227</v>
      </c>
      <c r="O44" s="56" t="str">
        <f ca="1">IFERROR(OFFSET(INDIRECT($H$3 &amp; "!A71"), 13, 0), "")</f>
        <v>앵커</v>
      </c>
      <c r="P44" s="39">
        <f t="shared" ca="1" si="11"/>
        <v>196</v>
      </c>
      <c r="Q44" s="77">
        <f t="shared" ca="1" si="12"/>
        <v>1.03092784E-2</v>
      </c>
      <c r="R44" s="86">
        <f t="shared" ca="1" si="15"/>
        <v>103180136.62201522</v>
      </c>
    </row>
    <row r="45" spans="1:18">
      <c r="A45" s="40" t="s">
        <v>181</v>
      </c>
      <c r="B45" s="11" t="s">
        <v>182</v>
      </c>
      <c r="C45" s="95">
        <v>472</v>
      </c>
      <c r="D45" s="92">
        <v>3.2822757100000002E-2</v>
      </c>
      <c r="E45" s="93">
        <v>9405222.0859836601</v>
      </c>
      <c r="F45" s="35"/>
      <c r="G45" s="58" t="str">
        <f ca="1">IFERROR(OFFSET(INDIRECT($H$3 &amp; "!A98"), 14, 0), "")</f>
        <v>온톨로지</v>
      </c>
      <c r="H45" s="44">
        <f t="shared" ca="1" si="7"/>
        <v>2430</v>
      </c>
      <c r="I45" s="78">
        <f t="shared" ca="1" si="8"/>
        <v>9.4594594599999998E-2</v>
      </c>
      <c r="J45" s="90">
        <f t="shared" ca="1" si="13"/>
        <v>24110372.078860272</v>
      </c>
      <c r="K45" s="58" t="str">
        <f ca="1">IFERROR(OFFSET(INDIRECT($H$3 &amp; "!A44"), 14, 0), "")</f>
        <v>엔도르</v>
      </c>
      <c r="L45" s="44">
        <f t="shared" ca="1" si="9"/>
        <v>69.900000000000006</v>
      </c>
      <c r="M45" s="78">
        <f t="shared" ca="1" si="10"/>
        <v>-9.9150142000000007E-3</v>
      </c>
      <c r="N45" s="90">
        <f t="shared" ca="1" si="14"/>
        <v>174788085.01683986</v>
      </c>
      <c r="O45" s="58" t="str">
        <f ca="1">IFERROR(OFFSET(INDIRECT($H$3 &amp; "!A71"), 14, 0), "")</f>
        <v>에스티피</v>
      </c>
      <c r="P45" s="44">
        <f t="shared" ca="1" si="11"/>
        <v>102</v>
      </c>
      <c r="Q45" s="78">
        <f t="shared" ca="1" si="12"/>
        <v>9.9009900999999997E-3</v>
      </c>
      <c r="R45" s="90">
        <f t="shared" ca="1" si="15"/>
        <v>631724266.38878226</v>
      </c>
    </row>
    <row r="46" spans="1:18">
      <c r="A46" s="40" t="s">
        <v>113</v>
      </c>
      <c r="B46" s="11" t="s">
        <v>114</v>
      </c>
      <c r="C46" s="95">
        <v>13250</v>
      </c>
      <c r="D46" s="92">
        <v>3.1931464200000002E-2</v>
      </c>
      <c r="E46" s="93">
        <v>4351027.4141066195</v>
      </c>
      <c r="F46" s="35"/>
      <c r="G46" s="56" t="str">
        <f ca="1">IFERROR(OFFSET(INDIRECT($H$3 &amp; "!A98"), 15, 0), "")</f>
        <v>이더리움클래식</v>
      </c>
      <c r="H46" s="39">
        <f t="shared" ca="1" si="7"/>
        <v>99530</v>
      </c>
      <c r="I46" s="77">
        <f t="shared" ca="1" si="8"/>
        <v>0.1573255814</v>
      </c>
      <c r="J46" s="99">
        <f t="shared" ca="1" si="13"/>
        <v>41198981.332014114</v>
      </c>
      <c r="K46" s="56" t="str">
        <f ca="1">IFERROR(OFFSET(INDIRECT($H$3 &amp; "!A44"), 15, 0), "")</f>
        <v>트웰브쉽스</v>
      </c>
      <c r="L46" s="39">
        <f t="shared" ca="1" si="9"/>
        <v>25.7</v>
      </c>
      <c r="M46" s="77">
        <f t="shared" ca="1" si="10"/>
        <v>-1.15384615E-2</v>
      </c>
      <c r="N46" s="99">
        <f t="shared" ca="1" si="14"/>
        <v>377843024.37171263</v>
      </c>
      <c r="O46" s="56" t="str">
        <f ca="1">IFERROR(OFFSET(INDIRECT($H$3 &amp; "!A71"), 15, 0), "")</f>
        <v>칠리즈</v>
      </c>
      <c r="P46" s="39">
        <f t="shared" ca="1" si="11"/>
        <v>624</v>
      </c>
      <c r="Q46" s="77">
        <f t="shared" ca="1" si="12"/>
        <v>1.7944535099999999E-2</v>
      </c>
      <c r="R46" s="99">
        <f t="shared" ca="1" si="15"/>
        <v>138257128.55400741</v>
      </c>
    </row>
    <row r="47" spans="1:18">
      <c r="A47" s="40" t="s">
        <v>71</v>
      </c>
      <c r="B47" s="11" t="s">
        <v>72</v>
      </c>
      <c r="C47" s="95">
        <v>35.799999999999997</v>
      </c>
      <c r="D47" s="92">
        <v>3.1700288200000003E-2</v>
      </c>
      <c r="E47" s="93">
        <v>153734075.85854876</v>
      </c>
      <c r="F47" s="35"/>
      <c r="G47" s="56" t="str">
        <f ca="1">IFERROR(OFFSET(INDIRECT($H$3 &amp; "!A98"), 16, 0), "")</f>
        <v>퀀텀</v>
      </c>
      <c r="H47" s="39">
        <f t="shared" ca="1" si="7"/>
        <v>19080</v>
      </c>
      <c r="I47" s="77">
        <f t="shared" ca="1" si="8"/>
        <v>9.7182288699999994E-2</v>
      </c>
      <c r="J47" s="86">
        <f t="shared" ca="1" si="13"/>
        <v>9977205.8246353399</v>
      </c>
      <c r="K47" s="56" t="str">
        <f ca="1">IFERROR(OFFSET(INDIRECT($H$3 &amp; "!A44"), 16, 0), "")</f>
        <v>리퍼리움</v>
      </c>
      <c r="L47" s="39">
        <f t="shared" ca="1" si="9"/>
        <v>22.5</v>
      </c>
      <c r="M47" s="77">
        <f t="shared" ca="1" si="10"/>
        <v>-1.3157894700000001E-2</v>
      </c>
      <c r="N47" s="86">
        <f t="shared" ca="1" si="14"/>
        <v>615740448.43680704</v>
      </c>
      <c r="O47" s="56" t="str">
        <f ca="1">IFERROR(OFFSET(INDIRECT($H$3 &amp; "!A71"), 16, 0), "")</f>
        <v>시빅</v>
      </c>
      <c r="P47" s="39">
        <f t="shared" ca="1" si="11"/>
        <v>685</v>
      </c>
      <c r="Q47" s="77">
        <f t="shared" ca="1" si="12"/>
        <v>2.6986506699999999E-2</v>
      </c>
      <c r="R47" s="86">
        <f t="shared" ca="1" si="15"/>
        <v>17315442.752347339</v>
      </c>
    </row>
    <row r="48" spans="1:18">
      <c r="A48" s="40" t="s">
        <v>68</v>
      </c>
      <c r="B48" s="11" t="s">
        <v>69</v>
      </c>
      <c r="C48" s="95">
        <v>13500</v>
      </c>
      <c r="D48" s="92">
        <v>3.1321619600000003E-2</v>
      </c>
      <c r="E48" s="93">
        <v>3077150.6190058002</v>
      </c>
      <c r="F48" s="35"/>
      <c r="G48" s="56" t="str">
        <f ca="1">IFERROR(OFFSET(INDIRECT($H$3 &amp; "!A98"), 17, 0), "")</f>
        <v>디센트럴랜드</v>
      </c>
      <c r="H48" s="39">
        <f t="shared" ca="1" si="7"/>
        <v>1705</v>
      </c>
      <c r="I48" s="77">
        <f t="shared" ca="1" si="8"/>
        <v>6.8965517200000007E-2</v>
      </c>
      <c r="J48" s="86">
        <f t="shared" ca="1" si="13"/>
        <v>39841347.15987619</v>
      </c>
      <c r="K48" s="56" t="str">
        <f ca="1">IFERROR(OFFSET(INDIRECT($H$3 &amp; "!A44"), 17, 0), "")</f>
        <v>옵저버</v>
      </c>
      <c r="L48" s="39">
        <f t="shared" ca="1" si="9"/>
        <v>29.1</v>
      </c>
      <c r="M48" s="77">
        <f t="shared" ca="1" si="10"/>
        <v>-1.02040816E-2</v>
      </c>
      <c r="N48" s="86">
        <f t="shared" ca="1" si="14"/>
        <v>573636201.79370129</v>
      </c>
      <c r="O48" s="56" t="str">
        <f ca="1">IFERROR(OFFSET(INDIRECT($H$3 &amp; "!A71"), 17, 0), "")</f>
        <v>샌드박스</v>
      </c>
      <c r="P48" s="39">
        <f t="shared" ca="1" si="11"/>
        <v>725</v>
      </c>
      <c r="Q48" s="77">
        <f t="shared" ca="1" si="12"/>
        <v>5.5478502000000001E-3</v>
      </c>
      <c r="R48" s="86">
        <f t="shared" ca="1" si="15"/>
        <v>41546918.557874478</v>
      </c>
    </row>
    <row r="49" spans="1:18">
      <c r="A49" s="40" t="s">
        <v>131</v>
      </c>
      <c r="B49" s="11" t="s">
        <v>132</v>
      </c>
      <c r="C49" s="95">
        <v>242</v>
      </c>
      <c r="D49" s="92">
        <v>2.9787233999999999E-2</v>
      </c>
      <c r="E49" s="93">
        <v>1104241770.2252271</v>
      </c>
      <c r="F49" s="35"/>
      <c r="G49" s="56" t="str">
        <f ca="1">IFERROR(OFFSET(INDIRECT($H$3 &amp; "!A98"), 18, 0), "")</f>
        <v>라이트코인</v>
      </c>
      <c r="H49" s="39">
        <f t="shared" ca="1" si="7"/>
        <v>428150</v>
      </c>
      <c r="I49" s="77">
        <f t="shared" ca="1" si="8"/>
        <v>0.1138137357</v>
      </c>
      <c r="J49" s="86">
        <f t="shared" ca="1" si="13"/>
        <v>612179.14351845998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왁스</v>
      </c>
      <c r="P49" s="39">
        <f t="shared" ca="1" si="11"/>
        <v>266</v>
      </c>
      <c r="Q49" s="77">
        <f t="shared" ca="1" si="12"/>
        <v>1.52671756E-2</v>
      </c>
      <c r="R49" s="86">
        <f t="shared" ca="1" si="15"/>
        <v>18483275.718803812</v>
      </c>
    </row>
    <row r="50" spans="1:18" ht="17.25" thickBot="1">
      <c r="A50" s="40" t="s">
        <v>261</v>
      </c>
      <c r="B50" s="11" t="s">
        <v>262</v>
      </c>
      <c r="C50" s="95">
        <v>1060</v>
      </c>
      <c r="D50" s="92">
        <v>2.9126213599999999E-2</v>
      </c>
      <c r="E50" s="93">
        <v>16778820.446323849</v>
      </c>
      <c r="F50" s="35"/>
      <c r="G50" s="57" t="str">
        <f ca="1">IFERROR(OFFSET(INDIRECT($H$3 &amp; "!A98"), 19, 0), "")</f>
        <v>트론</v>
      </c>
      <c r="H50" s="37">
        <f t="shared" ca="1" si="7"/>
        <v>161</v>
      </c>
      <c r="I50" s="79">
        <f t="shared" ca="1" si="8"/>
        <v>7.3333333299999998E-2</v>
      </c>
      <c r="J50" s="87">
        <f t="shared" ca="1" si="13"/>
        <v>1014552646.3085994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폴리매쓰</v>
      </c>
      <c r="P50" s="37">
        <f t="shared" ca="1" si="11"/>
        <v>450</v>
      </c>
      <c r="Q50" s="79">
        <f t="shared" ca="1" si="12"/>
        <v>1.3513513499999999E-2</v>
      </c>
      <c r="R50" s="87">
        <f t="shared" ca="1" si="15"/>
        <v>12414973.80363119</v>
      </c>
    </row>
    <row r="51" spans="1:18">
      <c r="A51" s="40" t="s">
        <v>133</v>
      </c>
      <c r="B51" s="11" t="s">
        <v>134</v>
      </c>
      <c r="C51" s="95">
        <v>151</v>
      </c>
      <c r="D51" s="92">
        <v>2.72108844E-2</v>
      </c>
      <c r="E51" s="93">
        <v>87494179.770052403</v>
      </c>
      <c r="F51" s="35"/>
    </row>
    <row r="52" spans="1:18" ht="17.25" thickBot="1">
      <c r="A52" s="40" t="s">
        <v>127</v>
      </c>
      <c r="B52" s="11" t="s">
        <v>128</v>
      </c>
      <c r="C52" s="95">
        <v>685</v>
      </c>
      <c r="D52" s="92">
        <v>2.6986506699999999E-2</v>
      </c>
      <c r="E52" s="93">
        <v>17315442.752347339</v>
      </c>
      <c r="F52" s="35"/>
    </row>
    <row r="53" spans="1:18" ht="17.25" thickBot="1">
      <c r="A53" s="40" t="s">
        <v>64</v>
      </c>
      <c r="B53" s="11" t="s">
        <v>65</v>
      </c>
      <c r="C53" s="95">
        <v>73.2</v>
      </c>
      <c r="D53" s="92">
        <v>2.6647966299999999E-2</v>
      </c>
      <c r="E53" s="93">
        <v>164070256.55698773</v>
      </c>
      <c r="F53" s="35"/>
      <c r="G53" s="167" t="s">
        <v>285</v>
      </c>
      <c r="H53" s="168"/>
      <c r="I53" s="168"/>
      <c r="J53" s="169"/>
      <c r="K53" s="167" t="s">
        <v>288</v>
      </c>
      <c r="L53" s="168"/>
      <c r="M53" s="168"/>
      <c r="N53" s="169"/>
      <c r="O53" s="167" t="s">
        <v>289</v>
      </c>
      <c r="P53" s="168"/>
      <c r="Q53" s="168"/>
      <c r="R53" s="169"/>
    </row>
    <row r="54" spans="1:18" ht="17.25" thickBot="1">
      <c r="A54" s="40" t="s">
        <v>279</v>
      </c>
      <c r="B54" s="11" t="s">
        <v>280</v>
      </c>
      <c r="C54" s="95">
        <v>1685</v>
      </c>
      <c r="D54" s="92">
        <v>2.4316109400000001E-2</v>
      </c>
      <c r="E54" s="93">
        <v>8657726.1671616007</v>
      </c>
      <c r="F54" s="35"/>
      <c r="G54" s="232" t="s">
        <v>55</v>
      </c>
      <c r="H54" s="244">
        <f ca="1">NOW()</f>
        <v>44322.202776620368</v>
      </c>
      <c r="I54" s="245"/>
      <c r="J54" s="246"/>
      <c r="K54" s="235" t="s">
        <v>55</v>
      </c>
      <c r="L54" s="244">
        <f ca="1">NOW()</f>
        <v>44322.202776620368</v>
      </c>
      <c r="M54" s="245"/>
      <c r="N54" s="246"/>
      <c r="O54" s="235" t="s">
        <v>55</v>
      </c>
      <c r="P54" s="244">
        <f ca="1">NOW()</f>
        <v>44322.202776620368</v>
      </c>
      <c r="Q54" s="245"/>
      <c r="R54" s="246"/>
    </row>
    <row r="55" spans="1:18" ht="17.25" thickBot="1">
      <c r="A55" s="40" t="s">
        <v>145</v>
      </c>
      <c r="B55" s="11" t="s">
        <v>146</v>
      </c>
      <c r="C55" s="95">
        <v>18560</v>
      </c>
      <c r="D55" s="92">
        <v>2.4282560700000001E-2</v>
      </c>
      <c r="E55" s="93">
        <v>2402608.2442526501</v>
      </c>
      <c r="F55" s="35"/>
      <c r="G55" s="229"/>
      <c r="H55" s="36" t="s">
        <v>58</v>
      </c>
      <c r="I55" s="73" t="s">
        <v>59</v>
      </c>
      <c r="J55" s="69" t="s">
        <v>294</v>
      </c>
      <c r="K55" s="229"/>
      <c r="L55" s="36" t="s">
        <v>58</v>
      </c>
      <c r="M55" s="73" t="s">
        <v>59</v>
      </c>
      <c r="N55" s="69" t="s">
        <v>294</v>
      </c>
      <c r="O55" s="229"/>
      <c r="P55" s="36" t="s">
        <v>58</v>
      </c>
      <c r="Q55" s="73" t="s">
        <v>59</v>
      </c>
      <c r="R55" s="69" t="s">
        <v>294</v>
      </c>
    </row>
    <row r="56" spans="1:18">
      <c r="A56" s="40" t="s">
        <v>247</v>
      </c>
      <c r="B56" s="11" t="s">
        <v>248</v>
      </c>
      <c r="C56" s="95">
        <v>3250</v>
      </c>
      <c r="D56" s="92">
        <v>1.8808777400000001E-2</v>
      </c>
      <c r="E56" s="93">
        <v>2348226.5866529201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444</v>
      </c>
      <c r="I56" s="76">
        <f t="shared" ref="I56:I65" ca="1" si="17">_xlfn.IFNA(VLOOKUP(G56, $B$2:$D$200, 3, FALSE), "")</f>
        <v>-1.33333333E-2</v>
      </c>
      <c r="J56" s="85">
        <f ca="1">_xlfn.IFNA(VLOOKUP(G56, $B$2:$E$200, 4, FALSE), "")</f>
        <v>21387750.144816231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52.3</v>
      </c>
      <c r="M56" s="76">
        <f t="shared" ref="M56:M75" ca="1" si="19">_xlfn.IFNA(VLOOKUP(K56, $B$2:$D$200, 3, FALSE), "")</f>
        <v>0.15964523280000001</v>
      </c>
      <c r="N56" s="85">
        <f ca="1">_xlfn.IFNA(VLOOKUP(K56, $B$2:$E$200, 4, FALSE), "")</f>
        <v>2771457704.8306823</v>
      </c>
      <c r="O56" s="55" t="str">
        <f ca="1">IFERROR(OFFSET(INDIRECT($H$3 &amp; "!A152"), 0, 0), "")</f>
        <v>룸네트워크</v>
      </c>
      <c r="P56" s="38">
        <f t="shared" ref="P56:P75" ca="1" si="20">_xlfn.IFNA(VLOOKUP(O56, $B$2:$D$200, 2, FALSE), "")</f>
        <v>173</v>
      </c>
      <c r="Q56" s="76">
        <f t="shared" ref="Q56:Q75" ca="1" si="21">_xlfn.IFNA(VLOOKUP(O56, $B$2:$D$200, 3, FALSE), "")</f>
        <v>-1.14285714E-2</v>
      </c>
      <c r="R56" s="85">
        <f ca="1">_xlfn.IFNA(VLOOKUP(O56, $B$2:$E$200, 4, FALSE), "")</f>
        <v>27007528.705117092</v>
      </c>
    </row>
    <row r="57" spans="1:18">
      <c r="A57" s="40" t="s">
        <v>87</v>
      </c>
      <c r="B57" s="11" t="s">
        <v>88</v>
      </c>
      <c r="C57" s="95">
        <v>624</v>
      </c>
      <c r="D57" s="92">
        <v>1.7944535099999999E-2</v>
      </c>
      <c r="E57" s="93">
        <v>138257128.55400741</v>
      </c>
      <c r="F57" s="35"/>
      <c r="G57" s="56" t="str">
        <f ca="1">IFERROR(OFFSET(INDIRECT($H$3 &amp; "!A179"), 1, 0), "")</f>
        <v>옵저버</v>
      </c>
      <c r="H57" s="39">
        <f t="shared" ca="1" si="16"/>
        <v>29.1</v>
      </c>
      <c r="I57" s="77">
        <f t="shared" ca="1" si="17"/>
        <v>-1.02040816E-2</v>
      </c>
      <c r="J57" s="86">
        <f t="shared" ref="J57:J75" ca="1" si="22">_xlfn.IFNA(VLOOKUP(G57, $B$2:$E$200, 4, FALSE), "")</f>
        <v>573636201.79370129</v>
      </c>
      <c r="K57" s="56" t="str">
        <f ca="1">IFERROR(OFFSET(INDIRECT($H$3 &amp; "!A125"), 1, 0), "")</f>
        <v>스톰엑스</v>
      </c>
      <c r="L57" s="39">
        <f t="shared" ca="1" si="18"/>
        <v>65.8</v>
      </c>
      <c r="M57" s="77">
        <f t="shared" ca="1" si="19"/>
        <v>6.9918699200000003E-2</v>
      </c>
      <c r="N57" s="86">
        <f t="shared" ref="N57:N75" ca="1" si="23">_xlfn.IFNA(VLOOKUP(K57, $B$2:$E$200, 4, FALSE), "")</f>
        <v>499040374.57505888</v>
      </c>
      <c r="O57" s="56" t="str">
        <f ca="1">IFERROR(OFFSET(INDIRECT($H$3 &amp; "!A152"), 1, 0), "")</f>
        <v>디카르고</v>
      </c>
      <c r="P57" s="39">
        <f t="shared" ca="1" si="20"/>
        <v>258</v>
      </c>
      <c r="Q57" s="77">
        <f t="shared" ca="1" si="21"/>
        <v>-3.8610038999999999E-3</v>
      </c>
      <c r="R57" s="86">
        <f t="shared" ref="R57:R75" ca="1" si="24">_xlfn.IFNA(VLOOKUP(O57, $B$2:$E$200, 4, FALSE), "")</f>
        <v>64150142.44851768</v>
      </c>
    </row>
    <row r="58" spans="1:18">
      <c r="A58" s="40" t="s">
        <v>269</v>
      </c>
      <c r="B58" s="11" t="s">
        <v>270</v>
      </c>
      <c r="C58" s="95">
        <v>574</v>
      </c>
      <c r="D58" s="92">
        <v>1.5929203499999999E-2</v>
      </c>
      <c r="E58" s="93">
        <v>11798623.043694969</v>
      </c>
      <c r="F58" s="35"/>
      <c r="G58" s="56" t="str">
        <f ca="1">IFERROR(OFFSET(INDIRECT($H$3 &amp; "!A179"), 2, 0), "")</f>
        <v>모스코인</v>
      </c>
      <c r="H58" s="39">
        <f t="shared" ca="1" si="16"/>
        <v>188</v>
      </c>
      <c r="I58" s="77">
        <f t="shared" ca="1" si="17"/>
        <v>-2.08333333E-2</v>
      </c>
      <c r="J58" s="86">
        <f t="shared" ca="1" si="22"/>
        <v>51554825.04161039</v>
      </c>
      <c r="K58" s="56" t="str">
        <f ca="1">IFERROR(OFFSET(INDIRECT($H$3 &amp; "!A125"), 2, 0), "")</f>
        <v>비트토렌트</v>
      </c>
      <c r="L58" s="39">
        <f t="shared" ca="1" si="18"/>
        <v>8.43</v>
      </c>
      <c r="M58" s="77">
        <f t="shared" ca="1" si="19"/>
        <v>5.2434456900000002E-2</v>
      </c>
      <c r="N58" s="86">
        <f t="shared" ca="1" si="23"/>
        <v>144446453533.8797</v>
      </c>
      <c r="O58" s="56" t="str">
        <f ca="1">IFERROR(OFFSET(INDIRECT($H$3 &amp; "!A152"), 2, 0), "")</f>
        <v>메타디움</v>
      </c>
      <c r="P58" s="39">
        <f t="shared" ca="1" si="20"/>
        <v>216</v>
      </c>
      <c r="Q58" s="77">
        <f t="shared" ca="1" si="21"/>
        <v>-9.1743119000000008E-3</v>
      </c>
      <c r="R58" s="86">
        <f t="shared" ca="1" si="24"/>
        <v>201678570.5961923</v>
      </c>
    </row>
    <row r="59" spans="1:18">
      <c r="A59" s="40" t="s">
        <v>255</v>
      </c>
      <c r="B59" s="11" t="s">
        <v>256</v>
      </c>
      <c r="C59" s="95">
        <v>266</v>
      </c>
      <c r="D59" s="92">
        <v>1.52671756E-2</v>
      </c>
      <c r="E59" s="93">
        <v>18483275.718803812</v>
      </c>
      <c r="F59" s="35"/>
      <c r="G59" s="56" t="str">
        <f ca="1">IFERROR(OFFSET(INDIRECT($H$3 &amp; "!A179"), 3, 0), "")</f>
        <v>디마켓</v>
      </c>
      <c r="H59" s="39">
        <f t="shared" ca="1" si="16"/>
        <v>1390</v>
      </c>
      <c r="I59" s="77">
        <f t="shared" ca="1" si="17"/>
        <v>-2.4561403499999999E-2</v>
      </c>
      <c r="J59" s="86">
        <f t="shared" ca="1" si="22"/>
        <v>4719392.72015227</v>
      </c>
      <c r="K59" s="56" t="str">
        <f ca="1">IFERROR(OFFSET(INDIRECT($H$3 &amp; "!A125"), 3, 0), "")</f>
        <v>쿼크체인</v>
      </c>
      <c r="L59" s="39">
        <f t="shared" ca="1" si="18"/>
        <v>35.799999999999997</v>
      </c>
      <c r="M59" s="77">
        <f t="shared" ca="1" si="19"/>
        <v>3.1700288200000003E-2</v>
      </c>
      <c r="N59" s="86">
        <f t="shared" ca="1" si="23"/>
        <v>153734075.85854876</v>
      </c>
      <c r="O59" s="56" t="str">
        <f ca="1">IFERROR(OFFSET(INDIRECT($H$3 &amp; "!A152"), 3, 0), "")</f>
        <v>보라</v>
      </c>
      <c r="P59" s="39">
        <f t="shared" ca="1" si="20"/>
        <v>277</v>
      </c>
      <c r="Q59" s="77">
        <f t="shared" ca="1" si="21"/>
        <v>-1.0714285699999999E-2</v>
      </c>
      <c r="R59" s="86">
        <f t="shared" ca="1" si="24"/>
        <v>50619386.679387398</v>
      </c>
    </row>
    <row r="60" spans="1:18">
      <c r="A60" s="40" t="s">
        <v>215</v>
      </c>
      <c r="B60" s="11" t="s">
        <v>216</v>
      </c>
      <c r="C60" s="95">
        <v>450</v>
      </c>
      <c r="D60" s="92">
        <v>1.3513513499999999E-2</v>
      </c>
      <c r="E60" s="93">
        <v>12414973.80363119</v>
      </c>
      <c r="F60" s="35"/>
      <c r="G60" s="56" t="str">
        <f ca="1">IFERROR(OFFSET(INDIRECT($H$3 &amp; "!A179"), 4, 0), "")</f>
        <v>아르고</v>
      </c>
      <c r="H60" s="39">
        <f t="shared" ca="1" si="16"/>
        <v>381</v>
      </c>
      <c r="I60" s="77">
        <f t="shared" ca="1" si="17"/>
        <v>5.2770448999999997E-3</v>
      </c>
      <c r="J60" s="90">
        <f t="shared" ca="1" si="22"/>
        <v>19513564.092644591</v>
      </c>
      <c r="K60" s="58" t="str">
        <f ca="1">IFERROR(OFFSET(INDIRECT($H$3 &amp; "!A125"), 4, 0), "")</f>
        <v>아이오에스티</v>
      </c>
      <c r="L60" s="44">
        <f t="shared" ca="1" si="18"/>
        <v>73.2</v>
      </c>
      <c r="M60" s="78">
        <f t="shared" ca="1" si="19"/>
        <v>2.6647966299999999E-2</v>
      </c>
      <c r="N60" s="90">
        <f t="shared" ca="1" si="23"/>
        <v>164070256.55698773</v>
      </c>
      <c r="O60" s="58" t="str">
        <f ca="1">IFERROR(OFFSET(INDIRECT($H$3 &amp; "!A152"), 4, 0), "")</f>
        <v>피르마체인</v>
      </c>
      <c r="P60" s="44">
        <f t="shared" ca="1" si="20"/>
        <v>196</v>
      </c>
      <c r="Q60" s="78">
        <f t="shared" ca="1" si="21"/>
        <v>-0.02</v>
      </c>
      <c r="R60" s="90">
        <f t="shared" ca="1" si="24"/>
        <v>64420359.587095588</v>
      </c>
    </row>
    <row r="61" spans="1:18">
      <c r="A61" s="40" t="s">
        <v>161</v>
      </c>
      <c r="B61" s="11" t="s">
        <v>162</v>
      </c>
      <c r="C61" s="95">
        <v>2050</v>
      </c>
      <c r="D61" s="92">
        <v>1.2345679E-2</v>
      </c>
      <c r="E61" s="93">
        <v>15433944.5096309</v>
      </c>
      <c r="F61" s="35"/>
      <c r="G61" s="60" t="str">
        <f ca="1">IFERROR(OFFSET(INDIRECT($H$3 &amp; "!A179"), 5, 0), "")</f>
        <v>휴먼스케이프</v>
      </c>
      <c r="H61" s="45">
        <f t="shared" ca="1" si="16"/>
        <v>179</v>
      </c>
      <c r="I61" s="80">
        <f t="shared" ca="1" si="17"/>
        <v>-1.1049723799999999E-2</v>
      </c>
      <c r="J61" s="99">
        <f t="shared" ca="1" si="22"/>
        <v>44954924.658250548</v>
      </c>
      <c r="K61" s="56" t="str">
        <f ca="1">IFERROR(OFFSET(INDIRECT($H$3 &amp; "!A125"), 5, 0), "")</f>
        <v>퀴즈톡</v>
      </c>
      <c r="L61" s="39">
        <f t="shared" ca="1" si="18"/>
        <v>88.9</v>
      </c>
      <c r="M61" s="77">
        <f t="shared" ca="1" si="19"/>
        <v>-2.0925110100000002E-2</v>
      </c>
      <c r="N61" s="99">
        <f t="shared" ca="1" si="23"/>
        <v>185274564.44615278</v>
      </c>
      <c r="O61" s="56" t="str">
        <f ca="1">IFERROR(OFFSET(INDIRECT($H$3 &amp; "!A152"), 5, 0), "")</f>
        <v>마로</v>
      </c>
      <c r="P61" s="39">
        <f t="shared" ca="1" si="20"/>
        <v>496</v>
      </c>
      <c r="Q61" s="77">
        <f t="shared" ca="1" si="21"/>
        <v>-1.19521912E-2</v>
      </c>
      <c r="R61" s="99">
        <f t="shared" ca="1" si="24"/>
        <v>64985787.979985081</v>
      </c>
    </row>
    <row r="62" spans="1:18">
      <c r="A62" s="40" t="s">
        <v>147</v>
      </c>
      <c r="B62" s="11" t="s">
        <v>148</v>
      </c>
      <c r="C62" s="95">
        <v>196</v>
      </c>
      <c r="D62" s="92">
        <v>1.03092784E-2</v>
      </c>
      <c r="E62" s="93">
        <v>103180136.62201522</v>
      </c>
      <c r="F62" s="35"/>
      <c r="G62" s="56" t="str">
        <f ca="1">IFERROR(OFFSET(INDIRECT($H$3 &amp; "!A179"), 6, 0), "")</f>
        <v>센티넬프로토콜</v>
      </c>
      <c r="H62" s="39">
        <f t="shared" ca="1" si="16"/>
        <v>175</v>
      </c>
      <c r="I62" s="77">
        <f t="shared" ca="1" si="17"/>
        <v>-1.1299435E-2</v>
      </c>
      <c r="J62" s="86">
        <f t="shared" ca="1" si="22"/>
        <v>41573251.660363421</v>
      </c>
      <c r="K62" s="56" t="str">
        <f ca="1">IFERROR(OFFSET(INDIRECT($H$3 &amp; "!A125"), 6, 0), "")</f>
        <v>썬더토큰</v>
      </c>
      <c r="L62" s="39">
        <f t="shared" ca="1" si="18"/>
        <v>20.7</v>
      </c>
      <c r="M62" s="77">
        <f t="shared" ca="1" si="19"/>
        <v>0</v>
      </c>
      <c r="N62" s="86">
        <f t="shared" ca="1" si="23"/>
        <v>585232752.97924209</v>
      </c>
      <c r="O62" s="56" t="str">
        <f ca="1">IFERROR(OFFSET(INDIRECT($H$3 &amp; "!A152"), 6, 0), "")</f>
        <v>솔브케어</v>
      </c>
      <c r="P62" s="39">
        <f t="shared" ca="1" si="20"/>
        <v>295</v>
      </c>
      <c r="Q62" s="77">
        <f t="shared" ca="1" si="21"/>
        <v>-1.33779264E-2</v>
      </c>
      <c r="R62" s="86">
        <f t="shared" ca="1" si="24"/>
        <v>20696040.69640974</v>
      </c>
    </row>
    <row r="63" spans="1:18">
      <c r="A63" s="40" t="s">
        <v>197</v>
      </c>
      <c r="B63" s="11" t="s">
        <v>198</v>
      </c>
      <c r="C63" s="95">
        <v>29.4</v>
      </c>
      <c r="D63" s="92">
        <v>1.03092784E-2</v>
      </c>
      <c r="E63" s="93">
        <v>1058899518.6911216</v>
      </c>
      <c r="F63" s="35"/>
      <c r="G63" s="56" t="str">
        <f ca="1">IFERROR(OFFSET(INDIRECT($H$3 &amp; "!A179"), 7, 0), "")</f>
        <v>썸씽</v>
      </c>
      <c r="H63" s="39">
        <f t="shared" ca="1" si="16"/>
        <v>123</v>
      </c>
      <c r="I63" s="77">
        <f t="shared" ca="1" si="17"/>
        <v>-1.6E-2</v>
      </c>
      <c r="J63" s="86">
        <f t="shared" ca="1" si="22"/>
        <v>182799669.39517817</v>
      </c>
      <c r="K63" s="56" t="str">
        <f ca="1">IFERROR(OFFSET(INDIRECT($H$3 &amp; "!A125"), 7, 0), "")</f>
        <v>메인프레임</v>
      </c>
      <c r="L63" s="39">
        <f t="shared" ca="1" si="18"/>
        <v>22.4</v>
      </c>
      <c r="M63" s="77">
        <f t="shared" ca="1" si="19"/>
        <v>9.0090090000000001E-3</v>
      </c>
      <c r="N63" s="86">
        <f t="shared" ca="1" si="23"/>
        <v>1166610215.9856822</v>
      </c>
      <c r="O63" s="56" t="str">
        <f ca="1">IFERROR(OFFSET(INDIRECT($H$3 &amp; "!A152"), 7, 0), "")</f>
        <v>헌트</v>
      </c>
      <c r="P63" s="39">
        <f t="shared" ca="1" si="20"/>
        <v>404</v>
      </c>
      <c r="Q63" s="77">
        <f t="shared" ca="1" si="21"/>
        <v>-9.8039215999999995E-3</v>
      </c>
      <c r="R63" s="86">
        <f t="shared" ca="1" si="24"/>
        <v>20206794.658015501</v>
      </c>
    </row>
    <row r="64" spans="1:18">
      <c r="A64" s="40" t="s">
        <v>265</v>
      </c>
      <c r="B64" s="11" t="s">
        <v>266</v>
      </c>
      <c r="C64" s="95">
        <v>102</v>
      </c>
      <c r="D64" s="92">
        <v>9.9009900999999997E-3</v>
      </c>
      <c r="E64" s="93">
        <v>631724266.38878226</v>
      </c>
      <c r="F64" s="35"/>
      <c r="G64" s="56" t="str">
        <f ca="1">IFERROR(OFFSET(INDIRECT($H$3 &amp; "!A179"), 8, 0), "")</f>
        <v>밀크</v>
      </c>
      <c r="H64" s="39">
        <f t="shared" ca="1" si="16"/>
        <v>2055</v>
      </c>
      <c r="I64" s="77">
        <f t="shared" ca="1" si="17"/>
        <v>-4.8426149999999998E-3</v>
      </c>
      <c r="J64" s="86">
        <f t="shared" ca="1" si="22"/>
        <v>19937956.007951468</v>
      </c>
      <c r="K64" s="56" t="str">
        <f ca="1">IFERROR(OFFSET(INDIRECT($H$3 &amp; "!A125"), 8, 0), "")</f>
        <v>람다</v>
      </c>
      <c r="L64" s="39">
        <f t="shared" ca="1" si="18"/>
        <v>99.4</v>
      </c>
      <c r="M64" s="77">
        <f t="shared" ca="1" si="19"/>
        <v>-6.0000000000000001E-3</v>
      </c>
      <c r="N64" s="86">
        <f t="shared" ca="1" si="23"/>
        <v>221889418.98495752</v>
      </c>
      <c r="O64" s="56" t="str">
        <f ca="1">IFERROR(OFFSET(INDIRECT($H$3 &amp; "!A152"), 8, 0), "")</f>
        <v>이그니스</v>
      </c>
      <c r="P64" s="39">
        <f t="shared" ca="1" si="20"/>
        <v>164</v>
      </c>
      <c r="Q64" s="77">
        <f t="shared" ca="1" si="21"/>
        <v>-1.20481928E-2</v>
      </c>
      <c r="R64" s="86">
        <f t="shared" ca="1" si="24"/>
        <v>31130705.935699359</v>
      </c>
    </row>
    <row r="65" spans="1:18" ht="17.25" thickBot="1">
      <c r="A65" s="40" t="s">
        <v>75</v>
      </c>
      <c r="B65" s="11" t="s">
        <v>76</v>
      </c>
      <c r="C65" s="95">
        <v>57750</v>
      </c>
      <c r="D65" s="92">
        <v>9.6153846000000005E-3</v>
      </c>
      <c r="E65" s="93">
        <v>7353998.5986976903</v>
      </c>
      <c r="F65" s="35"/>
      <c r="G65" s="57" t="str">
        <f ca="1">IFERROR(OFFSET(INDIRECT($H$3 &amp; "!A179"), 9, 0), "")</f>
        <v>픽셀</v>
      </c>
      <c r="H65" s="37">
        <f t="shared" ca="1" si="16"/>
        <v>116</v>
      </c>
      <c r="I65" s="79">
        <f t="shared" ca="1" si="17"/>
        <v>-2.5210084000000001E-2</v>
      </c>
      <c r="J65" s="87">
        <f t="shared" ca="1" si="22"/>
        <v>159060444.0533444</v>
      </c>
      <c r="K65" s="57" t="str">
        <f ca="1">IFERROR(OFFSET(INDIRECT($H$3 &amp; "!A125"), 9, 0), "")</f>
        <v>엠블</v>
      </c>
      <c r="L65" s="37">
        <f t="shared" ca="1" si="18"/>
        <v>29.4</v>
      </c>
      <c r="M65" s="79">
        <f t="shared" ca="1" si="19"/>
        <v>1.03092784E-2</v>
      </c>
      <c r="N65" s="87">
        <f t="shared" ca="1" si="23"/>
        <v>1058899518.6911216</v>
      </c>
      <c r="O65" s="57" t="str">
        <f ca="1">IFERROR(OFFSET(INDIRECT($H$3 &amp; "!A152"), 9, 0), "")</f>
        <v>메디블록</v>
      </c>
      <c r="P65" s="37">
        <f t="shared" ca="1" si="20"/>
        <v>153</v>
      </c>
      <c r="Q65" s="79">
        <f t="shared" ca="1" si="21"/>
        <v>-1.9230769200000001E-2</v>
      </c>
      <c r="R65" s="87">
        <f t="shared" ca="1" si="24"/>
        <v>1023487258.792375</v>
      </c>
    </row>
    <row r="66" spans="1:18">
      <c r="A66" s="40" t="s">
        <v>219</v>
      </c>
      <c r="B66" s="11" t="s">
        <v>220</v>
      </c>
      <c r="C66" s="95">
        <v>22.4</v>
      </c>
      <c r="D66" s="92">
        <v>9.0090090000000001E-3</v>
      </c>
      <c r="E66" s="93">
        <v>1166610215.9856822</v>
      </c>
      <c r="F66" s="35"/>
      <c r="G66" s="56" t="str">
        <f ca="1">IFERROR(OFFSET(INDIRECT($H$3 &amp; "!A179"), 10, 0), "")</f>
        <v>애드엑스</v>
      </c>
      <c r="H66" s="38">
        <f t="shared" ref="H66:H75" ca="1" si="25">_xlfn.IFNA(VLOOKUP(G66, $B$2:$D$200, 2, FALSE), "")</f>
        <v>1545</v>
      </c>
      <c r="I66" s="76">
        <f t="shared" ref="I66:I75" ca="1" si="26">_xlfn.IFNA(VLOOKUP(G66, $B$2:$D$200, 3, FALSE), "")</f>
        <v>-1.5923566900000002E-2</v>
      </c>
      <c r="J66" s="85">
        <f t="shared" ca="1" si="22"/>
        <v>9494037.1649984308</v>
      </c>
      <c r="K66" s="55" t="str">
        <f ca="1">IFERROR(OFFSET(INDIRECT($H$3 &amp; "!A125"), 10, 0), "")</f>
        <v>에브리피디아</v>
      </c>
      <c r="L66" s="38">
        <f t="shared" ca="1" si="18"/>
        <v>26.2</v>
      </c>
      <c r="M66" s="76">
        <f t="shared" ca="1" si="19"/>
        <v>7.6923076999999996E-3</v>
      </c>
      <c r="N66" s="85">
        <f t="shared" ca="1" si="23"/>
        <v>619316453.65330219</v>
      </c>
      <c r="O66" s="55" t="str">
        <f ca="1">IFERROR(OFFSET(INDIRECT($H$3 &amp; "!A152"), 10, 0), "")</f>
        <v>플레이댑</v>
      </c>
      <c r="P66" s="38">
        <f t="shared" ca="1" si="20"/>
        <v>508</v>
      </c>
      <c r="Q66" s="76">
        <f t="shared" ca="1" si="21"/>
        <v>-7.8125E-3</v>
      </c>
      <c r="R66" s="85">
        <f t="shared" ca="1" si="24"/>
        <v>11998910.359831691</v>
      </c>
    </row>
    <row r="67" spans="1:18">
      <c r="A67" s="40" t="s">
        <v>185</v>
      </c>
      <c r="B67" s="11" t="s">
        <v>186</v>
      </c>
      <c r="C67" s="95">
        <v>26.2</v>
      </c>
      <c r="D67" s="92">
        <v>7.6923076999999996E-3</v>
      </c>
      <c r="E67" s="93">
        <v>619316453.65330219</v>
      </c>
      <c r="F67" s="35"/>
      <c r="G67" s="56" t="str">
        <f ca="1">IFERROR(OFFSET(INDIRECT($H$3 &amp; "!A179"), 11, 0), "")</f>
        <v>알파쿼크</v>
      </c>
      <c r="H67" s="39">
        <f t="shared" ca="1" si="25"/>
        <v>7045</v>
      </c>
      <c r="I67" s="77">
        <f t="shared" ca="1" si="26"/>
        <v>-1.19214586E-2</v>
      </c>
      <c r="J67" s="86">
        <f t="shared" ca="1" si="22"/>
        <v>1366526.82725785</v>
      </c>
      <c r="K67" s="56" t="str">
        <f ca="1">IFERROR(OFFSET(INDIRECT($H$3 &amp; "!A125"), 11, 0), "")</f>
        <v>무비블록</v>
      </c>
      <c r="L67" s="39">
        <f t="shared" ca="1" si="18"/>
        <v>18.899999999999999</v>
      </c>
      <c r="M67" s="77">
        <f t="shared" ca="1" si="19"/>
        <v>5.3191489E-3</v>
      </c>
      <c r="N67" s="86">
        <f t="shared" ca="1" si="23"/>
        <v>1421498370.761802</v>
      </c>
      <c r="O67" s="56" t="str">
        <f ca="1">IFERROR(OFFSET(INDIRECT($H$3 &amp; "!A152"), 11, 0), "")</f>
        <v>아더</v>
      </c>
      <c r="P67" s="39">
        <f t="shared" ca="1" si="20"/>
        <v>444</v>
      </c>
      <c r="Q67" s="77">
        <f t="shared" ca="1" si="21"/>
        <v>-1.33333333E-2</v>
      </c>
      <c r="R67" s="86">
        <f t="shared" ca="1" si="24"/>
        <v>21387750.144816231</v>
      </c>
    </row>
    <row r="68" spans="1:18">
      <c r="A68" s="40" t="s">
        <v>243</v>
      </c>
      <c r="B68" s="11" t="s">
        <v>244</v>
      </c>
      <c r="C68" s="95">
        <v>3725</v>
      </c>
      <c r="D68" s="92">
        <v>6.7567568000000003E-3</v>
      </c>
      <c r="E68" s="93">
        <v>10356847.043369001</v>
      </c>
      <c r="F68" s="35"/>
      <c r="G68" s="56" t="str">
        <f ca="1">IFERROR(OFFSET(INDIRECT($H$3 &amp; "!A179"), 12, 0), "")</f>
        <v>하이브</v>
      </c>
      <c r="H68" s="39">
        <f t="shared" ca="1" si="25"/>
        <v>723</v>
      </c>
      <c r="I68" s="77">
        <f t="shared" ca="1" si="26"/>
        <v>-2.4291498000000002E-2</v>
      </c>
      <c r="J68" s="86">
        <f t="shared" ca="1" si="22"/>
        <v>13760184.75175358</v>
      </c>
      <c r="K68" s="56" t="str">
        <f ca="1">IFERROR(OFFSET(INDIRECT($H$3 &amp; "!A125"), 12, 0), "")</f>
        <v>아하토큰</v>
      </c>
      <c r="L68" s="39">
        <f t="shared" ca="1" si="18"/>
        <v>18.8</v>
      </c>
      <c r="M68" s="77">
        <f t="shared" ca="1" si="19"/>
        <v>0</v>
      </c>
      <c r="N68" s="86">
        <f t="shared" ca="1" si="23"/>
        <v>406048106.9257195</v>
      </c>
      <c r="O68" s="56" t="str">
        <f ca="1">IFERROR(OFFSET(INDIRECT($H$3 &amp; "!A152"), 12, 0), "")</f>
        <v>모스코인</v>
      </c>
      <c r="P68" s="39">
        <f t="shared" ca="1" si="20"/>
        <v>188</v>
      </c>
      <c r="Q68" s="77">
        <f t="shared" ca="1" si="21"/>
        <v>-2.08333333E-2</v>
      </c>
      <c r="R68" s="86">
        <f t="shared" ca="1" si="24"/>
        <v>51554825.04161039</v>
      </c>
    </row>
    <row r="69" spans="1:18">
      <c r="A69" s="40" t="s">
        <v>271</v>
      </c>
      <c r="B69" s="11" t="s">
        <v>272</v>
      </c>
      <c r="C69" s="95">
        <v>2340</v>
      </c>
      <c r="D69" s="92">
        <v>6.4516128999999997E-3</v>
      </c>
      <c r="E69" s="93">
        <v>12144117.57536203</v>
      </c>
      <c r="F69" s="35"/>
      <c r="G69" s="56" t="str">
        <f ca="1">IFERROR(OFFSET(INDIRECT($H$3 &amp; "!A179"), 13, 0), "")</f>
        <v>아인스타이늄</v>
      </c>
      <c r="H69" s="39">
        <f t="shared" ca="1" si="25"/>
        <v>545</v>
      </c>
      <c r="I69" s="77">
        <f t="shared" ca="1" si="26"/>
        <v>-2.6785714299999999E-2</v>
      </c>
      <c r="J69" s="86">
        <f t="shared" ca="1" si="22"/>
        <v>24592546.897763401</v>
      </c>
      <c r="K69" s="56" t="str">
        <f ca="1">IFERROR(OFFSET(INDIRECT($H$3 &amp; "!A125"), 13, 0), "")</f>
        <v>캐리프로토콜</v>
      </c>
      <c r="L69" s="39">
        <f t="shared" ca="1" si="18"/>
        <v>21.8</v>
      </c>
      <c r="M69" s="77">
        <f t="shared" ca="1" si="19"/>
        <v>4.6082948999999996E-3</v>
      </c>
      <c r="N69" s="86">
        <f t="shared" ca="1" si="23"/>
        <v>1183808733.3069227</v>
      </c>
      <c r="O69" s="56" t="str">
        <f ca="1">IFERROR(OFFSET(INDIRECT($H$3 &amp; "!A152"), 13, 0), "")</f>
        <v>아르고</v>
      </c>
      <c r="P69" s="39">
        <f t="shared" ca="1" si="20"/>
        <v>381</v>
      </c>
      <c r="Q69" s="77">
        <f t="shared" ca="1" si="21"/>
        <v>5.2770448999999997E-3</v>
      </c>
      <c r="R69" s="86">
        <f t="shared" ca="1" si="24"/>
        <v>19513564.092644591</v>
      </c>
    </row>
    <row r="70" spans="1:18">
      <c r="A70" s="40" t="s">
        <v>157</v>
      </c>
      <c r="B70" s="11" t="s">
        <v>158</v>
      </c>
      <c r="C70" s="95">
        <v>10220</v>
      </c>
      <c r="D70" s="92">
        <v>5.9055117999999998E-3</v>
      </c>
      <c r="E70" s="93">
        <v>2261509.3691132502</v>
      </c>
      <c r="F70" s="35"/>
      <c r="G70" s="56" t="str">
        <f ca="1">IFERROR(OFFSET(INDIRECT($H$3 &amp; "!A179"), 14, 0), "")</f>
        <v>플로우</v>
      </c>
      <c r="H70" s="39">
        <f t="shared" ca="1" si="25"/>
        <v>40080</v>
      </c>
      <c r="I70" s="77">
        <f t="shared" ca="1" si="26"/>
        <v>-1.49913984E-2</v>
      </c>
      <c r="J70" s="90">
        <f t="shared" ca="1" si="22"/>
        <v>1457031.86070591</v>
      </c>
      <c r="K70" s="58" t="str">
        <f ca="1">IFERROR(OFFSET(INDIRECT($H$3 &amp; "!A125"), 14, 0), "")</f>
        <v>엔도르</v>
      </c>
      <c r="L70" s="44">
        <f t="shared" ca="1" si="18"/>
        <v>69.900000000000006</v>
      </c>
      <c r="M70" s="78">
        <f t="shared" ca="1" si="19"/>
        <v>-9.9150142000000007E-3</v>
      </c>
      <c r="N70" s="90">
        <f t="shared" ca="1" si="23"/>
        <v>174788085.01683986</v>
      </c>
      <c r="O70" s="58" t="str">
        <f ca="1">IFERROR(OFFSET(INDIRECT($H$3 &amp; "!A152"), 14, 0), "")</f>
        <v>휴먼스케이프</v>
      </c>
      <c r="P70" s="44">
        <f t="shared" ca="1" si="20"/>
        <v>179</v>
      </c>
      <c r="Q70" s="78">
        <f t="shared" ca="1" si="21"/>
        <v>-1.1049723799999999E-2</v>
      </c>
      <c r="R70" s="90">
        <f t="shared" ca="1" si="24"/>
        <v>44954924.658250548</v>
      </c>
    </row>
    <row r="71" spans="1:18">
      <c r="A71" s="40" t="s">
        <v>115</v>
      </c>
      <c r="B71" s="11" t="s">
        <v>116</v>
      </c>
      <c r="C71" s="95">
        <v>725</v>
      </c>
      <c r="D71" s="92">
        <v>5.5478502000000001E-3</v>
      </c>
      <c r="E71" s="93">
        <v>41546918.557874478</v>
      </c>
      <c r="F71" s="35"/>
      <c r="G71" s="60" t="str">
        <f ca="1">IFERROR(OFFSET(INDIRECT($H$3 &amp; "!A179"), 15, 0), "")</f>
        <v>톤</v>
      </c>
      <c r="H71" s="45">
        <f t="shared" ca="1" si="25"/>
        <v>14420</v>
      </c>
      <c r="I71" s="80">
        <f t="shared" ca="1" si="26"/>
        <v>-1.9714479900000002E-2</v>
      </c>
      <c r="J71" s="99">
        <f t="shared" ca="1" si="22"/>
        <v>1180906.6952275999</v>
      </c>
      <c r="K71" s="56" t="str">
        <f ca="1">IFERROR(OFFSET(INDIRECT($H$3 &amp; "!A125"), 15, 0), "")</f>
        <v>트웰브쉽스</v>
      </c>
      <c r="L71" s="39">
        <f t="shared" ca="1" si="18"/>
        <v>25.7</v>
      </c>
      <c r="M71" s="77">
        <f t="shared" ca="1" si="19"/>
        <v>-1.15384615E-2</v>
      </c>
      <c r="N71" s="99">
        <f t="shared" ca="1" si="23"/>
        <v>377843024.37171263</v>
      </c>
      <c r="O71" s="56" t="str">
        <f ca="1">IFERROR(OFFSET(INDIRECT($H$3 &amp; "!A152"), 15, 0), "")</f>
        <v>센티넬프로토콜</v>
      </c>
      <c r="P71" s="39">
        <f t="shared" ca="1" si="20"/>
        <v>175</v>
      </c>
      <c r="Q71" s="77">
        <f t="shared" ca="1" si="21"/>
        <v>-1.1299435E-2</v>
      </c>
      <c r="R71" s="99">
        <f t="shared" ca="1" si="24"/>
        <v>41573251.660363421</v>
      </c>
    </row>
    <row r="72" spans="1:18">
      <c r="A72" s="40" t="s">
        <v>227</v>
      </c>
      <c r="B72" s="11" t="s">
        <v>228</v>
      </c>
      <c r="C72" s="95">
        <v>18.899999999999999</v>
      </c>
      <c r="D72" s="92">
        <v>5.3191489E-3</v>
      </c>
      <c r="E72" s="93">
        <v>1421498370.761802</v>
      </c>
      <c r="F72" s="35"/>
      <c r="G72" s="56" t="str">
        <f ca="1">IFERROR(OFFSET(INDIRECT($H$3 &amp; "!A179"), 16, 0), "")</f>
        <v>코박토큰</v>
      </c>
      <c r="H72" s="39">
        <f t="shared" ca="1" si="25"/>
        <v>8975</v>
      </c>
      <c r="I72" s="77">
        <f t="shared" ca="1" si="26"/>
        <v>-2.1264994499999999E-2</v>
      </c>
      <c r="J72" s="86">
        <f t="shared" ca="1" si="22"/>
        <v>2308972.2566177901</v>
      </c>
      <c r="K72" s="56" t="str">
        <f ca="1">IFERROR(OFFSET(INDIRECT($H$3 &amp; "!A125"), 16, 0), "")</f>
        <v>리퍼리움</v>
      </c>
      <c r="L72" s="39">
        <f t="shared" ca="1" si="18"/>
        <v>22.5</v>
      </c>
      <c r="M72" s="77">
        <f t="shared" ca="1" si="19"/>
        <v>-1.3157894700000001E-2</v>
      </c>
      <c r="N72" s="86">
        <f t="shared" ca="1" si="23"/>
        <v>615740448.43680704</v>
      </c>
      <c r="O72" s="56" t="str">
        <f ca="1">IFERROR(OFFSET(INDIRECT($H$3 &amp; "!A152"), 16, 0), "")</f>
        <v>썸씽</v>
      </c>
      <c r="P72" s="39">
        <f t="shared" ca="1" si="20"/>
        <v>123</v>
      </c>
      <c r="Q72" s="77">
        <f t="shared" ca="1" si="21"/>
        <v>-1.6E-2</v>
      </c>
      <c r="R72" s="86">
        <f t="shared" ca="1" si="24"/>
        <v>182799669.39517817</v>
      </c>
    </row>
    <row r="73" spans="1:18">
      <c r="A73" s="40" t="s">
        <v>199</v>
      </c>
      <c r="B73" s="11" t="s">
        <v>200</v>
      </c>
      <c r="C73" s="95">
        <v>381</v>
      </c>
      <c r="D73" s="92">
        <v>5.2770448999999997E-3</v>
      </c>
      <c r="E73" s="93">
        <v>19513564.092644591</v>
      </c>
      <c r="F73" s="35"/>
      <c r="G73" s="56" t="str">
        <f ca="1">IFERROR(OFFSET(INDIRECT($H$3 &amp; "!A179"), 17, 0), "")</f>
        <v>웨이브</v>
      </c>
      <c r="H73" s="39">
        <f t="shared" ca="1" si="25"/>
        <v>42300</v>
      </c>
      <c r="I73" s="77">
        <f t="shared" ca="1" si="26"/>
        <v>-4.4283777699999999E-2</v>
      </c>
      <c r="J73" s="86">
        <f t="shared" ca="1" si="22"/>
        <v>7198069.6282662004</v>
      </c>
      <c r="K73" s="56" t="str">
        <f ca="1">IFERROR(OFFSET(INDIRECT($H$3 &amp; "!A125"), 17, 0), "")</f>
        <v>옵저버</v>
      </c>
      <c r="L73" s="39">
        <f t="shared" ca="1" si="18"/>
        <v>29.1</v>
      </c>
      <c r="M73" s="77">
        <f t="shared" ca="1" si="19"/>
        <v>-1.02040816E-2</v>
      </c>
      <c r="N73" s="86">
        <f t="shared" ca="1" si="23"/>
        <v>573636201.79370129</v>
      </c>
      <c r="O73" s="56" t="str">
        <f ca="1">IFERROR(OFFSET(INDIRECT($H$3 &amp; "!A152"), 17, 0), "")</f>
        <v>픽셀</v>
      </c>
      <c r="P73" s="39">
        <f t="shared" ca="1" si="20"/>
        <v>116</v>
      </c>
      <c r="Q73" s="77">
        <f t="shared" ca="1" si="21"/>
        <v>-2.5210084000000001E-2</v>
      </c>
      <c r="R73" s="86">
        <f t="shared" ca="1" si="24"/>
        <v>159060444.0533444</v>
      </c>
    </row>
    <row r="74" spans="1:18">
      <c r="A74" s="40" t="s">
        <v>153</v>
      </c>
      <c r="B74" s="11" t="s">
        <v>154</v>
      </c>
      <c r="C74" s="95">
        <v>21.8</v>
      </c>
      <c r="D74" s="92">
        <v>4.6082948999999996E-3</v>
      </c>
      <c r="E74" s="93">
        <v>1183808733.3069227</v>
      </c>
      <c r="F74" s="35"/>
      <c r="G74" s="56" t="str">
        <f ca="1">IFERROR(OFFSET(INDIRECT($H$3 &amp; "!A179"), 18, 0), "")</f>
        <v>던프로토콜</v>
      </c>
      <c r="H74" s="39">
        <f t="shared" ca="1" si="25"/>
        <v>8775</v>
      </c>
      <c r="I74" s="77">
        <f t="shared" ca="1" si="26"/>
        <v>-4.20305677E-2</v>
      </c>
      <c r="J74" s="86">
        <f t="shared" ca="1" si="22"/>
        <v>28652002.468560889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723</v>
      </c>
      <c r="Q74" s="77">
        <f t="shared" ca="1" si="21"/>
        <v>-2.4291498000000002E-2</v>
      </c>
      <c r="R74" s="86">
        <f t="shared" ca="1" si="24"/>
        <v>13760184.75175358</v>
      </c>
    </row>
    <row r="75" spans="1:18" ht="17.25" thickBot="1">
      <c r="A75" s="40" t="s">
        <v>273</v>
      </c>
      <c r="B75" s="11" t="s">
        <v>274</v>
      </c>
      <c r="C75" s="95">
        <v>8730</v>
      </c>
      <c r="D75" s="92">
        <v>3.4482759000000001E-3</v>
      </c>
      <c r="E75" s="93">
        <v>617027.76926553994</v>
      </c>
      <c r="F75" s="35"/>
      <c r="G75" s="57" t="str">
        <f ca="1">IFERROR(OFFSET(INDIRECT($H$3 &amp; "!A179"), 19, 0), "")</f>
        <v>스트라티스</v>
      </c>
      <c r="H75" s="37">
        <f t="shared" ca="1" si="25"/>
        <v>4600</v>
      </c>
      <c r="I75" s="79">
        <f t="shared" ca="1" si="26"/>
        <v>-3.1578947400000001E-2</v>
      </c>
      <c r="J75" s="87">
        <f t="shared" ca="1" si="22"/>
        <v>6879483.5493047396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아인스타이늄</v>
      </c>
      <c r="P75" s="37">
        <f t="shared" ca="1" si="20"/>
        <v>545</v>
      </c>
      <c r="Q75" s="79">
        <f t="shared" ca="1" si="21"/>
        <v>-2.6785714299999999E-2</v>
      </c>
      <c r="R75" s="87">
        <f t="shared" ca="1" si="24"/>
        <v>24592546.897763401</v>
      </c>
    </row>
    <row r="76" spans="1:18">
      <c r="A76" s="40" t="s">
        <v>195</v>
      </c>
      <c r="B76" s="11" t="s">
        <v>196</v>
      </c>
      <c r="C76" s="95">
        <v>20.7</v>
      </c>
      <c r="D76" s="92">
        <v>0</v>
      </c>
      <c r="E76" s="93">
        <v>585232752.97924209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18.8</v>
      </c>
      <c r="D77" s="92">
        <v>0</v>
      </c>
      <c r="E77" s="93">
        <v>406048106.9257195</v>
      </c>
      <c r="F77" s="35"/>
      <c r="G77" s="35"/>
      <c r="H77" s="35"/>
      <c r="I77" s="35"/>
    </row>
    <row r="78" spans="1:18">
      <c r="A78" s="40" t="s">
        <v>179</v>
      </c>
      <c r="B78" s="11" t="s">
        <v>180</v>
      </c>
      <c r="C78" s="95">
        <v>4695</v>
      </c>
      <c r="D78" s="92">
        <v>-2.1253984999999999E-3</v>
      </c>
      <c r="E78" s="93">
        <v>7130282.1842168197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258</v>
      </c>
      <c r="D79" s="92">
        <v>-3.8610038999999999E-3</v>
      </c>
      <c r="E79" s="93">
        <v>64150142.44851768</v>
      </c>
      <c r="F79" s="35"/>
      <c r="G79" s="35"/>
      <c r="H79" s="35"/>
      <c r="I79" s="35"/>
    </row>
    <row r="80" spans="1:18">
      <c r="A80" s="40" t="s">
        <v>169</v>
      </c>
      <c r="B80" s="11" t="s">
        <v>170</v>
      </c>
      <c r="C80" s="95">
        <v>510</v>
      </c>
      <c r="D80" s="92">
        <v>-3.90625E-3</v>
      </c>
      <c r="E80" s="93">
        <v>8603321.3068924993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2055</v>
      </c>
      <c r="D81" s="92">
        <v>-4.8426149999999998E-3</v>
      </c>
      <c r="E81" s="93">
        <v>19937956.007951468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5">
        <v>99.4</v>
      </c>
      <c r="D82" s="92">
        <v>-6.0000000000000001E-3</v>
      </c>
      <c r="E82" s="93">
        <v>221889418.98495752</v>
      </c>
      <c r="F82" s="35"/>
      <c r="G82" s="35"/>
      <c r="H82" s="35"/>
      <c r="I82" s="35"/>
    </row>
    <row r="83" spans="1:9">
      <c r="A83" s="40" t="s">
        <v>225</v>
      </c>
      <c r="B83" s="11" t="s">
        <v>226</v>
      </c>
      <c r="C83" s="95">
        <v>508</v>
      </c>
      <c r="D83" s="92">
        <v>-7.8125E-3</v>
      </c>
      <c r="E83" s="93">
        <v>11998910.359831691</v>
      </c>
      <c r="F83" s="35"/>
      <c r="G83" s="35"/>
      <c r="H83" s="35"/>
      <c r="I83" s="35"/>
    </row>
    <row r="84" spans="1:9">
      <c r="A84" s="40" t="s">
        <v>201</v>
      </c>
      <c r="B84" s="11" t="s">
        <v>202</v>
      </c>
      <c r="C84" s="95">
        <v>216</v>
      </c>
      <c r="D84" s="92">
        <v>-9.1743119000000008E-3</v>
      </c>
      <c r="E84" s="93">
        <v>201678570.5961923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404</v>
      </c>
      <c r="D85" s="92">
        <v>-9.8039215999999995E-3</v>
      </c>
      <c r="E85" s="93">
        <v>20206794.658015501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69.900000000000006</v>
      </c>
      <c r="D86" s="92">
        <v>-9.9150142000000007E-3</v>
      </c>
      <c r="E86" s="93">
        <v>174788085.01683986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5">
        <v>29.1</v>
      </c>
      <c r="D87" s="92">
        <v>-1.02040816E-2</v>
      </c>
      <c r="E87" s="93">
        <v>573636201.79370129</v>
      </c>
      <c r="F87" s="35"/>
      <c r="G87" s="35"/>
      <c r="H87" s="35"/>
      <c r="I87" s="35"/>
    </row>
    <row r="88" spans="1:9">
      <c r="A88" s="40" t="s">
        <v>173</v>
      </c>
      <c r="B88" s="11" t="s">
        <v>174</v>
      </c>
      <c r="C88" s="95">
        <v>277</v>
      </c>
      <c r="D88" s="92">
        <v>-1.0714285699999999E-2</v>
      </c>
      <c r="E88" s="93">
        <v>50619386.679387398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179</v>
      </c>
      <c r="D89" s="92">
        <v>-1.1049723799999999E-2</v>
      </c>
      <c r="E89" s="93">
        <v>44954924.658250548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175</v>
      </c>
      <c r="D90" s="92">
        <v>-1.1299435E-2</v>
      </c>
      <c r="E90" s="93">
        <v>41573251.660363421</v>
      </c>
      <c r="F90" s="35"/>
      <c r="G90" s="35"/>
      <c r="H90" s="35"/>
      <c r="I90" s="35"/>
    </row>
    <row r="91" spans="1:9">
      <c r="A91" s="40" t="s">
        <v>263</v>
      </c>
      <c r="B91" s="11" t="s">
        <v>264</v>
      </c>
      <c r="C91" s="95">
        <v>173</v>
      </c>
      <c r="D91" s="92">
        <v>-1.14285714E-2</v>
      </c>
      <c r="E91" s="93">
        <v>27007528.705117092</v>
      </c>
      <c r="F91" s="35"/>
      <c r="G91" s="35"/>
      <c r="H91" s="35"/>
      <c r="I91" s="35"/>
    </row>
    <row r="92" spans="1:9">
      <c r="A92" s="40" t="s">
        <v>171</v>
      </c>
      <c r="B92" s="11" t="s">
        <v>172</v>
      </c>
      <c r="C92" s="95">
        <v>25.7</v>
      </c>
      <c r="D92" s="92">
        <v>-1.15384615E-2</v>
      </c>
      <c r="E92" s="93">
        <v>377843024.37171263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7045</v>
      </c>
      <c r="D93" s="92">
        <v>-1.19214586E-2</v>
      </c>
      <c r="E93" s="93">
        <v>1366526.82725785</v>
      </c>
      <c r="F93" s="35"/>
      <c r="G93" s="35"/>
      <c r="H93" s="35"/>
      <c r="I93" s="35"/>
    </row>
    <row r="94" spans="1:9">
      <c r="A94" s="40" t="s">
        <v>207</v>
      </c>
      <c r="B94" s="11" t="s">
        <v>208</v>
      </c>
      <c r="C94" s="95">
        <v>496</v>
      </c>
      <c r="D94" s="92">
        <v>-1.19521912E-2</v>
      </c>
      <c r="E94" s="93">
        <v>64985787.979985081</v>
      </c>
      <c r="F94" s="35"/>
      <c r="G94" s="35"/>
      <c r="H94" s="35"/>
      <c r="I94" s="35"/>
    </row>
    <row r="95" spans="1:9">
      <c r="A95" s="40" t="s">
        <v>281</v>
      </c>
      <c r="B95" s="11" t="s">
        <v>282</v>
      </c>
      <c r="C95" s="95">
        <v>164</v>
      </c>
      <c r="D95" s="92">
        <v>-1.20481928E-2</v>
      </c>
      <c r="E95" s="93">
        <v>31130705.935699359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22.5</v>
      </c>
      <c r="D96" s="92">
        <v>-1.3157894700000001E-2</v>
      </c>
      <c r="E96" s="93">
        <v>615740448.43680704</v>
      </c>
      <c r="F96" s="35"/>
      <c r="G96" s="35"/>
      <c r="H96" s="35"/>
      <c r="I96" s="35"/>
    </row>
    <row r="97" spans="1:9">
      <c r="A97" s="40" t="s">
        <v>283</v>
      </c>
      <c r="B97" s="11" t="s">
        <v>284</v>
      </c>
      <c r="C97" s="95">
        <v>444</v>
      </c>
      <c r="D97" s="92">
        <v>-1.33333333E-2</v>
      </c>
      <c r="E97" s="93">
        <v>21387750.144816231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295</v>
      </c>
      <c r="D98" s="92">
        <v>-1.33779264E-2</v>
      </c>
      <c r="E98" s="93">
        <v>20696040.69640974</v>
      </c>
      <c r="F98" s="35"/>
      <c r="G98" s="35"/>
      <c r="H98" s="35"/>
      <c r="I98" s="35"/>
    </row>
    <row r="99" spans="1:9">
      <c r="A99" s="40" t="s">
        <v>95</v>
      </c>
      <c r="B99" s="11" t="s">
        <v>96</v>
      </c>
      <c r="C99" s="95">
        <v>4025000</v>
      </c>
      <c r="D99" s="92">
        <v>-1.3722126899999999E-2</v>
      </c>
      <c r="E99" s="93">
        <v>194272.63080915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40080</v>
      </c>
      <c r="D100" s="92">
        <v>-1.49913984E-2</v>
      </c>
      <c r="E100" s="93">
        <v>1457031.86070591</v>
      </c>
      <c r="F100" s="35"/>
      <c r="G100" s="35"/>
      <c r="H100" s="35"/>
      <c r="I100" s="35"/>
    </row>
    <row r="101" spans="1:9">
      <c r="A101" s="40" t="s">
        <v>175</v>
      </c>
      <c r="B101" s="11" t="s">
        <v>176</v>
      </c>
      <c r="C101" s="95">
        <v>2535</v>
      </c>
      <c r="D101" s="92">
        <v>-1.55339806E-2</v>
      </c>
      <c r="E101" s="93">
        <v>11730122.0562273</v>
      </c>
      <c r="F101" s="35"/>
      <c r="G101" s="35"/>
      <c r="H101" s="35"/>
      <c r="I101" s="35"/>
    </row>
    <row r="102" spans="1:9">
      <c r="A102" s="40" t="s">
        <v>81</v>
      </c>
      <c r="B102" s="11" t="s">
        <v>82</v>
      </c>
      <c r="C102" s="95">
        <v>1545</v>
      </c>
      <c r="D102" s="92">
        <v>-1.5923566900000002E-2</v>
      </c>
      <c r="E102" s="93">
        <v>9494037.1649984308</v>
      </c>
      <c r="F102" s="35"/>
      <c r="G102" s="35"/>
      <c r="H102" s="35"/>
      <c r="I102" s="35"/>
    </row>
    <row r="103" spans="1:9">
      <c r="A103" s="40" t="s">
        <v>259</v>
      </c>
      <c r="B103" s="11" t="s">
        <v>260</v>
      </c>
      <c r="C103" s="95">
        <v>123</v>
      </c>
      <c r="D103" s="92">
        <v>-1.6E-2</v>
      </c>
      <c r="E103" s="93">
        <v>182799669.39517817</v>
      </c>
      <c r="F103" s="35"/>
      <c r="G103" s="35"/>
      <c r="H103" s="35"/>
      <c r="I103" s="35"/>
    </row>
    <row r="104" spans="1:9">
      <c r="A104" s="40" t="s">
        <v>189</v>
      </c>
      <c r="B104" s="11" t="s">
        <v>190</v>
      </c>
      <c r="C104" s="95">
        <v>73630</v>
      </c>
      <c r="D104" s="92">
        <v>-1.7611741199999999E-2</v>
      </c>
      <c r="E104" s="93">
        <v>729726.54890634003</v>
      </c>
      <c r="F104" s="35"/>
      <c r="G104" s="35"/>
      <c r="H104" s="35"/>
      <c r="I104" s="35"/>
    </row>
    <row r="105" spans="1:9">
      <c r="A105" s="40" t="s">
        <v>211</v>
      </c>
      <c r="B105" s="11" t="s">
        <v>212</v>
      </c>
      <c r="C105" s="95">
        <v>153</v>
      </c>
      <c r="D105" s="92">
        <v>-1.9230769200000001E-2</v>
      </c>
      <c r="E105" s="93">
        <v>1023487258.792375</v>
      </c>
      <c r="F105" s="35"/>
      <c r="G105" s="35"/>
      <c r="H105" s="35"/>
      <c r="I105" s="35"/>
    </row>
    <row r="106" spans="1:9">
      <c r="A106" s="40" t="s">
        <v>193</v>
      </c>
      <c r="B106" s="11" t="s">
        <v>194</v>
      </c>
      <c r="C106" s="95">
        <v>14420</v>
      </c>
      <c r="D106" s="92">
        <v>-1.9714479900000002E-2</v>
      </c>
      <c r="E106" s="93">
        <v>1180906.6952275999</v>
      </c>
      <c r="F106" s="35"/>
      <c r="G106" s="35"/>
      <c r="H106" s="35"/>
      <c r="I106" s="35"/>
    </row>
    <row r="107" spans="1:9">
      <c r="A107" s="40" t="s">
        <v>209</v>
      </c>
      <c r="B107" s="11" t="s">
        <v>210</v>
      </c>
      <c r="C107" s="95">
        <v>196</v>
      </c>
      <c r="D107" s="92">
        <v>-0.02</v>
      </c>
      <c r="E107" s="93">
        <v>64420359.587095588</v>
      </c>
      <c r="F107" s="35"/>
      <c r="G107" s="35"/>
      <c r="H107" s="35"/>
      <c r="I107" s="35"/>
    </row>
    <row r="108" spans="1:9">
      <c r="A108" s="40" t="s">
        <v>239</v>
      </c>
      <c r="B108" s="11" t="s">
        <v>240</v>
      </c>
      <c r="C108" s="95">
        <v>188</v>
      </c>
      <c r="D108" s="92">
        <v>-2.08333333E-2</v>
      </c>
      <c r="E108" s="93">
        <v>51554825.04161039</v>
      </c>
      <c r="F108" s="35"/>
      <c r="G108" s="35"/>
      <c r="H108" s="35"/>
      <c r="I108" s="35"/>
    </row>
    <row r="109" spans="1:9">
      <c r="A109" s="40" t="s">
        <v>253</v>
      </c>
      <c r="B109" s="11" t="s">
        <v>254</v>
      </c>
      <c r="C109" s="95">
        <v>88.9</v>
      </c>
      <c r="D109" s="92">
        <v>-2.0925110100000002E-2</v>
      </c>
      <c r="E109" s="41">
        <v>185274564.44615278</v>
      </c>
    </row>
    <row r="110" spans="1:9">
      <c r="A110" s="40" t="s">
        <v>66</v>
      </c>
      <c r="B110" s="11" t="s">
        <v>67</v>
      </c>
      <c r="C110" s="95">
        <v>8975</v>
      </c>
      <c r="D110" s="92">
        <v>-2.1264994499999999E-2</v>
      </c>
      <c r="E110" s="41">
        <v>2308972.2566177901</v>
      </c>
    </row>
    <row r="111" spans="1:9">
      <c r="A111" s="40" t="s">
        <v>249</v>
      </c>
      <c r="B111" s="11" t="s">
        <v>250</v>
      </c>
      <c r="C111" s="95">
        <v>213</v>
      </c>
      <c r="D111" s="92">
        <v>-2.29357798E-2</v>
      </c>
      <c r="E111" s="41">
        <v>20682864.236756232</v>
      </c>
    </row>
    <row r="112" spans="1:9">
      <c r="A112" s="40" t="s">
        <v>257</v>
      </c>
      <c r="B112" s="11" t="s">
        <v>258</v>
      </c>
      <c r="C112" s="95">
        <v>723</v>
      </c>
      <c r="D112" s="92">
        <v>-2.4291498000000002E-2</v>
      </c>
      <c r="E112" s="41">
        <v>13760184.75175358</v>
      </c>
    </row>
    <row r="113" spans="1:5">
      <c r="A113" s="40" t="s">
        <v>233</v>
      </c>
      <c r="B113" s="11" t="s">
        <v>234</v>
      </c>
      <c r="C113" s="95">
        <v>1390</v>
      </c>
      <c r="D113" s="92">
        <v>-2.4561403499999999E-2</v>
      </c>
      <c r="E113" s="41">
        <v>4719392.72015227</v>
      </c>
    </row>
    <row r="114" spans="1:5">
      <c r="A114" s="40" t="s">
        <v>121</v>
      </c>
      <c r="B114" s="11" t="s">
        <v>122</v>
      </c>
      <c r="C114" s="95">
        <v>116</v>
      </c>
      <c r="D114" s="92">
        <v>-2.5210084000000001E-2</v>
      </c>
      <c r="E114" s="41">
        <v>159060444.0533444</v>
      </c>
    </row>
    <row r="115" spans="1:5">
      <c r="A115" s="40" t="s">
        <v>251</v>
      </c>
      <c r="B115" s="11" t="s">
        <v>252</v>
      </c>
      <c r="C115" s="95">
        <v>545</v>
      </c>
      <c r="D115" s="92">
        <v>-2.6785714299999999E-2</v>
      </c>
      <c r="E115" s="41">
        <v>24592546.897763401</v>
      </c>
    </row>
    <row r="116" spans="1:5">
      <c r="A116" s="40" t="s">
        <v>275</v>
      </c>
      <c r="B116" s="11" t="s">
        <v>276</v>
      </c>
      <c r="C116" s="95">
        <v>4600</v>
      </c>
      <c r="D116" s="92">
        <v>-3.1578947400000001E-2</v>
      </c>
      <c r="E116" s="41">
        <v>6879483.5493047396</v>
      </c>
    </row>
    <row r="117" spans="1:5">
      <c r="A117" s="40" t="s">
        <v>203</v>
      </c>
      <c r="B117" s="11" t="s">
        <v>204</v>
      </c>
      <c r="C117" s="95">
        <v>8775</v>
      </c>
      <c r="D117" s="92">
        <v>-4.20305677E-2</v>
      </c>
      <c r="E117" s="41">
        <v>28652002.468560889</v>
      </c>
    </row>
    <row r="118" spans="1:5">
      <c r="A118" s="40" t="s">
        <v>163</v>
      </c>
      <c r="B118" s="11" t="s">
        <v>164</v>
      </c>
      <c r="C118" s="95">
        <v>42300</v>
      </c>
      <c r="D118" s="92">
        <v>-4.4283777699999999E-2</v>
      </c>
      <c r="E118" s="41">
        <v>7198069.6282662004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77</v>
      </c>
      <c r="B2" s="11" t="s">
        <v>78</v>
      </c>
      <c r="C2" s="95">
        <v>1554000</v>
      </c>
      <c r="D2" s="92">
        <v>0.29069767439999999</v>
      </c>
      <c r="E2" s="93">
        <v>883920.89288688998</v>
      </c>
      <c r="F2" s="35"/>
      <c r="G2" s="54"/>
      <c r="H2" s="35"/>
      <c r="I2" s="35"/>
    </row>
    <row r="3" spans="1:18" ht="17.25" thickBot="1">
      <c r="A3" s="40" t="s">
        <v>89</v>
      </c>
      <c r="B3" s="11" t="s">
        <v>90</v>
      </c>
      <c r="C3" s="95">
        <v>489750</v>
      </c>
      <c r="D3" s="92">
        <v>0.1903025884</v>
      </c>
      <c r="E3" s="93">
        <v>211123.24293097001</v>
      </c>
      <c r="F3" s="35"/>
      <c r="G3" s="228" t="s">
        <v>290</v>
      </c>
      <c r="H3" s="240" t="s">
        <v>321</v>
      </c>
      <c r="I3" s="240"/>
      <c r="K3" s="167" t="s">
        <v>34</v>
      </c>
      <c r="L3" s="168"/>
      <c r="M3" s="168"/>
      <c r="N3" s="169"/>
      <c r="O3" s="167" t="s">
        <v>291</v>
      </c>
      <c r="P3" s="168"/>
      <c r="Q3" s="168"/>
      <c r="R3" s="169"/>
    </row>
    <row r="4" spans="1:18" ht="17.25" thickBot="1">
      <c r="A4" s="40" t="s">
        <v>85</v>
      </c>
      <c r="B4" s="11" t="s">
        <v>86</v>
      </c>
      <c r="C4" s="95">
        <v>9390</v>
      </c>
      <c r="D4" s="92">
        <v>0.17521902380000001</v>
      </c>
      <c r="E4" s="93">
        <v>85447852.580644995</v>
      </c>
      <c r="F4" s="35"/>
      <c r="G4" s="229"/>
      <c r="H4" s="241"/>
      <c r="I4" s="241"/>
      <c r="K4" s="232" t="s">
        <v>55</v>
      </c>
      <c r="L4" s="244">
        <f ca="1">NOW()</f>
        <v>44322.202776620368</v>
      </c>
      <c r="M4" s="245"/>
      <c r="N4" s="246"/>
      <c r="O4" s="235" t="s">
        <v>55</v>
      </c>
      <c r="P4" s="244">
        <f ca="1">NOW()</f>
        <v>44322.202776620368</v>
      </c>
      <c r="Q4" s="245"/>
      <c r="R4" s="246"/>
    </row>
    <row r="5" spans="1:18" ht="17.25" thickBot="1">
      <c r="A5" s="40" t="s">
        <v>107</v>
      </c>
      <c r="B5" s="11" t="s">
        <v>108</v>
      </c>
      <c r="C5" s="95">
        <v>64290</v>
      </c>
      <c r="D5" s="92">
        <v>0.16361990949999999</v>
      </c>
      <c r="E5" s="93">
        <v>2662726.2512504999</v>
      </c>
      <c r="F5" s="35"/>
      <c r="K5" s="229"/>
      <c r="L5" s="51" t="s">
        <v>58</v>
      </c>
      <c r="M5" s="73" t="s">
        <v>59</v>
      </c>
      <c r="N5" s="69" t="s">
        <v>294</v>
      </c>
      <c r="O5" s="184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151</v>
      </c>
      <c r="B6" s="11" t="s">
        <v>152</v>
      </c>
      <c r="C6" s="95">
        <v>52.3</v>
      </c>
      <c r="D6" s="92">
        <v>0.15964523280000001</v>
      </c>
      <c r="E6" s="93">
        <v>2771457704.8306823</v>
      </c>
      <c r="F6" s="35"/>
      <c r="G6" s="167" t="s">
        <v>52</v>
      </c>
      <c r="H6" s="168"/>
      <c r="I6" s="169"/>
      <c r="K6" s="55" t="str">
        <f ca="1">IFERROR(OFFSET(INDIRECT($H$3 &amp; "!A17"), 0, 0), "")</f>
        <v>비트코인캐시</v>
      </c>
      <c r="L6" s="38">
        <f t="shared" ref="L6:L25" ca="1" si="0">_xlfn.IFNA(VLOOKUP(K6, $B$2:$D$200, 2, FALSE), "")</f>
        <v>1554000</v>
      </c>
      <c r="M6" s="76">
        <f t="shared" ref="M6:M25" ca="1" si="1">_xlfn.IFNA(VLOOKUP(K6, $B$2:$D$200, 3, FALSE), "")</f>
        <v>0.29069767439999999</v>
      </c>
      <c r="N6" s="85">
        <f ca="1">_xlfn.IFNA(VLOOKUP(K6, $B$2:$E$200, 4, FALSE), "")</f>
        <v>883920.89288688998</v>
      </c>
      <c r="O6" s="72" t="s">
        <v>78</v>
      </c>
      <c r="P6" s="38">
        <f t="shared" ref="P6:P25" si="2">_xlfn.IFNA(VLOOKUP(O6, $B$2:$D$200, 2, FALSE), "")</f>
        <v>1554000</v>
      </c>
      <c r="Q6" s="76">
        <f t="shared" ref="Q6:Q25" si="3">_xlfn.IFNA(VLOOKUP(O6, $B$2:$D$200, 3, FALSE), "")</f>
        <v>0.29069767439999999</v>
      </c>
      <c r="R6" s="85">
        <f>_xlfn.IFNA(VLOOKUP(O6, $B$2:$E$200, 4, FALSE), "")</f>
        <v>883920.89288688998</v>
      </c>
    </row>
    <row r="7" spans="1:18">
      <c r="A7" s="40" t="s">
        <v>101</v>
      </c>
      <c r="B7" s="11" t="s">
        <v>102</v>
      </c>
      <c r="C7" s="95">
        <v>99530</v>
      </c>
      <c r="D7" s="92">
        <v>0.1573255814</v>
      </c>
      <c r="E7" s="93">
        <v>41198981.332014114</v>
      </c>
      <c r="F7" s="35"/>
      <c r="G7" s="176" t="s">
        <v>36</v>
      </c>
      <c r="H7" s="177"/>
      <c r="I7" s="178"/>
      <c r="K7" s="56" t="str">
        <f ca="1">IFERROR(OFFSET(INDIRECT($H$3 &amp; "!A17"), 1, 0), "")</f>
        <v>스톰엑스</v>
      </c>
      <c r="L7" s="39">
        <f t="shared" ca="1" si="0"/>
        <v>65.8</v>
      </c>
      <c r="M7" s="77">
        <f t="shared" ca="1" si="1"/>
        <v>6.9918699200000003E-2</v>
      </c>
      <c r="N7" s="86">
        <f t="shared" ref="N7:N25" ca="1" si="4">_xlfn.IFNA(VLOOKUP(K7, $B$2:$E$200, 4, FALSE), "")</f>
        <v>499040374.57505888</v>
      </c>
      <c r="O7" s="88" t="s">
        <v>90</v>
      </c>
      <c r="P7" s="39">
        <f t="shared" si="2"/>
        <v>489750</v>
      </c>
      <c r="Q7" s="77">
        <f t="shared" si="3"/>
        <v>0.1903025884</v>
      </c>
      <c r="R7" s="86">
        <f t="shared" ref="R7:R25" si="5">_xlfn.IFNA(VLOOKUP(O7, $B$2:$E$200, 4, FALSE), "")</f>
        <v>211123.24293097001</v>
      </c>
    </row>
    <row r="8" spans="1:18" ht="17.25" thickBot="1">
      <c r="A8" s="40" t="s">
        <v>141</v>
      </c>
      <c r="B8" s="11" t="s">
        <v>142</v>
      </c>
      <c r="C8" s="95">
        <v>468</v>
      </c>
      <c r="D8" s="92">
        <v>0.13317191279999999</v>
      </c>
      <c r="E8" s="93">
        <v>348263505.41968036</v>
      </c>
      <c r="F8" s="35"/>
      <c r="G8" s="182"/>
      <c r="H8" s="183"/>
      <c r="I8" s="184"/>
      <c r="K8" s="56" t="str">
        <f ca="1">IFERROR(OFFSET(INDIRECT($H$3 &amp; "!A17"), 2, 0), "")</f>
        <v>이오스</v>
      </c>
      <c r="L8" s="39">
        <f t="shared" ca="1" si="0"/>
        <v>9390</v>
      </c>
      <c r="M8" s="77">
        <f t="shared" ca="1" si="1"/>
        <v>0.17521902380000001</v>
      </c>
      <c r="N8" s="86">
        <f t="shared" ca="1" si="4"/>
        <v>85447852.580644995</v>
      </c>
      <c r="O8" s="88" t="s">
        <v>86</v>
      </c>
      <c r="P8" s="39">
        <f t="shared" si="2"/>
        <v>9390</v>
      </c>
      <c r="Q8" s="77">
        <f t="shared" si="3"/>
        <v>0.17521902380000001</v>
      </c>
      <c r="R8" s="86">
        <f t="shared" si="5"/>
        <v>85447852.580644995</v>
      </c>
    </row>
    <row r="9" spans="1:18" ht="17.25" thickBot="1">
      <c r="A9" s="40" t="s">
        <v>50</v>
      </c>
      <c r="B9" s="11" t="s">
        <v>51</v>
      </c>
      <c r="C9" s="95">
        <v>713</v>
      </c>
      <c r="D9" s="92">
        <v>0.1299524564</v>
      </c>
      <c r="E9" s="93">
        <v>240626641.45494282</v>
      </c>
      <c r="F9" s="35"/>
      <c r="G9" s="50" t="s">
        <v>38</v>
      </c>
      <c r="H9" s="168" t="s">
        <v>37</v>
      </c>
      <c r="I9" s="169"/>
      <c r="K9" s="56" t="str">
        <f ca="1">IFERROR(OFFSET(INDIRECT($H$3 &amp; "!A17"), 3, 0), "")</f>
        <v>시아코인</v>
      </c>
      <c r="L9" s="39">
        <f t="shared" ca="1" si="0"/>
        <v>52.3</v>
      </c>
      <c r="M9" s="77">
        <f t="shared" ca="1" si="1"/>
        <v>0.15964523280000001</v>
      </c>
      <c r="N9" s="86">
        <f t="shared" ca="1" si="4"/>
        <v>2771457704.8306823</v>
      </c>
      <c r="O9" s="88" t="s">
        <v>108</v>
      </c>
      <c r="P9" s="39">
        <f t="shared" si="2"/>
        <v>64290</v>
      </c>
      <c r="Q9" s="77">
        <f t="shared" si="3"/>
        <v>0.16361990949999999</v>
      </c>
      <c r="R9" s="86">
        <f t="shared" si="5"/>
        <v>2662726.2512504999</v>
      </c>
    </row>
    <row r="10" spans="1:18">
      <c r="A10" s="40" t="s">
        <v>97</v>
      </c>
      <c r="B10" s="11" t="s">
        <v>98</v>
      </c>
      <c r="C10" s="95">
        <v>7790</v>
      </c>
      <c r="D10" s="92">
        <v>0.1273516643</v>
      </c>
      <c r="E10" s="93">
        <v>16543525.83248339</v>
      </c>
      <c r="F10" s="35"/>
      <c r="G10" s="242">
        <f>_xlfn.IFNA(VLOOKUP(G7, $B$2:$D$200, 3, FALSE), "-")</f>
        <v>4.74494606E-2</v>
      </c>
      <c r="H10" s="236">
        <f>_xlfn.IFNA(VLOOKUP(G7, $B$2:$D$200, 2, FALSE), "-")</f>
        <v>70000000</v>
      </c>
      <c r="I10" s="237"/>
      <c r="K10" s="58" t="str">
        <f ca="1">IFERROR(OFFSET(INDIRECT($H$3 &amp; "!A17"), 4, 0), "")</f>
        <v>비트코인에스브이</v>
      </c>
      <c r="L10" s="44">
        <f t="shared" ca="1" si="0"/>
        <v>489750</v>
      </c>
      <c r="M10" s="78">
        <f t="shared" ca="1" si="1"/>
        <v>0.1903025884</v>
      </c>
      <c r="N10" s="90">
        <f t="shared" ca="1" si="4"/>
        <v>211123.24293097001</v>
      </c>
      <c r="O10" s="88" t="s">
        <v>152</v>
      </c>
      <c r="P10" s="39">
        <f t="shared" si="2"/>
        <v>52.3</v>
      </c>
      <c r="Q10" s="77">
        <f t="shared" si="3"/>
        <v>0.15964523280000001</v>
      </c>
      <c r="R10" s="90">
        <f t="shared" si="5"/>
        <v>2771457704.8306823</v>
      </c>
    </row>
    <row r="11" spans="1:18" ht="17.25" thickBot="1">
      <c r="A11" s="40" t="s">
        <v>137</v>
      </c>
      <c r="B11" s="11" t="s">
        <v>138</v>
      </c>
      <c r="C11" s="95">
        <v>48970</v>
      </c>
      <c r="D11" s="92">
        <v>0.1231651376</v>
      </c>
      <c r="E11" s="93">
        <v>2282925.5679614302</v>
      </c>
      <c r="F11" s="35"/>
      <c r="G11" s="243"/>
      <c r="H11" s="238"/>
      <c r="I11" s="239"/>
      <c r="K11" s="56" t="str">
        <f ca="1">IFERROR(OFFSET(INDIRECT($H$3 &amp; "!A17"), 5, 0), "")</f>
        <v>비트코인캐시에이비씨</v>
      </c>
      <c r="L11" s="39">
        <f t="shared" ca="1" si="0"/>
        <v>64290</v>
      </c>
      <c r="M11" s="77">
        <f t="shared" ca="1" si="1"/>
        <v>0.16361990949999999</v>
      </c>
      <c r="N11" s="99">
        <f t="shared" ca="1" si="4"/>
        <v>2662726.2512504999</v>
      </c>
      <c r="O11" s="89" t="s">
        <v>102</v>
      </c>
      <c r="P11" s="45">
        <f t="shared" si="2"/>
        <v>99530</v>
      </c>
      <c r="Q11" s="80">
        <f t="shared" si="3"/>
        <v>0.1573255814</v>
      </c>
      <c r="R11" s="99">
        <f t="shared" si="5"/>
        <v>41198981.332014114</v>
      </c>
    </row>
    <row r="12" spans="1:18" ht="17.25" thickBot="1">
      <c r="A12" s="40" t="s">
        <v>177</v>
      </c>
      <c r="B12" s="11" t="s">
        <v>178</v>
      </c>
      <c r="C12" s="95">
        <v>54660</v>
      </c>
      <c r="D12" s="92">
        <v>0.1157379057</v>
      </c>
      <c r="E12" s="93">
        <v>556925.87445332005</v>
      </c>
      <c r="F12" s="35"/>
      <c r="K12" s="56" t="str">
        <f ca="1">IFERROR(OFFSET(INDIRECT($H$3 &amp; "!A17"), 6, 0), "")</f>
        <v>테조스</v>
      </c>
      <c r="L12" s="39">
        <f t="shared" ca="1" si="0"/>
        <v>7790</v>
      </c>
      <c r="M12" s="77">
        <f t="shared" ca="1" si="1"/>
        <v>0.1273516643</v>
      </c>
      <c r="N12" s="86">
        <f t="shared" ca="1" si="4"/>
        <v>16543525.83248339</v>
      </c>
      <c r="O12" s="88" t="s">
        <v>142</v>
      </c>
      <c r="P12" s="39">
        <f t="shared" si="2"/>
        <v>468</v>
      </c>
      <c r="Q12" s="77">
        <f t="shared" si="3"/>
        <v>0.13317191279999999</v>
      </c>
      <c r="R12" s="86">
        <f t="shared" si="5"/>
        <v>348263505.41968036</v>
      </c>
    </row>
    <row r="13" spans="1:18" ht="17.25" thickBot="1">
      <c r="A13" s="40" t="s">
        <v>129</v>
      </c>
      <c r="B13" s="11" t="s">
        <v>130</v>
      </c>
      <c r="C13" s="95">
        <v>428150</v>
      </c>
      <c r="D13" s="92">
        <v>0.1138137357</v>
      </c>
      <c r="E13" s="93">
        <v>612179.14351845998</v>
      </c>
      <c r="F13" s="35"/>
      <c r="G13" s="167" t="s">
        <v>70</v>
      </c>
      <c r="H13" s="168"/>
      <c r="I13" s="169"/>
      <c r="K13" s="56" t="str">
        <f ca="1">IFERROR(OFFSET(INDIRECT($H$3 &amp; "!A17"), 7, 0), "")</f>
        <v>폴카닷</v>
      </c>
      <c r="L13" s="39">
        <f t="shared" ca="1" si="0"/>
        <v>48970</v>
      </c>
      <c r="M13" s="77">
        <f t="shared" ca="1" si="1"/>
        <v>0.1231651376</v>
      </c>
      <c r="N13" s="86">
        <f t="shared" ca="1" si="4"/>
        <v>2282925.5679614302</v>
      </c>
      <c r="O13" s="88" t="s">
        <v>51</v>
      </c>
      <c r="P13" s="39">
        <f t="shared" si="2"/>
        <v>713</v>
      </c>
      <c r="Q13" s="77">
        <f t="shared" si="3"/>
        <v>0.1299524564</v>
      </c>
      <c r="R13" s="86">
        <f t="shared" si="5"/>
        <v>240626641.45494282</v>
      </c>
    </row>
    <row r="14" spans="1:18">
      <c r="A14" s="40" t="s">
        <v>187</v>
      </c>
      <c r="B14" s="11" t="s">
        <v>188</v>
      </c>
      <c r="C14" s="95">
        <v>19080</v>
      </c>
      <c r="D14" s="92">
        <v>9.7182288699999994E-2</v>
      </c>
      <c r="E14" s="93">
        <v>9977205.8246353399</v>
      </c>
      <c r="F14" s="35"/>
      <c r="G14" s="176" t="s">
        <v>36</v>
      </c>
      <c r="H14" s="177"/>
      <c r="I14" s="178"/>
      <c r="K14" s="56" t="str">
        <f ca="1">IFERROR(OFFSET(INDIRECT($H$3 &amp; "!A17"), 8, 0), "")</f>
        <v>쎄타퓨엘</v>
      </c>
      <c r="L14" s="39">
        <f t="shared" ca="1" si="0"/>
        <v>468</v>
      </c>
      <c r="M14" s="77">
        <f t="shared" ca="1" si="1"/>
        <v>0.13317191279999999</v>
      </c>
      <c r="N14" s="86">
        <f t="shared" ca="1" si="4"/>
        <v>348263505.41968036</v>
      </c>
      <c r="O14" s="88" t="s">
        <v>98</v>
      </c>
      <c r="P14" s="39">
        <f t="shared" si="2"/>
        <v>7790</v>
      </c>
      <c r="Q14" s="77">
        <f t="shared" si="3"/>
        <v>0.1273516643</v>
      </c>
      <c r="R14" s="86">
        <f t="shared" si="5"/>
        <v>16543525.83248339</v>
      </c>
    </row>
    <row r="15" spans="1:18" ht="17.25" thickBot="1">
      <c r="A15" s="40" t="s">
        <v>143</v>
      </c>
      <c r="B15" s="11" t="s">
        <v>144</v>
      </c>
      <c r="C15" s="95">
        <v>11970</v>
      </c>
      <c r="D15" s="92">
        <v>9.6153846200000004E-2</v>
      </c>
      <c r="E15" s="93">
        <v>11394026.722815789</v>
      </c>
      <c r="F15" s="35"/>
      <c r="G15" s="182"/>
      <c r="H15" s="183"/>
      <c r="I15" s="184"/>
      <c r="K15" s="57" t="str">
        <f ca="1">IFERROR(OFFSET(INDIRECT($H$3 &amp; "!A17"), 9, 0), "")</f>
        <v>스텔라루멘</v>
      </c>
      <c r="L15" s="37">
        <f t="shared" ca="1" si="0"/>
        <v>713</v>
      </c>
      <c r="M15" s="79">
        <f t="shared" ca="1" si="1"/>
        <v>0.1299524564</v>
      </c>
      <c r="N15" s="87">
        <f t="shared" ca="1" si="4"/>
        <v>240626641.45494282</v>
      </c>
      <c r="O15" s="74" t="s">
        <v>138</v>
      </c>
      <c r="P15" s="37">
        <f t="shared" si="2"/>
        <v>48970</v>
      </c>
      <c r="Q15" s="79">
        <f t="shared" si="3"/>
        <v>0.1231651376</v>
      </c>
      <c r="R15" s="87">
        <f t="shared" si="5"/>
        <v>2282925.5679614302</v>
      </c>
    </row>
    <row r="16" spans="1:18" ht="17.25" thickBot="1">
      <c r="A16" s="40" t="s">
        <v>103</v>
      </c>
      <c r="B16" s="11" t="s">
        <v>104</v>
      </c>
      <c r="C16" s="95">
        <v>2430</v>
      </c>
      <c r="D16" s="92">
        <v>9.4594594599999998E-2</v>
      </c>
      <c r="E16" s="93">
        <v>24110372.078860272</v>
      </c>
      <c r="F16" s="35"/>
      <c r="G16" s="50" t="s">
        <v>38</v>
      </c>
      <c r="H16" s="168" t="s">
        <v>37</v>
      </c>
      <c r="I16" s="169"/>
      <c r="K16" s="55" t="str">
        <f ca="1">IFERROR(OFFSET(INDIRECT($H$3 &amp; "!A17"), 10, 0), "")</f>
        <v>오미세고</v>
      </c>
      <c r="L16" s="38">
        <f t="shared" ca="1" si="0"/>
        <v>11970</v>
      </c>
      <c r="M16" s="76">
        <f t="shared" ca="1" si="1"/>
        <v>9.6153846200000004E-2</v>
      </c>
      <c r="N16" s="85">
        <f t="shared" ca="1" si="4"/>
        <v>11394026.722815789</v>
      </c>
      <c r="O16" s="72" t="s">
        <v>178</v>
      </c>
      <c r="P16" s="38">
        <f t="shared" si="2"/>
        <v>54660</v>
      </c>
      <c r="Q16" s="76">
        <f t="shared" si="3"/>
        <v>0.1157379057</v>
      </c>
      <c r="R16" s="85">
        <f t="shared" si="5"/>
        <v>556925.87445332005</v>
      </c>
    </row>
    <row r="17" spans="1:18">
      <c r="A17" s="40" t="s">
        <v>79</v>
      </c>
      <c r="B17" s="11" t="s">
        <v>80</v>
      </c>
      <c r="C17" s="95">
        <v>1600</v>
      </c>
      <c r="D17" s="92">
        <v>9.2150170599999998E-2</v>
      </c>
      <c r="E17" s="93">
        <v>11669634.284121821</v>
      </c>
      <c r="F17" s="35"/>
      <c r="G17" s="242">
        <f>_xlfn.IFNA(VLOOKUP(G14, $B$2:$D$200, 3, FALSE), "-")</f>
        <v>4.74494606E-2</v>
      </c>
      <c r="H17" s="236">
        <f>_xlfn.IFNA(VLOOKUP(G14, $B$2:$D$200, 2, FALSE), "-")</f>
        <v>70000000</v>
      </c>
      <c r="I17" s="237"/>
      <c r="K17" s="56" t="str">
        <f ca="1">IFERROR(OFFSET(INDIRECT($H$3 &amp; "!A17"), 11, 0), "")</f>
        <v>베이직어텐션토큰</v>
      </c>
      <c r="L17" s="39">
        <f t="shared" ca="1" si="0"/>
        <v>1600</v>
      </c>
      <c r="M17" s="77">
        <f t="shared" ca="1" si="1"/>
        <v>9.2150170599999998E-2</v>
      </c>
      <c r="N17" s="86">
        <f t="shared" ca="1" si="4"/>
        <v>11669634.284121821</v>
      </c>
      <c r="O17" s="88" t="s">
        <v>130</v>
      </c>
      <c r="P17" s="39">
        <f t="shared" si="2"/>
        <v>428150</v>
      </c>
      <c r="Q17" s="77">
        <f t="shared" si="3"/>
        <v>0.1138137357</v>
      </c>
      <c r="R17" s="86">
        <f t="shared" si="5"/>
        <v>612179.14351845998</v>
      </c>
    </row>
    <row r="18" spans="1:18" ht="17.25" thickBot="1">
      <c r="A18" s="40" t="s">
        <v>93</v>
      </c>
      <c r="B18" s="11" t="s">
        <v>94</v>
      </c>
      <c r="C18" s="95">
        <v>147800</v>
      </c>
      <c r="D18" s="92">
        <v>8.6764705900000003E-2</v>
      </c>
      <c r="E18" s="93">
        <v>3202977.8891160502</v>
      </c>
      <c r="F18" s="35"/>
      <c r="G18" s="243"/>
      <c r="H18" s="238"/>
      <c r="I18" s="239"/>
      <c r="K18" s="56" t="str">
        <f ca="1">IFERROR(OFFSET(INDIRECT($H$3 &amp; "!A17"), 12, 0), "")</f>
        <v>어거</v>
      </c>
      <c r="L18" s="39">
        <f t="shared" ca="1" si="0"/>
        <v>54660</v>
      </c>
      <c r="M18" s="77">
        <f t="shared" ca="1" si="1"/>
        <v>0.1157379057</v>
      </c>
      <c r="N18" s="86">
        <f t="shared" ca="1" si="4"/>
        <v>556925.87445332005</v>
      </c>
      <c r="O18" s="88" t="s">
        <v>188</v>
      </c>
      <c r="P18" s="39">
        <f t="shared" si="2"/>
        <v>19080</v>
      </c>
      <c r="Q18" s="77">
        <f t="shared" si="3"/>
        <v>9.7182288699999994E-2</v>
      </c>
      <c r="R18" s="86">
        <f t="shared" si="5"/>
        <v>9977205.8246353399</v>
      </c>
    </row>
    <row r="19" spans="1:18" ht="17.25" thickBot="1">
      <c r="A19" s="40" t="s">
        <v>91</v>
      </c>
      <c r="B19" s="11" t="s">
        <v>92</v>
      </c>
      <c r="C19" s="95">
        <v>1875</v>
      </c>
      <c r="D19" s="92">
        <v>7.4498567299999999E-2</v>
      </c>
      <c r="E19" s="93">
        <v>1117150234.7646031</v>
      </c>
      <c r="F19" s="35"/>
      <c r="K19" s="56" t="str">
        <f ca="1">IFERROR(OFFSET(INDIRECT($H$3 &amp; "!A17"), 13, 0), "")</f>
        <v>리플</v>
      </c>
      <c r="L19" s="39">
        <f t="shared" ca="1" si="0"/>
        <v>1875</v>
      </c>
      <c r="M19" s="77">
        <f t="shared" ca="1" si="1"/>
        <v>7.4498567299999999E-2</v>
      </c>
      <c r="N19" s="86">
        <f t="shared" ca="1" si="4"/>
        <v>1117150234.7646031</v>
      </c>
      <c r="O19" s="88" t="s">
        <v>144</v>
      </c>
      <c r="P19" s="39">
        <f t="shared" si="2"/>
        <v>11970</v>
      </c>
      <c r="Q19" s="77">
        <f t="shared" si="3"/>
        <v>9.6153846200000004E-2</v>
      </c>
      <c r="R19" s="86">
        <f t="shared" si="5"/>
        <v>11394026.722815789</v>
      </c>
    </row>
    <row r="20" spans="1:18" ht="17.25" thickBot="1">
      <c r="A20" s="40" t="s">
        <v>155</v>
      </c>
      <c r="B20" s="11" t="s">
        <v>156</v>
      </c>
      <c r="C20" s="95">
        <v>161</v>
      </c>
      <c r="D20" s="92">
        <v>7.3333333299999998E-2</v>
      </c>
      <c r="E20" s="93">
        <v>1014552646.3085994</v>
      </c>
      <c r="F20" s="35"/>
      <c r="G20" s="167" t="s">
        <v>286</v>
      </c>
      <c r="H20" s="168"/>
      <c r="I20" s="169"/>
      <c r="K20" s="58" t="str">
        <f ca="1">IFERROR(OFFSET(INDIRECT($H$3 &amp; "!A17"), 14, 0), "")</f>
        <v>온톨로지</v>
      </c>
      <c r="L20" s="44">
        <f t="shared" ca="1" si="0"/>
        <v>2430</v>
      </c>
      <c r="M20" s="78">
        <f t="shared" ca="1" si="1"/>
        <v>9.4594594599999998E-2</v>
      </c>
      <c r="N20" s="90">
        <f t="shared" ca="1" si="4"/>
        <v>24110372.078860272</v>
      </c>
      <c r="O20" s="88" t="s">
        <v>104</v>
      </c>
      <c r="P20" s="39">
        <f t="shared" si="2"/>
        <v>2430</v>
      </c>
      <c r="Q20" s="77">
        <f t="shared" si="3"/>
        <v>9.4594594599999998E-2</v>
      </c>
      <c r="R20" s="90">
        <f t="shared" si="5"/>
        <v>24110372.078860272</v>
      </c>
    </row>
    <row r="21" spans="1:18">
      <c r="A21" s="40" t="s">
        <v>62</v>
      </c>
      <c r="B21" s="11" t="s">
        <v>63</v>
      </c>
      <c r="C21" s="95">
        <v>129900</v>
      </c>
      <c r="D21" s="92">
        <v>7.1340206200000006E-2</v>
      </c>
      <c r="E21" s="93">
        <v>2071383.29622481</v>
      </c>
      <c r="F21" s="35"/>
      <c r="G21" s="176" t="s">
        <v>36</v>
      </c>
      <c r="H21" s="177"/>
      <c r="I21" s="178"/>
      <c r="K21" s="56" t="str">
        <f ca="1">IFERROR(OFFSET(INDIRECT($H$3 &amp; "!A17"), 15, 0), "")</f>
        <v>이더리움클래식</v>
      </c>
      <c r="L21" s="39">
        <f t="shared" ca="1" si="0"/>
        <v>99530</v>
      </c>
      <c r="M21" s="77">
        <f t="shared" ca="1" si="1"/>
        <v>0.1573255814</v>
      </c>
      <c r="N21" s="99">
        <f t="shared" ca="1" si="4"/>
        <v>41198981.332014114</v>
      </c>
      <c r="O21" s="89" t="s">
        <v>80</v>
      </c>
      <c r="P21" s="45">
        <f t="shared" si="2"/>
        <v>1600</v>
      </c>
      <c r="Q21" s="80">
        <f t="shared" si="3"/>
        <v>9.2150170599999998E-2</v>
      </c>
      <c r="R21" s="99">
        <f t="shared" si="5"/>
        <v>11669634.284121821</v>
      </c>
    </row>
    <row r="22" spans="1:18" ht="17.25" thickBot="1">
      <c r="A22" s="40" t="s">
        <v>167</v>
      </c>
      <c r="B22" s="11" t="s">
        <v>168</v>
      </c>
      <c r="C22" s="95">
        <v>212</v>
      </c>
      <c r="D22" s="92">
        <v>7.0707070699999999E-2</v>
      </c>
      <c r="E22" s="93">
        <v>287267660.45827067</v>
      </c>
      <c r="F22" s="35"/>
      <c r="G22" s="182"/>
      <c r="H22" s="183"/>
      <c r="I22" s="184"/>
      <c r="K22" s="56" t="str">
        <f ca="1">IFERROR(OFFSET(INDIRECT($H$3 &amp; "!A17"), 16, 0), "")</f>
        <v>퀀텀</v>
      </c>
      <c r="L22" s="39">
        <f t="shared" ca="1" si="0"/>
        <v>19080</v>
      </c>
      <c r="M22" s="77">
        <f t="shared" ca="1" si="1"/>
        <v>9.7182288699999994E-2</v>
      </c>
      <c r="N22" s="86">
        <f t="shared" ca="1" si="4"/>
        <v>9977205.8246353399</v>
      </c>
      <c r="O22" s="88" t="s">
        <v>94</v>
      </c>
      <c r="P22" s="39">
        <f t="shared" si="2"/>
        <v>147800</v>
      </c>
      <c r="Q22" s="77">
        <f t="shared" si="3"/>
        <v>8.6764705900000003E-2</v>
      </c>
      <c r="R22" s="86">
        <f t="shared" si="5"/>
        <v>3202977.8891160502</v>
      </c>
    </row>
    <row r="23" spans="1:18" ht="17.25" thickBot="1">
      <c r="A23" s="40" t="s">
        <v>125</v>
      </c>
      <c r="B23" s="11" t="s">
        <v>126</v>
      </c>
      <c r="C23" s="95">
        <v>65.8</v>
      </c>
      <c r="D23" s="92">
        <v>6.9918699200000003E-2</v>
      </c>
      <c r="E23" s="93">
        <v>499040374.57505888</v>
      </c>
      <c r="F23" s="35"/>
      <c r="G23" s="50" t="s">
        <v>38</v>
      </c>
      <c r="H23" s="168" t="s">
        <v>37</v>
      </c>
      <c r="I23" s="169"/>
      <c r="K23" s="56" t="str">
        <f ca="1">IFERROR(OFFSET(INDIRECT($H$3 &amp; "!A17"), 17, 0), "")</f>
        <v>디센트럴랜드</v>
      </c>
      <c r="L23" s="39">
        <f t="shared" ca="1" si="0"/>
        <v>1705</v>
      </c>
      <c r="M23" s="77">
        <f t="shared" ca="1" si="1"/>
        <v>6.8965517200000007E-2</v>
      </c>
      <c r="N23" s="86">
        <f t="shared" ca="1" si="4"/>
        <v>39841347.15987619</v>
      </c>
      <c r="O23" s="88" t="s">
        <v>92</v>
      </c>
      <c r="P23" s="39">
        <f t="shared" si="2"/>
        <v>1875</v>
      </c>
      <c r="Q23" s="77">
        <f t="shared" si="3"/>
        <v>7.4498567299999999E-2</v>
      </c>
      <c r="R23" s="86">
        <f t="shared" si="5"/>
        <v>1117150234.7646031</v>
      </c>
    </row>
    <row r="24" spans="1:18">
      <c r="A24" s="40" t="s">
        <v>60</v>
      </c>
      <c r="B24" s="11" t="s">
        <v>61</v>
      </c>
      <c r="C24" s="95">
        <v>1705</v>
      </c>
      <c r="D24" s="92">
        <v>6.8965517200000007E-2</v>
      </c>
      <c r="E24" s="93">
        <v>39841347.15987619</v>
      </c>
      <c r="F24" s="35"/>
      <c r="G24" s="242">
        <f>_xlfn.IFNA(VLOOKUP(G21, $B$2:$D$200, 3, FALSE), "-")</f>
        <v>4.74494606E-2</v>
      </c>
      <c r="H24" s="236">
        <f>_xlfn.IFNA(VLOOKUP(G21, $B$2:$D$200, 2, FALSE), "-")</f>
        <v>70000000</v>
      </c>
      <c r="I24" s="237"/>
      <c r="K24" s="56" t="str">
        <f ca="1">IFERROR(OFFSET(INDIRECT($H$3 &amp; "!A17"), 18, 0), "")</f>
        <v>라이트코인</v>
      </c>
      <c r="L24" s="39">
        <f t="shared" ca="1" si="0"/>
        <v>428150</v>
      </c>
      <c r="M24" s="77">
        <f t="shared" ca="1" si="1"/>
        <v>0.1138137357</v>
      </c>
      <c r="N24" s="86">
        <f t="shared" ca="1" si="4"/>
        <v>612179.14351845998</v>
      </c>
      <c r="O24" s="88" t="s">
        <v>156</v>
      </c>
      <c r="P24" s="39">
        <f t="shared" si="2"/>
        <v>161</v>
      </c>
      <c r="Q24" s="77">
        <f t="shared" si="3"/>
        <v>7.3333333299999998E-2</v>
      </c>
      <c r="R24" s="86">
        <f t="shared" si="5"/>
        <v>1014552646.3085994</v>
      </c>
    </row>
    <row r="25" spans="1:18" ht="17.25" thickBot="1">
      <c r="A25" s="40" t="s">
        <v>241</v>
      </c>
      <c r="B25" s="11" t="s">
        <v>242</v>
      </c>
      <c r="C25" s="95">
        <v>7135</v>
      </c>
      <c r="D25" s="92">
        <v>6.5720687099999994E-2</v>
      </c>
      <c r="E25" s="93">
        <v>2836222.7207399299</v>
      </c>
      <c r="F25" s="35"/>
      <c r="G25" s="243"/>
      <c r="H25" s="238"/>
      <c r="I25" s="239"/>
      <c r="K25" s="57" t="str">
        <f ca="1">IFERROR(OFFSET(INDIRECT($H$3 &amp; "!A17"), 19, 0), "")</f>
        <v>트론</v>
      </c>
      <c r="L25" s="37">
        <f t="shared" ca="1" si="0"/>
        <v>161</v>
      </c>
      <c r="M25" s="79">
        <f t="shared" ca="1" si="1"/>
        <v>7.3333333299999998E-2</v>
      </c>
      <c r="N25" s="87">
        <f t="shared" ca="1" si="4"/>
        <v>1014552646.3085994</v>
      </c>
      <c r="O25" s="74" t="s">
        <v>63</v>
      </c>
      <c r="P25" s="37">
        <f t="shared" si="2"/>
        <v>129900</v>
      </c>
      <c r="Q25" s="79">
        <f t="shared" si="3"/>
        <v>7.1340206200000006E-2</v>
      </c>
      <c r="R25" s="87">
        <f t="shared" si="5"/>
        <v>2071383.29622481</v>
      </c>
    </row>
    <row r="26" spans="1:18">
      <c r="A26" s="40" t="s">
        <v>191</v>
      </c>
      <c r="B26" s="11" t="s">
        <v>192</v>
      </c>
      <c r="C26" s="95">
        <v>1160</v>
      </c>
      <c r="D26" s="92">
        <v>6.42201835E-2</v>
      </c>
      <c r="E26" s="93">
        <v>10513860.66089938</v>
      </c>
      <c r="F26" s="35"/>
    </row>
    <row r="27" spans="1:18" ht="17.25" thickBot="1">
      <c r="A27" s="40" t="s">
        <v>183</v>
      </c>
      <c r="B27" s="11" t="s">
        <v>184</v>
      </c>
      <c r="C27" s="95">
        <v>2525</v>
      </c>
      <c r="D27" s="92">
        <v>6.3157894699999995E-2</v>
      </c>
      <c r="E27" s="93">
        <v>2339476.7463686899</v>
      </c>
      <c r="F27" s="35"/>
    </row>
    <row r="28" spans="1:18" ht="17.25" thickBot="1">
      <c r="A28" s="40" t="s">
        <v>295</v>
      </c>
      <c r="B28" s="11" t="s">
        <v>296</v>
      </c>
      <c r="C28" s="95">
        <v>716</v>
      </c>
      <c r="D28" s="92">
        <v>6.0740740699999997E-2</v>
      </c>
      <c r="E28" s="93">
        <v>11653920006.261757</v>
      </c>
      <c r="F28" s="35"/>
      <c r="G28" s="167" t="s">
        <v>46</v>
      </c>
      <c r="H28" s="168"/>
      <c r="I28" s="168"/>
      <c r="J28" s="169"/>
      <c r="K28" s="167" t="s">
        <v>44</v>
      </c>
      <c r="L28" s="168"/>
      <c r="M28" s="168"/>
      <c r="N28" s="169"/>
      <c r="O28" s="167" t="s">
        <v>45</v>
      </c>
      <c r="P28" s="168"/>
      <c r="Q28" s="168"/>
      <c r="R28" s="169"/>
    </row>
    <row r="29" spans="1:18" ht="17.25" thickBot="1">
      <c r="A29" s="40" t="s">
        <v>73</v>
      </c>
      <c r="B29" s="11" t="s">
        <v>74</v>
      </c>
      <c r="C29" s="95">
        <v>27880</v>
      </c>
      <c r="D29" s="92">
        <v>5.6861258499999998E-2</v>
      </c>
      <c r="E29" s="93">
        <v>1127607.7670257201</v>
      </c>
      <c r="F29" s="35"/>
      <c r="G29" s="232" t="s">
        <v>55</v>
      </c>
      <c r="H29" s="244">
        <f ca="1">NOW()</f>
        <v>44322.202776620368</v>
      </c>
      <c r="I29" s="245"/>
      <c r="J29" s="246"/>
      <c r="K29" s="235" t="s">
        <v>55</v>
      </c>
      <c r="L29" s="244">
        <f ca="1">NOW()</f>
        <v>44322.202776620368</v>
      </c>
      <c r="M29" s="245"/>
      <c r="N29" s="246"/>
      <c r="O29" s="235" t="s">
        <v>55</v>
      </c>
      <c r="P29" s="244">
        <f ca="1">NOW()</f>
        <v>44322.202776620368</v>
      </c>
      <c r="Q29" s="245"/>
      <c r="R29" s="246"/>
    </row>
    <row r="30" spans="1:18" ht="17.25" thickBot="1">
      <c r="A30" s="40" t="s">
        <v>105</v>
      </c>
      <c r="B30" s="11" t="s">
        <v>106</v>
      </c>
      <c r="C30" s="95">
        <v>2225</v>
      </c>
      <c r="D30" s="92">
        <v>5.4502369699999997E-2</v>
      </c>
      <c r="E30" s="93">
        <v>6193581.0944937803</v>
      </c>
      <c r="F30" s="35"/>
      <c r="G30" s="229"/>
      <c r="H30" s="51" t="s">
        <v>58</v>
      </c>
      <c r="I30" s="73" t="s">
        <v>59</v>
      </c>
      <c r="J30" s="69" t="s">
        <v>294</v>
      </c>
      <c r="K30" s="184"/>
      <c r="L30" s="51" t="s">
        <v>58</v>
      </c>
      <c r="M30" s="73" t="s">
        <v>59</v>
      </c>
      <c r="N30" s="91" t="s">
        <v>294</v>
      </c>
      <c r="O30" s="184"/>
      <c r="P30" s="51" t="s">
        <v>58</v>
      </c>
      <c r="Q30" s="73" t="s">
        <v>59</v>
      </c>
      <c r="R30" s="91" t="s">
        <v>294</v>
      </c>
    </row>
    <row r="31" spans="1:18">
      <c r="A31" s="40" t="s">
        <v>135</v>
      </c>
      <c r="B31" s="11" t="s">
        <v>136</v>
      </c>
      <c r="C31" s="95">
        <v>256</v>
      </c>
      <c r="D31" s="92">
        <v>5.3497942399999998E-2</v>
      </c>
      <c r="E31" s="93">
        <v>51072563.707166657</v>
      </c>
      <c r="F31" s="35"/>
      <c r="G31" s="52" t="s">
        <v>78</v>
      </c>
      <c r="H31" s="38">
        <f t="shared" ref="H31:H50" si="6">_xlfn.IFNA(VLOOKUP(G31, $B$2:$D$200, 2, FALSE), "")</f>
        <v>1554000</v>
      </c>
      <c r="I31" s="76">
        <f t="shared" ref="I31:I50" si="7">_xlfn.IFNA(VLOOKUP(G31, $B$2:$D$200, 3, FALSE), "")</f>
        <v>0.29069767439999999</v>
      </c>
      <c r="J31" s="85">
        <f>_xlfn.IFNA(VLOOKUP(G31, $B$2:$E$200, 4, FALSE), "")</f>
        <v>883920.89288688998</v>
      </c>
      <c r="K31" s="81" t="s">
        <v>152</v>
      </c>
      <c r="L31" s="38">
        <f t="shared" ref="L31:L50" si="8">_xlfn.IFNA(VLOOKUP(K31, $B$2:$D$200, 2, FALSE), "")</f>
        <v>52.3</v>
      </c>
      <c r="M31" s="76">
        <f t="shared" ref="M31:M50" si="9">_xlfn.IFNA(VLOOKUP(K31, $B$2:$D$200, 3, FALSE), "")</f>
        <v>0.15964523280000001</v>
      </c>
      <c r="N31" s="85">
        <f>_xlfn.IFNA(VLOOKUP(K31, $B$2:$E$200, 4, FALSE), "")</f>
        <v>2771457704.8306823</v>
      </c>
      <c r="O31" s="81" t="s">
        <v>142</v>
      </c>
      <c r="P31" s="38">
        <f t="shared" ref="P31:P50" si="10">_xlfn.IFNA(VLOOKUP(O31, $B$2:$D$200, 2, FALSE), "")</f>
        <v>468</v>
      </c>
      <c r="Q31" s="76">
        <f t="shared" ref="Q31:Q50" si="11">_xlfn.IFNA(VLOOKUP(O31, $B$2:$D$200, 3, FALSE), "")</f>
        <v>0.13317191279999999</v>
      </c>
      <c r="R31" s="85">
        <f>_xlfn.IFNA(VLOOKUP(O31, $B$2:$E$200, 4, FALSE), "")</f>
        <v>348263505.41968036</v>
      </c>
    </row>
    <row r="32" spans="1:18">
      <c r="A32" s="40" t="s">
        <v>83</v>
      </c>
      <c r="B32" s="11" t="s">
        <v>84</v>
      </c>
      <c r="C32" s="95">
        <v>1675</v>
      </c>
      <c r="D32" s="92">
        <v>5.3459119499999999E-2</v>
      </c>
      <c r="E32" s="93">
        <v>63140955.346559063</v>
      </c>
      <c r="F32" s="35"/>
      <c r="G32" s="47" t="s">
        <v>90</v>
      </c>
      <c r="H32" s="39">
        <f t="shared" si="6"/>
        <v>489750</v>
      </c>
      <c r="I32" s="77">
        <f t="shared" si="7"/>
        <v>0.1903025884</v>
      </c>
      <c r="J32" s="86">
        <f t="shared" ref="J32:J50" si="12">_xlfn.IFNA(VLOOKUP(G32, $B$2:$E$200, 4, FALSE), "")</f>
        <v>211123.24293097001</v>
      </c>
      <c r="K32" s="82" t="s">
        <v>126</v>
      </c>
      <c r="L32" s="39">
        <f t="shared" si="8"/>
        <v>65.8</v>
      </c>
      <c r="M32" s="77">
        <f t="shared" si="9"/>
        <v>6.9918699200000003E-2</v>
      </c>
      <c r="N32" s="86">
        <f t="shared" ref="N32:N50" si="13">_xlfn.IFNA(VLOOKUP(K32, $B$2:$E$200, 4, FALSE), "")</f>
        <v>499040374.57505888</v>
      </c>
      <c r="O32" s="82" t="s">
        <v>51</v>
      </c>
      <c r="P32" s="39">
        <f t="shared" si="10"/>
        <v>713</v>
      </c>
      <c r="Q32" s="77">
        <f t="shared" si="11"/>
        <v>0.1299524564</v>
      </c>
      <c r="R32" s="86">
        <f t="shared" ref="R32:R50" si="14">_xlfn.IFNA(VLOOKUP(O32, $B$2:$E$200, 4, FALSE), "")</f>
        <v>240626641.45494282</v>
      </c>
    </row>
    <row r="33" spans="1:18">
      <c r="A33" s="40" t="s">
        <v>119</v>
      </c>
      <c r="B33" s="11" t="s">
        <v>120</v>
      </c>
      <c r="C33" s="95">
        <v>218</v>
      </c>
      <c r="D33" s="92">
        <v>5.3140096599999999E-2</v>
      </c>
      <c r="E33" s="93">
        <v>125048857.43552791</v>
      </c>
      <c r="F33" s="35"/>
      <c r="G33" s="47" t="s">
        <v>86</v>
      </c>
      <c r="H33" s="39">
        <f t="shared" si="6"/>
        <v>9390</v>
      </c>
      <c r="I33" s="77">
        <f t="shared" si="7"/>
        <v>0.17521902380000001</v>
      </c>
      <c r="J33" s="86">
        <f t="shared" si="12"/>
        <v>85447852.580644995</v>
      </c>
      <c r="K33" s="82" t="s">
        <v>100</v>
      </c>
      <c r="L33" s="39">
        <f t="shared" si="8"/>
        <v>8.43</v>
      </c>
      <c r="M33" s="77">
        <f t="shared" si="9"/>
        <v>5.2434456900000002E-2</v>
      </c>
      <c r="N33" s="86">
        <f t="shared" si="13"/>
        <v>144446453533.8797</v>
      </c>
      <c r="O33" s="82" t="s">
        <v>156</v>
      </c>
      <c r="P33" s="39">
        <f t="shared" si="10"/>
        <v>161</v>
      </c>
      <c r="Q33" s="77">
        <f t="shared" si="11"/>
        <v>7.3333333299999998E-2</v>
      </c>
      <c r="R33" s="86">
        <f t="shared" si="14"/>
        <v>1014552646.3085994</v>
      </c>
    </row>
    <row r="34" spans="1:18">
      <c r="A34" s="40" t="s">
        <v>99</v>
      </c>
      <c r="B34" s="11" t="s">
        <v>100</v>
      </c>
      <c r="C34" s="95">
        <v>8.43</v>
      </c>
      <c r="D34" s="92">
        <v>5.2434456900000002E-2</v>
      </c>
      <c r="E34" s="93">
        <v>144446453533.8797</v>
      </c>
      <c r="F34" s="35"/>
      <c r="G34" s="47" t="s">
        <v>108</v>
      </c>
      <c r="H34" s="39">
        <f t="shared" si="6"/>
        <v>64290</v>
      </c>
      <c r="I34" s="77">
        <f t="shared" si="7"/>
        <v>0.16361990949999999</v>
      </c>
      <c r="J34" s="86">
        <f t="shared" si="12"/>
        <v>2662726.2512504999</v>
      </c>
      <c r="K34" s="82" t="s">
        <v>72</v>
      </c>
      <c r="L34" s="39">
        <f t="shared" si="8"/>
        <v>35.799999999999997</v>
      </c>
      <c r="M34" s="77">
        <f t="shared" si="9"/>
        <v>3.1700288200000003E-2</v>
      </c>
      <c r="N34" s="86">
        <f t="shared" si="13"/>
        <v>153734075.85854876</v>
      </c>
      <c r="O34" s="82" t="s">
        <v>168</v>
      </c>
      <c r="P34" s="39">
        <f t="shared" si="10"/>
        <v>212</v>
      </c>
      <c r="Q34" s="77">
        <f t="shared" si="11"/>
        <v>7.0707070699999999E-2</v>
      </c>
      <c r="R34" s="86">
        <f t="shared" si="14"/>
        <v>287267660.45827067</v>
      </c>
    </row>
    <row r="35" spans="1:18">
      <c r="A35" s="40" t="s">
        <v>48</v>
      </c>
      <c r="B35" s="11" t="s">
        <v>49</v>
      </c>
      <c r="C35" s="95">
        <v>70000000</v>
      </c>
      <c r="D35" s="92">
        <v>4.74494606E-2</v>
      </c>
      <c r="E35" s="93">
        <v>8934.1576370700004</v>
      </c>
      <c r="F35" s="35"/>
      <c r="G35" s="47" t="s">
        <v>152</v>
      </c>
      <c r="H35" s="44">
        <f t="shared" si="6"/>
        <v>52.3</v>
      </c>
      <c r="I35" s="78">
        <f t="shared" si="7"/>
        <v>0.15964523280000001</v>
      </c>
      <c r="J35" s="90">
        <f t="shared" si="12"/>
        <v>2771457704.8306823</v>
      </c>
      <c r="K35" s="83" t="s">
        <v>65</v>
      </c>
      <c r="L35" s="44">
        <f t="shared" si="8"/>
        <v>73.2</v>
      </c>
      <c r="M35" s="78">
        <f t="shared" si="9"/>
        <v>2.6647966299999999E-2</v>
      </c>
      <c r="N35" s="90">
        <f t="shared" si="13"/>
        <v>164070256.55698773</v>
      </c>
      <c r="O35" s="83" t="s">
        <v>296</v>
      </c>
      <c r="P35" s="44">
        <f t="shared" si="10"/>
        <v>716</v>
      </c>
      <c r="Q35" s="78">
        <f t="shared" si="11"/>
        <v>6.0740740699999997E-2</v>
      </c>
      <c r="R35" s="90">
        <f t="shared" si="14"/>
        <v>11653920006.261757</v>
      </c>
    </row>
    <row r="36" spans="1:18">
      <c r="A36" s="40" t="s">
        <v>277</v>
      </c>
      <c r="B36" s="11" t="s">
        <v>278</v>
      </c>
      <c r="C36" s="95">
        <v>157</v>
      </c>
      <c r="D36" s="92">
        <v>4.6666666699999998E-2</v>
      </c>
      <c r="E36" s="93">
        <v>91479893.348973364</v>
      </c>
      <c r="F36" s="35"/>
      <c r="G36" s="49" t="s">
        <v>102</v>
      </c>
      <c r="H36" s="39">
        <f t="shared" si="6"/>
        <v>99530</v>
      </c>
      <c r="I36" s="77">
        <f t="shared" si="7"/>
        <v>0.1573255814</v>
      </c>
      <c r="J36" s="99">
        <f t="shared" si="12"/>
        <v>41198981.332014114</v>
      </c>
      <c r="K36" s="82" t="s">
        <v>198</v>
      </c>
      <c r="L36" s="39">
        <f t="shared" si="8"/>
        <v>29.4</v>
      </c>
      <c r="M36" s="77">
        <f t="shared" si="9"/>
        <v>1.03092784E-2</v>
      </c>
      <c r="N36" s="99">
        <f t="shared" si="13"/>
        <v>1058899518.6911216</v>
      </c>
      <c r="O36" s="82" t="s">
        <v>136</v>
      </c>
      <c r="P36" s="39">
        <f t="shared" si="10"/>
        <v>256</v>
      </c>
      <c r="Q36" s="77">
        <f t="shared" si="11"/>
        <v>5.3497942399999998E-2</v>
      </c>
      <c r="R36" s="99">
        <f t="shared" si="14"/>
        <v>51072563.707166657</v>
      </c>
    </row>
    <row r="37" spans="1:18">
      <c r="A37" s="40" t="s">
        <v>117</v>
      </c>
      <c r="B37" s="11" t="s">
        <v>118</v>
      </c>
      <c r="C37" s="95">
        <v>7430</v>
      </c>
      <c r="D37" s="92">
        <v>4.64788732E-2</v>
      </c>
      <c r="E37" s="93">
        <v>1668016.50073318</v>
      </c>
      <c r="F37" s="35"/>
      <c r="G37" s="47" t="s">
        <v>142</v>
      </c>
      <c r="H37" s="39">
        <f t="shared" si="6"/>
        <v>468</v>
      </c>
      <c r="I37" s="77">
        <f t="shared" si="7"/>
        <v>0.13317191279999999</v>
      </c>
      <c r="J37" s="86">
        <f t="shared" si="12"/>
        <v>348263505.41968036</v>
      </c>
      <c r="K37" s="82" t="s">
        <v>220</v>
      </c>
      <c r="L37" s="39">
        <f t="shared" si="8"/>
        <v>22.4</v>
      </c>
      <c r="M37" s="77">
        <f t="shared" si="9"/>
        <v>9.0090090000000001E-3</v>
      </c>
      <c r="N37" s="86">
        <f t="shared" si="13"/>
        <v>1166610215.9856822</v>
      </c>
      <c r="O37" s="82" t="s">
        <v>120</v>
      </c>
      <c r="P37" s="39">
        <f t="shared" si="10"/>
        <v>218</v>
      </c>
      <c r="Q37" s="77">
        <f t="shared" si="11"/>
        <v>5.3140096599999999E-2</v>
      </c>
      <c r="R37" s="86">
        <f t="shared" si="14"/>
        <v>125048857.43552791</v>
      </c>
    </row>
    <row r="38" spans="1:18">
      <c r="A38" s="40" t="s">
        <v>53</v>
      </c>
      <c r="B38" s="11" t="s">
        <v>54</v>
      </c>
      <c r="C38" s="95">
        <v>370</v>
      </c>
      <c r="D38" s="92">
        <v>4.5197740100000001E-2</v>
      </c>
      <c r="E38" s="93">
        <v>38289656.261294901</v>
      </c>
      <c r="F38" s="35"/>
      <c r="G38" s="47" t="s">
        <v>51</v>
      </c>
      <c r="H38" s="39">
        <f t="shared" si="6"/>
        <v>713</v>
      </c>
      <c r="I38" s="77">
        <f t="shared" si="7"/>
        <v>0.1299524564</v>
      </c>
      <c r="J38" s="86">
        <f t="shared" si="12"/>
        <v>240626641.45494282</v>
      </c>
      <c r="K38" s="82" t="s">
        <v>186</v>
      </c>
      <c r="L38" s="39">
        <f t="shared" si="8"/>
        <v>26.2</v>
      </c>
      <c r="M38" s="77">
        <f t="shared" si="9"/>
        <v>7.6923076999999996E-3</v>
      </c>
      <c r="N38" s="86">
        <f t="shared" si="13"/>
        <v>619316453.65330219</v>
      </c>
      <c r="O38" s="82" t="s">
        <v>278</v>
      </c>
      <c r="P38" s="39">
        <f t="shared" si="10"/>
        <v>157</v>
      </c>
      <c r="Q38" s="77">
        <f t="shared" si="11"/>
        <v>4.6666666699999998E-2</v>
      </c>
      <c r="R38" s="86">
        <f t="shared" si="14"/>
        <v>91479893.348973364</v>
      </c>
    </row>
    <row r="39" spans="1:18">
      <c r="A39" s="40" t="s">
        <v>56</v>
      </c>
      <c r="B39" s="11" t="s">
        <v>57</v>
      </c>
      <c r="C39" s="95">
        <v>407</v>
      </c>
      <c r="D39" s="92">
        <v>4.3589743600000001E-2</v>
      </c>
      <c r="E39" s="93">
        <v>122287735.25954223</v>
      </c>
      <c r="F39" s="35"/>
      <c r="G39" s="47" t="s">
        <v>98</v>
      </c>
      <c r="H39" s="39">
        <f t="shared" si="6"/>
        <v>7790</v>
      </c>
      <c r="I39" s="77">
        <f t="shared" si="7"/>
        <v>0.1273516643</v>
      </c>
      <c r="J39" s="86">
        <f t="shared" si="12"/>
        <v>16543525.83248339</v>
      </c>
      <c r="K39" s="82" t="s">
        <v>228</v>
      </c>
      <c r="L39" s="39">
        <f t="shared" si="8"/>
        <v>18.899999999999999</v>
      </c>
      <c r="M39" s="77">
        <f t="shared" si="9"/>
        <v>5.3191489E-3</v>
      </c>
      <c r="N39" s="86">
        <f t="shared" si="13"/>
        <v>1421498370.761802</v>
      </c>
      <c r="O39" s="82" t="s">
        <v>54</v>
      </c>
      <c r="P39" s="39">
        <f t="shared" si="10"/>
        <v>370</v>
      </c>
      <c r="Q39" s="77">
        <f t="shared" si="11"/>
        <v>4.5197740100000001E-2</v>
      </c>
      <c r="R39" s="86">
        <f t="shared" si="14"/>
        <v>38289656.261294901</v>
      </c>
    </row>
    <row r="40" spans="1:18" ht="17.25" thickBot="1">
      <c r="A40" s="40" t="s">
        <v>159</v>
      </c>
      <c r="B40" s="11" t="s">
        <v>160</v>
      </c>
      <c r="C40" s="95">
        <v>3050</v>
      </c>
      <c r="D40" s="92">
        <v>4.0955631399999998E-2</v>
      </c>
      <c r="E40" s="93">
        <v>5735154.2037221398</v>
      </c>
      <c r="F40" s="35"/>
      <c r="G40" s="53" t="s">
        <v>138</v>
      </c>
      <c r="H40" s="37">
        <f t="shared" si="6"/>
        <v>48970</v>
      </c>
      <c r="I40" s="79">
        <f t="shared" si="7"/>
        <v>0.1231651376</v>
      </c>
      <c r="J40" s="87">
        <f t="shared" si="12"/>
        <v>2282925.5679614302</v>
      </c>
      <c r="K40" s="84" t="s">
        <v>154</v>
      </c>
      <c r="L40" s="37">
        <f t="shared" si="8"/>
        <v>21.8</v>
      </c>
      <c r="M40" s="79">
        <f t="shared" si="9"/>
        <v>4.6082948999999996E-3</v>
      </c>
      <c r="N40" s="87">
        <f t="shared" si="13"/>
        <v>1183808733.3069227</v>
      </c>
      <c r="O40" s="84" t="s">
        <v>57</v>
      </c>
      <c r="P40" s="37">
        <f t="shared" si="10"/>
        <v>407</v>
      </c>
      <c r="Q40" s="79">
        <f t="shared" si="11"/>
        <v>4.3589743600000001E-2</v>
      </c>
      <c r="R40" s="87">
        <f t="shared" si="14"/>
        <v>122287735.25954223</v>
      </c>
    </row>
    <row r="41" spans="1:18">
      <c r="A41" s="40" t="s">
        <v>149</v>
      </c>
      <c r="B41" s="11" t="s">
        <v>150</v>
      </c>
      <c r="C41" s="95">
        <v>6160</v>
      </c>
      <c r="D41" s="92">
        <v>3.8785834700000001E-2</v>
      </c>
      <c r="E41" s="93">
        <v>10860705.937073549</v>
      </c>
      <c r="F41" s="35"/>
      <c r="G41" s="52" t="s">
        <v>178</v>
      </c>
      <c r="H41" s="38">
        <f t="shared" si="6"/>
        <v>54660</v>
      </c>
      <c r="I41" s="76">
        <f t="shared" si="7"/>
        <v>0.1157379057</v>
      </c>
      <c r="J41" s="85">
        <f t="shared" si="12"/>
        <v>556925.87445332005</v>
      </c>
      <c r="K41" s="81" t="s">
        <v>196</v>
      </c>
      <c r="L41" s="38">
        <f t="shared" si="8"/>
        <v>20.7</v>
      </c>
      <c r="M41" s="76">
        <f t="shared" si="9"/>
        <v>0</v>
      </c>
      <c r="N41" s="85">
        <f t="shared" si="13"/>
        <v>585232752.97924209</v>
      </c>
      <c r="O41" s="81" t="s">
        <v>182</v>
      </c>
      <c r="P41" s="38">
        <f t="shared" si="10"/>
        <v>472</v>
      </c>
      <c r="Q41" s="76">
        <f t="shared" si="11"/>
        <v>3.2822757100000002E-2</v>
      </c>
      <c r="R41" s="85">
        <f t="shared" si="14"/>
        <v>9405222.0859836601</v>
      </c>
    </row>
    <row r="42" spans="1:18">
      <c r="A42" s="40" t="s">
        <v>165</v>
      </c>
      <c r="B42" s="11" t="s">
        <v>166</v>
      </c>
      <c r="C42" s="95">
        <v>2355</v>
      </c>
      <c r="D42" s="92">
        <v>3.7444933899999998E-2</v>
      </c>
      <c r="E42" s="93">
        <v>3161685.2491589398</v>
      </c>
      <c r="F42" s="35"/>
      <c r="G42" s="47" t="s">
        <v>130</v>
      </c>
      <c r="H42" s="39">
        <f t="shared" si="6"/>
        <v>428150</v>
      </c>
      <c r="I42" s="77">
        <f t="shared" si="7"/>
        <v>0.1138137357</v>
      </c>
      <c r="J42" s="86">
        <f t="shared" si="12"/>
        <v>612179.14351845998</v>
      </c>
      <c r="K42" s="82" t="s">
        <v>222</v>
      </c>
      <c r="L42" s="39">
        <f t="shared" si="8"/>
        <v>18.8</v>
      </c>
      <c r="M42" s="77">
        <f t="shared" si="9"/>
        <v>0</v>
      </c>
      <c r="N42" s="86">
        <f t="shared" si="13"/>
        <v>406048106.9257195</v>
      </c>
      <c r="O42" s="82" t="s">
        <v>132</v>
      </c>
      <c r="P42" s="39">
        <f t="shared" si="10"/>
        <v>242</v>
      </c>
      <c r="Q42" s="77">
        <f t="shared" si="11"/>
        <v>2.9787233999999999E-2</v>
      </c>
      <c r="R42" s="86">
        <f t="shared" si="14"/>
        <v>1104241770.2252271</v>
      </c>
    </row>
    <row r="43" spans="1:18">
      <c r="A43" s="40" t="s">
        <v>139</v>
      </c>
      <c r="B43" s="11" t="s">
        <v>140</v>
      </c>
      <c r="C43" s="95">
        <v>3870</v>
      </c>
      <c r="D43" s="92">
        <v>3.4759358300000001E-2</v>
      </c>
      <c r="E43" s="93">
        <v>2435612.8865044899</v>
      </c>
      <c r="F43" s="35"/>
      <c r="G43" s="47" t="s">
        <v>188</v>
      </c>
      <c r="H43" s="39">
        <f t="shared" si="6"/>
        <v>19080</v>
      </c>
      <c r="I43" s="77">
        <f t="shared" si="7"/>
        <v>9.7182288699999994E-2</v>
      </c>
      <c r="J43" s="86">
        <f t="shared" si="12"/>
        <v>9977205.8246353399</v>
      </c>
      <c r="K43" s="82" t="s">
        <v>268</v>
      </c>
      <c r="L43" s="39">
        <f t="shared" si="8"/>
        <v>99.4</v>
      </c>
      <c r="M43" s="77">
        <f t="shared" si="9"/>
        <v>-6.0000000000000001E-3</v>
      </c>
      <c r="N43" s="86">
        <f t="shared" si="13"/>
        <v>221889418.98495752</v>
      </c>
      <c r="O43" s="82" t="s">
        <v>134</v>
      </c>
      <c r="P43" s="39">
        <f t="shared" si="10"/>
        <v>151</v>
      </c>
      <c r="Q43" s="77">
        <f t="shared" si="11"/>
        <v>2.72108844E-2</v>
      </c>
      <c r="R43" s="86">
        <f t="shared" si="14"/>
        <v>87494179.770052403</v>
      </c>
    </row>
    <row r="44" spans="1:18">
      <c r="A44" s="40" t="s">
        <v>109</v>
      </c>
      <c r="B44" s="11" t="s">
        <v>110</v>
      </c>
      <c r="C44" s="95">
        <v>2800</v>
      </c>
      <c r="D44" s="92">
        <v>3.3210332100000003E-2</v>
      </c>
      <c r="E44" s="93">
        <v>2139441.8335636398</v>
      </c>
      <c r="F44" s="35"/>
      <c r="G44" s="47" t="s">
        <v>144</v>
      </c>
      <c r="H44" s="39">
        <f t="shared" si="6"/>
        <v>11970</v>
      </c>
      <c r="I44" s="77">
        <f t="shared" si="7"/>
        <v>9.6153846200000004E-2</v>
      </c>
      <c r="J44" s="86">
        <f t="shared" si="12"/>
        <v>11394026.722815789</v>
      </c>
      <c r="K44" s="82" t="s">
        <v>236</v>
      </c>
      <c r="L44" s="39">
        <f t="shared" si="8"/>
        <v>69.900000000000006</v>
      </c>
      <c r="M44" s="77">
        <f t="shared" si="9"/>
        <v>-9.9150142000000007E-3</v>
      </c>
      <c r="N44" s="86">
        <f t="shared" si="13"/>
        <v>174788085.01683986</v>
      </c>
      <c r="O44" s="82" t="s">
        <v>128</v>
      </c>
      <c r="P44" s="39">
        <f t="shared" si="10"/>
        <v>685</v>
      </c>
      <c r="Q44" s="77">
        <f t="shared" si="11"/>
        <v>2.6986506699999999E-2</v>
      </c>
      <c r="R44" s="86">
        <f t="shared" si="14"/>
        <v>17315442.752347339</v>
      </c>
    </row>
    <row r="45" spans="1:18">
      <c r="A45" s="40" t="s">
        <v>181</v>
      </c>
      <c r="B45" s="11" t="s">
        <v>182</v>
      </c>
      <c r="C45" s="95">
        <v>472</v>
      </c>
      <c r="D45" s="92">
        <v>3.2822757100000002E-2</v>
      </c>
      <c r="E45" s="93">
        <v>9405222.0859836601</v>
      </c>
      <c r="F45" s="35"/>
      <c r="G45" s="47" t="s">
        <v>104</v>
      </c>
      <c r="H45" s="44">
        <f t="shared" si="6"/>
        <v>2430</v>
      </c>
      <c r="I45" s="78">
        <f t="shared" si="7"/>
        <v>9.4594594599999998E-2</v>
      </c>
      <c r="J45" s="90">
        <f t="shared" si="12"/>
        <v>24110372.078860272</v>
      </c>
      <c r="K45" s="83" t="s">
        <v>218</v>
      </c>
      <c r="L45" s="44">
        <f t="shared" si="8"/>
        <v>29.1</v>
      </c>
      <c r="M45" s="78">
        <f t="shared" si="9"/>
        <v>-1.02040816E-2</v>
      </c>
      <c r="N45" s="90">
        <f t="shared" si="13"/>
        <v>573636201.79370129</v>
      </c>
      <c r="O45" s="83" t="s">
        <v>88</v>
      </c>
      <c r="P45" s="44">
        <f t="shared" si="10"/>
        <v>624</v>
      </c>
      <c r="Q45" s="78">
        <f t="shared" si="11"/>
        <v>1.7944535099999999E-2</v>
      </c>
      <c r="R45" s="90">
        <f t="shared" si="14"/>
        <v>138257128.55400741</v>
      </c>
    </row>
    <row r="46" spans="1:18">
      <c r="A46" s="40" t="s">
        <v>113</v>
      </c>
      <c r="B46" s="11" t="s">
        <v>114</v>
      </c>
      <c r="C46" s="95">
        <v>13250</v>
      </c>
      <c r="D46" s="92">
        <v>3.1931464200000002E-2</v>
      </c>
      <c r="E46" s="93">
        <v>4351027.4141066195</v>
      </c>
      <c r="F46" s="35"/>
      <c r="G46" s="49" t="s">
        <v>80</v>
      </c>
      <c r="H46" s="39">
        <f t="shared" si="6"/>
        <v>1600</v>
      </c>
      <c r="I46" s="77">
        <f t="shared" si="7"/>
        <v>9.2150170599999998E-2</v>
      </c>
      <c r="J46" s="99">
        <f t="shared" si="12"/>
        <v>11669634.284121821</v>
      </c>
      <c r="K46" s="82" t="s">
        <v>172</v>
      </c>
      <c r="L46" s="39">
        <f t="shared" si="8"/>
        <v>25.7</v>
      </c>
      <c r="M46" s="77">
        <f t="shared" si="9"/>
        <v>-1.15384615E-2</v>
      </c>
      <c r="N46" s="99">
        <f t="shared" si="13"/>
        <v>377843024.37171263</v>
      </c>
      <c r="O46" s="82" t="s">
        <v>270</v>
      </c>
      <c r="P46" s="39">
        <f t="shared" si="10"/>
        <v>574</v>
      </c>
      <c r="Q46" s="77">
        <f t="shared" si="11"/>
        <v>1.5929203499999999E-2</v>
      </c>
      <c r="R46" s="99">
        <f t="shared" si="14"/>
        <v>11798623.043694969</v>
      </c>
    </row>
    <row r="47" spans="1:18">
      <c r="A47" s="40" t="s">
        <v>71</v>
      </c>
      <c r="B47" s="11" t="s">
        <v>72</v>
      </c>
      <c r="C47" s="95">
        <v>35.799999999999997</v>
      </c>
      <c r="D47" s="92">
        <v>3.1700288200000003E-2</v>
      </c>
      <c r="E47" s="93">
        <v>153734075.85854876</v>
      </c>
      <c r="F47" s="35"/>
      <c r="G47" s="47" t="s">
        <v>94</v>
      </c>
      <c r="H47" s="39">
        <f t="shared" si="6"/>
        <v>147800</v>
      </c>
      <c r="I47" s="77">
        <f t="shared" si="7"/>
        <v>8.6764705900000003E-2</v>
      </c>
      <c r="J47" s="86">
        <f t="shared" si="12"/>
        <v>3202977.8891160502</v>
      </c>
      <c r="K47" s="82" t="s">
        <v>214</v>
      </c>
      <c r="L47" s="39">
        <f t="shared" si="8"/>
        <v>22.5</v>
      </c>
      <c r="M47" s="77">
        <f t="shared" si="9"/>
        <v>-1.3157894700000001E-2</v>
      </c>
      <c r="N47" s="86">
        <f t="shared" si="13"/>
        <v>615740448.43680704</v>
      </c>
      <c r="O47" s="82" t="s">
        <v>256</v>
      </c>
      <c r="P47" s="39">
        <f t="shared" si="10"/>
        <v>266</v>
      </c>
      <c r="Q47" s="77">
        <f t="shared" si="11"/>
        <v>1.52671756E-2</v>
      </c>
      <c r="R47" s="86">
        <f t="shared" si="14"/>
        <v>18483275.718803812</v>
      </c>
    </row>
    <row r="48" spans="1:18">
      <c r="A48" s="40" t="s">
        <v>68</v>
      </c>
      <c r="B48" s="11" t="s">
        <v>69</v>
      </c>
      <c r="C48" s="95">
        <v>13500</v>
      </c>
      <c r="D48" s="92">
        <v>3.1321619600000003E-2</v>
      </c>
      <c r="E48" s="93">
        <v>3077150.6190058002</v>
      </c>
      <c r="F48" s="35"/>
      <c r="G48" s="47" t="s">
        <v>92</v>
      </c>
      <c r="H48" s="39">
        <f t="shared" si="6"/>
        <v>1875</v>
      </c>
      <c r="I48" s="77">
        <f t="shared" si="7"/>
        <v>7.4498567299999999E-2</v>
      </c>
      <c r="J48" s="86">
        <f t="shared" si="12"/>
        <v>1117150234.7646031</v>
      </c>
      <c r="K48" s="82" t="s">
        <v>254</v>
      </c>
      <c r="L48" s="39">
        <f t="shared" si="8"/>
        <v>88.9</v>
      </c>
      <c r="M48" s="77">
        <f t="shared" si="9"/>
        <v>-2.0925110100000002E-2</v>
      </c>
      <c r="N48" s="86">
        <f t="shared" si="13"/>
        <v>185274564.44615278</v>
      </c>
      <c r="O48" s="82" t="s">
        <v>216</v>
      </c>
      <c r="P48" s="39">
        <f t="shared" si="10"/>
        <v>450</v>
      </c>
      <c r="Q48" s="77">
        <f t="shared" si="11"/>
        <v>1.3513513499999999E-2</v>
      </c>
      <c r="R48" s="86">
        <f t="shared" si="14"/>
        <v>12414973.80363119</v>
      </c>
    </row>
    <row r="49" spans="1:18">
      <c r="A49" s="40" t="s">
        <v>131</v>
      </c>
      <c r="B49" s="11" t="s">
        <v>132</v>
      </c>
      <c r="C49" s="95">
        <v>242</v>
      </c>
      <c r="D49" s="92">
        <v>2.9787233999999999E-2</v>
      </c>
      <c r="E49" s="93">
        <v>1104241770.2252271</v>
      </c>
      <c r="F49" s="35"/>
      <c r="G49" s="47" t="s">
        <v>156</v>
      </c>
      <c r="H49" s="39">
        <f t="shared" si="6"/>
        <v>161</v>
      </c>
      <c r="I49" s="77">
        <f t="shared" si="7"/>
        <v>7.3333333299999998E-2</v>
      </c>
      <c r="J49" s="86">
        <f t="shared" si="12"/>
        <v>1014552646.3085994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148</v>
      </c>
      <c r="P49" s="39">
        <f t="shared" si="10"/>
        <v>196</v>
      </c>
      <c r="Q49" s="77">
        <f t="shared" si="11"/>
        <v>1.03092784E-2</v>
      </c>
      <c r="R49" s="86">
        <f t="shared" si="14"/>
        <v>103180136.62201522</v>
      </c>
    </row>
    <row r="50" spans="1:18" ht="17.25" thickBot="1">
      <c r="A50" s="40" t="s">
        <v>261</v>
      </c>
      <c r="B50" s="11" t="s">
        <v>262</v>
      </c>
      <c r="C50" s="95">
        <v>1060</v>
      </c>
      <c r="D50" s="92">
        <v>2.9126213599999999E-2</v>
      </c>
      <c r="E50" s="93">
        <v>16778820.446323849</v>
      </c>
      <c r="F50" s="35"/>
      <c r="G50" s="53" t="s">
        <v>63</v>
      </c>
      <c r="H50" s="37">
        <f t="shared" si="6"/>
        <v>129900</v>
      </c>
      <c r="I50" s="79">
        <f t="shared" si="7"/>
        <v>7.1340206200000006E-2</v>
      </c>
      <c r="J50" s="87">
        <f t="shared" si="12"/>
        <v>2071383.29622481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266</v>
      </c>
      <c r="P50" s="37">
        <f t="shared" si="10"/>
        <v>102</v>
      </c>
      <c r="Q50" s="79">
        <f t="shared" si="11"/>
        <v>9.9009900999999997E-3</v>
      </c>
      <c r="R50" s="87">
        <f t="shared" si="14"/>
        <v>631724266.38878226</v>
      </c>
    </row>
    <row r="51" spans="1:18">
      <c r="A51" s="40" t="s">
        <v>133</v>
      </c>
      <c r="B51" s="11" t="s">
        <v>134</v>
      </c>
      <c r="C51" s="95">
        <v>151</v>
      </c>
      <c r="D51" s="92">
        <v>2.72108844E-2</v>
      </c>
      <c r="E51" s="93">
        <v>87494179.770052403</v>
      </c>
      <c r="F51" s="35"/>
    </row>
    <row r="52" spans="1:18" ht="17.25" thickBot="1">
      <c r="A52" s="40" t="s">
        <v>127</v>
      </c>
      <c r="B52" s="11" t="s">
        <v>128</v>
      </c>
      <c r="C52" s="95">
        <v>685</v>
      </c>
      <c r="D52" s="92">
        <v>2.6986506699999999E-2</v>
      </c>
      <c r="E52" s="93">
        <v>17315442.752347339</v>
      </c>
      <c r="F52" s="35"/>
    </row>
    <row r="53" spans="1:18" ht="17.25" thickBot="1">
      <c r="A53" s="40" t="s">
        <v>64</v>
      </c>
      <c r="B53" s="11" t="s">
        <v>65</v>
      </c>
      <c r="C53" s="95">
        <v>73.2</v>
      </c>
      <c r="D53" s="92">
        <v>2.6647966299999999E-2</v>
      </c>
      <c r="E53" s="93">
        <v>164070256.55698773</v>
      </c>
      <c r="F53" s="35"/>
      <c r="G53" s="167" t="s">
        <v>285</v>
      </c>
      <c r="H53" s="168"/>
      <c r="I53" s="168"/>
      <c r="J53" s="169"/>
      <c r="K53" s="167" t="s">
        <v>288</v>
      </c>
      <c r="L53" s="168"/>
      <c r="M53" s="168"/>
      <c r="N53" s="169"/>
      <c r="O53" s="167" t="s">
        <v>289</v>
      </c>
      <c r="P53" s="168"/>
      <c r="Q53" s="168"/>
      <c r="R53" s="169"/>
    </row>
    <row r="54" spans="1:18" ht="17.25" thickBot="1">
      <c r="A54" s="40" t="s">
        <v>279</v>
      </c>
      <c r="B54" s="11" t="s">
        <v>280</v>
      </c>
      <c r="C54" s="95">
        <v>1685</v>
      </c>
      <c r="D54" s="92">
        <v>2.4316109400000001E-2</v>
      </c>
      <c r="E54" s="93">
        <v>8657726.1671616007</v>
      </c>
      <c r="F54" s="35"/>
      <c r="G54" s="232" t="s">
        <v>55</v>
      </c>
      <c r="H54" s="244">
        <f ca="1">NOW()</f>
        <v>44322.202776620368</v>
      </c>
      <c r="I54" s="245"/>
      <c r="J54" s="246"/>
      <c r="K54" s="235" t="s">
        <v>55</v>
      </c>
      <c r="L54" s="244">
        <f ca="1">NOW()</f>
        <v>44322.202776620368</v>
      </c>
      <c r="M54" s="245"/>
      <c r="N54" s="246"/>
      <c r="O54" s="235" t="s">
        <v>55</v>
      </c>
      <c r="P54" s="244">
        <f ca="1">NOW()</f>
        <v>44322.202776620368</v>
      </c>
      <c r="Q54" s="245"/>
      <c r="R54" s="246"/>
    </row>
    <row r="55" spans="1:18" ht="17.25" thickBot="1">
      <c r="A55" s="40" t="s">
        <v>145</v>
      </c>
      <c r="B55" s="11" t="s">
        <v>146</v>
      </c>
      <c r="C55" s="95">
        <v>18560</v>
      </c>
      <c r="D55" s="92">
        <v>2.4282560700000001E-2</v>
      </c>
      <c r="E55" s="93">
        <v>2402608.2442526501</v>
      </c>
      <c r="F55" s="35"/>
      <c r="G55" s="229"/>
      <c r="H55" s="51" t="s">
        <v>58</v>
      </c>
      <c r="I55" s="73" t="s">
        <v>59</v>
      </c>
      <c r="J55" s="69" t="s">
        <v>294</v>
      </c>
      <c r="K55" s="184"/>
      <c r="L55" s="51" t="s">
        <v>58</v>
      </c>
      <c r="M55" s="73" t="s">
        <v>59</v>
      </c>
      <c r="N55" s="69" t="s">
        <v>294</v>
      </c>
      <c r="O55" s="184"/>
      <c r="P55" s="51" t="s">
        <v>58</v>
      </c>
      <c r="Q55" s="73" t="s">
        <v>59</v>
      </c>
      <c r="R55" s="69" t="s">
        <v>294</v>
      </c>
    </row>
    <row r="56" spans="1:18">
      <c r="A56" s="40" t="s">
        <v>247</v>
      </c>
      <c r="B56" s="11" t="s">
        <v>248</v>
      </c>
      <c r="C56" s="95">
        <v>3250</v>
      </c>
      <c r="D56" s="92">
        <v>1.8808777400000001E-2</v>
      </c>
      <c r="E56" s="93">
        <v>2348226.5866529201</v>
      </c>
      <c r="F56" s="35"/>
      <c r="G56" s="55" t="s">
        <v>96</v>
      </c>
      <c r="H56" s="38">
        <f t="shared" ref="H56:H75" si="15">_xlfn.IFNA(VLOOKUP(G56, $B$2:$D$200, 2, FALSE), "")</f>
        <v>4025000</v>
      </c>
      <c r="I56" s="76">
        <f t="shared" ref="I56:I65" si="16">_xlfn.IFNA(VLOOKUP(G56, $B$2:$D$200, 3, FALSE), "")</f>
        <v>-1.3722126899999999E-2</v>
      </c>
      <c r="J56" s="85">
        <f>_xlfn.IFNA(VLOOKUP(G56, $B$2:$E$200, 4, FALSE), "")</f>
        <v>194272.63080915</v>
      </c>
      <c r="K56" s="81" t="s">
        <v>152</v>
      </c>
      <c r="L56" s="38">
        <f t="shared" ref="L56:L75" si="17">_xlfn.IFNA(VLOOKUP(K56, $B$2:$D$200, 2, FALSE), "")</f>
        <v>52.3</v>
      </c>
      <c r="M56" s="76">
        <f t="shared" ref="M56:M75" si="18">_xlfn.IFNA(VLOOKUP(K56, $B$2:$D$200, 3, FALSE), "")</f>
        <v>0.15964523280000001</v>
      </c>
      <c r="N56" s="85">
        <f>_xlfn.IFNA(VLOOKUP(K56, $B$2:$E$200, 4, FALSE), "")</f>
        <v>2771457704.8306823</v>
      </c>
      <c r="O56" s="81" t="s">
        <v>170</v>
      </c>
      <c r="P56" s="38">
        <f t="shared" ref="P56:P75" si="19">_xlfn.IFNA(VLOOKUP(O56, $B$2:$D$200, 2, FALSE), "")</f>
        <v>510</v>
      </c>
      <c r="Q56" s="76">
        <f t="shared" ref="Q56:Q75" si="20">_xlfn.IFNA(VLOOKUP(O56, $B$2:$D$200, 3, FALSE), "")</f>
        <v>-3.90625E-3</v>
      </c>
      <c r="R56" s="85">
        <f>_xlfn.IFNA(VLOOKUP(O56, $B$2:$E$200, 4, FALSE), "")</f>
        <v>8603321.3068924993</v>
      </c>
    </row>
    <row r="57" spans="1:18">
      <c r="A57" s="40" t="s">
        <v>87</v>
      </c>
      <c r="B57" s="11" t="s">
        <v>88</v>
      </c>
      <c r="C57" s="95">
        <v>624</v>
      </c>
      <c r="D57" s="92">
        <v>1.7944535099999999E-2</v>
      </c>
      <c r="E57" s="93">
        <v>138257128.55400741</v>
      </c>
      <c r="F57" s="35"/>
      <c r="G57" s="56" t="s">
        <v>206</v>
      </c>
      <c r="H57" s="39">
        <f t="shared" si="15"/>
        <v>40080</v>
      </c>
      <c r="I57" s="77">
        <f t="shared" si="16"/>
        <v>-1.49913984E-2</v>
      </c>
      <c r="J57" s="86">
        <f t="shared" ref="J57:J75" si="21">_xlfn.IFNA(VLOOKUP(G57, $B$2:$E$200, 4, FALSE), "")</f>
        <v>1457031.86070591</v>
      </c>
      <c r="K57" s="82" t="s">
        <v>126</v>
      </c>
      <c r="L57" s="39">
        <f t="shared" si="17"/>
        <v>65.8</v>
      </c>
      <c r="M57" s="77">
        <f t="shared" si="18"/>
        <v>6.9918699200000003E-2</v>
      </c>
      <c r="N57" s="86">
        <f t="shared" ref="N57:N75" si="22">_xlfn.IFNA(VLOOKUP(K57, $B$2:$E$200, 4, FALSE), "")</f>
        <v>499040374.57505888</v>
      </c>
      <c r="O57" s="82" t="s">
        <v>226</v>
      </c>
      <c r="P57" s="39">
        <f t="shared" si="19"/>
        <v>508</v>
      </c>
      <c r="Q57" s="77">
        <f t="shared" si="20"/>
        <v>-7.8125E-3</v>
      </c>
      <c r="R57" s="86">
        <f t="shared" ref="R57:R75" si="23">_xlfn.IFNA(VLOOKUP(O57, $B$2:$E$200, 4, FALSE), "")</f>
        <v>11998910.359831691</v>
      </c>
    </row>
    <row r="58" spans="1:18">
      <c r="A58" s="40" t="s">
        <v>269</v>
      </c>
      <c r="B58" s="11" t="s">
        <v>270</v>
      </c>
      <c r="C58" s="95">
        <v>574</v>
      </c>
      <c r="D58" s="92">
        <v>1.5929203499999999E-2</v>
      </c>
      <c r="E58" s="93">
        <v>11798623.043694969</v>
      </c>
      <c r="F58" s="35"/>
      <c r="G58" s="56" t="s">
        <v>176</v>
      </c>
      <c r="H58" s="39">
        <f t="shared" si="15"/>
        <v>2535</v>
      </c>
      <c r="I58" s="77">
        <f t="shared" si="16"/>
        <v>-1.55339806E-2</v>
      </c>
      <c r="J58" s="86">
        <f t="shared" si="21"/>
        <v>11730122.0562273</v>
      </c>
      <c r="K58" s="82" t="s">
        <v>100</v>
      </c>
      <c r="L58" s="39">
        <f t="shared" si="17"/>
        <v>8.43</v>
      </c>
      <c r="M58" s="77">
        <f t="shared" si="18"/>
        <v>5.2434456900000002E-2</v>
      </c>
      <c r="N58" s="86">
        <f t="shared" si="22"/>
        <v>144446453533.8797</v>
      </c>
      <c r="O58" s="82" t="s">
        <v>202</v>
      </c>
      <c r="P58" s="39">
        <f t="shared" si="19"/>
        <v>216</v>
      </c>
      <c r="Q58" s="77">
        <f t="shared" si="20"/>
        <v>-9.1743119000000008E-3</v>
      </c>
      <c r="R58" s="86">
        <f t="shared" si="23"/>
        <v>201678570.5961923</v>
      </c>
    </row>
    <row r="59" spans="1:18">
      <c r="A59" s="40" t="s">
        <v>255</v>
      </c>
      <c r="B59" s="11" t="s">
        <v>256</v>
      </c>
      <c r="C59" s="95">
        <v>266</v>
      </c>
      <c r="D59" s="92">
        <v>1.52671756E-2</v>
      </c>
      <c r="E59" s="93">
        <v>18483275.718803812</v>
      </c>
      <c r="F59" s="35"/>
      <c r="G59" s="56" t="s">
        <v>82</v>
      </c>
      <c r="H59" s="39">
        <f t="shared" si="15"/>
        <v>1545</v>
      </c>
      <c r="I59" s="77">
        <f t="shared" si="16"/>
        <v>-1.5923566900000002E-2</v>
      </c>
      <c r="J59" s="86">
        <f t="shared" si="21"/>
        <v>9494037.1649984308</v>
      </c>
      <c r="K59" s="82" t="s">
        <v>72</v>
      </c>
      <c r="L59" s="39">
        <f t="shared" si="17"/>
        <v>35.799999999999997</v>
      </c>
      <c r="M59" s="77">
        <f t="shared" si="18"/>
        <v>3.1700288200000003E-2</v>
      </c>
      <c r="N59" s="86">
        <f t="shared" si="22"/>
        <v>153734075.85854876</v>
      </c>
      <c r="O59" s="82" t="s">
        <v>246</v>
      </c>
      <c r="P59" s="39">
        <f t="shared" si="19"/>
        <v>404</v>
      </c>
      <c r="Q59" s="77">
        <f t="shared" si="20"/>
        <v>-9.8039215999999995E-3</v>
      </c>
      <c r="R59" s="86">
        <f t="shared" si="23"/>
        <v>20206794.658015501</v>
      </c>
    </row>
    <row r="60" spans="1:18">
      <c r="A60" s="40" t="s">
        <v>215</v>
      </c>
      <c r="B60" s="11" t="s">
        <v>216</v>
      </c>
      <c r="C60" s="95">
        <v>450</v>
      </c>
      <c r="D60" s="92">
        <v>1.3513513499999999E-2</v>
      </c>
      <c r="E60" s="93">
        <v>12414973.80363119</v>
      </c>
      <c r="F60" s="35"/>
      <c r="G60" s="56" t="s">
        <v>260</v>
      </c>
      <c r="H60" s="39">
        <f t="shared" si="15"/>
        <v>123</v>
      </c>
      <c r="I60" s="77">
        <f t="shared" si="16"/>
        <v>-1.6E-2</v>
      </c>
      <c r="J60" s="90">
        <f t="shared" si="21"/>
        <v>182799669.39517817</v>
      </c>
      <c r="K60" s="83" t="s">
        <v>65</v>
      </c>
      <c r="L60" s="44">
        <f t="shared" si="17"/>
        <v>73.2</v>
      </c>
      <c r="M60" s="78">
        <f t="shared" si="18"/>
        <v>2.6647966299999999E-2</v>
      </c>
      <c r="N60" s="90">
        <f t="shared" si="22"/>
        <v>164070256.55698773</v>
      </c>
      <c r="O60" s="83" t="s">
        <v>174</v>
      </c>
      <c r="P60" s="44">
        <f t="shared" si="19"/>
        <v>277</v>
      </c>
      <c r="Q60" s="78">
        <f t="shared" si="20"/>
        <v>-1.0714285699999999E-2</v>
      </c>
      <c r="R60" s="90">
        <f t="shared" si="23"/>
        <v>50619386.679387398</v>
      </c>
    </row>
    <row r="61" spans="1:18">
      <c r="A61" s="40" t="s">
        <v>161</v>
      </c>
      <c r="B61" s="11" t="s">
        <v>162</v>
      </c>
      <c r="C61" s="95">
        <v>2050</v>
      </c>
      <c r="D61" s="92">
        <v>1.2345679E-2</v>
      </c>
      <c r="E61" s="93">
        <v>15433944.5096309</v>
      </c>
      <c r="F61" s="35"/>
      <c r="G61" s="60" t="s">
        <v>190</v>
      </c>
      <c r="H61" s="45">
        <f t="shared" si="15"/>
        <v>73630</v>
      </c>
      <c r="I61" s="80">
        <f t="shared" si="16"/>
        <v>-1.7611741199999999E-2</v>
      </c>
      <c r="J61" s="99">
        <f t="shared" si="21"/>
        <v>729726.54890634003</v>
      </c>
      <c r="K61" s="82" t="s">
        <v>198</v>
      </c>
      <c r="L61" s="39">
        <f t="shared" si="17"/>
        <v>29.4</v>
      </c>
      <c r="M61" s="77">
        <f t="shared" si="18"/>
        <v>1.03092784E-2</v>
      </c>
      <c r="N61" s="99">
        <f t="shared" si="22"/>
        <v>1058899518.6911216</v>
      </c>
      <c r="O61" s="82" t="s">
        <v>230</v>
      </c>
      <c r="P61" s="39">
        <f t="shared" si="19"/>
        <v>179</v>
      </c>
      <c r="Q61" s="77">
        <f t="shared" si="20"/>
        <v>-1.1049723799999999E-2</v>
      </c>
      <c r="R61" s="99">
        <f t="shared" si="23"/>
        <v>44954924.658250548</v>
      </c>
    </row>
    <row r="62" spans="1:18">
      <c r="A62" s="40" t="s">
        <v>147</v>
      </c>
      <c r="B62" s="11" t="s">
        <v>148</v>
      </c>
      <c r="C62" s="95">
        <v>196</v>
      </c>
      <c r="D62" s="92">
        <v>1.03092784E-2</v>
      </c>
      <c r="E62" s="93">
        <v>103180136.62201522</v>
      </c>
      <c r="F62" s="35"/>
      <c r="G62" s="56" t="s">
        <v>212</v>
      </c>
      <c r="H62" s="39">
        <f t="shared" si="15"/>
        <v>153</v>
      </c>
      <c r="I62" s="77">
        <f t="shared" si="16"/>
        <v>-1.9230769200000001E-2</v>
      </c>
      <c r="J62" s="86">
        <f t="shared" si="21"/>
        <v>1023487258.792375</v>
      </c>
      <c r="K62" s="82" t="s">
        <v>220</v>
      </c>
      <c r="L62" s="39">
        <f t="shared" si="17"/>
        <v>22.4</v>
      </c>
      <c r="M62" s="77">
        <f t="shared" si="18"/>
        <v>9.0090090000000001E-3</v>
      </c>
      <c r="N62" s="86">
        <f t="shared" si="22"/>
        <v>1166610215.9856822</v>
      </c>
      <c r="O62" s="82" t="s">
        <v>232</v>
      </c>
      <c r="P62" s="39">
        <f t="shared" si="19"/>
        <v>175</v>
      </c>
      <c r="Q62" s="77">
        <f t="shared" si="20"/>
        <v>-1.1299435E-2</v>
      </c>
      <c r="R62" s="86">
        <f t="shared" si="23"/>
        <v>41573251.660363421</v>
      </c>
    </row>
    <row r="63" spans="1:18">
      <c r="A63" s="40" t="s">
        <v>197</v>
      </c>
      <c r="B63" s="11" t="s">
        <v>198</v>
      </c>
      <c r="C63" s="95">
        <v>29.4</v>
      </c>
      <c r="D63" s="92">
        <v>1.03092784E-2</v>
      </c>
      <c r="E63" s="93">
        <v>1058899518.6911216</v>
      </c>
      <c r="F63" s="35"/>
      <c r="G63" s="56" t="s">
        <v>194</v>
      </c>
      <c r="H63" s="39">
        <f t="shared" si="15"/>
        <v>14420</v>
      </c>
      <c r="I63" s="77">
        <f t="shared" si="16"/>
        <v>-1.9714479900000002E-2</v>
      </c>
      <c r="J63" s="86">
        <f t="shared" si="21"/>
        <v>1180906.6952275999</v>
      </c>
      <c r="K63" s="82" t="s">
        <v>186</v>
      </c>
      <c r="L63" s="39">
        <f t="shared" si="17"/>
        <v>26.2</v>
      </c>
      <c r="M63" s="77">
        <f t="shared" si="18"/>
        <v>7.6923076999999996E-3</v>
      </c>
      <c r="N63" s="86">
        <f t="shared" si="22"/>
        <v>619316453.65330219</v>
      </c>
      <c r="O63" s="82" t="s">
        <v>264</v>
      </c>
      <c r="P63" s="39">
        <f t="shared" si="19"/>
        <v>173</v>
      </c>
      <c r="Q63" s="77">
        <f t="shared" si="20"/>
        <v>-1.14285714E-2</v>
      </c>
      <c r="R63" s="86">
        <f t="shared" si="23"/>
        <v>27007528.705117092</v>
      </c>
    </row>
    <row r="64" spans="1:18">
      <c r="A64" s="40" t="s">
        <v>265</v>
      </c>
      <c r="B64" s="11" t="s">
        <v>266</v>
      </c>
      <c r="C64" s="95">
        <v>102</v>
      </c>
      <c r="D64" s="92">
        <v>9.9009900999999997E-3</v>
      </c>
      <c r="E64" s="93">
        <v>631724266.38878226</v>
      </c>
      <c r="F64" s="35"/>
      <c r="G64" s="56" t="s">
        <v>210</v>
      </c>
      <c r="H64" s="39">
        <f t="shared" si="15"/>
        <v>196</v>
      </c>
      <c r="I64" s="77">
        <f t="shared" si="16"/>
        <v>-0.02</v>
      </c>
      <c r="J64" s="86">
        <f t="shared" si="21"/>
        <v>64420359.587095588</v>
      </c>
      <c r="K64" s="82" t="s">
        <v>228</v>
      </c>
      <c r="L64" s="39">
        <f t="shared" si="17"/>
        <v>18.899999999999999</v>
      </c>
      <c r="M64" s="77">
        <f t="shared" si="18"/>
        <v>5.3191489E-3</v>
      </c>
      <c r="N64" s="86">
        <f t="shared" si="22"/>
        <v>1421498370.761802</v>
      </c>
      <c r="O64" s="82" t="s">
        <v>208</v>
      </c>
      <c r="P64" s="39">
        <f t="shared" si="19"/>
        <v>496</v>
      </c>
      <c r="Q64" s="77">
        <f t="shared" si="20"/>
        <v>-1.19521912E-2</v>
      </c>
      <c r="R64" s="86">
        <f t="shared" si="23"/>
        <v>64985787.979985081</v>
      </c>
    </row>
    <row r="65" spans="1:18" ht="17.25" thickBot="1">
      <c r="A65" s="40" t="s">
        <v>75</v>
      </c>
      <c r="B65" s="11" t="s">
        <v>76</v>
      </c>
      <c r="C65" s="95">
        <v>57750</v>
      </c>
      <c r="D65" s="92">
        <v>9.6153846000000005E-3</v>
      </c>
      <c r="E65" s="93">
        <v>7353998.5986976903</v>
      </c>
      <c r="F65" s="35"/>
      <c r="G65" s="57" t="s">
        <v>240</v>
      </c>
      <c r="H65" s="37">
        <f t="shared" si="15"/>
        <v>188</v>
      </c>
      <c r="I65" s="79">
        <f t="shared" si="16"/>
        <v>-2.08333333E-2</v>
      </c>
      <c r="J65" s="87">
        <f t="shared" si="21"/>
        <v>51554825.04161039</v>
      </c>
      <c r="K65" s="84" t="s">
        <v>154</v>
      </c>
      <c r="L65" s="37">
        <f t="shared" si="17"/>
        <v>21.8</v>
      </c>
      <c r="M65" s="79">
        <f t="shared" si="18"/>
        <v>4.6082948999999996E-3</v>
      </c>
      <c r="N65" s="87">
        <f t="shared" si="22"/>
        <v>1183808733.3069227</v>
      </c>
      <c r="O65" s="84" t="s">
        <v>282</v>
      </c>
      <c r="P65" s="37">
        <f t="shared" si="19"/>
        <v>164</v>
      </c>
      <c r="Q65" s="79">
        <f t="shared" si="20"/>
        <v>-1.20481928E-2</v>
      </c>
      <c r="R65" s="87">
        <f t="shared" si="23"/>
        <v>31130705.935699359</v>
      </c>
    </row>
    <row r="66" spans="1:18">
      <c r="A66" s="40" t="s">
        <v>219</v>
      </c>
      <c r="B66" s="11" t="s">
        <v>220</v>
      </c>
      <c r="C66" s="95">
        <v>22.4</v>
      </c>
      <c r="D66" s="92">
        <v>9.0090090000000001E-3</v>
      </c>
      <c r="E66" s="93">
        <v>1166610215.9856822</v>
      </c>
      <c r="F66" s="35"/>
      <c r="G66" s="56" t="s">
        <v>254</v>
      </c>
      <c r="H66" s="38">
        <f t="shared" si="15"/>
        <v>88.9</v>
      </c>
      <c r="I66" s="76">
        <f t="shared" ref="I66:I75" si="24">_xlfn.IFNA(VLOOKUP(G66, $B$2:$D$200, 3, FALSE), "")</f>
        <v>-2.0925110100000002E-2</v>
      </c>
      <c r="J66" s="85">
        <f t="shared" si="21"/>
        <v>185274564.44615278</v>
      </c>
      <c r="K66" s="81" t="s">
        <v>196</v>
      </c>
      <c r="L66" s="38">
        <f t="shared" si="17"/>
        <v>20.7</v>
      </c>
      <c r="M66" s="76">
        <f t="shared" si="18"/>
        <v>0</v>
      </c>
      <c r="N66" s="85">
        <f t="shared" si="22"/>
        <v>585232752.97924209</v>
      </c>
      <c r="O66" s="81" t="s">
        <v>284</v>
      </c>
      <c r="P66" s="38">
        <f t="shared" si="19"/>
        <v>444</v>
      </c>
      <c r="Q66" s="76">
        <f t="shared" si="20"/>
        <v>-1.33333333E-2</v>
      </c>
      <c r="R66" s="85">
        <f t="shared" si="23"/>
        <v>21387750.144816231</v>
      </c>
    </row>
    <row r="67" spans="1:18">
      <c r="A67" s="40" t="s">
        <v>185</v>
      </c>
      <c r="B67" s="11" t="s">
        <v>186</v>
      </c>
      <c r="C67" s="95">
        <v>26.2</v>
      </c>
      <c r="D67" s="92">
        <v>7.6923076999999996E-3</v>
      </c>
      <c r="E67" s="93">
        <v>619316453.65330219</v>
      </c>
      <c r="F67" s="35"/>
      <c r="G67" s="56" t="s">
        <v>67</v>
      </c>
      <c r="H67" s="39">
        <f t="shared" si="15"/>
        <v>8975</v>
      </c>
      <c r="I67" s="77">
        <f t="shared" si="24"/>
        <v>-2.1264994499999999E-2</v>
      </c>
      <c r="J67" s="86">
        <f t="shared" si="21"/>
        <v>2308972.2566177901</v>
      </c>
      <c r="K67" s="82" t="s">
        <v>222</v>
      </c>
      <c r="L67" s="39">
        <f t="shared" si="17"/>
        <v>18.8</v>
      </c>
      <c r="M67" s="77">
        <f t="shared" si="18"/>
        <v>0</v>
      </c>
      <c r="N67" s="86">
        <f t="shared" si="22"/>
        <v>406048106.9257195</v>
      </c>
      <c r="O67" s="82" t="s">
        <v>238</v>
      </c>
      <c r="P67" s="39">
        <f t="shared" si="19"/>
        <v>295</v>
      </c>
      <c r="Q67" s="77">
        <f t="shared" si="20"/>
        <v>-1.33779264E-2</v>
      </c>
      <c r="R67" s="86">
        <f t="shared" si="23"/>
        <v>20696040.69640974</v>
      </c>
    </row>
    <row r="68" spans="1:18">
      <c r="A68" s="40" t="s">
        <v>243</v>
      </c>
      <c r="B68" s="11" t="s">
        <v>244</v>
      </c>
      <c r="C68" s="95">
        <v>3725</v>
      </c>
      <c r="D68" s="92">
        <v>6.7567568000000003E-3</v>
      </c>
      <c r="E68" s="93">
        <v>10356847.043369001</v>
      </c>
      <c r="F68" s="35"/>
      <c r="G68" s="56" t="s">
        <v>250</v>
      </c>
      <c r="H68" s="39">
        <f t="shared" si="15"/>
        <v>213</v>
      </c>
      <c r="I68" s="77">
        <f t="shared" si="24"/>
        <v>-2.29357798E-2</v>
      </c>
      <c r="J68" s="86">
        <f t="shared" si="21"/>
        <v>20682864.236756232</v>
      </c>
      <c r="K68" s="82" t="s">
        <v>268</v>
      </c>
      <c r="L68" s="39">
        <f t="shared" si="17"/>
        <v>99.4</v>
      </c>
      <c r="M68" s="77">
        <f t="shared" si="18"/>
        <v>-6.0000000000000001E-3</v>
      </c>
      <c r="N68" s="86">
        <f t="shared" si="22"/>
        <v>221889418.98495752</v>
      </c>
      <c r="O68" s="82" t="s">
        <v>260</v>
      </c>
      <c r="P68" s="39">
        <f t="shared" si="19"/>
        <v>123</v>
      </c>
      <c r="Q68" s="77">
        <f t="shared" si="20"/>
        <v>-1.6E-2</v>
      </c>
      <c r="R68" s="86">
        <f t="shared" si="23"/>
        <v>182799669.39517817</v>
      </c>
    </row>
    <row r="69" spans="1:18">
      <c r="A69" s="40" t="s">
        <v>271</v>
      </c>
      <c r="B69" s="11" t="s">
        <v>272</v>
      </c>
      <c r="C69" s="95">
        <v>2340</v>
      </c>
      <c r="D69" s="92">
        <v>6.4516128999999997E-3</v>
      </c>
      <c r="E69" s="93">
        <v>12144117.57536203</v>
      </c>
      <c r="F69" s="35"/>
      <c r="G69" s="56" t="s">
        <v>258</v>
      </c>
      <c r="H69" s="39">
        <f t="shared" si="15"/>
        <v>723</v>
      </c>
      <c r="I69" s="77">
        <f t="shared" si="24"/>
        <v>-2.4291498000000002E-2</v>
      </c>
      <c r="J69" s="86">
        <f t="shared" si="21"/>
        <v>13760184.75175358</v>
      </c>
      <c r="K69" s="82" t="s">
        <v>236</v>
      </c>
      <c r="L69" s="39">
        <f t="shared" si="17"/>
        <v>69.900000000000006</v>
      </c>
      <c r="M69" s="77">
        <f t="shared" si="18"/>
        <v>-9.9150142000000007E-3</v>
      </c>
      <c r="N69" s="86">
        <f t="shared" si="22"/>
        <v>174788085.01683986</v>
      </c>
      <c r="O69" s="82" t="s">
        <v>212</v>
      </c>
      <c r="P69" s="39">
        <f t="shared" si="19"/>
        <v>153</v>
      </c>
      <c r="Q69" s="77">
        <f t="shared" si="20"/>
        <v>-1.9230769200000001E-2</v>
      </c>
      <c r="R69" s="86">
        <f t="shared" si="23"/>
        <v>1023487258.792375</v>
      </c>
    </row>
    <row r="70" spans="1:18">
      <c r="A70" s="40" t="s">
        <v>157</v>
      </c>
      <c r="B70" s="11" t="s">
        <v>158</v>
      </c>
      <c r="C70" s="95">
        <v>10220</v>
      </c>
      <c r="D70" s="92">
        <v>5.9055117999999998E-3</v>
      </c>
      <c r="E70" s="93">
        <v>2261509.3691132502</v>
      </c>
      <c r="F70" s="35"/>
      <c r="G70" s="56" t="s">
        <v>234</v>
      </c>
      <c r="H70" s="39">
        <f t="shared" si="15"/>
        <v>1390</v>
      </c>
      <c r="I70" s="77">
        <f t="shared" si="24"/>
        <v>-2.4561403499999999E-2</v>
      </c>
      <c r="J70" s="90">
        <f t="shared" si="21"/>
        <v>4719392.72015227</v>
      </c>
      <c r="K70" s="83" t="s">
        <v>218</v>
      </c>
      <c r="L70" s="44">
        <f t="shared" si="17"/>
        <v>29.1</v>
      </c>
      <c r="M70" s="78">
        <f t="shared" si="18"/>
        <v>-1.02040816E-2</v>
      </c>
      <c r="N70" s="90">
        <f t="shared" si="22"/>
        <v>573636201.79370129</v>
      </c>
      <c r="O70" s="83" t="s">
        <v>210</v>
      </c>
      <c r="P70" s="44">
        <f t="shared" si="19"/>
        <v>196</v>
      </c>
      <c r="Q70" s="78">
        <f t="shared" si="20"/>
        <v>-0.02</v>
      </c>
      <c r="R70" s="90">
        <f t="shared" si="23"/>
        <v>64420359.587095588</v>
      </c>
    </row>
    <row r="71" spans="1:18">
      <c r="A71" s="40" t="s">
        <v>115</v>
      </c>
      <c r="B71" s="11" t="s">
        <v>116</v>
      </c>
      <c r="C71" s="95">
        <v>725</v>
      </c>
      <c r="D71" s="92">
        <v>5.5478502000000001E-3</v>
      </c>
      <c r="E71" s="93">
        <v>41546918.557874478</v>
      </c>
      <c r="F71" s="35"/>
      <c r="G71" s="60" t="s">
        <v>122</v>
      </c>
      <c r="H71" s="45">
        <f t="shared" si="15"/>
        <v>116</v>
      </c>
      <c r="I71" s="80">
        <f t="shared" si="24"/>
        <v>-2.5210084000000001E-2</v>
      </c>
      <c r="J71" s="99">
        <f t="shared" si="21"/>
        <v>159060444.0533444</v>
      </c>
      <c r="K71" s="82" t="s">
        <v>172</v>
      </c>
      <c r="L71" s="39">
        <f t="shared" si="17"/>
        <v>25.7</v>
      </c>
      <c r="M71" s="77">
        <f t="shared" si="18"/>
        <v>-1.15384615E-2</v>
      </c>
      <c r="N71" s="99">
        <f t="shared" si="22"/>
        <v>377843024.37171263</v>
      </c>
      <c r="O71" s="82" t="s">
        <v>240</v>
      </c>
      <c r="P71" s="39">
        <f t="shared" si="19"/>
        <v>188</v>
      </c>
      <c r="Q71" s="77">
        <f t="shared" si="20"/>
        <v>-2.08333333E-2</v>
      </c>
      <c r="R71" s="99">
        <f t="shared" si="23"/>
        <v>51554825.04161039</v>
      </c>
    </row>
    <row r="72" spans="1:18">
      <c r="A72" s="40" t="s">
        <v>227</v>
      </c>
      <c r="B72" s="11" t="s">
        <v>228</v>
      </c>
      <c r="C72" s="95">
        <v>18.899999999999999</v>
      </c>
      <c r="D72" s="92">
        <v>5.3191489E-3</v>
      </c>
      <c r="E72" s="93">
        <v>1421498370.761802</v>
      </c>
      <c r="F72" s="35"/>
      <c r="G72" s="56" t="s">
        <v>252</v>
      </c>
      <c r="H72" s="39">
        <f t="shared" si="15"/>
        <v>545</v>
      </c>
      <c r="I72" s="77">
        <f t="shared" si="24"/>
        <v>-2.6785714299999999E-2</v>
      </c>
      <c r="J72" s="86">
        <f t="shared" si="21"/>
        <v>24592546.897763401</v>
      </c>
      <c r="K72" s="82" t="s">
        <v>214</v>
      </c>
      <c r="L72" s="39">
        <f t="shared" si="17"/>
        <v>22.5</v>
      </c>
      <c r="M72" s="77">
        <f t="shared" si="18"/>
        <v>-1.3157894700000001E-2</v>
      </c>
      <c r="N72" s="86">
        <f t="shared" si="22"/>
        <v>615740448.43680704</v>
      </c>
      <c r="O72" s="82" t="s">
        <v>250</v>
      </c>
      <c r="P72" s="39">
        <f t="shared" si="19"/>
        <v>213</v>
      </c>
      <c r="Q72" s="77">
        <f t="shared" si="20"/>
        <v>-2.29357798E-2</v>
      </c>
      <c r="R72" s="86">
        <f t="shared" si="23"/>
        <v>20682864.236756232</v>
      </c>
    </row>
    <row r="73" spans="1:18">
      <c r="A73" s="40" t="s">
        <v>199</v>
      </c>
      <c r="B73" s="11" t="s">
        <v>200</v>
      </c>
      <c r="C73" s="95">
        <v>381</v>
      </c>
      <c r="D73" s="92">
        <v>5.2770448999999997E-3</v>
      </c>
      <c r="E73" s="93">
        <v>19513564.092644591</v>
      </c>
      <c r="F73" s="35"/>
      <c r="G73" s="56" t="s">
        <v>276</v>
      </c>
      <c r="H73" s="39">
        <f t="shared" si="15"/>
        <v>4600</v>
      </c>
      <c r="I73" s="77">
        <f t="shared" si="24"/>
        <v>-3.1578947400000001E-2</v>
      </c>
      <c r="J73" s="86">
        <f t="shared" si="21"/>
        <v>6879483.5493047396</v>
      </c>
      <c r="K73" s="82" t="s">
        <v>254</v>
      </c>
      <c r="L73" s="39">
        <f t="shared" si="17"/>
        <v>88.9</v>
      </c>
      <c r="M73" s="77">
        <f t="shared" si="18"/>
        <v>-2.0925110100000002E-2</v>
      </c>
      <c r="N73" s="86">
        <f t="shared" si="22"/>
        <v>185274564.44615278</v>
      </c>
      <c r="O73" s="82" t="s">
        <v>258</v>
      </c>
      <c r="P73" s="39">
        <f t="shared" si="19"/>
        <v>723</v>
      </c>
      <c r="Q73" s="77">
        <f t="shared" si="20"/>
        <v>-2.4291498000000002E-2</v>
      </c>
      <c r="R73" s="86">
        <f t="shared" si="23"/>
        <v>13760184.75175358</v>
      </c>
    </row>
    <row r="74" spans="1:18">
      <c r="A74" s="40" t="s">
        <v>153</v>
      </c>
      <c r="B74" s="11" t="s">
        <v>154</v>
      </c>
      <c r="C74" s="95">
        <v>21.8</v>
      </c>
      <c r="D74" s="92">
        <v>4.6082948999999996E-3</v>
      </c>
      <c r="E74" s="93">
        <v>1183808733.3069227</v>
      </c>
      <c r="F74" s="35"/>
      <c r="G74" s="56" t="s">
        <v>204</v>
      </c>
      <c r="H74" s="39">
        <f t="shared" si="15"/>
        <v>8775</v>
      </c>
      <c r="I74" s="77">
        <f t="shared" si="24"/>
        <v>-4.20305677E-2</v>
      </c>
      <c r="J74" s="86">
        <f t="shared" si="21"/>
        <v>28652002.468560889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122</v>
      </c>
      <c r="P74" s="39">
        <f t="shared" si="19"/>
        <v>116</v>
      </c>
      <c r="Q74" s="77">
        <f t="shared" si="20"/>
        <v>-2.5210084000000001E-2</v>
      </c>
      <c r="R74" s="86">
        <f t="shared" si="23"/>
        <v>159060444.0533444</v>
      </c>
    </row>
    <row r="75" spans="1:18" ht="17.25" thickBot="1">
      <c r="A75" s="40" t="s">
        <v>273</v>
      </c>
      <c r="B75" s="11" t="s">
        <v>274</v>
      </c>
      <c r="C75" s="95">
        <v>8730</v>
      </c>
      <c r="D75" s="92">
        <v>3.4482759000000001E-3</v>
      </c>
      <c r="E75" s="93">
        <v>617027.76926553994</v>
      </c>
      <c r="F75" s="35"/>
      <c r="G75" s="57" t="s">
        <v>164</v>
      </c>
      <c r="H75" s="37">
        <f t="shared" si="15"/>
        <v>42300</v>
      </c>
      <c r="I75" s="79">
        <f t="shared" si="24"/>
        <v>-4.4283777699999999E-2</v>
      </c>
      <c r="J75" s="87">
        <f t="shared" si="21"/>
        <v>7198069.6282662004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252</v>
      </c>
      <c r="P75" s="37">
        <f t="shared" si="19"/>
        <v>545</v>
      </c>
      <c r="Q75" s="79">
        <f t="shared" si="20"/>
        <v>-2.6785714299999999E-2</v>
      </c>
      <c r="R75" s="87">
        <f t="shared" si="23"/>
        <v>24592546.897763401</v>
      </c>
    </row>
    <row r="76" spans="1:18">
      <c r="A76" s="40" t="s">
        <v>195</v>
      </c>
      <c r="B76" s="11" t="s">
        <v>196</v>
      </c>
      <c r="C76" s="95">
        <v>20.7</v>
      </c>
      <c r="D76" s="92">
        <v>0</v>
      </c>
      <c r="E76" s="93">
        <v>585232752.97924209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18.8</v>
      </c>
      <c r="D77" s="92">
        <v>0</v>
      </c>
      <c r="E77" s="93">
        <v>406048106.9257195</v>
      </c>
      <c r="F77" s="35"/>
      <c r="G77" s="35"/>
      <c r="H77" s="35"/>
      <c r="I77" s="35"/>
    </row>
    <row r="78" spans="1:18">
      <c r="A78" s="40" t="s">
        <v>179</v>
      </c>
      <c r="B78" s="11" t="s">
        <v>180</v>
      </c>
      <c r="C78" s="95">
        <v>4695</v>
      </c>
      <c r="D78" s="92">
        <v>-2.1253984999999999E-3</v>
      </c>
      <c r="E78" s="93">
        <v>7130282.1842168197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258</v>
      </c>
      <c r="D79" s="92">
        <v>-3.8610038999999999E-3</v>
      </c>
      <c r="E79" s="93">
        <v>64150142.44851768</v>
      </c>
      <c r="F79" s="35"/>
      <c r="G79" s="35"/>
      <c r="H79" s="35"/>
      <c r="I79" s="35"/>
    </row>
    <row r="80" spans="1:18">
      <c r="A80" s="40" t="s">
        <v>169</v>
      </c>
      <c r="B80" s="11" t="s">
        <v>170</v>
      </c>
      <c r="C80" s="95">
        <v>510</v>
      </c>
      <c r="D80" s="92">
        <v>-3.90625E-3</v>
      </c>
      <c r="E80" s="93">
        <v>8603321.3068924993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2055</v>
      </c>
      <c r="D81" s="92">
        <v>-4.8426149999999998E-3</v>
      </c>
      <c r="E81" s="93">
        <v>19937956.007951468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5">
        <v>99.4</v>
      </c>
      <c r="D82" s="92">
        <v>-6.0000000000000001E-3</v>
      </c>
      <c r="E82" s="93">
        <v>221889418.98495752</v>
      </c>
      <c r="F82" s="35"/>
      <c r="G82" s="35"/>
      <c r="H82" s="35"/>
      <c r="I82" s="35"/>
    </row>
    <row r="83" spans="1:9">
      <c r="A83" s="40" t="s">
        <v>225</v>
      </c>
      <c r="B83" s="11" t="s">
        <v>226</v>
      </c>
      <c r="C83" s="95">
        <v>508</v>
      </c>
      <c r="D83" s="92">
        <v>-7.8125E-3</v>
      </c>
      <c r="E83" s="93">
        <v>11998910.359831691</v>
      </c>
      <c r="F83" s="35"/>
      <c r="G83" s="35"/>
      <c r="H83" s="35"/>
      <c r="I83" s="35"/>
    </row>
    <row r="84" spans="1:9">
      <c r="A84" s="40" t="s">
        <v>201</v>
      </c>
      <c r="B84" s="11" t="s">
        <v>202</v>
      </c>
      <c r="C84" s="95">
        <v>216</v>
      </c>
      <c r="D84" s="92">
        <v>-9.1743119000000008E-3</v>
      </c>
      <c r="E84" s="93">
        <v>201678570.5961923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404</v>
      </c>
      <c r="D85" s="92">
        <v>-9.8039215999999995E-3</v>
      </c>
      <c r="E85" s="93">
        <v>20206794.658015501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69.900000000000006</v>
      </c>
      <c r="D86" s="92">
        <v>-9.9150142000000007E-3</v>
      </c>
      <c r="E86" s="93">
        <v>174788085.01683986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5">
        <v>29.1</v>
      </c>
      <c r="D87" s="92">
        <v>-1.02040816E-2</v>
      </c>
      <c r="E87" s="93">
        <v>573636201.79370129</v>
      </c>
      <c r="F87" s="35"/>
      <c r="G87" s="35"/>
      <c r="H87" s="35"/>
      <c r="I87" s="35"/>
    </row>
    <row r="88" spans="1:9">
      <c r="A88" s="40" t="s">
        <v>173</v>
      </c>
      <c r="B88" s="11" t="s">
        <v>174</v>
      </c>
      <c r="C88" s="95">
        <v>277</v>
      </c>
      <c r="D88" s="92">
        <v>-1.0714285699999999E-2</v>
      </c>
      <c r="E88" s="93">
        <v>50619386.679387398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179</v>
      </c>
      <c r="D89" s="92">
        <v>-1.1049723799999999E-2</v>
      </c>
      <c r="E89" s="93">
        <v>44954924.658250548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175</v>
      </c>
      <c r="D90" s="92">
        <v>-1.1299435E-2</v>
      </c>
      <c r="E90" s="93">
        <v>41573251.660363421</v>
      </c>
      <c r="F90" s="35"/>
      <c r="G90" s="35"/>
      <c r="H90" s="35"/>
      <c r="I90" s="35"/>
    </row>
    <row r="91" spans="1:9">
      <c r="A91" s="40" t="s">
        <v>263</v>
      </c>
      <c r="B91" s="11" t="s">
        <v>264</v>
      </c>
      <c r="C91" s="95">
        <v>173</v>
      </c>
      <c r="D91" s="92">
        <v>-1.14285714E-2</v>
      </c>
      <c r="E91" s="93">
        <v>27007528.705117092</v>
      </c>
      <c r="F91" s="35"/>
      <c r="G91" s="35"/>
      <c r="H91" s="35"/>
      <c r="I91" s="35"/>
    </row>
    <row r="92" spans="1:9">
      <c r="A92" s="40" t="s">
        <v>171</v>
      </c>
      <c r="B92" s="11" t="s">
        <v>172</v>
      </c>
      <c r="C92" s="95">
        <v>25.7</v>
      </c>
      <c r="D92" s="92">
        <v>-1.15384615E-2</v>
      </c>
      <c r="E92" s="93">
        <v>377843024.37171263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7045</v>
      </c>
      <c r="D93" s="92">
        <v>-1.19214586E-2</v>
      </c>
      <c r="E93" s="93">
        <v>1366526.82725785</v>
      </c>
      <c r="F93" s="35"/>
      <c r="G93" s="35"/>
      <c r="H93" s="35"/>
      <c r="I93" s="35"/>
    </row>
    <row r="94" spans="1:9">
      <c r="A94" s="40" t="s">
        <v>207</v>
      </c>
      <c r="B94" s="11" t="s">
        <v>208</v>
      </c>
      <c r="C94" s="95">
        <v>496</v>
      </c>
      <c r="D94" s="92">
        <v>-1.19521912E-2</v>
      </c>
      <c r="E94" s="93">
        <v>64985787.979985081</v>
      </c>
      <c r="F94" s="35"/>
      <c r="G94" s="35"/>
      <c r="H94" s="35"/>
      <c r="I94" s="35"/>
    </row>
    <row r="95" spans="1:9">
      <c r="A95" s="40" t="s">
        <v>281</v>
      </c>
      <c r="B95" s="11" t="s">
        <v>282</v>
      </c>
      <c r="C95" s="95">
        <v>164</v>
      </c>
      <c r="D95" s="92">
        <v>-1.20481928E-2</v>
      </c>
      <c r="E95" s="93">
        <v>31130705.935699359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22.5</v>
      </c>
      <c r="D96" s="92">
        <v>-1.3157894700000001E-2</v>
      </c>
      <c r="E96" s="93">
        <v>615740448.43680704</v>
      </c>
      <c r="F96" s="35"/>
      <c r="G96" s="35"/>
      <c r="H96" s="35"/>
      <c r="I96" s="35"/>
    </row>
    <row r="97" spans="1:9">
      <c r="A97" s="40" t="s">
        <v>283</v>
      </c>
      <c r="B97" s="11" t="s">
        <v>284</v>
      </c>
      <c r="C97" s="95">
        <v>444</v>
      </c>
      <c r="D97" s="92">
        <v>-1.33333333E-2</v>
      </c>
      <c r="E97" s="93">
        <v>21387750.144816231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295</v>
      </c>
      <c r="D98" s="92">
        <v>-1.33779264E-2</v>
      </c>
      <c r="E98" s="93">
        <v>20696040.69640974</v>
      </c>
      <c r="F98" s="35"/>
      <c r="G98" s="35"/>
      <c r="H98" s="35"/>
      <c r="I98" s="35"/>
    </row>
    <row r="99" spans="1:9">
      <c r="A99" s="40" t="s">
        <v>95</v>
      </c>
      <c r="B99" s="11" t="s">
        <v>96</v>
      </c>
      <c r="C99" s="95">
        <v>4025000</v>
      </c>
      <c r="D99" s="92">
        <v>-1.3722126899999999E-2</v>
      </c>
      <c r="E99" s="93">
        <v>194272.63080915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40080</v>
      </c>
      <c r="D100" s="92">
        <v>-1.49913984E-2</v>
      </c>
      <c r="E100" s="93">
        <v>1457031.86070591</v>
      </c>
      <c r="F100" s="35"/>
      <c r="G100" s="35"/>
      <c r="H100" s="35"/>
      <c r="I100" s="35"/>
    </row>
    <row r="101" spans="1:9">
      <c r="A101" s="40" t="s">
        <v>175</v>
      </c>
      <c r="B101" s="11" t="s">
        <v>176</v>
      </c>
      <c r="C101" s="95">
        <v>2535</v>
      </c>
      <c r="D101" s="92">
        <v>-1.55339806E-2</v>
      </c>
      <c r="E101" s="93">
        <v>11730122.0562273</v>
      </c>
      <c r="F101" s="35"/>
      <c r="G101" s="35"/>
      <c r="H101" s="35"/>
      <c r="I101" s="35"/>
    </row>
    <row r="102" spans="1:9">
      <c r="A102" s="40" t="s">
        <v>81</v>
      </c>
      <c r="B102" s="11" t="s">
        <v>82</v>
      </c>
      <c r="C102" s="95">
        <v>1545</v>
      </c>
      <c r="D102" s="92">
        <v>-1.5923566900000002E-2</v>
      </c>
      <c r="E102" s="93">
        <v>9494037.1649984308</v>
      </c>
      <c r="F102" s="35"/>
      <c r="G102" s="35"/>
      <c r="H102" s="35"/>
      <c r="I102" s="35"/>
    </row>
    <row r="103" spans="1:9">
      <c r="A103" s="40" t="s">
        <v>259</v>
      </c>
      <c r="B103" s="11" t="s">
        <v>260</v>
      </c>
      <c r="C103" s="95">
        <v>123</v>
      </c>
      <c r="D103" s="92">
        <v>-1.6E-2</v>
      </c>
      <c r="E103" s="93">
        <v>182799669.39517817</v>
      </c>
      <c r="F103" s="35"/>
      <c r="G103" s="35"/>
      <c r="H103" s="35"/>
      <c r="I103" s="35"/>
    </row>
    <row r="104" spans="1:9">
      <c r="A104" s="40" t="s">
        <v>189</v>
      </c>
      <c r="B104" s="11" t="s">
        <v>190</v>
      </c>
      <c r="C104" s="95">
        <v>73630</v>
      </c>
      <c r="D104" s="92">
        <v>-1.7611741199999999E-2</v>
      </c>
      <c r="E104" s="93">
        <v>729726.54890634003</v>
      </c>
      <c r="F104" s="35"/>
      <c r="G104" s="35"/>
      <c r="H104" s="35"/>
      <c r="I104" s="35"/>
    </row>
    <row r="105" spans="1:9">
      <c r="A105" s="40" t="s">
        <v>211</v>
      </c>
      <c r="B105" s="11" t="s">
        <v>212</v>
      </c>
      <c r="C105" s="95">
        <v>153</v>
      </c>
      <c r="D105" s="92">
        <v>-1.9230769200000001E-2</v>
      </c>
      <c r="E105" s="93">
        <v>1023487258.792375</v>
      </c>
      <c r="F105" s="35"/>
      <c r="G105" s="35"/>
      <c r="H105" s="35"/>
      <c r="I105" s="35"/>
    </row>
    <row r="106" spans="1:9">
      <c r="A106" s="40" t="s">
        <v>193</v>
      </c>
      <c r="B106" s="11" t="s">
        <v>194</v>
      </c>
      <c r="C106" s="95">
        <v>14420</v>
      </c>
      <c r="D106" s="92">
        <v>-1.9714479900000002E-2</v>
      </c>
      <c r="E106" s="93">
        <v>1180906.6952275999</v>
      </c>
      <c r="F106" s="35"/>
      <c r="G106" s="35"/>
      <c r="H106" s="35"/>
      <c r="I106" s="35"/>
    </row>
    <row r="107" spans="1:9">
      <c r="A107" s="40" t="s">
        <v>209</v>
      </c>
      <c r="B107" s="11" t="s">
        <v>210</v>
      </c>
      <c r="C107" s="95">
        <v>196</v>
      </c>
      <c r="D107" s="92">
        <v>-0.02</v>
      </c>
      <c r="E107" s="93">
        <v>64420359.587095588</v>
      </c>
      <c r="F107" s="35"/>
      <c r="G107" s="35"/>
      <c r="H107" s="35"/>
      <c r="I107" s="35"/>
    </row>
    <row r="108" spans="1:9">
      <c r="A108" s="40" t="s">
        <v>239</v>
      </c>
      <c r="B108" s="11" t="s">
        <v>240</v>
      </c>
      <c r="C108" s="95">
        <v>188</v>
      </c>
      <c r="D108" s="92">
        <v>-2.08333333E-2</v>
      </c>
      <c r="E108" s="93">
        <v>51554825.04161039</v>
      </c>
      <c r="F108" s="35"/>
      <c r="G108" s="35"/>
      <c r="H108" s="35"/>
      <c r="I108" s="35"/>
    </row>
    <row r="109" spans="1:9">
      <c r="A109" s="40" t="s">
        <v>253</v>
      </c>
      <c r="B109" s="11" t="s">
        <v>254</v>
      </c>
      <c r="C109" s="95">
        <v>88.9</v>
      </c>
      <c r="D109" s="92">
        <v>-2.0925110100000002E-2</v>
      </c>
      <c r="E109" s="41">
        <v>185274564.44615278</v>
      </c>
    </row>
    <row r="110" spans="1:9">
      <c r="A110" s="40" t="s">
        <v>66</v>
      </c>
      <c r="B110" s="11" t="s">
        <v>67</v>
      </c>
      <c r="C110" s="95">
        <v>8975</v>
      </c>
      <c r="D110" s="92">
        <v>-2.1264994499999999E-2</v>
      </c>
      <c r="E110" s="41">
        <v>2308972.2566177901</v>
      </c>
    </row>
    <row r="111" spans="1:9">
      <c r="A111" s="40" t="s">
        <v>249</v>
      </c>
      <c r="B111" s="11" t="s">
        <v>250</v>
      </c>
      <c r="C111" s="95">
        <v>213</v>
      </c>
      <c r="D111" s="92">
        <v>-2.29357798E-2</v>
      </c>
      <c r="E111" s="41">
        <v>20682864.236756232</v>
      </c>
    </row>
    <row r="112" spans="1:9">
      <c r="A112" s="40" t="s">
        <v>257</v>
      </c>
      <c r="B112" s="11" t="s">
        <v>258</v>
      </c>
      <c r="C112" s="95">
        <v>723</v>
      </c>
      <c r="D112" s="92">
        <v>-2.4291498000000002E-2</v>
      </c>
      <c r="E112" s="41">
        <v>13760184.75175358</v>
      </c>
    </row>
    <row r="113" spans="1:5">
      <c r="A113" s="40" t="s">
        <v>233</v>
      </c>
      <c r="B113" s="11" t="s">
        <v>234</v>
      </c>
      <c r="C113" s="95">
        <v>1390</v>
      </c>
      <c r="D113" s="92">
        <v>-2.4561403499999999E-2</v>
      </c>
      <c r="E113" s="41">
        <v>4719392.72015227</v>
      </c>
    </row>
    <row r="114" spans="1:5">
      <c r="A114" s="40" t="s">
        <v>121</v>
      </c>
      <c r="B114" s="11" t="s">
        <v>122</v>
      </c>
      <c r="C114" s="95">
        <v>116</v>
      </c>
      <c r="D114" s="92">
        <v>-2.5210084000000001E-2</v>
      </c>
      <c r="E114" s="41">
        <v>159060444.0533444</v>
      </c>
    </row>
    <row r="115" spans="1:5">
      <c r="A115" s="40" t="s">
        <v>251</v>
      </c>
      <c r="B115" s="11" t="s">
        <v>252</v>
      </c>
      <c r="C115" s="95">
        <v>545</v>
      </c>
      <c r="D115" s="92">
        <v>-2.6785714299999999E-2</v>
      </c>
      <c r="E115" s="41">
        <v>24592546.897763401</v>
      </c>
    </row>
    <row r="116" spans="1:5">
      <c r="A116" s="40" t="s">
        <v>275</v>
      </c>
      <c r="B116" s="11" t="s">
        <v>276</v>
      </c>
      <c r="C116" s="95">
        <v>4600</v>
      </c>
      <c r="D116" s="92">
        <v>-3.1578947400000001E-2</v>
      </c>
      <c r="E116" s="41">
        <v>6879483.5493047396</v>
      </c>
    </row>
    <row r="117" spans="1:5">
      <c r="A117" s="40" t="s">
        <v>203</v>
      </c>
      <c r="B117" s="11" t="s">
        <v>204</v>
      </c>
      <c r="C117" s="95">
        <v>8775</v>
      </c>
      <c r="D117" s="92">
        <v>-4.20305677E-2</v>
      </c>
      <c r="E117" s="41">
        <v>28652002.468560889</v>
      </c>
    </row>
    <row r="118" spans="1:5">
      <c r="A118" s="40" t="s">
        <v>163</v>
      </c>
      <c r="B118" s="11" t="s">
        <v>164</v>
      </c>
      <c r="C118" s="95">
        <v>42300</v>
      </c>
      <c r="D118" s="92">
        <v>-4.4283777699999999E-2</v>
      </c>
      <c r="E118" s="41">
        <v>7198069.6282662004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16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170" t="str">
        <f>TEXT(투자전략!$G$1, "[$-ko-KR]yyyy년 mm월") &amp; " 총결산"</f>
        <v>2021년 05월 총결산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2"/>
    </row>
    <row r="2" spans="1:15" ht="16.5" customHeight="1" thickBot="1">
      <c r="A2" s="176" t="s">
        <v>327</v>
      </c>
      <c r="B2" s="177"/>
      <c r="C2" s="177"/>
      <c r="D2" s="168" t="s">
        <v>323</v>
      </c>
      <c r="E2" s="168"/>
      <c r="F2" s="169"/>
      <c r="G2" s="170" t="s">
        <v>324</v>
      </c>
      <c r="H2" s="171"/>
      <c r="I2" s="172"/>
      <c r="J2" s="167" t="s">
        <v>325</v>
      </c>
      <c r="K2" s="168"/>
      <c r="L2" s="168"/>
      <c r="M2" s="168" t="s">
        <v>326</v>
      </c>
      <c r="N2" s="168"/>
      <c r="O2" s="169"/>
    </row>
    <row r="3" spans="1:15" ht="16.5" customHeight="1">
      <c r="A3" s="247">
        <v>1</v>
      </c>
      <c r="B3" s="1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178"/>
      <c r="D3" s="176" t="s">
        <v>328</v>
      </c>
      <c r="E3" s="177"/>
      <c r="F3" s="178"/>
      <c r="G3" s="176" t="s">
        <v>335</v>
      </c>
      <c r="H3" s="177"/>
      <c r="I3" s="178"/>
      <c r="J3" s="176" t="s">
        <v>342</v>
      </c>
      <c r="K3" s="177"/>
      <c r="L3" s="178"/>
      <c r="M3" s="176" t="s">
        <v>349</v>
      </c>
      <c r="N3" s="177"/>
      <c r="O3" s="178"/>
    </row>
    <row r="4" spans="1:15" ht="16.5" customHeight="1" thickBot="1">
      <c r="A4" s="248"/>
      <c r="B4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912,701 KRW (18.25%)</v>
      </c>
      <c r="C4" s="184"/>
      <c r="D4" s="182" t="str">
        <f ca="1" xml:space="preserve"> TEXT($F$92, "#,##0") &amp; " KRW (" &amp; TEXT($E$92, "0.00%)")</f>
        <v>-59,048 KRW (-1.30%)</v>
      </c>
      <c r="E4" s="183"/>
      <c r="F4" s="184"/>
      <c r="G4" s="182" t="str">
        <f ca="1" xml:space="preserve"> TEXT($I$92, "#,##0") &amp; " KRW (" &amp; TEXT($H$92, "0.00%)")</f>
        <v>51,736 KRW (1.14%)</v>
      </c>
      <c r="H4" s="183"/>
      <c r="I4" s="184"/>
      <c r="J4" s="182" t="str">
        <f ca="1" xml:space="preserve"> TEXT($L$92, "#,##0") &amp; " KRW (" &amp; TEXT($K$92, "0.00%)")</f>
        <v>109,572 KRW (2.42%)</v>
      </c>
      <c r="K4" s="183"/>
      <c r="L4" s="184"/>
      <c r="M4" s="182" t="str">
        <f ca="1" xml:space="preserve"> TEXT($O$92, "#,##0") &amp; " KRW (" &amp; TEXT($N$92, "0.00%)")</f>
        <v>-18,884 KRW (-0.42%)</v>
      </c>
      <c r="N4" s="183"/>
      <c r="O4" s="184"/>
    </row>
    <row r="5" spans="1:15" ht="16.5" customHeight="1">
      <c r="A5" s="247">
        <v>2</v>
      </c>
      <c r="B5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178"/>
      <c r="D5" s="176" t="s">
        <v>329</v>
      </c>
      <c r="E5" s="177"/>
      <c r="F5" s="178"/>
      <c r="G5" s="176" t="s">
        <v>336</v>
      </c>
      <c r="H5" s="177"/>
      <c r="I5" s="178"/>
      <c r="J5" s="176" t="s">
        <v>343</v>
      </c>
      <c r="K5" s="177"/>
      <c r="L5" s="178"/>
      <c r="M5" s="176" t="s">
        <v>350</v>
      </c>
      <c r="N5" s="177"/>
      <c r="O5" s="178"/>
    </row>
    <row r="6" spans="1:15" ht="16.5" customHeight="1" thickBot="1">
      <c r="A6" s="248"/>
      <c r="B6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713,872 KRW (14.28%)</v>
      </c>
      <c r="C6" s="184"/>
      <c r="D6" s="182" t="str">
        <f ca="1" xml:space="preserve"> TEXT($F$130, "#,##0") &amp; " KRW (" &amp; TEXT($E$130, "0.00%)")</f>
        <v>184,146 KRW (3.68%)</v>
      </c>
      <c r="E6" s="183"/>
      <c r="F6" s="184"/>
      <c r="G6" s="182" t="str">
        <f ca="1" xml:space="preserve"> TEXT($I$130, "#,##0") &amp; " KRW (" &amp; TEXT($H$130, "0.00%)")</f>
        <v>317,292 KRW (6.35%)</v>
      </c>
      <c r="H6" s="183"/>
      <c r="I6" s="184"/>
      <c r="J6" s="182" t="str">
        <f ca="1" xml:space="preserve"> TEXT($L$130, "#,##0") &amp; " KRW (" &amp; TEXT($K$130, "0.00%)")</f>
        <v>481,374 KRW (9.63%)</v>
      </c>
      <c r="K6" s="183"/>
      <c r="L6" s="184"/>
      <c r="M6" s="182" t="str">
        <f ca="1" xml:space="preserve"> TEXT($O$130, "#,##0") &amp; " KRW (" &amp; TEXT($N$130, "0.00%)")</f>
        <v>212,880 KRW (4.26%)</v>
      </c>
      <c r="N6" s="183"/>
      <c r="O6" s="184"/>
    </row>
    <row r="7" spans="1:15" ht="16.5" customHeight="1">
      <c r="A7" s="247">
        <v>3</v>
      </c>
      <c r="B7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178"/>
      <c r="D7" s="176" t="s">
        <v>330</v>
      </c>
      <c r="E7" s="177"/>
      <c r="F7" s="178"/>
      <c r="G7" s="176" t="s">
        <v>337</v>
      </c>
      <c r="H7" s="177"/>
      <c r="I7" s="178"/>
      <c r="J7" s="176" t="s">
        <v>344</v>
      </c>
      <c r="K7" s="177"/>
      <c r="L7" s="178"/>
      <c r="M7" s="176" t="s">
        <v>351</v>
      </c>
      <c r="N7" s="177"/>
      <c r="O7" s="178"/>
    </row>
    <row r="8" spans="1:15" ht="16.5" customHeight="1" thickBot="1">
      <c r="A8" s="248"/>
      <c r="B8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626,291 KRW (12.53%)</v>
      </c>
      <c r="C8" s="184"/>
      <c r="D8" s="182" t="str">
        <f ca="1" xml:space="preserve"> TEXT($F$206, "#,##0") &amp; " KRW (" &amp; TEXT($E$206, "0.00%)")</f>
        <v>-59,048 KRW (-1.30%)</v>
      </c>
      <c r="E8" s="183"/>
      <c r="F8" s="184"/>
      <c r="G8" s="182" t="str">
        <f ca="1" xml:space="preserve"> TEXT($I$206, "#,##0") &amp; " KRW (" &amp; TEXT($H$206, "0.00%)")</f>
        <v>51,736 KRW (1.14%)</v>
      </c>
      <c r="H8" s="183"/>
      <c r="I8" s="184"/>
      <c r="J8" s="182" t="str">
        <f ca="1" xml:space="preserve"> TEXT($L$206, "#,##0") &amp; " KRW (" &amp; TEXT($K$206, "0.00%)")</f>
        <v>109,572 KRW (2.42%)</v>
      </c>
      <c r="K8" s="183"/>
      <c r="L8" s="184"/>
      <c r="M8" s="182" t="str">
        <f ca="1" xml:space="preserve"> TEXT($O$206, "#,##0") &amp; " KRW (" &amp; TEXT($N$206, "0.00%)")</f>
        <v>-18,884 KRW (-0.42%)</v>
      </c>
      <c r="N8" s="183"/>
      <c r="O8" s="184"/>
    </row>
    <row r="9" spans="1:15" ht="16.5" customHeight="1">
      <c r="A9" s="247">
        <v>4</v>
      </c>
      <c r="B9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178"/>
      <c r="D9" s="176" t="s">
        <v>331</v>
      </c>
      <c r="E9" s="177"/>
      <c r="F9" s="178"/>
      <c r="G9" s="176" t="s">
        <v>338</v>
      </c>
      <c r="H9" s="177"/>
      <c r="I9" s="178"/>
      <c r="J9" s="176" t="s">
        <v>345</v>
      </c>
      <c r="K9" s="177"/>
      <c r="L9" s="178"/>
      <c r="M9" s="176" t="s">
        <v>352</v>
      </c>
      <c r="N9" s="177"/>
      <c r="O9" s="178"/>
    </row>
    <row r="10" spans="1:15" ht="16.5" customHeight="1" thickBot="1">
      <c r="A10" s="248"/>
      <c r="B10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592,515 KRW (11.85%)</v>
      </c>
      <c r="C10" s="184"/>
      <c r="D10" s="182" t="str">
        <f ca="1" xml:space="preserve"> TEXT($F$244, "#,##0") &amp; " KRW (" &amp; TEXT($E$244, "0.00%)")</f>
        <v>-173,575 KRW (-3.47%)</v>
      </c>
      <c r="E10" s="183"/>
      <c r="F10" s="184"/>
      <c r="G10" s="182" t="str">
        <f ca="1" xml:space="preserve"> TEXT($I$244, "#,##0") &amp; " KRW (" &amp; TEXT($H$244, "0.00%)")</f>
        <v>9,412 KRW (0.19%)</v>
      </c>
      <c r="H10" s="183"/>
      <c r="I10" s="184"/>
      <c r="J10" s="182" t="str">
        <f ca="1" xml:space="preserve"> TEXT($L$244, "#,##0") &amp; " KRW (" &amp; TEXT($K$244, "0.00%)")</f>
        <v>41,623 KRW (0.83%)</v>
      </c>
      <c r="K10" s="183"/>
      <c r="L10" s="184"/>
      <c r="M10" s="182" t="str">
        <f ca="1" xml:space="preserve"> TEXT($O$244, "#,##0") &amp; " KRW (" &amp; TEXT($N$244, "0.00%)")</f>
        <v>-69,048 KRW (-1.38%)</v>
      </c>
      <c r="N10" s="183"/>
      <c r="O10" s="184"/>
    </row>
    <row r="11" spans="1:15" ht="16.5" customHeight="1">
      <c r="A11" s="247">
        <v>5</v>
      </c>
      <c r="B11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178"/>
      <c r="D11" s="176" t="s">
        <v>332</v>
      </c>
      <c r="E11" s="177"/>
      <c r="F11" s="178"/>
      <c r="G11" s="176" t="s">
        <v>339</v>
      </c>
      <c r="H11" s="177"/>
      <c r="I11" s="178"/>
      <c r="J11" s="176" t="s">
        <v>346</v>
      </c>
      <c r="K11" s="177"/>
      <c r="L11" s="178"/>
      <c r="M11" s="176" t="s">
        <v>353</v>
      </c>
      <c r="N11" s="177"/>
      <c r="O11" s="178"/>
    </row>
    <row r="12" spans="1:15" ht="16.5" customHeight="1" thickBot="1">
      <c r="A12" s="248"/>
      <c r="B12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481,374 KRW (9.63%)</v>
      </c>
      <c r="C12" s="184"/>
      <c r="D12" s="182" t="str">
        <f ca="1" xml:space="preserve"> TEXT($F$168, "#,##0") &amp; " KRW (" &amp; TEXT($E$168, "0.00%)")</f>
        <v>592,515 KRW (11.85%)</v>
      </c>
      <c r="E12" s="183"/>
      <c r="F12" s="184"/>
      <c r="G12" s="182" t="str">
        <f ca="1" xml:space="preserve"> TEXT($I$168, "#,##0") &amp; " KRW (" &amp; TEXT($H$168, "0.00%)")</f>
        <v>713,872 KRW (14.28%)</v>
      </c>
      <c r="H12" s="183"/>
      <c r="I12" s="184"/>
      <c r="J12" s="182" t="str">
        <f ca="1" xml:space="preserve"> TEXT($L$168, "#,##0") &amp; " KRW (" &amp; TEXT($K$168, "0.00%)")</f>
        <v>912,701 KRW (18.25%)</v>
      </c>
      <c r="K12" s="183"/>
      <c r="L12" s="184"/>
      <c r="M12" s="182" t="str">
        <f ca="1" xml:space="preserve"> TEXT($O$168, "#,##0") &amp; " KRW (" &amp; TEXT($N$168, "0.00%)")</f>
        <v>626,291 KRW (12.53%)</v>
      </c>
      <c r="N12" s="183"/>
      <c r="O12" s="184"/>
    </row>
    <row r="13" spans="1:15" ht="16.5" customHeight="1">
      <c r="A13" s="247">
        <v>6</v>
      </c>
      <c r="B13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178"/>
      <c r="D13" s="176" t="s">
        <v>333</v>
      </c>
      <c r="E13" s="177"/>
      <c r="F13" s="178"/>
      <c r="G13" s="176" t="s">
        <v>340</v>
      </c>
      <c r="H13" s="177"/>
      <c r="I13" s="178"/>
      <c r="J13" s="176" t="s">
        <v>347</v>
      </c>
      <c r="K13" s="177"/>
      <c r="L13" s="178"/>
      <c r="M13" s="176" t="s">
        <v>354</v>
      </c>
      <c r="N13" s="177"/>
      <c r="O13" s="178"/>
    </row>
    <row r="14" spans="1:15" ht="16.5" customHeight="1" thickBot="1">
      <c r="A14" s="248"/>
      <c r="B14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317,292 KRW (6.35%)</v>
      </c>
      <c r="C14" s="184"/>
      <c r="D14" s="182" t="str">
        <f ca="1" xml:space="preserve"> TEXT($F$282, "#,##0") &amp; " KRW (" &amp; TEXT($E$282, "0.00%)")</f>
        <v>-323,135 KRW (-6.46%)</v>
      </c>
      <c r="E14" s="183"/>
      <c r="F14" s="184"/>
      <c r="G14" s="182" t="str">
        <f ca="1" xml:space="preserve"> TEXT($I$282, "#,##0") &amp; " KRW (" &amp; TEXT($H$282, "0.00%)")</f>
        <v>-152,853 KRW (-3.06%)</v>
      </c>
      <c r="H14" s="183"/>
      <c r="I14" s="184"/>
      <c r="J14" s="182" t="str">
        <f ca="1" xml:space="preserve"> TEXT($L$282, "#,##0") &amp; " KRW (" &amp; TEXT($K$282, "0.00%)")</f>
        <v>-139,090 KRW (-2.78%)</v>
      </c>
      <c r="K14" s="183"/>
      <c r="L14" s="184"/>
      <c r="M14" s="182" t="str">
        <f ca="1" xml:space="preserve"> TEXT($O$282, "#,##0") &amp; " KRW (" &amp; TEXT($N$282, "0.00%)")</f>
        <v>-266,311 KRW (-5.33%)</v>
      </c>
      <c r="N14" s="183"/>
      <c r="O14" s="184"/>
    </row>
    <row r="15" spans="1:15" ht="16.5" customHeight="1">
      <c r="A15" s="247">
        <v>7</v>
      </c>
      <c r="B15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178"/>
      <c r="D15" s="176" t="s">
        <v>334</v>
      </c>
      <c r="E15" s="177"/>
      <c r="F15" s="178"/>
      <c r="G15" s="176" t="s">
        <v>341</v>
      </c>
      <c r="H15" s="177"/>
      <c r="I15" s="178"/>
      <c r="J15" s="176" t="s">
        <v>348</v>
      </c>
      <c r="K15" s="177"/>
      <c r="L15" s="178"/>
      <c r="M15" s="176" t="s">
        <v>355</v>
      </c>
      <c r="N15" s="177"/>
      <c r="O15" s="178"/>
    </row>
    <row r="16" spans="1:15" ht="16.5" customHeight="1" thickBot="1">
      <c r="A16" s="248"/>
      <c r="B16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212,880 KRW (4.26%)</v>
      </c>
      <c r="C16" s="184"/>
      <c r="D16" s="182" t="str">
        <f ca="1" xml:space="preserve"> TEXT($F$54, "#,##0") &amp; " KRW (" &amp; TEXT($E$54, "0.00%)")</f>
        <v>-14,414 KRW (-0.96%)</v>
      </c>
      <c r="E16" s="183"/>
      <c r="F16" s="184"/>
      <c r="G16" s="182" t="str">
        <f ca="1" xml:space="preserve"> TEXT($I$54, "#,##0") &amp; " KRW (" &amp; TEXT($H$54, "0.00%)")</f>
        <v>22,982 KRW (1.53%)</v>
      </c>
      <c r="H16" s="183"/>
      <c r="I16" s="184"/>
      <c r="J16" s="182" t="str">
        <f ca="1" xml:space="preserve"> TEXT($L$54, "#,##0") &amp; " KRW (" &amp; TEXT($K$54, "0.00%)")</f>
        <v>43,670 KRW (2.91%)</v>
      </c>
      <c r="K16" s="183"/>
      <c r="L16" s="184"/>
      <c r="M16" s="182" t="str">
        <f ca="1" xml:space="preserve"> TEXT($O$54, "#,##0") &amp; " KRW (" &amp; TEXT($N$54, "0.00%)")</f>
        <v>-11,167 KRW (-0.74%)</v>
      </c>
      <c r="N16" s="183"/>
      <c r="O16" s="184"/>
    </row>
    <row r="18" spans="1:15" ht="16.5" customHeight="1" thickBot="1"/>
    <row r="19" spans="1:15" ht="16.5" customHeight="1" thickBot="1">
      <c r="A19" s="167" t="str">
        <f>TEXT(투자전략!$G$1, "[$-ko-KR]yyyy년 mm월 ") &amp; "실거래 월말결산"</f>
        <v>2021년 05월 실거래 월말결산</v>
      </c>
      <c r="B19" s="168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9"/>
    </row>
    <row r="20" spans="1:15" ht="16.5" customHeight="1" thickBot="1">
      <c r="A20" s="228" t="s">
        <v>320</v>
      </c>
      <c r="B20" s="182" t="s">
        <v>318</v>
      </c>
      <c r="C20" s="184"/>
      <c r="D20" s="182" t="s">
        <v>310</v>
      </c>
      <c r="E20" s="183"/>
      <c r="F20" s="184"/>
      <c r="G20" s="182" t="s">
        <v>311</v>
      </c>
      <c r="H20" s="183"/>
      <c r="I20" s="184"/>
      <c r="J20" s="182" t="s">
        <v>312</v>
      </c>
      <c r="K20" s="183"/>
      <c r="L20" s="184"/>
      <c r="M20" s="182" t="s">
        <v>313</v>
      </c>
      <c r="N20" s="183"/>
      <c r="O20" s="184"/>
    </row>
    <row r="21" spans="1:15" ht="16.5" customHeight="1" thickBot="1">
      <c r="A21" s="232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3000000</v>
      </c>
      <c r="E27" s="77">
        <f t="shared" ca="1" si="2"/>
        <v>0</v>
      </c>
      <c r="F27" s="140">
        <f t="shared" ca="1" si="3"/>
        <v>0</v>
      </c>
      <c r="G27" s="142">
        <f t="shared" ca="1" si="4"/>
        <v>3000000</v>
      </c>
      <c r="H27" s="77">
        <f t="shared" ca="1" si="5"/>
        <v>0</v>
      </c>
      <c r="I27" s="140">
        <f t="shared" ca="1" si="6"/>
        <v>0</v>
      </c>
      <c r="J27" s="142">
        <f t="shared" ca="1" si="7"/>
        <v>3000000</v>
      </c>
      <c r="K27" s="77">
        <f t="shared" ca="1" si="8"/>
        <v>0</v>
      </c>
      <c r="L27" s="140">
        <f t="shared" ca="1" si="9"/>
        <v>0</v>
      </c>
      <c r="M27" s="142">
        <f t="shared" ca="1" si="10"/>
        <v>3000000</v>
      </c>
      <c r="N27" s="77">
        <f t="shared" ca="1" si="11"/>
        <v>0</v>
      </c>
      <c r="O27" s="140">
        <f t="shared" ca="1" si="12"/>
        <v>0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 t="str">
        <f t="shared" ca="1" si="0"/>
        <v/>
      </c>
      <c r="D28" s="143" t="str">
        <f t="shared" ca="1" si="1"/>
        <v/>
      </c>
      <c r="E28" s="79" t="str">
        <f t="shared" ca="1" si="2"/>
        <v/>
      </c>
      <c r="F28" s="141" t="str">
        <f t="shared" ca="1" si="3"/>
        <v/>
      </c>
      <c r="G28" s="143" t="str">
        <f t="shared" ca="1" si="4"/>
        <v/>
      </c>
      <c r="H28" s="79" t="str">
        <f t="shared" ca="1" si="5"/>
        <v/>
      </c>
      <c r="I28" s="141" t="str">
        <f t="shared" ca="1" si="6"/>
        <v/>
      </c>
      <c r="J28" s="143" t="str">
        <f t="shared" ca="1" si="7"/>
        <v/>
      </c>
      <c r="K28" s="79" t="str">
        <f t="shared" ca="1" si="8"/>
        <v/>
      </c>
      <c r="L28" s="141" t="str">
        <f t="shared" ca="1" si="9"/>
        <v/>
      </c>
      <c r="M28" s="143" t="str">
        <f t="shared" ca="1" si="10"/>
        <v/>
      </c>
      <c r="N28" s="79" t="str">
        <f t="shared" ca="1" si="11"/>
        <v/>
      </c>
      <c r="O28" s="141" t="str">
        <f t="shared" ca="1" si="12"/>
        <v/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 t="str">
        <f t="shared" ca="1" si="0"/>
        <v/>
      </c>
      <c r="D29" s="145" t="str">
        <f t="shared" ca="1" si="1"/>
        <v/>
      </c>
      <c r="E29" s="76" t="str">
        <f t="shared" ca="1" si="2"/>
        <v/>
      </c>
      <c r="F29" s="144" t="str">
        <f t="shared" ca="1" si="3"/>
        <v/>
      </c>
      <c r="G29" s="145" t="str">
        <f t="shared" ca="1" si="4"/>
        <v/>
      </c>
      <c r="H29" s="76" t="str">
        <f t="shared" ca="1" si="5"/>
        <v/>
      </c>
      <c r="I29" s="144" t="str">
        <f t="shared" ca="1" si="6"/>
        <v/>
      </c>
      <c r="J29" s="145" t="str">
        <f t="shared" ca="1" si="7"/>
        <v/>
      </c>
      <c r="K29" s="76" t="str">
        <f t="shared" ca="1" si="8"/>
        <v/>
      </c>
      <c r="L29" s="144" t="str">
        <f t="shared" ca="1" si="9"/>
        <v/>
      </c>
      <c r="M29" s="145" t="str">
        <f t="shared" ca="1" si="10"/>
        <v/>
      </c>
      <c r="N29" s="76" t="str">
        <f t="shared" ca="1" si="11"/>
        <v/>
      </c>
      <c r="O29" s="144" t="str">
        <f t="shared" ca="1" si="12"/>
        <v/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 t="str">
        <f t="shared" ca="1" si="0"/>
        <v/>
      </c>
      <c r="D30" s="142" t="str">
        <f t="shared" ca="1" si="1"/>
        <v/>
      </c>
      <c r="E30" s="77" t="str">
        <f t="shared" ca="1" si="2"/>
        <v/>
      </c>
      <c r="F30" s="140" t="str">
        <f t="shared" ca="1" si="3"/>
        <v/>
      </c>
      <c r="G30" s="142" t="str">
        <f t="shared" ca="1" si="4"/>
        <v/>
      </c>
      <c r="H30" s="77" t="str">
        <f t="shared" ca="1" si="5"/>
        <v/>
      </c>
      <c r="I30" s="140" t="str">
        <f t="shared" ca="1" si="6"/>
        <v/>
      </c>
      <c r="J30" s="142" t="str">
        <f t="shared" ca="1" si="7"/>
        <v/>
      </c>
      <c r="K30" s="77" t="str">
        <f t="shared" ca="1" si="8"/>
        <v/>
      </c>
      <c r="L30" s="140" t="str">
        <f t="shared" ca="1" si="9"/>
        <v/>
      </c>
      <c r="M30" s="142" t="str">
        <f t="shared" ca="1" si="10"/>
        <v/>
      </c>
      <c r="N30" s="77" t="str">
        <f t="shared" ca="1" si="11"/>
        <v/>
      </c>
      <c r="O30" s="140" t="str">
        <f t="shared" ca="1" si="12"/>
        <v/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176" t="s">
        <v>319</v>
      </c>
      <c r="B53" s="178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182"/>
      <c r="B54" s="184"/>
      <c r="C54" s="139">
        <f ca="1">SUM(C22:C52)</f>
        <v>9000000</v>
      </c>
      <c r="D54" s="143">
        <f ca="1">SUM(D22:D52)</f>
        <v>8985586.0943623222</v>
      </c>
      <c r="E54" s="79">
        <f ca="1">IFERROR(F54 / (SUM($C22:$C52) / COUNT($C22:$C52)), 0)</f>
        <v>-9.6092704251176716E-3</v>
      </c>
      <c r="F54" s="141">
        <f ca="1">SUM(F22:F52)</f>
        <v>-14413.905637676507</v>
      </c>
      <c r="G54" s="143">
        <f ca="1">SUM(G22:G52)</f>
        <v>9022982.4490738325</v>
      </c>
      <c r="H54" s="79">
        <f ca="1">IFERROR(I54 / (SUM($C22:$C52) / COUNT($C22:$C52)), 0)</f>
        <v>1.5321632715888015E-2</v>
      </c>
      <c r="I54" s="141">
        <f ca="1">SUM(I22:I52)</f>
        <v>22982.449073832024</v>
      </c>
      <c r="J54" s="143">
        <f ca="1">SUM(J22:J52)</f>
        <v>9043670.3804454245</v>
      </c>
      <c r="K54" s="79">
        <f ca="1">IFERROR(L54 / (SUM($C22:$C52) / COUNT($C22:$C52)), 0)</f>
        <v>2.9113586963616583E-2</v>
      </c>
      <c r="L54" s="141">
        <f ca="1">SUM(L22:L52)</f>
        <v>43670.380445424875</v>
      </c>
      <c r="M54" s="143">
        <f ca="1">SUM(M22:M52)</f>
        <v>8988832.7330127098</v>
      </c>
      <c r="N54" s="79">
        <f ca="1">IFERROR(O54 / (SUM($C22:$C52) / COUNT($C22:$C52)), 0)</f>
        <v>-7.4448446581929263E-3</v>
      </c>
      <c r="O54" s="141">
        <f ca="1">SUM(O22:O52)</f>
        <v>-11167.266987289389</v>
      </c>
    </row>
    <row r="56" spans="1:15" ht="16.5" customHeight="1" thickBot="1"/>
    <row r="57" spans="1:15" ht="16.5" customHeight="1" thickBot="1">
      <c r="A57" s="167" t="str">
        <f>TEXT(투자전략!$G$1, "[$-ko-KR]yyyy년 mm월 ") &amp; "[엽전코인] 전일대비 상승률 Top20 월말결산"</f>
        <v>2021년 05월 [엽전코인] 전일대비 상승률 Top20 월말결산</v>
      </c>
      <c r="B57" s="168"/>
      <c r="C57" s="168"/>
      <c r="D57" s="168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9"/>
    </row>
    <row r="58" spans="1:15" ht="16.5" customHeight="1" thickBot="1">
      <c r="A58" s="228" t="s">
        <v>320</v>
      </c>
      <c r="B58" s="182" t="s">
        <v>318</v>
      </c>
      <c r="C58" s="184"/>
      <c r="D58" s="182" t="s">
        <v>310</v>
      </c>
      <c r="E58" s="183"/>
      <c r="F58" s="184"/>
      <c r="G58" s="182" t="s">
        <v>311</v>
      </c>
      <c r="H58" s="183"/>
      <c r="I58" s="184"/>
      <c r="J58" s="182" t="s">
        <v>312</v>
      </c>
      <c r="K58" s="183"/>
      <c r="L58" s="184"/>
      <c r="M58" s="182" t="s">
        <v>313</v>
      </c>
      <c r="N58" s="183"/>
      <c r="O58" s="184"/>
    </row>
    <row r="59" spans="1:15" ht="16.5" customHeight="1" thickBot="1">
      <c r="A59" s="232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2700000</v>
      </c>
      <c r="E65" s="77">
        <f t="shared" ca="1" si="15"/>
        <v>0</v>
      </c>
      <c r="F65" s="140">
        <f t="shared" ca="1" si="16"/>
        <v>0</v>
      </c>
      <c r="G65" s="142">
        <f t="shared" ca="1" si="17"/>
        <v>2700000</v>
      </c>
      <c r="H65" s="77">
        <f t="shared" ca="1" si="18"/>
        <v>0</v>
      </c>
      <c r="I65" s="140">
        <f t="shared" ca="1" si="19"/>
        <v>0</v>
      </c>
      <c r="J65" s="142">
        <f t="shared" ca="1" si="20"/>
        <v>2700000</v>
      </c>
      <c r="K65" s="77">
        <f t="shared" ca="1" si="21"/>
        <v>0</v>
      </c>
      <c r="L65" s="140">
        <f t="shared" ca="1" si="22"/>
        <v>0</v>
      </c>
      <c r="M65" s="142">
        <f t="shared" ca="1" si="23"/>
        <v>2700000</v>
      </c>
      <c r="N65" s="77">
        <f t="shared" ca="1" si="24"/>
        <v>0</v>
      </c>
      <c r="O65" s="140">
        <f t="shared" ca="1" si="25"/>
        <v>0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 t="str">
        <f t="shared" ca="1" si="13"/>
        <v/>
      </c>
      <c r="D67" s="145" t="str">
        <f t="shared" ca="1" si="14"/>
        <v/>
      </c>
      <c r="E67" s="76" t="str">
        <f t="shared" ca="1" si="15"/>
        <v/>
      </c>
      <c r="F67" s="144" t="str">
        <f t="shared" ca="1" si="16"/>
        <v/>
      </c>
      <c r="G67" s="145" t="str">
        <f t="shared" ca="1" si="17"/>
        <v/>
      </c>
      <c r="H67" s="76" t="str">
        <f t="shared" ca="1" si="18"/>
        <v/>
      </c>
      <c r="I67" s="144" t="str">
        <f t="shared" ca="1" si="19"/>
        <v/>
      </c>
      <c r="J67" s="145" t="str">
        <f t="shared" ca="1" si="20"/>
        <v/>
      </c>
      <c r="K67" s="76" t="str">
        <f t="shared" ca="1" si="21"/>
        <v/>
      </c>
      <c r="L67" s="144" t="str">
        <f t="shared" ca="1" si="22"/>
        <v/>
      </c>
      <c r="M67" s="145" t="str">
        <f t="shared" ca="1" si="23"/>
        <v/>
      </c>
      <c r="N67" s="76" t="str">
        <f t="shared" ca="1" si="24"/>
        <v/>
      </c>
      <c r="O67" s="144" t="str">
        <f t="shared" ca="1" si="25"/>
        <v/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 t="str">
        <f t="shared" ca="1" si="13"/>
        <v/>
      </c>
      <c r="D68" s="142" t="str">
        <f t="shared" ca="1" si="14"/>
        <v/>
      </c>
      <c r="E68" s="77" t="str">
        <f t="shared" ca="1" si="15"/>
        <v/>
      </c>
      <c r="F68" s="140" t="str">
        <f t="shared" ca="1" si="16"/>
        <v/>
      </c>
      <c r="G68" s="142" t="str">
        <f t="shared" ca="1" si="17"/>
        <v/>
      </c>
      <c r="H68" s="77" t="str">
        <f t="shared" ca="1" si="18"/>
        <v/>
      </c>
      <c r="I68" s="140" t="str">
        <f t="shared" ca="1" si="19"/>
        <v/>
      </c>
      <c r="J68" s="142" t="str">
        <f t="shared" ca="1" si="20"/>
        <v/>
      </c>
      <c r="K68" s="77" t="str">
        <f t="shared" ca="1" si="21"/>
        <v/>
      </c>
      <c r="L68" s="140" t="str">
        <f t="shared" ca="1" si="22"/>
        <v/>
      </c>
      <c r="M68" s="142" t="str">
        <f t="shared" ca="1" si="23"/>
        <v/>
      </c>
      <c r="N68" s="77" t="str">
        <f t="shared" ca="1" si="24"/>
        <v/>
      </c>
      <c r="O68" s="140" t="str">
        <f t="shared" ca="1" si="25"/>
        <v/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176" t="s">
        <v>319</v>
      </c>
      <c r="B91" s="178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182"/>
      <c r="B92" s="184"/>
      <c r="C92" s="139">
        <f ca="1">SUM(C60:C90)</f>
        <v>27150000</v>
      </c>
      <c r="D92" s="143">
        <f ca="1">SUM(D60:D90)</f>
        <v>27090951.695759259</v>
      </c>
      <c r="E92" s="79">
        <f ca="1">IFERROR(F92 / (SUM($C60:$C90) / COUNT($C60:$C90)), 0)</f>
        <v>-1.304934900347874E-2</v>
      </c>
      <c r="F92" s="141">
        <f ca="1">SUM(F60:F90)</f>
        <v>-59048.304240741301</v>
      </c>
      <c r="G92" s="143">
        <f ca="1">SUM(G60:G90)</f>
        <v>27201736.094695799</v>
      </c>
      <c r="H92" s="79">
        <f ca="1">IFERROR(I92 / (SUM($C60:$C90) / COUNT($C60:$C90)), 0)</f>
        <v>1.1433391092995539E-2</v>
      </c>
      <c r="I92" s="141">
        <f ca="1">SUM(I60:I90)</f>
        <v>51736.094695804815</v>
      </c>
      <c r="J92" s="143">
        <f ca="1">SUM(J60:J90)</f>
        <v>27259572.08279559</v>
      </c>
      <c r="K92" s="79">
        <f ca="1">IFERROR(L92 / (SUM($C60:$C90) / COUNT($C60:$C90)), 0)</f>
        <v>2.4214824927202044E-2</v>
      </c>
      <c r="L92" s="141">
        <f ca="1">SUM(L60:L90)</f>
        <v>109572.08279558925</v>
      </c>
      <c r="M92" s="143">
        <f ca="1">SUM(M60:M90)</f>
        <v>27131116.11378872</v>
      </c>
      <c r="N92" s="79">
        <f ca="1">IFERROR(O92 / (SUM($C60:$C90) / COUNT($C60:$C90)), 0)</f>
        <v>-4.1732345218292739E-3</v>
      </c>
      <c r="O92" s="141">
        <f ca="1">SUM(O60:O90)</f>
        <v>-18883.886211277466</v>
      </c>
    </row>
    <row r="94" spans="1:15" ht="16.5" customHeight="1" thickBot="1"/>
    <row r="95" spans="1:15" ht="16.5" customHeight="1" thickBot="1">
      <c r="A95" s="167" t="str">
        <f>TEXT(투자전략!$G$1, "[$-ko-KR]yyyy년 mm월 ") &amp; "[동전코인] 전일대비 상승률 Top20 월말결산"</f>
        <v>2021년 05월 [동전코인] 전일대비 상승률 Top20 월말결산</v>
      </c>
      <c r="B95" s="168"/>
      <c r="C95" s="168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9"/>
    </row>
    <row r="96" spans="1:15" ht="16.5" customHeight="1" thickBot="1">
      <c r="A96" s="228" t="s">
        <v>320</v>
      </c>
      <c r="B96" s="182" t="s">
        <v>318</v>
      </c>
      <c r="C96" s="184"/>
      <c r="D96" s="182" t="s">
        <v>310</v>
      </c>
      <c r="E96" s="183"/>
      <c r="F96" s="184"/>
      <c r="G96" s="182" t="s">
        <v>311</v>
      </c>
      <c r="H96" s="183"/>
      <c r="I96" s="184"/>
      <c r="J96" s="182" t="s">
        <v>312</v>
      </c>
      <c r="K96" s="183"/>
      <c r="L96" s="184"/>
      <c r="M96" s="182" t="s">
        <v>313</v>
      </c>
      <c r="N96" s="183"/>
      <c r="O96" s="184"/>
    </row>
    <row r="97" spans="1:15" ht="16.5" customHeight="1" thickBot="1">
      <c r="A97" s="232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3000000</v>
      </c>
      <c r="E103" s="77">
        <f t="shared" ca="1" si="28"/>
        <v>0</v>
      </c>
      <c r="F103" s="140">
        <f t="shared" ca="1" si="29"/>
        <v>0</v>
      </c>
      <c r="G103" s="142">
        <f t="shared" ca="1" si="30"/>
        <v>3000000</v>
      </c>
      <c r="H103" s="77">
        <f t="shared" ca="1" si="31"/>
        <v>0</v>
      </c>
      <c r="I103" s="140">
        <f t="shared" ca="1" si="32"/>
        <v>0</v>
      </c>
      <c r="J103" s="142">
        <f t="shared" ca="1" si="33"/>
        <v>3000000</v>
      </c>
      <c r="K103" s="77">
        <f t="shared" ca="1" si="34"/>
        <v>0</v>
      </c>
      <c r="L103" s="140">
        <f t="shared" ca="1" si="35"/>
        <v>0</v>
      </c>
      <c r="M103" s="142">
        <f t="shared" ca="1" si="36"/>
        <v>3000000</v>
      </c>
      <c r="N103" s="77">
        <f t="shared" ca="1" si="37"/>
        <v>0</v>
      </c>
      <c r="O103" s="140">
        <f t="shared" ca="1" si="38"/>
        <v>0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 t="str">
        <f t="shared" ca="1" si="26"/>
        <v/>
      </c>
      <c r="D105" s="145" t="str">
        <f t="shared" ca="1" si="27"/>
        <v/>
      </c>
      <c r="E105" s="76" t="str">
        <f t="shared" ca="1" si="28"/>
        <v/>
      </c>
      <c r="F105" s="144" t="str">
        <f t="shared" ca="1" si="29"/>
        <v/>
      </c>
      <c r="G105" s="145" t="str">
        <f t="shared" ca="1" si="30"/>
        <v/>
      </c>
      <c r="H105" s="76" t="str">
        <f t="shared" ca="1" si="31"/>
        <v/>
      </c>
      <c r="I105" s="144" t="str">
        <f t="shared" ca="1" si="32"/>
        <v/>
      </c>
      <c r="J105" s="145" t="str">
        <f t="shared" ca="1" si="33"/>
        <v/>
      </c>
      <c r="K105" s="76" t="str">
        <f t="shared" ca="1" si="34"/>
        <v/>
      </c>
      <c r="L105" s="144" t="str">
        <f t="shared" ca="1" si="35"/>
        <v/>
      </c>
      <c r="M105" s="145" t="str">
        <f t="shared" ca="1" si="36"/>
        <v/>
      </c>
      <c r="N105" s="76" t="str">
        <f t="shared" ca="1" si="37"/>
        <v/>
      </c>
      <c r="O105" s="144" t="str">
        <f t="shared" ca="1" si="38"/>
        <v/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 t="str">
        <f t="shared" ca="1" si="26"/>
        <v/>
      </c>
      <c r="D106" s="142" t="str">
        <f t="shared" ca="1" si="27"/>
        <v/>
      </c>
      <c r="E106" s="77" t="str">
        <f t="shared" ca="1" si="28"/>
        <v/>
      </c>
      <c r="F106" s="140" t="str">
        <f t="shared" ca="1" si="29"/>
        <v/>
      </c>
      <c r="G106" s="142" t="str">
        <f t="shared" ca="1" si="30"/>
        <v/>
      </c>
      <c r="H106" s="77" t="str">
        <f t="shared" ca="1" si="31"/>
        <v/>
      </c>
      <c r="I106" s="140" t="str">
        <f t="shared" ca="1" si="32"/>
        <v/>
      </c>
      <c r="J106" s="142" t="str">
        <f t="shared" ca="1" si="33"/>
        <v/>
      </c>
      <c r="K106" s="77" t="str">
        <f t="shared" ca="1" si="34"/>
        <v/>
      </c>
      <c r="L106" s="140" t="str">
        <f t="shared" ca="1" si="35"/>
        <v/>
      </c>
      <c r="M106" s="142" t="str">
        <f t="shared" ca="1" si="36"/>
        <v/>
      </c>
      <c r="N106" s="77" t="str">
        <f t="shared" ca="1" si="37"/>
        <v/>
      </c>
      <c r="O106" s="140" t="str">
        <f t="shared" ca="1" si="38"/>
        <v/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176" t="s">
        <v>319</v>
      </c>
      <c r="B129" s="178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182"/>
      <c r="B130" s="184"/>
      <c r="C130" s="139">
        <f ca="1">SUM(C98:C128)</f>
        <v>30000000</v>
      </c>
      <c r="D130" s="143">
        <f ca="1">SUM(D98:D128)</f>
        <v>30184146.291214794</v>
      </c>
      <c r="E130" s="79">
        <f ca="1">IFERROR(F130 / (SUM($C98:$C128) / COUNT($C98:$C128)), 0)</f>
        <v>3.6829258242959205E-2</v>
      </c>
      <c r="F130" s="141">
        <f ca="1">SUM(F98:F128)</f>
        <v>184146.29121479602</v>
      </c>
      <c r="G130" s="143">
        <f ca="1">SUM(G98:G128)</f>
        <v>30317291.561224766</v>
      </c>
      <c r="H130" s="79">
        <f ca="1">IFERROR(I130 / (SUM($C98:$C128) / COUNT($C98:$C128)), 0)</f>
        <v>6.3458312244952977E-2</v>
      </c>
      <c r="I130" s="141">
        <f ca="1">SUM(I98:I128)</f>
        <v>317291.56122476491</v>
      </c>
      <c r="J130" s="143">
        <f ca="1">SUM(J98:J128)</f>
        <v>30481373.977091618</v>
      </c>
      <c r="K130" s="79">
        <f ca="1">IFERROR(L130 / (SUM($C98:$C128) / COUNT($C98:$C128)), 0)</f>
        <v>9.6274795418323372E-2</v>
      </c>
      <c r="L130" s="141">
        <f ca="1">SUM(L98:L128)</f>
        <v>481373.97709161683</v>
      </c>
      <c r="M130" s="143">
        <f ca="1">SUM(M98:M128)</f>
        <v>30212879.827923074</v>
      </c>
      <c r="N130" s="79">
        <f ca="1">IFERROR(O130 / (SUM($C98:$C128) / COUNT($C98:$C128)), 0)</f>
        <v>4.2575965584614683E-2</v>
      </c>
      <c r="O130" s="141">
        <f ca="1">SUM(O98:O128)</f>
        <v>212879.82792307343</v>
      </c>
    </row>
    <row r="132" spans="1:15" ht="16.5" customHeight="1" thickBot="1"/>
    <row r="133" spans="1:15" ht="16.5" customHeight="1" thickBot="1">
      <c r="A133" s="167" t="str">
        <f>TEXT(투자전략!$G$1, "[$-ko-KR]yyyy년 mm월 ") &amp; "전일대비 상승률 Top20 월말결산"</f>
        <v>2021년 05월 전일대비 상승률 Top20 월말결산</v>
      </c>
      <c r="B133" s="168"/>
      <c r="C133" s="168"/>
      <c r="D133" s="168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9"/>
    </row>
    <row r="134" spans="1:15" ht="16.5" customHeight="1" thickBot="1">
      <c r="A134" s="228" t="s">
        <v>320</v>
      </c>
      <c r="B134" s="182" t="s">
        <v>318</v>
      </c>
      <c r="C134" s="184"/>
      <c r="D134" s="182" t="s">
        <v>310</v>
      </c>
      <c r="E134" s="183"/>
      <c r="F134" s="184"/>
      <c r="G134" s="182" t="s">
        <v>311</v>
      </c>
      <c r="H134" s="183"/>
      <c r="I134" s="184"/>
      <c r="J134" s="182" t="s">
        <v>312</v>
      </c>
      <c r="K134" s="183"/>
      <c r="L134" s="184"/>
      <c r="M134" s="182" t="s">
        <v>313</v>
      </c>
      <c r="N134" s="183"/>
      <c r="O134" s="184"/>
    </row>
    <row r="135" spans="1:15" ht="16.5" customHeight="1" thickBot="1">
      <c r="A135" s="232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3000000</v>
      </c>
      <c r="E141" s="77">
        <f t="shared" ca="1" si="41"/>
        <v>0</v>
      </c>
      <c r="F141" s="140">
        <f t="shared" ca="1" si="42"/>
        <v>0</v>
      </c>
      <c r="G141" s="142">
        <f t="shared" ca="1" si="43"/>
        <v>3000000</v>
      </c>
      <c r="H141" s="77">
        <f t="shared" ca="1" si="44"/>
        <v>0</v>
      </c>
      <c r="I141" s="140">
        <f t="shared" ca="1" si="45"/>
        <v>0</v>
      </c>
      <c r="J141" s="142">
        <f t="shared" ca="1" si="46"/>
        <v>3000000</v>
      </c>
      <c r="K141" s="77">
        <f t="shared" ca="1" si="47"/>
        <v>0</v>
      </c>
      <c r="L141" s="140">
        <f t="shared" ca="1" si="48"/>
        <v>0</v>
      </c>
      <c r="M141" s="142">
        <f t="shared" ca="1" si="49"/>
        <v>3000000</v>
      </c>
      <c r="N141" s="77">
        <f t="shared" ca="1" si="50"/>
        <v>0</v>
      </c>
      <c r="O141" s="140">
        <f t="shared" ca="1" si="51"/>
        <v>0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 t="str">
        <f t="shared" ca="1" si="39"/>
        <v/>
      </c>
      <c r="D143" s="145" t="str">
        <f t="shared" ca="1" si="40"/>
        <v/>
      </c>
      <c r="E143" s="76" t="str">
        <f t="shared" ca="1" si="41"/>
        <v/>
      </c>
      <c r="F143" s="144" t="str">
        <f t="shared" ca="1" si="42"/>
        <v/>
      </c>
      <c r="G143" s="145" t="str">
        <f t="shared" ca="1" si="43"/>
        <v/>
      </c>
      <c r="H143" s="76" t="str">
        <f t="shared" ca="1" si="44"/>
        <v/>
      </c>
      <c r="I143" s="144" t="str">
        <f t="shared" ca="1" si="45"/>
        <v/>
      </c>
      <c r="J143" s="145" t="str">
        <f t="shared" ca="1" si="46"/>
        <v/>
      </c>
      <c r="K143" s="76" t="str">
        <f t="shared" ca="1" si="47"/>
        <v/>
      </c>
      <c r="L143" s="144" t="str">
        <f t="shared" ca="1" si="48"/>
        <v/>
      </c>
      <c r="M143" s="145" t="str">
        <f t="shared" ca="1" si="49"/>
        <v/>
      </c>
      <c r="N143" s="76" t="str">
        <f t="shared" ca="1" si="50"/>
        <v/>
      </c>
      <c r="O143" s="144" t="str">
        <f t="shared" ca="1" si="51"/>
        <v/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 t="str">
        <f t="shared" ca="1" si="39"/>
        <v/>
      </c>
      <c r="D144" s="142" t="str">
        <f t="shared" ca="1" si="40"/>
        <v/>
      </c>
      <c r="E144" s="77" t="str">
        <f t="shared" ca="1" si="41"/>
        <v/>
      </c>
      <c r="F144" s="140" t="str">
        <f t="shared" ca="1" si="42"/>
        <v/>
      </c>
      <c r="G144" s="142" t="str">
        <f t="shared" ca="1" si="43"/>
        <v/>
      </c>
      <c r="H144" s="77" t="str">
        <f t="shared" ca="1" si="44"/>
        <v/>
      </c>
      <c r="I144" s="140" t="str">
        <f t="shared" ca="1" si="45"/>
        <v/>
      </c>
      <c r="J144" s="142" t="str">
        <f t="shared" ca="1" si="46"/>
        <v/>
      </c>
      <c r="K144" s="77" t="str">
        <f t="shared" ca="1" si="47"/>
        <v/>
      </c>
      <c r="L144" s="140" t="str">
        <f t="shared" ca="1" si="48"/>
        <v/>
      </c>
      <c r="M144" s="142" t="str">
        <f t="shared" ca="1" si="49"/>
        <v/>
      </c>
      <c r="N144" s="77" t="str">
        <f t="shared" ca="1" si="50"/>
        <v/>
      </c>
      <c r="O144" s="140" t="str">
        <f t="shared" ca="1" si="51"/>
        <v/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176" t="s">
        <v>319</v>
      </c>
      <c r="B167" s="178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182"/>
      <c r="B168" s="184"/>
      <c r="C168" s="139">
        <f ca="1">SUM(C136:C166)</f>
        <v>30000000</v>
      </c>
      <c r="D168" s="143">
        <f ca="1">SUM(D136:D166)</f>
        <v>30592515.04666739</v>
      </c>
      <c r="E168" s="79">
        <f ca="1">IFERROR(F168 / (SUM($C136:$C166) / COUNT($C136:$C166)), 0)</f>
        <v>0.11850300933347903</v>
      </c>
      <c r="F168" s="141">
        <f ca="1">SUM(F136:F166)</f>
        <v>592515.04666739516</v>
      </c>
      <c r="G168" s="143">
        <f ca="1">SUM(G136:G166)</f>
        <v>30713872.207383987</v>
      </c>
      <c r="H168" s="79">
        <f ca="1">IFERROR(I168 / (SUM($C136:$C166) / COUNT($C136:$C166)), 0)</f>
        <v>0.14277444147679733</v>
      </c>
      <c r="I168" s="141">
        <f ca="1">SUM(I136:I166)</f>
        <v>713872.20738398656</v>
      </c>
      <c r="J168" s="143">
        <f ca="1">SUM(J136:J166)</f>
        <v>30912701.131633408</v>
      </c>
      <c r="K168" s="79">
        <f ca="1">IFERROR(L168 / (SUM($C136:$C166) / COUNT($C136:$C166)), 0)</f>
        <v>0.1825402263266821</v>
      </c>
      <c r="L168" s="141">
        <f ca="1">SUM(L136:L166)</f>
        <v>912701.13163341046</v>
      </c>
      <c r="M168" s="143">
        <f ca="1">SUM(M136:M166)</f>
        <v>30626290.657957267</v>
      </c>
      <c r="N168" s="79">
        <f ca="1">IFERROR(O168 / (SUM($C136:$C166) / COUNT($C136:$C166)), 0)</f>
        <v>0.12525813159145305</v>
      </c>
      <c r="O168" s="141">
        <f ca="1">SUM(O136:O166)</f>
        <v>626290.65795726527</v>
      </c>
    </row>
    <row r="170" spans="1:15" ht="16.5" customHeight="1" thickBot="1"/>
    <row r="171" spans="1:15" ht="16.5" customHeight="1" thickBot="1">
      <c r="A171" s="167" t="str">
        <f>TEXT(투자전략!$G$1, "[$-ko-KR]yyyy년 mm월 ") &amp; "[엽전코인] 전일대비 상승률 Bottom20 월말결산"</f>
        <v>2021년 05월 [엽전코인] 전일대비 상승률 Bottom20 월말결산</v>
      </c>
      <c r="B171" s="168"/>
      <c r="C171" s="168"/>
      <c r="D171" s="168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9"/>
    </row>
    <row r="172" spans="1:15" ht="16.5" customHeight="1" thickBot="1">
      <c r="A172" s="228" t="s">
        <v>320</v>
      </c>
      <c r="B172" s="182" t="s">
        <v>318</v>
      </c>
      <c r="C172" s="184"/>
      <c r="D172" s="182" t="s">
        <v>310</v>
      </c>
      <c r="E172" s="183"/>
      <c r="F172" s="184"/>
      <c r="G172" s="182" t="s">
        <v>311</v>
      </c>
      <c r="H172" s="183"/>
      <c r="I172" s="184"/>
      <c r="J172" s="182" t="s">
        <v>312</v>
      </c>
      <c r="K172" s="183"/>
      <c r="L172" s="184"/>
      <c r="M172" s="182" t="s">
        <v>313</v>
      </c>
      <c r="N172" s="183"/>
      <c r="O172" s="184"/>
    </row>
    <row r="173" spans="1:15" ht="16.5" customHeight="1" thickBot="1">
      <c r="A173" s="232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2700000</v>
      </c>
      <c r="E179" s="77">
        <f t="shared" ca="1" si="54"/>
        <v>0</v>
      </c>
      <c r="F179" s="140">
        <f t="shared" ca="1" si="55"/>
        <v>0</v>
      </c>
      <c r="G179" s="142">
        <f t="shared" ca="1" si="56"/>
        <v>2700000</v>
      </c>
      <c r="H179" s="77">
        <f t="shared" ca="1" si="57"/>
        <v>0</v>
      </c>
      <c r="I179" s="140">
        <f t="shared" ca="1" si="58"/>
        <v>0</v>
      </c>
      <c r="J179" s="142">
        <f t="shared" ca="1" si="59"/>
        <v>2700000</v>
      </c>
      <c r="K179" s="77">
        <f t="shared" ca="1" si="60"/>
        <v>0</v>
      </c>
      <c r="L179" s="140">
        <f t="shared" ca="1" si="61"/>
        <v>0</v>
      </c>
      <c r="M179" s="142">
        <f t="shared" ca="1" si="62"/>
        <v>2700000</v>
      </c>
      <c r="N179" s="77">
        <f t="shared" ca="1" si="63"/>
        <v>0</v>
      </c>
      <c r="O179" s="140">
        <f t="shared" ca="1" si="64"/>
        <v>0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 t="str">
        <f t="shared" ca="1" si="52"/>
        <v/>
      </c>
      <c r="D181" s="145" t="str">
        <f t="shared" ca="1" si="53"/>
        <v/>
      </c>
      <c r="E181" s="76" t="str">
        <f t="shared" ca="1" si="54"/>
        <v/>
      </c>
      <c r="F181" s="144" t="str">
        <f t="shared" ca="1" si="55"/>
        <v/>
      </c>
      <c r="G181" s="145" t="str">
        <f t="shared" ca="1" si="56"/>
        <v/>
      </c>
      <c r="H181" s="76" t="str">
        <f t="shared" ca="1" si="57"/>
        <v/>
      </c>
      <c r="I181" s="144" t="str">
        <f t="shared" ca="1" si="58"/>
        <v/>
      </c>
      <c r="J181" s="145" t="str">
        <f t="shared" ca="1" si="59"/>
        <v/>
      </c>
      <c r="K181" s="76" t="str">
        <f t="shared" ca="1" si="60"/>
        <v/>
      </c>
      <c r="L181" s="144" t="str">
        <f t="shared" ca="1" si="61"/>
        <v/>
      </c>
      <c r="M181" s="145" t="str">
        <f t="shared" ca="1" si="62"/>
        <v/>
      </c>
      <c r="N181" s="76" t="str">
        <f t="shared" ca="1" si="63"/>
        <v/>
      </c>
      <c r="O181" s="144" t="str">
        <f t="shared" ca="1" si="64"/>
        <v/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 t="str">
        <f t="shared" ca="1" si="52"/>
        <v/>
      </c>
      <c r="D182" s="142" t="str">
        <f t="shared" ca="1" si="53"/>
        <v/>
      </c>
      <c r="E182" s="77" t="str">
        <f t="shared" ca="1" si="54"/>
        <v/>
      </c>
      <c r="F182" s="140" t="str">
        <f t="shared" ca="1" si="55"/>
        <v/>
      </c>
      <c r="G182" s="142" t="str">
        <f t="shared" ca="1" si="56"/>
        <v/>
      </c>
      <c r="H182" s="77" t="str">
        <f t="shared" ca="1" si="57"/>
        <v/>
      </c>
      <c r="I182" s="140" t="str">
        <f t="shared" ca="1" si="58"/>
        <v/>
      </c>
      <c r="J182" s="142" t="str">
        <f t="shared" ca="1" si="59"/>
        <v/>
      </c>
      <c r="K182" s="77" t="str">
        <f t="shared" ca="1" si="60"/>
        <v/>
      </c>
      <c r="L182" s="140" t="str">
        <f t="shared" ca="1" si="61"/>
        <v/>
      </c>
      <c r="M182" s="142" t="str">
        <f t="shared" ca="1" si="62"/>
        <v/>
      </c>
      <c r="N182" s="77" t="str">
        <f t="shared" ca="1" si="63"/>
        <v/>
      </c>
      <c r="O182" s="140" t="str">
        <f t="shared" ca="1" si="64"/>
        <v/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176" t="s">
        <v>319</v>
      </c>
      <c r="B205" s="178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182"/>
      <c r="B206" s="184"/>
      <c r="C206" s="139">
        <f ca="1">SUM(C174:C204)</f>
        <v>27150000</v>
      </c>
      <c r="D206" s="143">
        <f ca="1">SUM(D174:D204)</f>
        <v>27090951.695759259</v>
      </c>
      <c r="E206" s="79">
        <f ca="1">IFERROR(F206 / (SUM($C174:$C204) / COUNT($C174:$C204)), 0)</f>
        <v>-1.304934900347874E-2</v>
      </c>
      <c r="F206" s="141">
        <f ca="1">SUM(F174:F204)</f>
        <v>-59048.304240741301</v>
      </c>
      <c r="G206" s="143">
        <f ca="1">SUM(G174:G204)</f>
        <v>27201736.094695799</v>
      </c>
      <c r="H206" s="79">
        <f ca="1">IFERROR(I206 / (SUM($C174:$C204) / COUNT($C174:$C204)), 0)</f>
        <v>1.1433391092995539E-2</v>
      </c>
      <c r="I206" s="141">
        <f ca="1">SUM(I174:I204)</f>
        <v>51736.094695804815</v>
      </c>
      <c r="J206" s="143">
        <f ca="1">SUM(J174:J204)</f>
        <v>27259572.08279559</v>
      </c>
      <c r="K206" s="79">
        <f ca="1">IFERROR(L206 / (SUM($C174:$C204) / COUNT($C174:$C204)), 0)</f>
        <v>2.4214824927202044E-2</v>
      </c>
      <c r="L206" s="141">
        <f ca="1">SUM(L174:L204)</f>
        <v>109572.08279558925</v>
      </c>
      <c r="M206" s="143">
        <f ca="1">SUM(M174:M204)</f>
        <v>27131116.11378872</v>
      </c>
      <c r="N206" s="79">
        <f ca="1">IFERROR(O206 / (SUM($C174:$C204) / COUNT($C174:$C204)), 0)</f>
        <v>-4.1732345218292739E-3</v>
      </c>
      <c r="O206" s="141">
        <f ca="1">SUM(O174:O204)</f>
        <v>-18883.886211277466</v>
      </c>
    </row>
    <row r="208" spans="1:15" ht="16.5" customHeight="1" thickBot="1"/>
    <row r="209" spans="1:15" ht="16.5" customHeight="1" thickBot="1">
      <c r="A209" s="167" t="str">
        <f>TEXT(투자전략!$G$1, "[$-ko-KR]yyyy년 mm월 ") &amp; "[동전코인] 전일대비 상승률 Bottom20 월말결산"</f>
        <v>2021년 05월 [동전코인] 전일대비 상승률 Bottom20 월말결산</v>
      </c>
      <c r="B209" s="168"/>
      <c r="C209" s="168"/>
      <c r="D209" s="168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9"/>
    </row>
    <row r="210" spans="1:15" ht="16.5" customHeight="1" thickBot="1">
      <c r="A210" s="228" t="s">
        <v>320</v>
      </c>
      <c r="B210" s="182" t="s">
        <v>318</v>
      </c>
      <c r="C210" s="184"/>
      <c r="D210" s="182" t="s">
        <v>310</v>
      </c>
      <c r="E210" s="183"/>
      <c r="F210" s="184"/>
      <c r="G210" s="182" t="s">
        <v>311</v>
      </c>
      <c r="H210" s="183"/>
      <c r="I210" s="184"/>
      <c r="J210" s="182" t="s">
        <v>312</v>
      </c>
      <c r="K210" s="183"/>
      <c r="L210" s="184"/>
      <c r="M210" s="182" t="s">
        <v>313</v>
      </c>
      <c r="N210" s="183"/>
      <c r="O210" s="184"/>
    </row>
    <row r="211" spans="1:15" ht="16.5" customHeight="1" thickBot="1">
      <c r="A211" s="232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3000000</v>
      </c>
      <c r="E217" s="77">
        <f t="shared" ca="1" si="67"/>
        <v>0</v>
      </c>
      <c r="F217" s="140">
        <f t="shared" ca="1" si="68"/>
        <v>0</v>
      </c>
      <c r="G217" s="142">
        <f t="shared" ca="1" si="69"/>
        <v>3000000</v>
      </c>
      <c r="H217" s="77">
        <f t="shared" ca="1" si="70"/>
        <v>0</v>
      </c>
      <c r="I217" s="140">
        <f t="shared" ca="1" si="71"/>
        <v>0</v>
      </c>
      <c r="J217" s="142">
        <f t="shared" ca="1" si="72"/>
        <v>3000000</v>
      </c>
      <c r="K217" s="77">
        <f t="shared" ca="1" si="73"/>
        <v>0</v>
      </c>
      <c r="L217" s="140">
        <f t="shared" ca="1" si="74"/>
        <v>0</v>
      </c>
      <c r="M217" s="142">
        <f t="shared" ca="1" si="75"/>
        <v>3000000</v>
      </c>
      <c r="N217" s="77">
        <f t="shared" ca="1" si="76"/>
        <v>0</v>
      </c>
      <c r="O217" s="140">
        <f t="shared" ca="1" si="77"/>
        <v>0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 t="str">
        <f t="shared" ca="1" si="65"/>
        <v/>
      </c>
      <c r="D219" s="145" t="str">
        <f t="shared" ca="1" si="66"/>
        <v/>
      </c>
      <c r="E219" s="76" t="str">
        <f t="shared" ca="1" si="67"/>
        <v/>
      </c>
      <c r="F219" s="144" t="str">
        <f t="shared" ca="1" si="68"/>
        <v/>
      </c>
      <c r="G219" s="145" t="str">
        <f t="shared" ca="1" si="69"/>
        <v/>
      </c>
      <c r="H219" s="76" t="str">
        <f t="shared" ca="1" si="70"/>
        <v/>
      </c>
      <c r="I219" s="144" t="str">
        <f t="shared" ca="1" si="71"/>
        <v/>
      </c>
      <c r="J219" s="145" t="str">
        <f t="shared" ca="1" si="72"/>
        <v/>
      </c>
      <c r="K219" s="76" t="str">
        <f t="shared" ca="1" si="73"/>
        <v/>
      </c>
      <c r="L219" s="144" t="str">
        <f t="shared" ca="1" si="74"/>
        <v/>
      </c>
      <c r="M219" s="145" t="str">
        <f t="shared" ca="1" si="75"/>
        <v/>
      </c>
      <c r="N219" s="76" t="str">
        <f t="shared" ca="1" si="76"/>
        <v/>
      </c>
      <c r="O219" s="144" t="str">
        <f t="shared" ca="1" si="77"/>
        <v/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 t="str">
        <f t="shared" ca="1" si="65"/>
        <v/>
      </c>
      <c r="D220" s="142" t="str">
        <f t="shared" ca="1" si="66"/>
        <v/>
      </c>
      <c r="E220" s="77" t="str">
        <f t="shared" ca="1" si="67"/>
        <v/>
      </c>
      <c r="F220" s="140" t="str">
        <f t="shared" ca="1" si="68"/>
        <v/>
      </c>
      <c r="G220" s="142" t="str">
        <f t="shared" ca="1" si="69"/>
        <v/>
      </c>
      <c r="H220" s="77" t="str">
        <f t="shared" ca="1" si="70"/>
        <v/>
      </c>
      <c r="I220" s="140" t="str">
        <f t="shared" ca="1" si="71"/>
        <v/>
      </c>
      <c r="J220" s="142" t="str">
        <f t="shared" ca="1" si="72"/>
        <v/>
      </c>
      <c r="K220" s="77" t="str">
        <f t="shared" ca="1" si="73"/>
        <v/>
      </c>
      <c r="L220" s="140" t="str">
        <f t="shared" ca="1" si="74"/>
        <v/>
      </c>
      <c r="M220" s="142" t="str">
        <f t="shared" ca="1" si="75"/>
        <v/>
      </c>
      <c r="N220" s="77" t="str">
        <f t="shared" ca="1" si="76"/>
        <v/>
      </c>
      <c r="O220" s="140" t="str">
        <f t="shared" ca="1" si="77"/>
        <v/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176" t="s">
        <v>319</v>
      </c>
      <c r="B243" s="178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182"/>
      <c r="B244" s="184"/>
      <c r="C244" s="139">
        <f ca="1">SUM(C212:C242)</f>
        <v>30000000</v>
      </c>
      <c r="D244" s="143">
        <f ca="1">SUM(D212:D242)</f>
        <v>29826425.070299279</v>
      </c>
      <c r="E244" s="79">
        <f ca="1">IFERROR(F244 / (SUM($C212:$C242) / COUNT($C212:$C242)), 0)</f>
        <v>-3.4714985940144494E-2</v>
      </c>
      <c r="F244" s="141">
        <f ca="1">SUM(F212:F242)</f>
        <v>-173574.92970072248</v>
      </c>
      <c r="G244" s="143">
        <f ca="1">SUM(G212:G242)</f>
        <v>30009411.875603404</v>
      </c>
      <c r="H244" s="79">
        <f ca="1">IFERROR(I244 / (SUM($C212:$C242) / COUNT($C212:$C242)), 0)</f>
        <v>1.8823751206804096E-3</v>
      </c>
      <c r="I244" s="141">
        <f ca="1">SUM(I212:I242)</f>
        <v>9411.875603402048</v>
      </c>
      <c r="J244" s="143">
        <f ca="1">SUM(J212:J242)</f>
        <v>30041622.911671966</v>
      </c>
      <c r="K244" s="79">
        <f ca="1">IFERROR(L244 / (SUM($C212:$C242) / COUNT($C212:$C242)), 0)</f>
        <v>8.3245823343933035E-3</v>
      </c>
      <c r="L244" s="141">
        <f ca="1">SUM(L212:L242)</f>
        <v>41622.911671966518</v>
      </c>
      <c r="M244" s="143">
        <f ca="1">SUM(M212:M242)</f>
        <v>29930951.882638305</v>
      </c>
      <c r="N244" s="79">
        <f ca="1">IFERROR(O244 / (SUM($C212:$C242) / COUNT($C212:$C242)), 0)</f>
        <v>-1.3809623472338948E-2</v>
      </c>
      <c r="O244" s="141">
        <f ca="1">SUM(O212:O242)</f>
        <v>-69048.117361694734</v>
      </c>
    </row>
    <row r="246" spans="1:15" ht="16.5" customHeight="1" thickBot="1"/>
    <row r="247" spans="1:15" ht="16.5" customHeight="1" thickBot="1">
      <c r="A247" s="167" t="str">
        <f>TEXT(투자전략!$G$1, "[$-ko-KR]yyyy년 mm월 ") &amp; "전일대비 상승률 Bottom20 월말결산"</f>
        <v>2021년 05월 전일대비 상승률 Bottom20 월말결산</v>
      </c>
      <c r="B247" s="168"/>
      <c r="C247" s="168"/>
      <c r="D247" s="168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9"/>
    </row>
    <row r="248" spans="1:15" ht="16.5" customHeight="1" thickBot="1">
      <c r="A248" s="228" t="s">
        <v>320</v>
      </c>
      <c r="B248" s="182" t="s">
        <v>318</v>
      </c>
      <c r="C248" s="184"/>
      <c r="D248" s="182" t="s">
        <v>310</v>
      </c>
      <c r="E248" s="183"/>
      <c r="F248" s="184"/>
      <c r="G248" s="182" t="s">
        <v>311</v>
      </c>
      <c r="H248" s="183"/>
      <c r="I248" s="184"/>
      <c r="J248" s="182" t="s">
        <v>312</v>
      </c>
      <c r="K248" s="183"/>
      <c r="L248" s="184"/>
      <c r="M248" s="182" t="s">
        <v>313</v>
      </c>
      <c r="N248" s="183"/>
      <c r="O248" s="184"/>
    </row>
    <row r="249" spans="1:15" ht="16.5" customHeight="1" thickBot="1">
      <c r="A249" s="232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3000000</v>
      </c>
      <c r="E255" s="77">
        <f t="shared" ca="1" si="80"/>
        <v>0</v>
      </c>
      <c r="F255" s="140">
        <f t="shared" ca="1" si="81"/>
        <v>0</v>
      </c>
      <c r="G255" s="142">
        <f t="shared" ca="1" si="82"/>
        <v>3000000</v>
      </c>
      <c r="H255" s="77">
        <f t="shared" ca="1" si="83"/>
        <v>0</v>
      </c>
      <c r="I255" s="140">
        <f t="shared" ca="1" si="84"/>
        <v>0</v>
      </c>
      <c r="J255" s="142">
        <f t="shared" ca="1" si="85"/>
        <v>3000000</v>
      </c>
      <c r="K255" s="77">
        <f t="shared" ca="1" si="86"/>
        <v>0</v>
      </c>
      <c r="L255" s="140">
        <f t="shared" ca="1" si="87"/>
        <v>0</v>
      </c>
      <c r="M255" s="142">
        <f t="shared" ca="1" si="88"/>
        <v>3000000</v>
      </c>
      <c r="N255" s="77">
        <f t="shared" ca="1" si="89"/>
        <v>0</v>
      </c>
      <c r="O255" s="140">
        <f t="shared" ca="1" si="90"/>
        <v>0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 t="str">
        <f t="shared" ca="1" si="78"/>
        <v/>
      </c>
      <c r="D257" s="145" t="str">
        <f t="shared" ca="1" si="79"/>
        <v/>
      </c>
      <c r="E257" s="76" t="str">
        <f t="shared" ca="1" si="80"/>
        <v/>
      </c>
      <c r="F257" s="144" t="str">
        <f t="shared" ca="1" si="81"/>
        <v/>
      </c>
      <c r="G257" s="145" t="str">
        <f t="shared" ca="1" si="82"/>
        <v/>
      </c>
      <c r="H257" s="76" t="str">
        <f t="shared" ca="1" si="83"/>
        <v/>
      </c>
      <c r="I257" s="144" t="str">
        <f t="shared" ca="1" si="84"/>
        <v/>
      </c>
      <c r="J257" s="145" t="str">
        <f t="shared" ca="1" si="85"/>
        <v/>
      </c>
      <c r="K257" s="76" t="str">
        <f t="shared" ca="1" si="86"/>
        <v/>
      </c>
      <c r="L257" s="144" t="str">
        <f t="shared" ca="1" si="87"/>
        <v/>
      </c>
      <c r="M257" s="145" t="str">
        <f t="shared" ca="1" si="88"/>
        <v/>
      </c>
      <c r="N257" s="76" t="str">
        <f t="shared" ca="1" si="89"/>
        <v/>
      </c>
      <c r="O257" s="144" t="str">
        <f t="shared" ca="1" si="90"/>
        <v/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 t="str">
        <f t="shared" ca="1" si="78"/>
        <v/>
      </c>
      <c r="D258" s="142" t="str">
        <f t="shared" ca="1" si="79"/>
        <v/>
      </c>
      <c r="E258" s="77" t="str">
        <f t="shared" ca="1" si="80"/>
        <v/>
      </c>
      <c r="F258" s="140" t="str">
        <f t="shared" ca="1" si="81"/>
        <v/>
      </c>
      <c r="G258" s="142" t="str">
        <f t="shared" ca="1" si="82"/>
        <v/>
      </c>
      <c r="H258" s="77" t="str">
        <f t="shared" ca="1" si="83"/>
        <v/>
      </c>
      <c r="I258" s="140" t="str">
        <f t="shared" ca="1" si="84"/>
        <v/>
      </c>
      <c r="J258" s="142" t="str">
        <f t="shared" ca="1" si="85"/>
        <v/>
      </c>
      <c r="K258" s="77" t="str">
        <f t="shared" ca="1" si="86"/>
        <v/>
      </c>
      <c r="L258" s="140" t="str">
        <f t="shared" ca="1" si="87"/>
        <v/>
      </c>
      <c r="M258" s="142" t="str">
        <f t="shared" ca="1" si="88"/>
        <v/>
      </c>
      <c r="N258" s="77" t="str">
        <f t="shared" ca="1" si="89"/>
        <v/>
      </c>
      <c r="O258" s="140" t="str">
        <f t="shared" ca="1" si="90"/>
        <v/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176" t="s">
        <v>319</v>
      </c>
      <c r="B281" s="178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182"/>
      <c r="B282" s="184"/>
      <c r="C282" s="139">
        <f ca="1">SUM(C250:C280)</f>
        <v>30000000</v>
      </c>
      <c r="D282" s="143">
        <f ca="1">SUM(D250:D280)</f>
        <v>29676865.201423828</v>
      </c>
      <c r="E282" s="79">
        <f ca="1">IFERROR(F282 / (SUM($C250:$C280) / COUNT($C250:$C280)), 0)</f>
        <v>-6.4626959715234841E-2</v>
      </c>
      <c r="F282" s="141">
        <f ca="1">SUM(F250:F280)</f>
        <v>-323134.79857617419</v>
      </c>
      <c r="G282" s="143">
        <f ca="1">SUM(G250:G280)</f>
        <v>29847147.140570588</v>
      </c>
      <c r="H282" s="79">
        <f ca="1">IFERROR(I282 / (SUM($C250:$C280) / COUNT($C250:$C280)), 0)</f>
        <v>-3.057057188588239E-2</v>
      </c>
      <c r="I282" s="141">
        <f ca="1">SUM(I250:I280)</f>
        <v>-152852.85942941194</v>
      </c>
      <c r="J282" s="143">
        <f ca="1">SUM(J250:J280)</f>
        <v>29860910.273386881</v>
      </c>
      <c r="K282" s="79">
        <f ca="1">IFERROR(L282 / (SUM($C250:$C280) / COUNT($C250:$C280)), 0)</f>
        <v>-2.7817945322624757E-2</v>
      </c>
      <c r="L282" s="141">
        <f ca="1">SUM(L250:L280)</f>
        <v>-139089.72661312378</v>
      </c>
      <c r="M282" s="143">
        <f ca="1">SUM(M250:M280)</f>
        <v>29733688.927635938</v>
      </c>
      <c r="N282" s="79">
        <f ca="1">IFERROR(O282 / (SUM($C250:$C280) / COUNT($C250:$C280)), 0)</f>
        <v>-5.3262214472811334E-2</v>
      </c>
      <c r="O282" s="141">
        <f ca="1">SUM(O250:O280)</f>
        <v>-266311.07236405666</v>
      </c>
    </row>
  </sheetData>
  <mergeCells count="139">
    <mergeCell ref="B12:C12"/>
    <mergeCell ref="B13:C13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A2:C2"/>
    <mergeCell ref="J10:L10"/>
    <mergeCell ref="J11:L11"/>
    <mergeCell ref="J12:L12"/>
    <mergeCell ref="M3:O3"/>
    <mergeCell ref="M4:O4"/>
    <mergeCell ref="M5:O5"/>
    <mergeCell ref="M6:O6"/>
    <mergeCell ref="M7:O7"/>
    <mergeCell ref="M8:O8"/>
    <mergeCell ref="M9:O9"/>
    <mergeCell ref="M10:O10"/>
    <mergeCell ref="M11:O11"/>
    <mergeCell ref="M12:O12"/>
    <mergeCell ref="J5:L5"/>
    <mergeCell ref="J6:L6"/>
    <mergeCell ref="J7:L7"/>
    <mergeCell ref="J8:L8"/>
    <mergeCell ref="J9:L9"/>
    <mergeCell ref="D8:F8"/>
    <mergeCell ref="D9:F9"/>
    <mergeCell ref="D10:F10"/>
    <mergeCell ref="D11:F11"/>
    <mergeCell ref="D12:F1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29:B130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</mergeCells>
  <phoneticPr fontId="1" type="noConversion"/>
  <conditionalFormatting sqref="D20:F21 E54:F54">
    <cfRule type="expression" dxfId="503" priority="323">
      <formula>$E$54 &gt; 0</formula>
    </cfRule>
    <cfRule type="expression" dxfId="502" priority="324">
      <formula>$E$54 = 0</formula>
    </cfRule>
    <cfRule type="expression" dxfId="501" priority="325">
      <formula>$E$54 &lt; 0</formula>
    </cfRule>
  </conditionalFormatting>
  <conditionalFormatting sqref="G20:I21 H54:I54">
    <cfRule type="expression" dxfId="500" priority="320">
      <formula>$H$54 &gt; 0</formula>
    </cfRule>
    <cfRule type="expression" dxfId="499" priority="321">
      <formula>$H$54 = 0</formula>
    </cfRule>
    <cfRule type="expression" dxfId="498" priority="322">
      <formula>$H$54 &lt; 0</formula>
    </cfRule>
  </conditionalFormatting>
  <conditionalFormatting sqref="J20:L21 K54:L54">
    <cfRule type="expression" dxfId="497" priority="317">
      <formula>$K$54 &gt; 0</formula>
    </cfRule>
    <cfRule type="expression" dxfId="496" priority="318">
      <formula>$K$54 = 0</formula>
    </cfRule>
    <cfRule type="expression" dxfId="495" priority="319">
      <formula>$K$54 &lt; 0</formula>
    </cfRule>
  </conditionalFormatting>
  <conditionalFormatting sqref="M20:O21 N54:O54">
    <cfRule type="expression" dxfId="494" priority="314">
      <formula>$N$54 &gt; 0</formula>
    </cfRule>
    <cfRule type="expression" dxfId="493" priority="315">
      <formula>$N$54 = 0</formula>
    </cfRule>
    <cfRule type="expression" dxfId="492" priority="316">
      <formula>$N$54 &lt; 0</formula>
    </cfRule>
  </conditionalFormatting>
  <conditionalFormatting sqref="D22:F52">
    <cfRule type="expression" dxfId="491" priority="299">
      <formula>AND($E22 &gt; 0, ISNUMBER($E22))</formula>
    </cfRule>
    <cfRule type="expression" dxfId="490" priority="300">
      <formula>AND($E22 = 0, ISNUMBER($E22))</formula>
    </cfRule>
    <cfRule type="expression" dxfId="489" priority="301">
      <formula>AND($E22 &lt; 0, ISNUMBER($E22))</formula>
    </cfRule>
  </conditionalFormatting>
  <conditionalFormatting sqref="G22:I52">
    <cfRule type="expression" dxfId="488" priority="296">
      <formula>AND($H22 &gt; 0, ISNUMBER($H22))</formula>
    </cfRule>
    <cfRule type="expression" dxfId="487" priority="297">
      <formula>AND($H22 = 0, ISNUMBER($H22))</formula>
    </cfRule>
    <cfRule type="expression" dxfId="486" priority="298">
      <formula>AND($H22 &lt; 0, ISNUMBER($H22))</formula>
    </cfRule>
  </conditionalFormatting>
  <conditionalFormatting sqref="J22:L52">
    <cfRule type="expression" dxfId="485" priority="293">
      <formula>AND($K22 &gt; 0, ISNUMBER($K22))</formula>
    </cfRule>
    <cfRule type="expression" dxfId="484" priority="294">
      <formula>AND($K22 = 0, ISNUMBER($K22))</formula>
    </cfRule>
    <cfRule type="expression" dxfId="483" priority="295">
      <formula>AND($K22 &lt; 0, ISNUMBER($K22))</formula>
    </cfRule>
  </conditionalFormatting>
  <conditionalFormatting sqref="M22:O52">
    <cfRule type="expression" dxfId="482" priority="290">
      <formula>AND($N22 &gt; 0, ISNUMBER($N22))</formula>
    </cfRule>
    <cfRule type="expression" dxfId="481" priority="291">
      <formula>AND($N22 = 0, ISNUMBER($N22))</formula>
    </cfRule>
    <cfRule type="expression" dxfId="480" priority="292">
      <formula>AND($N22 &lt; 0, ISNUMBER($N22))</formula>
    </cfRule>
  </conditionalFormatting>
  <conditionalFormatting sqref="D58:F59 E92:F92">
    <cfRule type="expression" dxfId="479" priority="287">
      <formula>$E$92 &gt; 0</formula>
    </cfRule>
    <cfRule type="expression" dxfId="478" priority="288">
      <formula>$E$92 = 0</formula>
    </cfRule>
    <cfRule type="expression" dxfId="477" priority="289">
      <formula>$E$92 &lt; 0</formula>
    </cfRule>
  </conditionalFormatting>
  <conditionalFormatting sqref="G58:I59 H92:I92">
    <cfRule type="expression" dxfId="476" priority="284">
      <formula>$H$92 &gt; 0</formula>
    </cfRule>
    <cfRule type="expression" dxfId="475" priority="285">
      <formula>$H$92 = 0</formula>
    </cfRule>
    <cfRule type="expression" dxfId="474" priority="286">
      <formula>$H$92 &lt; 0</formula>
    </cfRule>
  </conditionalFormatting>
  <conditionalFormatting sqref="J58:L59 K92:L92">
    <cfRule type="expression" dxfId="473" priority="281">
      <formula>$K$92 &gt; 0</formula>
    </cfRule>
    <cfRule type="expression" dxfId="472" priority="282">
      <formula>$K$92 = 0</formula>
    </cfRule>
    <cfRule type="expression" dxfId="471" priority="283">
      <formula>$K$92 &lt; 0</formula>
    </cfRule>
  </conditionalFormatting>
  <conditionalFormatting sqref="M58:O59 N92:O92">
    <cfRule type="expression" dxfId="470" priority="278">
      <formula>$N$92 &gt; 0</formula>
    </cfRule>
    <cfRule type="expression" dxfId="469" priority="279">
      <formula>$N$92 = 0</formula>
    </cfRule>
    <cfRule type="expression" dxfId="468" priority="280">
      <formula>$N$92 &lt; 0</formula>
    </cfRule>
  </conditionalFormatting>
  <conditionalFormatting sqref="D60:F90">
    <cfRule type="expression" dxfId="467" priority="275">
      <formula>AND($E60 &gt; 0, ISNUMBER($E60))</formula>
    </cfRule>
    <cfRule type="expression" dxfId="466" priority="276">
      <formula>AND($E60 = 0, ISNUMBER($E60))</formula>
    </cfRule>
    <cfRule type="expression" dxfId="465" priority="277">
      <formula>AND($E60 &lt; 0, ISNUMBER($E60))</formula>
    </cfRule>
  </conditionalFormatting>
  <conditionalFormatting sqref="G60:I90">
    <cfRule type="expression" dxfId="464" priority="272">
      <formula>AND($H60 &gt; 0, ISNUMBER($H60))</formula>
    </cfRule>
    <cfRule type="expression" dxfId="463" priority="273">
      <formula>AND($H60 = 0, ISNUMBER($H60))</formula>
    </cfRule>
    <cfRule type="expression" dxfId="462" priority="274">
      <formula>AND($H60 &lt; 0, ISNUMBER($H60))</formula>
    </cfRule>
  </conditionalFormatting>
  <conditionalFormatting sqref="J60:L90">
    <cfRule type="expression" dxfId="461" priority="269">
      <formula>AND($K60 &gt; 0, ISNUMBER($K60))</formula>
    </cfRule>
    <cfRule type="expression" dxfId="460" priority="270">
      <formula>AND($K60 = 0, ISNUMBER($K60))</formula>
    </cfRule>
    <cfRule type="expression" dxfId="459" priority="271">
      <formula>AND($K60 &lt; 0, ISNUMBER($K60))</formula>
    </cfRule>
  </conditionalFormatting>
  <conditionalFormatting sqref="M60:O90">
    <cfRule type="expression" dxfId="458" priority="266">
      <formula>AND($N60 &gt; 0, ISNUMBER($N60))</formula>
    </cfRule>
    <cfRule type="expression" dxfId="457" priority="267">
      <formula>AND($N60 = 0, ISNUMBER($N60))</formula>
    </cfRule>
    <cfRule type="expression" dxfId="456" priority="268">
      <formula>AND($N60 &lt; 0, ISNUMBER($N60))</formula>
    </cfRule>
  </conditionalFormatting>
  <conditionalFormatting sqref="D96:F97 E130:F130">
    <cfRule type="expression" dxfId="455" priority="263">
      <formula>$E$130 &gt; 0</formula>
    </cfRule>
    <cfRule type="expression" dxfId="454" priority="264">
      <formula>$E$130 = 0</formula>
    </cfRule>
    <cfRule type="expression" dxfId="453" priority="265">
      <formula>$E$130 &lt; 0</formula>
    </cfRule>
  </conditionalFormatting>
  <conditionalFormatting sqref="G96:I97 H130:I130">
    <cfRule type="expression" dxfId="452" priority="260">
      <formula>$H$130 &gt; 0</formula>
    </cfRule>
    <cfRule type="expression" dxfId="451" priority="261">
      <formula>$H$130 = 0</formula>
    </cfRule>
    <cfRule type="expression" dxfId="450" priority="262">
      <formula>$H$130 &lt; 0</formula>
    </cfRule>
  </conditionalFormatting>
  <conditionalFormatting sqref="J96:L97 K130:L130">
    <cfRule type="expression" dxfId="449" priority="257">
      <formula>$K$130 &gt; 0</formula>
    </cfRule>
    <cfRule type="expression" dxfId="448" priority="258">
      <formula>$K$130 = 0</formula>
    </cfRule>
    <cfRule type="expression" dxfId="447" priority="259">
      <formula>$K$130 &lt; 0</formula>
    </cfRule>
  </conditionalFormatting>
  <conditionalFormatting sqref="M96:O97 N130:O130">
    <cfRule type="expression" dxfId="446" priority="254">
      <formula>$N$130 &gt; 0</formula>
    </cfRule>
    <cfRule type="expression" dxfId="445" priority="255">
      <formula>$N$130 = 0</formula>
    </cfRule>
    <cfRule type="expression" dxfId="444" priority="256">
      <formula>$N$130 &lt; 0</formula>
    </cfRule>
  </conditionalFormatting>
  <conditionalFormatting sqref="D98:F128">
    <cfRule type="expression" dxfId="443" priority="251">
      <formula>AND($E98 &gt; 0, ISNUMBER($E98))</formula>
    </cfRule>
    <cfRule type="expression" dxfId="442" priority="252">
      <formula>AND($E98 = 0, ISNUMBER($E98))</formula>
    </cfRule>
    <cfRule type="expression" dxfId="441" priority="253">
      <formula>AND($E98 &lt; 0, ISNUMBER($E98))</formula>
    </cfRule>
  </conditionalFormatting>
  <conditionalFormatting sqref="G98:I128">
    <cfRule type="expression" dxfId="440" priority="248">
      <formula>AND($H98 &gt; 0, ISNUMBER($H98))</formula>
    </cfRule>
    <cfRule type="expression" dxfId="439" priority="249">
      <formula>AND($H98 = 0, ISNUMBER($H98))</formula>
    </cfRule>
    <cfRule type="expression" dxfId="438" priority="250">
      <formula>AND($H98 &lt; 0, ISNUMBER($H98))</formula>
    </cfRule>
  </conditionalFormatting>
  <conditionalFormatting sqref="J98:L128">
    <cfRule type="expression" dxfId="437" priority="245">
      <formula>AND($K98 &gt; 0, ISNUMBER($K98))</formula>
    </cfRule>
    <cfRule type="expression" dxfId="436" priority="246">
      <formula>AND($K98 = 0, ISNUMBER($K98))</formula>
    </cfRule>
    <cfRule type="expression" dxfId="435" priority="247">
      <formula>AND($K98 &lt; 0, ISNUMBER($K98))</formula>
    </cfRule>
  </conditionalFormatting>
  <conditionalFormatting sqref="M98:O128">
    <cfRule type="expression" dxfId="434" priority="242">
      <formula>AND($N98 &gt; 0, ISNUMBER($N98))</formula>
    </cfRule>
    <cfRule type="expression" dxfId="433" priority="243">
      <formula>AND($N98 = 0, ISNUMBER($N98))</formula>
    </cfRule>
    <cfRule type="expression" dxfId="432" priority="244">
      <formula>AND($N98 &lt; 0, ISNUMBER($N98))</formula>
    </cfRule>
  </conditionalFormatting>
  <conditionalFormatting sqref="D134:F135 E168:F168">
    <cfRule type="expression" dxfId="431" priority="239">
      <formula>$E$168 &gt; 0</formula>
    </cfRule>
    <cfRule type="expression" dxfId="430" priority="240">
      <formula>$E$168 = 0</formula>
    </cfRule>
    <cfRule type="expression" dxfId="429" priority="241">
      <formula>$E$168 &lt; 0</formula>
    </cfRule>
  </conditionalFormatting>
  <conditionalFormatting sqref="G134:I135 H168:I168">
    <cfRule type="expression" dxfId="428" priority="236">
      <formula>$H$168 &gt; 0</formula>
    </cfRule>
    <cfRule type="expression" dxfId="427" priority="237">
      <formula>$H$168 = 0</formula>
    </cfRule>
    <cfRule type="expression" dxfId="426" priority="238">
      <formula>$H$168 &lt; 0</formula>
    </cfRule>
  </conditionalFormatting>
  <conditionalFormatting sqref="J134:L135 K168:L168">
    <cfRule type="expression" dxfId="425" priority="233">
      <formula>$K$168 &gt; 0</formula>
    </cfRule>
    <cfRule type="expression" dxfId="424" priority="234">
      <formula>$K$168 = 0</formula>
    </cfRule>
    <cfRule type="expression" dxfId="423" priority="235">
      <formula>$K$168 &lt; 0</formula>
    </cfRule>
  </conditionalFormatting>
  <conditionalFormatting sqref="M134:O135 N168:O168">
    <cfRule type="expression" dxfId="422" priority="230">
      <formula>$N$168 &gt; 0</formula>
    </cfRule>
    <cfRule type="expression" dxfId="421" priority="231">
      <formula>$N$168 = 0</formula>
    </cfRule>
    <cfRule type="expression" dxfId="420" priority="232">
      <formula>$N$168 &lt; 0</formula>
    </cfRule>
  </conditionalFormatting>
  <conditionalFormatting sqref="D136:F166">
    <cfRule type="expression" dxfId="419" priority="227">
      <formula>AND($E136 &gt; 0, ISNUMBER($E136))</formula>
    </cfRule>
    <cfRule type="expression" dxfId="418" priority="228">
      <formula>AND($E136 = 0, ISNUMBER($E136))</formula>
    </cfRule>
    <cfRule type="expression" dxfId="417" priority="229">
      <formula>AND($E136 &lt; 0, ISNUMBER($E136))</formula>
    </cfRule>
  </conditionalFormatting>
  <conditionalFormatting sqref="G136:I166">
    <cfRule type="expression" dxfId="416" priority="224">
      <formula>AND($H136 &gt; 0, ISNUMBER($H136))</formula>
    </cfRule>
    <cfRule type="expression" dxfId="415" priority="225">
      <formula>AND($H136 = 0, ISNUMBER($H136))</formula>
    </cfRule>
    <cfRule type="expression" dxfId="414" priority="226">
      <formula>AND($H136 &lt; 0, ISNUMBER($H136))</formula>
    </cfRule>
  </conditionalFormatting>
  <conditionalFormatting sqref="J136:L166">
    <cfRule type="expression" dxfId="413" priority="221">
      <formula>AND($K136 &gt; 0, ISNUMBER($K136))</formula>
    </cfRule>
    <cfRule type="expression" dxfId="412" priority="222">
      <formula>AND($K136 = 0, ISNUMBER($K136))</formula>
    </cfRule>
    <cfRule type="expression" dxfId="411" priority="223">
      <formula>AND($K136 &lt; 0, ISNUMBER($K136))</formula>
    </cfRule>
  </conditionalFormatting>
  <conditionalFormatting sqref="M136:O166">
    <cfRule type="expression" dxfId="410" priority="218">
      <formula>AND($N136 &gt; 0, ISNUMBER($N136))</formula>
    </cfRule>
    <cfRule type="expression" dxfId="409" priority="219">
      <formula>AND($N136 = 0, ISNUMBER($N136))</formula>
    </cfRule>
    <cfRule type="expression" dxfId="408" priority="220">
      <formula>AND($N136 &lt; 0, ISNUMBER($N136))</formula>
    </cfRule>
  </conditionalFormatting>
  <conditionalFormatting sqref="D172:F173 E206:F206">
    <cfRule type="expression" dxfId="407" priority="215">
      <formula>$E$206 &gt; 0</formula>
    </cfRule>
    <cfRule type="expression" dxfId="406" priority="216">
      <formula>$E$206 = 0</formula>
    </cfRule>
    <cfRule type="expression" dxfId="405" priority="217">
      <formula>$E$206 &lt; 0</formula>
    </cfRule>
  </conditionalFormatting>
  <conditionalFormatting sqref="G172:I173 H206:I206">
    <cfRule type="expression" dxfId="404" priority="212">
      <formula>$H$206 &gt; 0</formula>
    </cfRule>
    <cfRule type="expression" dxfId="403" priority="213">
      <formula>$H$206 = 0</formula>
    </cfRule>
    <cfRule type="expression" dxfId="402" priority="214">
      <formula>$H$206 &lt; 0</formula>
    </cfRule>
  </conditionalFormatting>
  <conditionalFormatting sqref="J172:L173 K206:L206">
    <cfRule type="expression" dxfId="401" priority="209">
      <formula>$K$206 &gt; 0</formula>
    </cfRule>
    <cfRule type="expression" dxfId="400" priority="210">
      <formula>$K$206 = 0</formula>
    </cfRule>
    <cfRule type="expression" dxfId="399" priority="211">
      <formula>$K$206 &lt; 0</formula>
    </cfRule>
  </conditionalFormatting>
  <conditionalFormatting sqref="M172:O173 N206:O206">
    <cfRule type="expression" dxfId="398" priority="206">
      <formula>$N$206 &gt; 0</formula>
    </cfRule>
    <cfRule type="expression" dxfId="397" priority="207">
      <formula>$N$206 = 0</formula>
    </cfRule>
    <cfRule type="expression" dxfId="396" priority="208">
      <formula>$N$206 &lt; 0</formula>
    </cfRule>
  </conditionalFormatting>
  <conditionalFormatting sqref="D174:F204">
    <cfRule type="expression" dxfId="395" priority="203">
      <formula>AND($E174 &gt; 0, ISNUMBER($E174))</formula>
    </cfRule>
    <cfRule type="expression" dxfId="394" priority="204">
      <formula>AND($E174 = 0, ISNUMBER($E174))</formula>
    </cfRule>
    <cfRule type="expression" dxfId="393" priority="205">
      <formula>AND($E174 &lt; 0, ISNUMBER($E174))</formula>
    </cfRule>
  </conditionalFormatting>
  <conditionalFormatting sqref="G174:I204">
    <cfRule type="expression" dxfId="392" priority="200">
      <formula>AND($H174 &gt; 0, ISNUMBER($H174))</formula>
    </cfRule>
    <cfRule type="expression" dxfId="391" priority="201">
      <formula>AND($H174 = 0, ISNUMBER($H174))</formula>
    </cfRule>
    <cfRule type="expression" dxfId="390" priority="202">
      <formula>AND($H174 &lt; 0, ISNUMBER($H174))</formula>
    </cfRule>
  </conditionalFormatting>
  <conditionalFormatting sqref="J174:L204">
    <cfRule type="expression" dxfId="389" priority="197">
      <formula>AND($K174 &gt; 0, ISNUMBER($K174))</formula>
    </cfRule>
    <cfRule type="expression" dxfId="388" priority="198">
      <formula>AND($K174 = 0, ISNUMBER($K174))</formula>
    </cfRule>
    <cfRule type="expression" dxfId="387" priority="199">
      <formula>AND($K174 &lt; 0, ISNUMBER($K174))</formula>
    </cfRule>
  </conditionalFormatting>
  <conditionalFormatting sqref="M174:O204">
    <cfRule type="expression" dxfId="386" priority="194">
      <formula>AND($N174 &gt; 0, ISNUMBER($N174))</formula>
    </cfRule>
    <cfRule type="expression" dxfId="385" priority="195">
      <formula>AND($N174 = 0, ISNUMBER($N174))</formula>
    </cfRule>
    <cfRule type="expression" dxfId="384" priority="196">
      <formula>AND($N174 &lt; 0, ISNUMBER($N174))</formula>
    </cfRule>
  </conditionalFormatting>
  <conditionalFormatting sqref="D210:F211 E244:F244">
    <cfRule type="expression" dxfId="383" priority="191">
      <formula>$E$244 &gt; 0</formula>
    </cfRule>
    <cfRule type="expression" dxfId="382" priority="192">
      <formula>$E$244 = 0</formula>
    </cfRule>
    <cfRule type="expression" dxfId="381" priority="193">
      <formula>$E$244 &lt; 0</formula>
    </cfRule>
  </conditionalFormatting>
  <conditionalFormatting sqref="G210:I211 H244:I244">
    <cfRule type="expression" dxfId="380" priority="188">
      <formula>$H$244 &gt; 0</formula>
    </cfRule>
    <cfRule type="expression" dxfId="379" priority="189">
      <formula>$H$244 = 0</formula>
    </cfRule>
    <cfRule type="expression" dxfId="378" priority="190">
      <formula>$H$244 &lt; 0</formula>
    </cfRule>
  </conditionalFormatting>
  <conditionalFormatting sqref="J210:L211 K244:L244">
    <cfRule type="expression" dxfId="377" priority="185">
      <formula>$K$244 &gt; 0</formula>
    </cfRule>
    <cfRule type="expression" dxfId="376" priority="186">
      <formula>$K$244 = 0</formula>
    </cfRule>
    <cfRule type="expression" dxfId="375" priority="187">
      <formula>$K$244 &lt; 0</formula>
    </cfRule>
  </conditionalFormatting>
  <conditionalFormatting sqref="M210:O211 N244:O244">
    <cfRule type="expression" dxfId="374" priority="182">
      <formula>$N$244 &gt; 0</formula>
    </cfRule>
    <cfRule type="expression" dxfId="373" priority="183">
      <formula>$N$244 = 0</formula>
    </cfRule>
    <cfRule type="expression" dxfId="372" priority="184">
      <formula>$N$244 &lt; 0</formula>
    </cfRule>
  </conditionalFormatting>
  <conditionalFormatting sqref="D212:F242">
    <cfRule type="expression" dxfId="371" priority="179">
      <formula>AND($E212 &gt; 0, ISNUMBER($E212))</formula>
    </cfRule>
    <cfRule type="expression" dxfId="370" priority="180">
      <formula>AND($E212 = 0, ISNUMBER($E212))</formula>
    </cfRule>
    <cfRule type="expression" dxfId="369" priority="181">
      <formula>AND($E212 &lt; 0, ISNUMBER($E212))</formula>
    </cfRule>
  </conditionalFormatting>
  <conditionalFormatting sqref="G212:I242">
    <cfRule type="expression" dxfId="368" priority="176">
      <formula>AND($H212 &gt; 0, ISNUMBER($H212))</formula>
    </cfRule>
    <cfRule type="expression" dxfId="367" priority="177">
      <formula>AND($H212 = 0, ISNUMBER($H212))</formula>
    </cfRule>
    <cfRule type="expression" dxfId="366" priority="178">
      <formula>AND($H212 &lt; 0, ISNUMBER($H212))</formula>
    </cfRule>
  </conditionalFormatting>
  <conditionalFormatting sqref="J212:L242">
    <cfRule type="expression" dxfId="365" priority="173">
      <formula>AND($K212 &gt; 0, ISNUMBER($K212))</formula>
    </cfRule>
    <cfRule type="expression" dxfId="364" priority="174">
      <formula>AND($K212 = 0, ISNUMBER($K212))</formula>
    </cfRule>
    <cfRule type="expression" dxfId="363" priority="175">
      <formula>AND($K212 &lt; 0, ISNUMBER($K212))</formula>
    </cfRule>
  </conditionalFormatting>
  <conditionalFormatting sqref="M212:O242">
    <cfRule type="expression" dxfId="362" priority="170">
      <formula>AND($N212 &gt; 0, ISNUMBER($N212))</formula>
    </cfRule>
    <cfRule type="expression" dxfId="361" priority="171">
      <formula>AND($N212 = 0, ISNUMBER($N212))</formula>
    </cfRule>
    <cfRule type="expression" dxfId="360" priority="172">
      <formula>AND($N212 &lt; 0, ISNUMBER($N212))</formula>
    </cfRule>
  </conditionalFormatting>
  <conditionalFormatting sqref="D248:F249 E282:F282">
    <cfRule type="expression" dxfId="359" priority="167">
      <formula>$E$282 &gt; 0</formula>
    </cfRule>
    <cfRule type="expression" dxfId="358" priority="168">
      <formula>$E$282 = 0</formula>
    </cfRule>
    <cfRule type="expression" dxfId="357" priority="169">
      <formula>$E$282 &lt; 0</formula>
    </cfRule>
  </conditionalFormatting>
  <conditionalFormatting sqref="G248:I249 H282:I282">
    <cfRule type="expression" dxfId="356" priority="164">
      <formula>$H$282 &gt; 0</formula>
    </cfRule>
    <cfRule type="expression" dxfId="355" priority="165">
      <formula>$H$282 = 0</formula>
    </cfRule>
    <cfRule type="expression" dxfId="354" priority="166">
      <formula>$H$282 &lt; 0</formula>
    </cfRule>
  </conditionalFormatting>
  <conditionalFormatting sqref="J248:L249 K282:L282">
    <cfRule type="expression" dxfId="353" priority="161">
      <formula>$K$282 &gt; 0</formula>
    </cfRule>
    <cfRule type="expression" dxfId="352" priority="162">
      <formula>$K$282 = 0</formula>
    </cfRule>
    <cfRule type="expression" dxfId="351" priority="163">
      <formula>$K$282 &lt; 0</formula>
    </cfRule>
  </conditionalFormatting>
  <conditionalFormatting sqref="M248:O249 N282:O282">
    <cfRule type="expression" dxfId="350" priority="158">
      <formula>$N$282 &gt; 0</formula>
    </cfRule>
    <cfRule type="expression" dxfId="349" priority="159">
      <formula>$N$282 = 0</formula>
    </cfRule>
    <cfRule type="expression" dxfId="348" priority="160">
      <formula>$N$282 &lt; 0</formula>
    </cfRule>
  </conditionalFormatting>
  <conditionalFormatting sqref="D250:F280">
    <cfRule type="expression" dxfId="347" priority="155">
      <formula>AND($E250 &gt; 0, ISNUMBER($E250))</formula>
    </cfRule>
    <cfRule type="expression" dxfId="346" priority="156">
      <formula>AND($E250 = 0, ISNUMBER($E250))</formula>
    </cfRule>
    <cfRule type="expression" dxfId="345" priority="157">
      <formula>AND($E250 &lt; 0, ISNUMBER($E250))</formula>
    </cfRule>
  </conditionalFormatting>
  <conditionalFormatting sqref="G250:I280">
    <cfRule type="expression" dxfId="344" priority="152">
      <formula>AND($H250 &gt; 0, ISNUMBER($H250))</formula>
    </cfRule>
    <cfRule type="expression" dxfId="343" priority="153">
      <formula>AND($H250 = 0, ISNUMBER($H250))</formula>
    </cfRule>
    <cfRule type="expression" dxfId="342" priority="154">
      <formula>AND($H250 &lt; 0, ISNUMBER($H250))</formula>
    </cfRule>
  </conditionalFormatting>
  <conditionalFormatting sqref="J250:L280">
    <cfRule type="expression" dxfId="341" priority="149">
      <formula>AND($K250 &gt; 0, ISNUMBER($K250))</formula>
    </cfRule>
    <cfRule type="expression" dxfId="340" priority="150">
      <formula>AND($K250 = 0, ISNUMBER($K250))</formula>
    </cfRule>
    <cfRule type="expression" dxfId="339" priority="151">
      <formula>AND($K250 &lt; 0, ISNUMBER($K250))</formula>
    </cfRule>
  </conditionalFormatting>
  <conditionalFormatting sqref="M250:O280">
    <cfRule type="expression" dxfId="338" priority="146">
      <formula>AND($N250 &gt; 0, ISNUMBER($N250))</formula>
    </cfRule>
    <cfRule type="expression" dxfId="337" priority="147">
      <formula>AND($N250 = 0, ISNUMBER($N250))</formula>
    </cfRule>
    <cfRule type="expression" dxfId="336" priority="148">
      <formula>AND($N250 &lt; 0, ISNUMBER($N250))</formula>
    </cfRule>
  </conditionalFormatting>
  <conditionalFormatting sqref="D5:F6">
    <cfRule type="expression" dxfId="335" priority="143">
      <formula>$F$130 &gt; 0</formula>
    </cfRule>
    <cfRule type="expression" dxfId="334" priority="144">
      <formula>$F$130 = 0</formula>
    </cfRule>
    <cfRule type="expression" dxfId="333" priority="145">
      <formula>$F$130 &lt; 0</formula>
    </cfRule>
  </conditionalFormatting>
  <conditionalFormatting sqref="D7:F8">
    <cfRule type="expression" dxfId="332" priority="140">
      <formula>$F$206 &gt; 0</formula>
    </cfRule>
    <cfRule type="expression" dxfId="331" priority="141">
      <formula>$F$206 = 0</formula>
    </cfRule>
    <cfRule type="expression" dxfId="330" priority="142">
      <formula>$F$206 &lt; 0</formula>
    </cfRule>
  </conditionalFormatting>
  <conditionalFormatting sqref="D9:F10">
    <cfRule type="expression" dxfId="329" priority="137">
      <formula>$F$244 &gt; 0</formula>
    </cfRule>
    <cfRule type="expression" dxfId="328" priority="138">
      <formula>$F$244 = 0</formula>
    </cfRule>
    <cfRule type="expression" dxfId="327" priority="139">
      <formula>$F$244 &lt; 0</formula>
    </cfRule>
  </conditionalFormatting>
  <conditionalFormatting sqref="D11:F12">
    <cfRule type="expression" dxfId="326" priority="134">
      <formula>$F$168 &gt; 0</formula>
    </cfRule>
    <cfRule type="expression" dxfId="325" priority="135">
      <formula>$F$168 = 0</formula>
    </cfRule>
    <cfRule type="expression" dxfId="324" priority="136">
      <formula>$F$168 &lt; 0</formula>
    </cfRule>
  </conditionalFormatting>
  <conditionalFormatting sqref="D13:F14">
    <cfRule type="expression" dxfId="323" priority="92">
      <formula>$F$282 &gt; 0</formula>
    </cfRule>
    <cfRule type="expression" dxfId="322" priority="93">
      <formula>$F$282 = 0</formula>
    </cfRule>
    <cfRule type="expression" dxfId="321" priority="94">
      <formula>$F$282 &lt; 0</formula>
    </cfRule>
  </conditionalFormatting>
  <conditionalFormatting sqref="D15:F16">
    <cfRule type="expression" dxfId="320" priority="77">
      <formula>$F$54 &gt; 0</formula>
    </cfRule>
    <cfRule type="expression" dxfId="319" priority="78">
      <formula>$F$54 = 0</formula>
    </cfRule>
    <cfRule type="expression" dxfId="318" priority="79">
      <formula>$F$54 &lt; 0</formula>
    </cfRule>
  </conditionalFormatting>
  <conditionalFormatting sqref="G5:I6">
    <cfRule type="expression" dxfId="317" priority="65">
      <formula>$I$130 &gt; 0</formula>
    </cfRule>
    <cfRule type="expression" dxfId="316" priority="66">
      <formula>$I$130 = 0</formula>
    </cfRule>
    <cfRule type="expression" dxfId="315" priority="67">
      <formula>$I$130 &lt; 0</formula>
    </cfRule>
  </conditionalFormatting>
  <conditionalFormatting sqref="G7:I8">
    <cfRule type="expression" dxfId="314" priority="62">
      <formula>$I$206 &gt; 0</formula>
    </cfRule>
    <cfRule type="expression" dxfId="313" priority="63">
      <formula>$I$206 = 0</formula>
    </cfRule>
    <cfRule type="expression" dxfId="312" priority="64">
      <formula>$I$206 &lt; 0</formula>
    </cfRule>
  </conditionalFormatting>
  <conditionalFormatting sqref="G9:I10">
    <cfRule type="expression" dxfId="311" priority="59">
      <formula>$I$244 &gt; 0</formula>
    </cfRule>
    <cfRule type="expression" dxfId="310" priority="60">
      <formula>$I$244 = 0</formula>
    </cfRule>
    <cfRule type="expression" dxfId="309" priority="61">
      <formula>$I$244 &lt; 0</formula>
    </cfRule>
  </conditionalFormatting>
  <conditionalFormatting sqref="G11:I12">
    <cfRule type="expression" dxfId="308" priority="56">
      <formula>$I$168 &gt; 0</formula>
    </cfRule>
    <cfRule type="expression" dxfId="307" priority="57">
      <formula>$I$168 = 0</formula>
    </cfRule>
    <cfRule type="expression" dxfId="306" priority="58">
      <formula>$I$168 &lt; 0</formula>
    </cfRule>
  </conditionalFormatting>
  <conditionalFormatting sqref="G13:I14">
    <cfRule type="expression" dxfId="305" priority="53">
      <formula>$I$282 &gt; 0</formula>
    </cfRule>
    <cfRule type="expression" dxfId="304" priority="54">
      <formula>$I$282 = 0</formula>
    </cfRule>
    <cfRule type="expression" dxfId="303" priority="55">
      <formula>$I$282 &lt; 0</formula>
    </cfRule>
  </conditionalFormatting>
  <conditionalFormatting sqref="G15:I16">
    <cfRule type="expression" dxfId="302" priority="50">
      <formula>$I$54 &gt; 0</formula>
    </cfRule>
    <cfRule type="expression" dxfId="301" priority="51">
      <formula>$I$54 = 0</formula>
    </cfRule>
    <cfRule type="expression" dxfId="300" priority="52">
      <formula>$I$54 &lt; 0</formula>
    </cfRule>
  </conditionalFormatting>
  <conditionalFormatting sqref="J5:L6">
    <cfRule type="expression" dxfId="299" priority="47">
      <formula>$L$130 &gt; 0</formula>
    </cfRule>
    <cfRule type="expression" dxfId="298" priority="48">
      <formula>$L$130 = 0</formula>
    </cfRule>
    <cfRule type="expression" dxfId="297" priority="49">
      <formula>$L$130 &lt; 0</formula>
    </cfRule>
  </conditionalFormatting>
  <conditionalFormatting sqref="J7:L8">
    <cfRule type="expression" dxfId="296" priority="44">
      <formula>$L$206 &gt; 0</formula>
    </cfRule>
    <cfRule type="expression" dxfId="295" priority="45">
      <formula>$L$206 = 0</formula>
    </cfRule>
    <cfRule type="expression" dxfId="294" priority="46">
      <formula>$L$206 &lt; 0</formula>
    </cfRule>
  </conditionalFormatting>
  <conditionalFormatting sqref="J9:L10">
    <cfRule type="expression" dxfId="293" priority="41">
      <formula>$L$244 &gt; 0</formula>
    </cfRule>
    <cfRule type="expression" dxfId="292" priority="42">
      <formula>$L$244 = 0</formula>
    </cfRule>
    <cfRule type="expression" dxfId="291" priority="43">
      <formula>$L$244 &lt; 0</formula>
    </cfRule>
  </conditionalFormatting>
  <conditionalFormatting sqref="J11:L12">
    <cfRule type="expression" dxfId="290" priority="38">
      <formula>$L$168 &gt; 0</formula>
    </cfRule>
    <cfRule type="expression" dxfId="289" priority="39">
      <formula>$L$168 = 0</formula>
    </cfRule>
    <cfRule type="expression" dxfId="288" priority="40">
      <formula>$L$168 &lt; 0</formula>
    </cfRule>
  </conditionalFormatting>
  <conditionalFormatting sqref="J13:L14">
    <cfRule type="expression" dxfId="287" priority="35">
      <formula>$L$282 &gt; 0</formula>
    </cfRule>
    <cfRule type="expression" dxfId="286" priority="36">
      <formula>$L$282 = 0</formula>
    </cfRule>
    <cfRule type="expression" dxfId="285" priority="37">
      <formula>$L$282 &lt; 0</formula>
    </cfRule>
  </conditionalFormatting>
  <conditionalFormatting sqref="J15:L16">
    <cfRule type="expression" dxfId="284" priority="32">
      <formula>$L$54 &gt; 0</formula>
    </cfRule>
    <cfRule type="expression" dxfId="283" priority="33">
      <formula>$L$54 = 0</formula>
    </cfRule>
    <cfRule type="expression" dxfId="282" priority="34">
      <formula>$L$54 &lt; 0</formula>
    </cfRule>
  </conditionalFormatting>
  <conditionalFormatting sqref="M5:O6">
    <cfRule type="expression" dxfId="281" priority="29">
      <formula>$O$130 &gt; 0</formula>
    </cfRule>
    <cfRule type="expression" dxfId="280" priority="30">
      <formula>$O$130 = 0</formula>
    </cfRule>
    <cfRule type="expression" dxfId="279" priority="31">
      <formula>$O$130 &lt; 0</formula>
    </cfRule>
  </conditionalFormatting>
  <conditionalFormatting sqref="M7:O8">
    <cfRule type="expression" dxfId="278" priority="26">
      <formula>$O$206 &gt; 0</formula>
    </cfRule>
    <cfRule type="expression" dxfId="277" priority="27">
      <formula>$O$206 = 0</formula>
    </cfRule>
    <cfRule type="expression" dxfId="276" priority="28">
      <formula>$O$206 &lt; 0</formula>
    </cfRule>
  </conditionalFormatting>
  <conditionalFormatting sqref="M9:O10">
    <cfRule type="expression" dxfId="275" priority="23">
      <formula>$O$244 &gt; 0</formula>
    </cfRule>
    <cfRule type="expression" dxfId="274" priority="24">
      <formula>$O$244 = 0</formula>
    </cfRule>
    <cfRule type="expression" dxfId="273" priority="25">
      <formula>$O$244 &lt; 0</formula>
    </cfRule>
  </conditionalFormatting>
  <conditionalFormatting sqref="M11:O12">
    <cfRule type="expression" dxfId="272" priority="20">
      <formula>$O$168 &gt; 0</formula>
    </cfRule>
    <cfRule type="expression" dxfId="271" priority="21">
      <formula>$O$168 = 0</formula>
    </cfRule>
    <cfRule type="expression" dxfId="270" priority="22">
      <formula>$O$168 &lt; 0</formula>
    </cfRule>
  </conditionalFormatting>
  <conditionalFormatting sqref="M13:O14">
    <cfRule type="expression" dxfId="269" priority="17">
      <formula>$O$282 &gt; 0</formula>
    </cfRule>
    <cfRule type="expression" dxfId="268" priority="18">
      <formula>$O$282 = 0</formula>
    </cfRule>
    <cfRule type="expression" dxfId="267" priority="19">
      <formula>$O$282 &lt; 0</formula>
    </cfRule>
  </conditionalFormatting>
  <conditionalFormatting sqref="M15:O16">
    <cfRule type="expression" dxfId="266" priority="14">
      <formula>$O$54 &gt; 0</formula>
    </cfRule>
    <cfRule type="expression" dxfId="265" priority="15">
      <formula>$O$54 = 0</formula>
    </cfRule>
    <cfRule type="expression" dxfId="264" priority="16">
      <formula>$O$54 &lt; 0</formula>
    </cfRule>
  </conditionalFormatting>
  <conditionalFormatting sqref="D3:F4">
    <cfRule type="expression" dxfId="263" priority="13">
      <formula>$F$92 &lt; 0</formula>
    </cfRule>
    <cfRule type="expression" dxfId="262" priority="12">
      <formula>$F$92 = 0</formula>
    </cfRule>
    <cfRule type="expression" dxfId="261" priority="11">
      <formula>$F$92 &gt; 0</formula>
    </cfRule>
  </conditionalFormatting>
  <conditionalFormatting sqref="G3:I4">
    <cfRule type="expression" dxfId="260" priority="10">
      <formula>$I$92 &lt; 0</formula>
    </cfRule>
    <cfRule type="expression" dxfId="259" priority="9">
      <formula>$I$92 = 0</formula>
    </cfRule>
    <cfRule type="expression" dxfId="258" priority="8">
      <formula>$I$92 &gt; 0</formula>
    </cfRule>
  </conditionalFormatting>
  <conditionalFormatting sqref="J3:L4">
    <cfRule type="expression" dxfId="257" priority="5">
      <formula>$L$92 &gt; 0</formula>
    </cfRule>
    <cfRule type="expression" dxfId="256" priority="6">
      <formula>$L$92 = 0</formula>
    </cfRule>
    <cfRule type="expression" dxfId="255" priority="7">
      <formula>$L$92 &lt; 0</formula>
    </cfRule>
  </conditionalFormatting>
  <conditionalFormatting sqref="M3:O4">
    <cfRule type="expression" dxfId="254" priority="2">
      <formula>$O$92 &gt; 0</formula>
    </cfRule>
    <cfRule type="expression" dxfId="253" priority="3">
      <formula>$O$92 = 0</formula>
    </cfRule>
    <cfRule type="expression" dxfId="25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2021-05-01(토) 오전 00:00</v>
      </c>
      <c r="C15" s="201"/>
      <c r="D15" s="190" t="str">
        <f>TEXT($G$1, "[$-ko-KR]yyyy-mm-dd(ddd) ") &amp; "오후 14:00"</f>
        <v>2021-05-01(토) 오후 14:00</v>
      </c>
      <c r="E15" s="191"/>
      <c r="F15" s="192"/>
      <c r="G15" s="190" t="str">
        <f>TEXT($G$1, "[$-ko-KR]yyyy-mm-dd(ddd) ") &amp; "오후 19:00"</f>
        <v>2021-05-01(토) 오후 19:00</v>
      </c>
      <c r="H15" s="191"/>
      <c r="I15" s="192"/>
      <c r="J15" s="190" t="str">
        <f>TEXT($G$1, "[$-ko-KR]yyyy-mm-dd(ddd) ") &amp; "오후 21:00"</f>
        <v>2021-05-01(토) 오후 21:00</v>
      </c>
      <c r="K15" s="191"/>
      <c r="L15" s="192"/>
      <c r="M15" s="190" t="str">
        <f>TEXT($G$1+1, "[$-ko-KR]yyyy-mm-dd(ddd) ") &amp; "오전 00:00"</f>
        <v>2021-05-02(일)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8"/>
      <c r="R17" s="188"/>
      <c r="S17" s="18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8"/>
      <c r="R18" s="188"/>
      <c r="S18" s="18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93"/>
      <c r="R19" s="193"/>
      <c r="S19" s="193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93"/>
      <c r="R20" s="193"/>
      <c r="S20" s="193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2021-05-01(토) 오전 00:00</v>
      </c>
      <c r="C42" s="214"/>
      <c r="D42" s="190" t="str">
        <f>TEXT($G$1, "[$-ko-KR]yyyy-mm-dd(ddd) ") &amp; "오후 14:00"</f>
        <v>2021-05-01(토) 오후 14:00</v>
      </c>
      <c r="E42" s="191"/>
      <c r="F42" s="192"/>
      <c r="G42" s="190" t="str">
        <f>TEXT($G$1, "[$-ko-KR]yyyy-mm-dd(ddd) ") &amp; "오후 19:00"</f>
        <v>2021-05-01(토) 오후 19:00</v>
      </c>
      <c r="H42" s="191"/>
      <c r="I42" s="192"/>
      <c r="J42" s="190" t="str">
        <f>TEXT($G$1, "[$-ko-KR]yyyy-mm-dd(ddd) ") &amp; "오후 21:00"</f>
        <v>2021-05-01(토) 오후 21:00</v>
      </c>
      <c r="K42" s="191"/>
      <c r="L42" s="192"/>
      <c r="M42" s="190" t="str">
        <f>TEXT($G$1+1, "[$-ko-KR]yyyy-mm-dd(ddd) ") &amp; "오전 00:00"</f>
        <v>2021-05-02(일)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8"/>
      <c r="R44" s="188"/>
      <c r="S44" s="18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8"/>
      <c r="R45" s="188"/>
      <c r="S45" s="18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93"/>
      <c r="R46" s="193"/>
      <c r="S46" s="193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93"/>
      <c r="R47" s="193"/>
      <c r="S47" s="193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93"/>
      <c r="R48" s="193"/>
      <c r="S48" s="193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93"/>
      <c r="R49" s="193"/>
      <c r="S49" s="193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93"/>
      <c r="R50" s="193"/>
      <c r="S50" s="193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93"/>
      <c r="R51" s="193"/>
      <c r="S51" s="193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202"/>
      <c r="R53" s="203"/>
      <c r="S53" s="204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05"/>
      <c r="R54" s="206"/>
      <c r="S54" s="207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08"/>
      <c r="R55" s="209"/>
      <c r="S55" s="210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93"/>
      <c r="R56" s="193"/>
      <c r="S56" s="193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8"/>
      <c r="R57" s="188"/>
      <c r="S57" s="18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8"/>
      <c r="R58" s="188"/>
      <c r="S58" s="188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93"/>
      <c r="R59" s="193"/>
      <c r="S59" s="193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93"/>
      <c r="R60" s="193"/>
      <c r="S60" s="193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93"/>
      <c r="R61" s="193"/>
      <c r="S61" s="193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2021-05-01(토) 오전 00:00</v>
      </c>
      <c r="C69" s="214"/>
      <c r="D69" s="190" t="str">
        <f>TEXT($G$1, "[$-ko-KR]yyyy-mm-dd(ddd) ") &amp; "오후 14:00"</f>
        <v>2021-05-01(토) 오후 14:00</v>
      </c>
      <c r="E69" s="191"/>
      <c r="F69" s="192"/>
      <c r="G69" s="190" t="str">
        <f>TEXT($G$1, "[$-ko-KR]yyyy-mm-dd(ddd) ") &amp; "오후 19:00"</f>
        <v>2021-05-01(토) 오후 19:00</v>
      </c>
      <c r="H69" s="191"/>
      <c r="I69" s="192"/>
      <c r="J69" s="190" t="str">
        <f>TEXT($G$1, "[$-ko-KR]yyyy-mm-dd(ddd) ") &amp; "오후 21:00"</f>
        <v>2021-05-01(토) 오후 21:00</v>
      </c>
      <c r="K69" s="191"/>
      <c r="L69" s="192"/>
      <c r="M69" s="190" t="str">
        <f>TEXT($G$1+1, "[$-ko-KR]yyyy-mm-dd(ddd) ") &amp; "오전 00:00"</f>
        <v>2021-05-02(일)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8"/>
      <c r="R71" s="188"/>
      <c r="S71" s="18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8"/>
      <c r="R72" s="188"/>
      <c r="S72" s="18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93"/>
      <c r="R73" s="193"/>
      <c r="S73" s="193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93"/>
      <c r="R74" s="193"/>
      <c r="S74" s="193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93"/>
      <c r="R75" s="193"/>
      <c r="S75" s="193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93"/>
      <c r="R76" s="193"/>
      <c r="S76" s="193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93"/>
      <c r="R77" s="193"/>
      <c r="S77" s="193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93"/>
      <c r="R78" s="193"/>
      <c r="S78" s="193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202"/>
      <c r="R80" s="203"/>
      <c r="S80" s="204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05"/>
      <c r="R81" s="206"/>
      <c r="S81" s="207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08"/>
      <c r="R82" s="209"/>
      <c r="S82" s="210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93"/>
      <c r="R83" s="193"/>
      <c r="S83" s="193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8"/>
      <c r="R84" s="188"/>
      <c r="S84" s="18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8"/>
      <c r="R85" s="188"/>
      <c r="S85" s="188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93"/>
      <c r="R86" s="193"/>
      <c r="S86" s="193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93"/>
      <c r="R87" s="193"/>
      <c r="S87" s="193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93"/>
      <c r="R88" s="193"/>
      <c r="S88" s="193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15"/>
      <c r="R89" s="216"/>
      <c r="S89" s="21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2021-05-01(토) 오전 00:00</v>
      </c>
      <c r="C96" s="214"/>
      <c r="D96" s="190" t="str">
        <f>TEXT($G$1, "[$-ko-KR]yyyy-mm-dd(ddd) ") &amp; "오후 14:00"</f>
        <v>2021-05-01(토) 오후 14:00</v>
      </c>
      <c r="E96" s="191"/>
      <c r="F96" s="192"/>
      <c r="G96" s="190" t="str">
        <f>TEXT($G$1, "[$-ko-KR]yyyy-mm-dd(ddd) ") &amp; "오후 19:00"</f>
        <v>2021-05-01(토) 오후 19:00</v>
      </c>
      <c r="H96" s="191"/>
      <c r="I96" s="192"/>
      <c r="J96" s="190" t="str">
        <f>TEXT($G$1, "[$-ko-KR]yyyy-mm-dd(ddd) ") &amp; "오후 21:00"</f>
        <v>2021-05-01(토) 오후 21:00</v>
      </c>
      <c r="K96" s="191"/>
      <c r="L96" s="192"/>
      <c r="M96" s="190" t="str">
        <f>TEXT($G$1+1, "[$-ko-KR]yyyy-mm-dd(ddd) ") &amp; "오전 00:00"</f>
        <v>2021-05-02(일)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8"/>
      <c r="R98" s="188"/>
      <c r="S98" s="18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8"/>
      <c r="R99" s="188"/>
      <c r="S99" s="18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93"/>
      <c r="R100" s="193"/>
      <c r="S100" s="193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93"/>
      <c r="R101" s="193"/>
      <c r="S101" s="193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93"/>
      <c r="R102" s="193"/>
      <c r="S102" s="193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93"/>
      <c r="R103" s="193"/>
      <c r="S103" s="193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93"/>
      <c r="R104" s="193"/>
      <c r="S104" s="193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93"/>
      <c r="R105" s="193"/>
      <c r="S105" s="193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202"/>
      <c r="R107" s="203"/>
      <c r="S107" s="204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05"/>
      <c r="R108" s="206"/>
      <c r="S108" s="207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08"/>
      <c r="R109" s="209"/>
      <c r="S109" s="210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93"/>
      <c r="R110" s="193"/>
      <c r="S110" s="193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8"/>
      <c r="R111" s="188"/>
      <c r="S111" s="18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8"/>
      <c r="R112" s="188"/>
      <c r="S112" s="188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93"/>
      <c r="R113" s="193"/>
      <c r="S113" s="193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93"/>
      <c r="R114" s="193"/>
      <c r="S114" s="193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93"/>
      <c r="R115" s="193"/>
      <c r="S115" s="193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15"/>
      <c r="R116" s="216"/>
      <c r="S116" s="21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2021-05-01(토) 오전 00:00</v>
      </c>
      <c r="C123" s="214"/>
      <c r="D123" s="190" t="str">
        <f>TEXT($G$1, "[$-ko-KR]yyyy-mm-dd(ddd) ") &amp; "오후 14:00"</f>
        <v>2021-05-01(토) 오후 14:00</v>
      </c>
      <c r="E123" s="191"/>
      <c r="F123" s="192"/>
      <c r="G123" s="190" t="str">
        <f>TEXT($G$1, "[$-ko-KR]yyyy-mm-dd(ddd) ") &amp; "오후 19:00"</f>
        <v>2021-05-01(토) 오후 19:00</v>
      </c>
      <c r="H123" s="191"/>
      <c r="I123" s="192"/>
      <c r="J123" s="190" t="str">
        <f>TEXT($G$1, "[$-ko-KR]yyyy-mm-dd(ddd) ") &amp; "오후 21:00"</f>
        <v>2021-05-01(토) 오후 21:00</v>
      </c>
      <c r="K123" s="191"/>
      <c r="L123" s="192"/>
      <c r="M123" s="190" t="str">
        <f>TEXT($G$1+1, "[$-ko-KR]yyyy-mm-dd(ddd) ") &amp; "오전 00:00"</f>
        <v>2021-05-02(일)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8"/>
      <c r="R125" s="188"/>
      <c r="S125" s="18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8"/>
      <c r="R126" s="188"/>
      <c r="S126" s="18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93"/>
      <c r="R127" s="193"/>
      <c r="S127" s="193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93"/>
      <c r="R128" s="193"/>
      <c r="S128" s="193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93"/>
      <c r="R129" s="193"/>
      <c r="S129" s="193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93"/>
      <c r="R130" s="193"/>
      <c r="S130" s="193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93"/>
      <c r="R131" s="193"/>
      <c r="S131" s="193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93"/>
      <c r="R132" s="193"/>
      <c r="S132" s="193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202"/>
      <c r="R134" s="203"/>
      <c r="S134" s="204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05"/>
      <c r="R135" s="206"/>
      <c r="S135" s="207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08"/>
      <c r="R136" s="209"/>
      <c r="S136" s="210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93"/>
      <c r="R137" s="193"/>
      <c r="S137" s="193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8"/>
      <c r="R138" s="188"/>
      <c r="S138" s="18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8"/>
      <c r="R139" s="188"/>
      <c r="S139" s="188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93"/>
      <c r="R140" s="193"/>
      <c r="S140" s="193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93"/>
      <c r="R141" s="193"/>
      <c r="S141" s="193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93"/>
      <c r="R142" s="193"/>
      <c r="S142" s="193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2021-05-01(토) 오전 00:00</v>
      </c>
      <c r="C150" s="214"/>
      <c r="D150" s="190" t="str">
        <f>TEXT($G$1, "[$-ko-KR]yyyy-mm-dd(ddd) ") &amp; "오후 14:00"</f>
        <v>2021-05-01(토) 오후 14:00</v>
      </c>
      <c r="E150" s="191"/>
      <c r="F150" s="192"/>
      <c r="G150" s="190" t="str">
        <f>TEXT($G$1, "[$-ko-KR]yyyy-mm-dd(ddd) ") &amp; "오후 19:00"</f>
        <v>2021-05-01(토) 오후 19:00</v>
      </c>
      <c r="H150" s="191"/>
      <c r="I150" s="192"/>
      <c r="J150" s="190" t="str">
        <f>TEXT($G$1, "[$-ko-KR]yyyy-mm-dd(ddd) ") &amp; "오후 21:00"</f>
        <v>2021-05-01(토) 오후 21:00</v>
      </c>
      <c r="K150" s="191"/>
      <c r="L150" s="192"/>
      <c r="M150" s="190" t="str">
        <f>TEXT($G$1+1, "[$-ko-KR]yyyy-mm-dd(ddd) ") &amp; "오전 00:00"</f>
        <v>2021-05-02(일)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8"/>
      <c r="R152" s="188"/>
      <c r="S152" s="18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8"/>
      <c r="R153" s="188"/>
      <c r="S153" s="18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93"/>
      <c r="R154" s="193"/>
      <c r="S154" s="193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93"/>
      <c r="R155" s="193"/>
      <c r="S155" s="193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93"/>
      <c r="R156" s="193"/>
      <c r="S156" s="193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93"/>
      <c r="R157" s="193"/>
      <c r="S157" s="193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93"/>
      <c r="R158" s="193"/>
      <c r="S158" s="193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93"/>
      <c r="R159" s="193"/>
      <c r="S159" s="193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202"/>
      <c r="R161" s="203"/>
      <c r="S161" s="204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05"/>
      <c r="R162" s="206"/>
      <c r="S162" s="207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08"/>
      <c r="R163" s="209"/>
      <c r="S163" s="210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93"/>
      <c r="R164" s="193"/>
      <c r="S164" s="193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8"/>
      <c r="R165" s="188"/>
      <c r="S165" s="18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8"/>
      <c r="R166" s="188"/>
      <c r="S166" s="188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93"/>
      <c r="R167" s="193"/>
      <c r="S167" s="193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93"/>
      <c r="R168" s="193"/>
      <c r="S168" s="193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93"/>
      <c r="R169" s="193"/>
      <c r="S169" s="193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15"/>
      <c r="R170" s="216"/>
      <c r="S170" s="21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2021-05-01(토) 오전 00:00</v>
      </c>
      <c r="C177" s="214"/>
      <c r="D177" s="190" t="str">
        <f>TEXT($G$1, "[$-ko-KR]yyyy-mm-dd(ddd) ") &amp; "오후 14:00"</f>
        <v>2021-05-01(토) 오후 14:00</v>
      </c>
      <c r="E177" s="191"/>
      <c r="F177" s="192"/>
      <c r="G177" s="190" t="str">
        <f>TEXT($G$1, "[$-ko-KR]yyyy-mm-dd(ddd) ") &amp; "오후 19:00"</f>
        <v>2021-05-01(토) 오후 19:00</v>
      </c>
      <c r="H177" s="191"/>
      <c r="I177" s="192"/>
      <c r="J177" s="190" t="str">
        <f>TEXT($G$1, "[$-ko-KR]yyyy-mm-dd(ddd) ") &amp; "오후 21:00"</f>
        <v>2021-05-01(토) 오후 21:00</v>
      </c>
      <c r="K177" s="191"/>
      <c r="L177" s="192"/>
      <c r="M177" s="190" t="str">
        <f>TEXT($G$1+1, "[$-ko-KR]yyyy-mm-dd(ddd) ") &amp; "오전 00:00"</f>
        <v>2021-05-02(일)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8"/>
      <c r="R179" s="188"/>
      <c r="S179" s="18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8"/>
      <c r="R180" s="188"/>
      <c r="S180" s="18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93"/>
      <c r="R181" s="193"/>
      <c r="S181" s="193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93"/>
      <c r="R182" s="193"/>
      <c r="S182" s="193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93"/>
      <c r="R183" s="193"/>
      <c r="S183" s="193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93"/>
      <c r="R184" s="193"/>
      <c r="S184" s="193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93"/>
      <c r="R185" s="193"/>
      <c r="S185" s="193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93"/>
      <c r="R186" s="193"/>
      <c r="S186" s="193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202"/>
      <c r="R188" s="203"/>
      <c r="S188" s="204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05"/>
      <c r="R189" s="206"/>
      <c r="S189" s="207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08"/>
      <c r="R190" s="209"/>
      <c r="S190" s="210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93"/>
      <c r="R191" s="193"/>
      <c r="S191" s="193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8"/>
      <c r="R192" s="188"/>
      <c r="S192" s="18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8"/>
      <c r="R193" s="188"/>
      <c r="S193" s="188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93"/>
      <c r="R194" s="193"/>
      <c r="S194" s="193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93"/>
      <c r="R195" s="193"/>
      <c r="S195" s="193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93"/>
      <c r="R196" s="193"/>
      <c r="S196" s="193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15"/>
      <c r="R197" s="216"/>
      <c r="S197" s="21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3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3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3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3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3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3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3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3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3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2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28" priority="157">
      <formula>AND($N17 &gt; 0, ISNUMBER($N17))</formula>
    </cfRule>
    <cfRule type="expression" dxfId="3327" priority="158">
      <formula>AND($N17 = 0 * ISNUMBER($N17))</formula>
    </cfRule>
    <cfRule type="expression" dxfId="3326" priority="159">
      <formula>AND($N17 &lt; 0, ISNUMBER($N17))</formula>
    </cfRule>
  </conditionalFormatting>
  <conditionalFormatting sqref="A17:F36">
    <cfRule type="expression" dxfId="3325" priority="166">
      <formula>AND($E17 &gt; 0, ISNUMBER($E17))</formula>
    </cfRule>
    <cfRule type="expression" dxfId="3324" priority="167">
      <formula>AND($E17 = 0 * ISNUMBER($E17))</formula>
    </cfRule>
    <cfRule type="expression" dxfId="3323" priority="168">
      <formula>AND($E17 &lt; 0, ISNUMBER($E17))</formula>
    </cfRule>
  </conditionalFormatting>
  <conditionalFormatting sqref="A17:C36 G17:I36">
    <cfRule type="expression" dxfId="3322" priority="163">
      <formula>AND($H17 &gt; 0, ISNUMBER($H17))</formula>
    </cfRule>
    <cfRule type="expression" dxfId="3321" priority="164">
      <formula>AND($H17 = 0 * ISNUMBER($H17))</formula>
    </cfRule>
    <cfRule type="expression" dxfId="3320" priority="165">
      <formula>AND($H17 &lt; 0, ISNUMBER($H17))</formula>
    </cfRule>
  </conditionalFormatting>
  <conditionalFormatting sqref="A17:C36 J17:L36">
    <cfRule type="expression" dxfId="3319" priority="160">
      <formula>AND($K17 &gt; 0, ISNUMBER($K17))</formula>
    </cfRule>
    <cfRule type="expression" dxfId="3318" priority="161">
      <formula>AND($K17 = 0 * ISNUMBER($K17))</formula>
    </cfRule>
    <cfRule type="expression" dxfId="3317" priority="162">
      <formula>AND($K17 &lt; 0, ISNUMBER($K17))</formula>
    </cfRule>
  </conditionalFormatting>
  <conditionalFormatting sqref="D15:F16 E37:F37">
    <cfRule type="expression" dxfId="3316" priority="154">
      <formula>$E$37 &gt; 0</formula>
    </cfRule>
    <cfRule type="expression" dxfId="3315" priority="155">
      <formula>$E$37 = 0</formula>
    </cfRule>
    <cfRule type="expression" dxfId="3314" priority="156">
      <formula>$E$37 &lt; 0</formula>
    </cfRule>
  </conditionalFormatting>
  <conditionalFormatting sqref="G15:I16 H37:I37">
    <cfRule type="expression" dxfId="3313" priority="151">
      <formula>$H$37 &gt; 0</formula>
    </cfRule>
    <cfRule type="expression" dxfId="3312" priority="152">
      <formula>$H$37 = 0</formula>
    </cfRule>
    <cfRule type="expression" dxfId="3311" priority="153">
      <formula>$H$37 &lt; 0</formula>
    </cfRule>
  </conditionalFormatting>
  <conditionalFormatting sqref="J15:L16 K37:L37">
    <cfRule type="expression" dxfId="3310" priority="148">
      <formula>$K$37 &gt; 0</formula>
    </cfRule>
    <cfRule type="expression" dxfId="3309" priority="149">
      <formula>$K$37 = 0</formula>
    </cfRule>
    <cfRule type="expression" dxfId="3308" priority="150">
      <formula>$K$37 &lt; 0</formula>
    </cfRule>
  </conditionalFormatting>
  <conditionalFormatting sqref="M15:O16 N37:O37">
    <cfRule type="expression" dxfId="3307" priority="145">
      <formula>$N$37 &gt; 0</formula>
    </cfRule>
    <cfRule type="expression" dxfId="3306" priority="146">
      <formula>$N$37 = 0</formula>
    </cfRule>
    <cfRule type="expression" dxfId="3305" priority="147">
      <formula>$N$37 &lt; 0</formula>
    </cfRule>
  </conditionalFormatting>
  <conditionalFormatting sqref="A44:C63 M44:O63">
    <cfRule type="expression" dxfId="3304" priority="133">
      <formula>AND($N44 &gt; 0, ISNUMBER($N44))</formula>
    </cfRule>
    <cfRule type="expression" dxfId="3303" priority="134">
      <formula>AND($N44 = 0 * ISNUMBER($N44))</formula>
    </cfRule>
    <cfRule type="expression" dxfId="3302" priority="135">
      <formula>AND($N44 &lt; 0, ISNUMBER($N44))</formula>
    </cfRule>
  </conditionalFormatting>
  <conditionalFormatting sqref="A44:F63">
    <cfRule type="expression" dxfId="3301" priority="142">
      <formula>AND($E44 &gt; 0, ISNUMBER($E44))</formula>
    </cfRule>
    <cfRule type="expression" dxfId="3300" priority="143">
      <formula>AND($E44 = 0 * ISNUMBER($E44))</formula>
    </cfRule>
    <cfRule type="expression" dxfId="3299" priority="144">
      <formula>AND($E44 &lt; 0, ISNUMBER($E44))</formula>
    </cfRule>
  </conditionalFormatting>
  <conditionalFormatting sqref="A44:C63 G44:I63">
    <cfRule type="expression" dxfId="3298" priority="139">
      <formula>AND($H44 &gt; 0, ISNUMBER($H44))</formula>
    </cfRule>
    <cfRule type="expression" dxfId="3297" priority="140">
      <formula>AND($H44 = 0 * ISNUMBER($H44))</formula>
    </cfRule>
    <cfRule type="expression" dxfId="3296" priority="141">
      <formula>AND($H44 &lt; 0, ISNUMBER($H44))</formula>
    </cfRule>
  </conditionalFormatting>
  <conditionalFormatting sqref="A44:C63 J44:L63">
    <cfRule type="expression" dxfId="3295" priority="136">
      <formula>AND($K44 &gt; 0, ISNUMBER($K44))</formula>
    </cfRule>
    <cfRule type="expression" dxfId="3294" priority="137">
      <formula>AND($K44 = 0 * ISNUMBER($K44))</formula>
    </cfRule>
    <cfRule type="expression" dxfId="3293" priority="138">
      <formula>AND($K44 &lt; 0, ISNUMBER($K44))</formula>
    </cfRule>
  </conditionalFormatting>
  <conditionalFormatting sqref="D42:F43 E64:F64">
    <cfRule type="expression" dxfId="3292" priority="130">
      <formula>$E$64 &gt; 0</formula>
    </cfRule>
    <cfRule type="expression" dxfId="3291" priority="131">
      <formula>$E$64 = 0</formula>
    </cfRule>
    <cfRule type="expression" dxfId="3290" priority="132">
      <formula>$E$64 &lt; 0</formula>
    </cfRule>
  </conditionalFormatting>
  <conditionalFormatting sqref="G42:I43 H64:I64">
    <cfRule type="expression" dxfId="3289" priority="127">
      <formula>$H$64 &gt; 0</formula>
    </cfRule>
    <cfRule type="expression" dxfId="3288" priority="128">
      <formula>$H$64 = 0</formula>
    </cfRule>
    <cfRule type="expression" dxfId="3287" priority="129">
      <formula>$H$64 &lt; 0</formula>
    </cfRule>
  </conditionalFormatting>
  <conditionalFormatting sqref="J42:L43 K64:L64">
    <cfRule type="expression" dxfId="3286" priority="124">
      <formula>$K$64 &gt; 0</formula>
    </cfRule>
    <cfRule type="expression" dxfId="3285" priority="125">
      <formula>$K$64 = 0</formula>
    </cfRule>
    <cfRule type="expression" dxfId="3284" priority="126">
      <formula>$K$64 &lt; 0</formula>
    </cfRule>
  </conditionalFormatting>
  <conditionalFormatting sqref="M42:O43 N64:O64">
    <cfRule type="expression" dxfId="3283" priority="121">
      <formula>$N$64 &gt; 0</formula>
    </cfRule>
    <cfRule type="expression" dxfId="3282" priority="122">
      <formula>$N$64 = 0</formula>
    </cfRule>
    <cfRule type="expression" dxfId="3281" priority="123">
      <formula>$N$64 &lt; 0</formula>
    </cfRule>
  </conditionalFormatting>
  <conditionalFormatting sqref="A71:C90 M71:O90">
    <cfRule type="expression" dxfId="3280" priority="109">
      <formula>AND($N71 &gt; 0, ISNUMBER($N71))</formula>
    </cfRule>
    <cfRule type="expression" dxfId="3279" priority="110">
      <formula>AND($N71 = 0 * ISNUMBER($N71))</formula>
    </cfRule>
    <cfRule type="expression" dxfId="3278" priority="111">
      <formula>AND($N71 &lt; 0, ISNUMBER($N71))</formula>
    </cfRule>
  </conditionalFormatting>
  <conditionalFormatting sqref="A71:F90">
    <cfRule type="expression" dxfId="3277" priority="118">
      <formula>AND($E71 &gt; 0, ISNUMBER($E71))</formula>
    </cfRule>
    <cfRule type="expression" dxfId="3276" priority="119">
      <formula>AND($E71 = 0 * ISNUMBER($E71))</formula>
    </cfRule>
    <cfRule type="expression" dxfId="3275" priority="120">
      <formula>AND($E71 &lt; 0, ISNUMBER($E71))</formula>
    </cfRule>
  </conditionalFormatting>
  <conditionalFormatting sqref="A71:C90 G71:I90">
    <cfRule type="expression" dxfId="3274" priority="115">
      <formula>AND($H71 &gt; 0, ISNUMBER($H71))</formula>
    </cfRule>
    <cfRule type="expression" dxfId="3273" priority="116">
      <formula>AND($H71 = 0 * ISNUMBER($H71))</formula>
    </cfRule>
    <cfRule type="expression" dxfId="3272" priority="117">
      <formula>AND($H71 &lt; 0, ISNUMBER($H71))</formula>
    </cfRule>
  </conditionalFormatting>
  <conditionalFormatting sqref="A71:C90 J71:L90">
    <cfRule type="expression" dxfId="3271" priority="112">
      <formula>AND($K71 &gt; 0, ISNUMBER($K71))</formula>
    </cfRule>
    <cfRule type="expression" dxfId="3270" priority="113">
      <formula>AND($K71 = 0 * ISNUMBER($K71))</formula>
    </cfRule>
    <cfRule type="expression" dxfId="3269" priority="114">
      <formula>AND($K71 &lt; 0, ISNUMBER($K71))</formula>
    </cfRule>
  </conditionalFormatting>
  <conditionalFormatting sqref="D69:F70 E91:F91">
    <cfRule type="expression" dxfId="3268" priority="106">
      <formula>$E$91 &gt; 0</formula>
    </cfRule>
    <cfRule type="expression" dxfId="3267" priority="107">
      <formula>$E$91 = 0</formula>
    </cfRule>
    <cfRule type="expression" dxfId="3266" priority="108">
      <formula>$E$91 &lt; 0</formula>
    </cfRule>
  </conditionalFormatting>
  <conditionalFormatting sqref="G69:I70 H91:I91">
    <cfRule type="expression" dxfId="3265" priority="103">
      <formula>$H$91 &gt; 0</formula>
    </cfRule>
    <cfRule type="expression" dxfId="3264" priority="104">
      <formula>$H$91 = 0</formula>
    </cfRule>
    <cfRule type="expression" dxfId="3263" priority="105">
      <formula>$H$91 &lt; 0</formula>
    </cfRule>
  </conditionalFormatting>
  <conditionalFormatting sqref="J69:L70 K91:L91">
    <cfRule type="expression" dxfId="3262" priority="100">
      <formula>$K$91 &gt; 0</formula>
    </cfRule>
    <cfRule type="expression" dxfId="3261" priority="101">
      <formula>$K$91 = 0</formula>
    </cfRule>
    <cfRule type="expression" dxfId="3260" priority="102">
      <formula>$K$91 &lt; 0</formula>
    </cfRule>
  </conditionalFormatting>
  <conditionalFormatting sqref="M69:O70 N91:O91">
    <cfRule type="expression" dxfId="3259" priority="97">
      <formula>$N$91 &gt; 0</formula>
    </cfRule>
    <cfRule type="expression" dxfId="3258" priority="98">
      <formula>$N$91 = 0</formula>
    </cfRule>
    <cfRule type="expression" dxfId="3257" priority="99">
      <formula>$N$91 &lt; 0</formula>
    </cfRule>
  </conditionalFormatting>
  <conditionalFormatting sqref="A98:C117 M98:O117">
    <cfRule type="expression" dxfId="3256" priority="85">
      <formula>AND($N98 &gt; 0, ISNUMBER($N98))</formula>
    </cfRule>
    <cfRule type="expression" dxfId="3255" priority="86">
      <formula>AND($N98 = 0 * ISNUMBER($N98))</formula>
    </cfRule>
    <cfRule type="expression" dxfId="3254" priority="87">
      <formula>AND($N98 &lt; 0, ISNUMBER($N98))</formula>
    </cfRule>
  </conditionalFormatting>
  <conditionalFormatting sqref="A98:F117">
    <cfRule type="expression" dxfId="3253" priority="94">
      <formula>AND($E98 &gt; 0, ISNUMBER($E98))</formula>
    </cfRule>
    <cfRule type="expression" dxfId="3252" priority="95">
      <formula>AND($E98 = 0 * ISNUMBER($E98))</formula>
    </cfRule>
    <cfRule type="expression" dxfId="3251" priority="96">
      <formula>AND($E98 &lt; 0, ISNUMBER($E98))</formula>
    </cfRule>
  </conditionalFormatting>
  <conditionalFormatting sqref="A98:C117 G98:I117">
    <cfRule type="expression" dxfId="3250" priority="91">
      <formula>AND($H98 &gt; 0, ISNUMBER($H98))</formula>
    </cfRule>
    <cfRule type="expression" dxfId="3249" priority="92">
      <formula>AND($H98 = 0 * ISNUMBER($H98))</formula>
    </cfRule>
    <cfRule type="expression" dxfId="3248" priority="93">
      <formula>AND($H98 &lt; 0, ISNUMBER($H98))</formula>
    </cfRule>
  </conditionalFormatting>
  <conditionalFormatting sqref="A98:C117 J98:L117">
    <cfRule type="expression" dxfId="3247" priority="88">
      <formula>AND($K98 &gt; 0, ISNUMBER($K98))</formula>
    </cfRule>
    <cfRule type="expression" dxfId="3246" priority="89">
      <formula>AND($K98 = 0 * ISNUMBER($K98))</formula>
    </cfRule>
    <cfRule type="expression" dxfId="3245" priority="90">
      <formula>AND($K98 &lt; 0, ISNUMBER($K98))</formula>
    </cfRule>
  </conditionalFormatting>
  <conditionalFormatting sqref="D96:F97 E118:F118">
    <cfRule type="expression" dxfId="3244" priority="82">
      <formula>$E$118 &gt; 0</formula>
    </cfRule>
    <cfRule type="expression" dxfId="3243" priority="83">
      <formula>$E$118 = 0</formula>
    </cfRule>
    <cfRule type="expression" dxfId="3242" priority="84">
      <formula>$E$118 &lt; 0</formula>
    </cfRule>
  </conditionalFormatting>
  <conditionalFormatting sqref="G96:I97 H118:I118">
    <cfRule type="expression" dxfId="3241" priority="79">
      <formula>$H$118 &gt; 0</formula>
    </cfRule>
    <cfRule type="expression" dxfId="3240" priority="80">
      <formula>$H$118 = 0</formula>
    </cfRule>
    <cfRule type="expression" dxfId="3239" priority="81">
      <formula>$H$118 &lt; 0</formula>
    </cfRule>
  </conditionalFormatting>
  <conditionalFormatting sqref="J96:L97 K118:L118">
    <cfRule type="expression" dxfId="3238" priority="76">
      <formula>$K$118 &gt; 0</formula>
    </cfRule>
    <cfRule type="expression" dxfId="3237" priority="77">
      <formula>$K$118 = 0</formula>
    </cfRule>
    <cfRule type="expression" dxfId="3236" priority="78">
      <formula>$K$118 &lt; 0</formula>
    </cfRule>
  </conditionalFormatting>
  <conditionalFormatting sqref="M96:O97 N118:O118">
    <cfRule type="expression" dxfId="3235" priority="73">
      <formula>$N$118 &gt; 0</formula>
    </cfRule>
    <cfRule type="expression" dxfId="3234" priority="74">
      <formula>$N$118 = 0</formula>
    </cfRule>
    <cfRule type="expression" dxfId="3233" priority="75">
      <formula>$N$118 &lt; 0</formula>
    </cfRule>
  </conditionalFormatting>
  <conditionalFormatting sqref="A125:C144 M125:O144">
    <cfRule type="expression" dxfId="3232" priority="61">
      <formula>AND($N125 &gt; 0, ISNUMBER($N125))</formula>
    </cfRule>
    <cfRule type="expression" dxfId="3231" priority="62">
      <formula>AND($N125 = 0 * ISNUMBER($N125))</formula>
    </cfRule>
    <cfRule type="expression" dxfId="3230" priority="63">
      <formula>AND($N125 &lt; 0, ISNUMBER($N125))</formula>
    </cfRule>
  </conditionalFormatting>
  <conditionalFormatting sqref="A125:F144">
    <cfRule type="expression" dxfId="3229" priority="70">
      <formula>AND($E125 &gt; 0, ISNUMBER($E125))</formula>
    </cfRule>
    <cfRule type="expression" dxfId="3228" priority="71">
      <formula>AND($E125 = 0 * ISNUMBER($E125))</formula>
    </cfRule>
    <cfRule type="expression" dxfId="3227" priority="72">
      <formula>AND($E125 &lt; 0, ISNUMBER($E125))</formula>
    </cfRule>
  </conditionalFormatting>
  <conditionalFormatting sqref="A125:C144 G125:I144">
    <cfRule type="expression" dxfId="3226" priority="67">
      <formula>AND($H125 &gt; 0, ISNUMBER($H125))</formula>
    </cfRule>
    <cfRule type="expression" dxfId="3225" priority="68">
      <formula>AND($H125 = 0 * ISNUMBER($H125))</formula>
    </cfRule>
    <cfRule type="expression" dxfId="3224" priority="69">
      <formula>AND($H125 &lt; 0, ISNUMBER($H125))</formula>
    </cfRule>
  </conditionalFormatting>
  <conditionalFormatting sqref="A125:C144 J125:L144">
    <cfRule type="expression" dxfId="3223" priority="64">
      <formula>AND($K125 &gt; 0, ISNUMBER($K125))</formula>
    </cfRule>
    <cfRule type="expression" dxfId="3222" priority="65">
      <formula>AND($K125 = 0 * ISNUMBER($K125))</formula>
    </cfRule>
    <cfRule type="expression" dxfId="3221" priority="66">
      <formula>AND($K125 &lt; 0, ISNUMBER($K125))</formula>
    </cfRule>
  </conditionalFormatting>
  <conditionalFormatting sqref="D123:F124 E145:F145">
    <cfRule type="expression" dxfId="3220" priority="58">
      <formula>$E$145 &gt; 0</formula>
    </cfRule>
    <cfRule type="expression" dxfId="3219" priority="59">
      <formula>$E$145 = 0</formula>
    </cfRule>
    <cfRule type="expression" dxfId="3218" priority="60">
      <formula>$E$145 &lt; 0</formula>
    </cfRule>
  </conditionalFormatting>
  <conditionalFormatting sqref="G123:I124 H145:I145">
    <cfRule type="expression" dxfId="3217" priority="55">
      <formula>$H$145 &gt; 0</formula>
    </cfRule>
    <cfRule type="expression" dxfId="3216" priority="56">
      <formula>$H$145 = 0</formula>
    </cfRule>
    <cfRule type="expression" dxfId="3215" priority="57">
      <formula>$H$145 &lt; 0</formula>
    </cfRule>
  </conditionalFormatting>
  <conditionalFormatting sqref="J123:L124 K145:L145">
    <cfRule type="expression" dxfId="3214" priority="52">
      <formula>$K$145 &gt; 0</formula>
    </cfRule>
    <cfRule type="expression" dxfId="3213" priority="53">
      <formula>$K$145 = 0</formula>
    </cfRule>
    <cfRule type="expression" dxfId="3212" priority="54">
      <formula>$K$145 &lt; 0</formula>
    </cfRule>
  </conditionalFormatting>
  <conditionalFormatting sqref="M123:O124 N145:O145">
    <cfRule type="expression" dxfId="3211" priority="49">
      <formula>$N$145 &gt; 0</formula>
    </cfRule>
    <cfRule type="expression" dxfId="3210" priority="50">
      <formula>$N$145 = 0</formula>
    </cfRule>
    <cfRule type="expression" dxfId="3209" priority="51">
      <formula>$N$145 &lt; 0</formula>
    </cfRule>
  </conditionalFormatting>
  <conditionalFormatting sqref="A152:C171 M152:O171">
    <cfRule type="expression" dxfId="3208" priority="37">
      <formula>AND($N152 &gt; 0, ISNUMBER($N152))</formula>
    </cfRule>
    <cfRule type="expression" dxfId="3207" priority="38">
      <formula>AND($N152 = 0 * ISNUMBER($N152))</formula>
    </cfRule>
    <cfRule type="expression" dxfId="3206" priority="39">
      <formula>AND($N152 &lt; 0, ISNUMBER($N152))</formula>
    </cfRule>
  </conditionalFormatting>
  <conditionalFormatting sqref="A152:F171">
    <cfRule type="expression" dxfId="3205" priority="46">
      <formula>AND($E152 &gt; 0, ISNUMBER($E152))</formula>
    </cfRule>
    <cfRule type="expression" dxfId="3204" priority="47">
      <formula>AND($E152 = 0 * ISNUMBER($E152))</formula>
    </cfRule>
    <cfRule type="expression" dxfId="3203" priority="48">
      <formula>AND($E152 &lt; 0, ISNUMBER($E152))</formula>
    </cfRule>
  </conditionalFormatting>
  <conditionalFormatting sqref="A152:C171 G152:I171">
    <cfRule type="expression" dxfId="3202" priority="43">
      <formula>AND($H152 &gt; 0, ISNUMBER($H152))</formula>
    </cfRule>
    <cfRule type="expression" dxfId="3201" priority="44">
      <formula>AND($H152 = 0 * ISNUMBER($H152))</formula>
    </cfRule>
    <cfRule type="expression" dxfId="3200" priority="45">
      <formula>AND($H152 &lt; 0, ISNUMBER($H152))</formula>
    </cfRule>
  </conditionalFormatting>
  <conditionalFormatting sqref="A152:C171 J152:L171">
    <cfRule type="expression" dxfId="3199" priority="40">
      <formula>AND($K152 &gt; 0, ISNUMBER($K152))</formula>
    </cfRule>
    <cfRule type="expression" dxfId="3198" priority="41">
      <formula>AND($K152 = 0 * ISNUMBER($K152))</formula>
    </cfRule>
    <cfRule type="expression" dxfId="3197" priority="42">
      <formula>AND($K152 &lt; 0, ISNUMBER($K152))</formula>
    </cfRule>
  </conditionalFormatting>
  <conditionalFormatting sqref="D150:F151 E172:F172">
    <cfRule type="expression" dxfId="3196" priority="34">
      <formula>$E$172 &gt; 0</formula>
    </cfRule>
    <cfRule type="expression" dxfId="3195" priority="35">
      <formula>$E$172 = 0</formula>
    </cfRule>
    <cfRule type="expression" dxfId="3194" priority="36">
      <formula>$E$172 &lt; 0</formula>
    </cfRule>
  </conditionalFormatting>
  <conditionalFormatting sqref="G150:I151 H172:I172">
    <cfRule type="expression" dxfId="3193" priority="31">
      <formula>$H$172 &gt; 0</formula>
    </cfRule>
    <cfRule type="expression" dxfId="3192" priority="32">
      <formula>$H$172 = 0</formula>
    </cfRule>
    <cfRule type="expression" dxfId="3191" priority="33">
      <formula>$H$172 &lt; 0</formula>
    </cfRule>
  </conditionalFormatting>
  <conditionalFormatting sqref="J150:L151 K172:L172">
    <cfRule type="expression" dxfId="3190" priority="28">
      <formula>$K$172 &gt; 0</formula>
    </cfRule>
    <cfRule type="expression" dxfId="3189" priority="29">
      <formula>$K$172 = 0</formula>
    </cfRule>
    <cfRule type="expression" dxfId="3188" priority="30">
      <formula>$K$172 &lt; 0</formula>
    </cfRule>
  </conditionalFormatting>
  <conditionalFormatting sqref="M150:O151 N172:O172">
    <cfRule type="expression" dxfId="3187" priority="25">
      <formula>$N$172 &gt; 0</formula>
    </cfRule>
    <cfRule type="expression" dxfId="3186" priority="26">
      <formula>$N$172 = 0</formula>
    </cfRule>
    <cfRule type="expression" dxfId="3185" priority="27">
      <formula>$N$172 &lt; 0</formula>
    </cfRule>
  </conditionalFormatting>
  <conditionalFormatting sqref="A179:C198 M179:O198">
    <cfRule type="expression" dxfId="3184" priority="13">
      <formula>AND($N179 &gt; 0, ISNUMBER($N179))</formula>
    </cfRule>
    <cfRule type="expression" dxfId="3183" priority="14">
      <formula>AND($N179 = 0 * ISNUMBER($N179))</formula>
    </cfRule>
    <cfRule type="expression" dxfId="3182" priority="15">
      <formula>AND($N179 &lt; 0, ISNUMBER($N179))</formula>
    </cfRule>
  </conditionalFormatting>
  <conditionalFormatting sqref="A179:F198">
    <cfRule type="expression" dxfId="3181" priority="22">
      <formula>AND($E179 &gt; 0, ISNUMBER($E179))</formula>
    </cfRule>
    <cfRule type="expression" dxfId="3180" priority="23">
      <formula>AND($E179 = 0 * ISNUMBER($E179))</formula>
    </cfRule>
    <cfRule type="expression" dxfId="3179" priority="24">
      <formula>AND($E179 &lt; 0, ISNUMBER($E179))</formula>
    </cfRule>
  </conditionalFormatting>
  <conditionalFormatting sqref="A179:C198 G179:I198">
    <cfRule type="expression" dxfId="3178" priority="19">
      <formula>AND($H179 &gt; 0, ISNUMBER($H179))</formula>
    </cfRule>
    <cfRule type="expression" dxfId="3177" priority="20">
      <formula>AND($H179 = 0 * ISNUMBER($H179))</formula>
    </cfRule>
    <cfRule type="expression" dxfId="3176" priority="21">
      <formula>AND($H179 &lt; 0, ISNUMBER($H179))</formula>
    </cfRule>
  </conditionalFormatting>
  <conditionalFormatting sqref="A179:C198 J179:L198">
    <cfRule type="expression" dxfId="3175" priority="16">
      <formula>AND($K179 &gt; 0, ISNUMBER($K179))</formula>
    </cfRule>
    <cfRule type="expression" dxfId="3174" priority="17">
      <formula>AND($K179 = 0 * ISNUMBER($K179))</formula>
    </cfRule>
    <cfRule type="expression" dxfId="3173" priority="18">
      <formula>AND($K179 &lt; 0, ISNUMBER($K179))</formula>
    </cfRule>
  </conditionalFormatting>
  <conditionalFormatting sqref="D177:F178 E199:F199">
    <cfRule type="expression" dxfId="3172" priority="10">
      <formula>$E$199 &gt; 0</formula>
    </cfRule>
    <cfRule type="expression" dxfId="3171" priority="11">
      <formula>$E$199 = 0</formula>
    </cfRule>
    <cfRule type="expression" dxfId="3170" priority="12">
      <formula>$E$199 &lt; 0</formula>
    </cfRule>
  </conditionalFormatting>
  <conditionalFormatting sqref="G177:I178 H199:I199">
    <cfRule type="expression" dxfId="3169" priority="7">
      <formula>$H$199 &gt; 0</formula>
    </cfRule>
    <cfRule type="expression" dxfId="3168" priority="8">
      <formula>$H$199 = 0</formula>
    </cfRule>
    <cfRule type="expression" dxfId="3167" priority="9">
      <formula>$H$199 &lt; 0</formula>
    </cfRule>
  </conditionalFormatting>
  <conditionalFormatting sqref="J177:L178 K199:L199">
    <cfRule type="expression" dxfId="3166" priority="4">
      <formula>$K$199 &gt; 0</formula>
    </cfRule>
    <cfRule type="expression" dxfId="3165" priority="5">
      <formula>$K$199 = 0</formula>
    </cfRule>
    <cfRule type="expression" dxfId="3164" priority="6">
      <formula>$K$199 &lt; 0</formula>
    </cfRule>
  </conditionalFormatting>
  <conditionalFormatting sqref="M177:O178 N199:O199">
    <cfRule type="expression" dxfId="3163" priority="1">
      <formula>$N$199 &gt; 0</formula>
    </cfRule>
    <cfRule type="expression" dxfId="3162" priority="2">
      <formula>$N$199 = 0</formula>
    </cfRule>
    <cfRule type="expression" dxfId="316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44318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2021-05-02(일) 오전 00:00</v>
      </c>
      <c r="C15" s="201"/>
      <c r="D15" s="190" t="str">
        <f>TEXT($G$1, "[$-ko-KR]yyyy-mm-dd(ddd) ") &amp; "오후 14:00"</f>
        <v>2021-05-02(일) 오후 14:00</v>
      </c>
      <c r="E15" s="191"/>
      <c r="F15" s="192"/>
      <c r="G15" s="190" t="str">
        <f>TEXT($G$1, "[$-ko-KR]yyyy-mm-dd(ddd) ") &amp; "오후 19:00"</f>
        <v>2021-05-02(일) 오후 19:00</v>
      </c>
      <c r="H15" s="191"/>
      <c r="I15" s="192"/>
      <c r="J15" s="190" t="str">
        <f>TEXT($G$1, "[$-ko-KR]yyyy-mm-dd(ddd) ") &amp; "오후 21:00"</f>
        <v>2021-05-02(일) 오후 21:00</v>
      </c>
      <c r="K15" s="191"/>
      <c r="L15" s="192"/>
      <c r="M15" s="190" t="str">
        <f>TEXT($G$1+1, "[$-ko-KR]yyyy-mm-dd(ddd) ") &amp; "오전 00:00"</f>
        <v>2021-05-03(월)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8"/>
      <c r="R17" s="188"/>
      <c r="S17" s="18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8"/>
      <c r="R18" s="188"/>
      <c r="S18" s="18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93"/>
      <c r="R19" s="193"/>
      <c r="S19" s="193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93"/>
      <c r="R20" s="193"/>
      <c r="S20" s="193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2021-05-02(일) 오전 00:00</v>
      </c>
      <c r="C42" s="214"/>
      <c r="D42" s="190" t="str">
        <f>TEXT($G$1, "[$-ko-KR]yyyy-mm-dd(ddd) ") &amp; "오후 14:00"</f>
        <v>2021-05-02(일) 오후 14:00</v>
      </c>
      <c r="E42" s="191"/>
      <c r="F42" s="192"/>
      <c r="G42" s="190" t="str">
        <f>TEXT($G$1, "[$-ko-KR]yyyy-mm-dd(ddd) ") &amp; "오후 19:00"</f>
        <v>2021-05-02(일) 오후 19:00</v>
      </c>
      <c r="H42" s="191"/>
      <c r="I42" s="192"/>
      <c r="J42" s="190" t="str">
        <f>TEXT($G$1, "[$-ko-KR]yyyy-mm-dd(ddd) ") &amp; "오후 21:00"</f>
        <v>2021-05-02(일) 오후 21:00</v>
      </c>
      <c r="K42" s="191"/>
      <c r="L42" s="192"/>
      <c r="M42" s="190" t="str">
        <f>TEXT($G$1+1, "[$-ko-KR]yyyy-mm-dd(ddd) ") &amp; "오전 00:00"</f>
        <v>2021-05-03(월)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8"/>
      <c r="R44" s="188"/>
      <c r="S44" s="18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8"/>
      <c r="R45" s="188"/>
      <c r="S45" s="18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93"/>
      <c r="R46" s="193"/>
      <c r="S46" s="193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93"/>
      <c r="R47" s="193"/>
      <c r="S47" s="193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93"/>
      <c r="R48" s="193"/>
      <c r="S48" s="193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93"/>
      <c r="R49" s="193"/>
      <c r="S49" s="193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93"/>
      <c r="R50" s="193"/>
      <c r="S50" s="193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93"/>
      <c r="R51" s="193"/>
      <c r="S51" s="193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202"/>
      <c r="R53" s="203"/>
      <c r="S53" s="204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05"/>
      <c r="R54" s="206"/>
      <c r="S54" s="207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08"/>
      <c r="R55" s="209"/>
      <c r="S55" s="210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93"/>
      <c r="R56" s="193"/>
      <c r="S56" s="193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8"/>
      <c r="R57" s="188"/>
      <c r="S57" s="18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8"/>
      <c r="R58" s="188"/>
      <c r="S58" s="188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93"/>
      <c r="R59" s="193"/>
      <c r="S59" s="193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93"/>
      <c r="R60" s="193"/>
      <c r="S60" s="193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93"/>
      <c r="R61" s="193"/>
      <c r="S61" s="193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2021-05-02(일) 오전 00:00</v>
      </c>
      <c r="C69" s="214"/>
      <c r="D69" s="190" t="str">
        <f>TEXT($G$1, "[$-ko-KR]yyyy-mm-dd(ddd) ") &amp; "오후 14:00"</f>
        <v>2021-05-02(일) 오후 14:00</v>
      </c>
      <c r="E69" s="191"/>
      <c r="F69" s="192"/>
      <c r="G69" s="190" t="str">
        <f>TEXT($G$1, "[$-ko-KR]yyyy-mm-dd(ddd) ") &amp; "오후 19:00"</f>
        <v>2021-05-02(일) 오후 19:00</v>
      </c>
      <c r="H69" s="191"/>
      <c r="I69" s="192"/>
      <c r="J69" s="190" t="str">
        <f>TEXT($G$1, "[$-ko-KR]yyyy-mm-dd(ddd) ") &amp; "오후 21:00"</f>
        <v>2021-05-02(일) 오후 21:00</v>
      </c>
      <c r="K69" s="191"/>
      <c r="L69" s="192"/>
      <c r="M69" s="190" t="str">
        <f>TEXT($G$1+1, "[$-ko-KR]yyyy-mm-dd(ddd) ") &amp; "오전 00:00"</f>
        <v>2021-05-03(월)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8"/>
      <c r="R71" s="188"/>
      <c r="S71" s="18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8"/>
      <c r="R72" s="188"/>
      <c r="S72" s="18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93"/>
      <c r="R73" s="193"/>
      <c r="S73" s="193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93"/>
      <c r="R74" s="193"/>
      <c r="S74" s="193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93"/>
      <c r="R75" s="193"/>
      <c r="S75" s="193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93"/>
      <c r="R76" s="193"/>
      <c r="S76" s="193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93"/>
      <c r="R77" s="193"/>
      <c r="S77" s="193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93"/>
      <c r="R78" s="193"/>
      <c r="S78" s="193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202"/>
      <c r="R80" s="203"/>
      <c r="S80" s="204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05"/>
      <c r="R81" s="206"/>
      <c r="S81" s="207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08"/>
      <c r="R82" s="209"/>
      <c r="S82" s="210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93"/>
      <c r="R83" s="193"/>
      <c r="S83" s="193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8"/>
      <c r="R84" s="188"/>
      <c r="S84" s="18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8"/>
      <c r="R85" s="188"/>
      <c r="S85" s="188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93"/>
      <c r="R86" s="193"/>
      <c r="S86" s="193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93"/>
      <c r="R87" s="193"/>
      <c r="S87" s="193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93"/>
      <c r="R88" s="193"/>
      <c r="S88" s="193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15"/>
      <c r="R89" s="216"/>
      <c r="S89" s="21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2021-05-02(일) 오전 00:00</v>
      </c>
      <c r="C96" s="214"/>
      <c r="D96" s="190" t="str">
        <f>TEXT($G$1, "[$-ko-KR]yyyy-mm-dd(ddd) ") &amp; "오후 14:00"</f>
        <v>2021-05-02(일) 오후 14:00</v>
      </c>
      <c r="E96" s="191"/>
      <c r="F96" s="192"/>
      <c r="G96" s="190" t="str">
        <f>TEXT($G$1, "[$-ko-KR]yyyy-mm-dd(ddd) ") &amp; "오후 19:00"</f>
        <v>2021-05-02(일) 오후 19:00</v>
      </c>
      <c r="H96" s="191"/>
      <c r="I96" s="192"/>
      <c r="J96" s="190" t="str">
        <f>TEXT($G$1, "[$-ko-KR]yyyy-mm-dd(ddd) ") &amp; "오후 21:00"</f>
        <v>2021-05-02(일) 오후 21:00</v>
      </c>
      <c r="K96" s="191"/>
      <c r="L96" s="192"/>
      <c r="M96" s="190" t="str">
        <f>TEXT($G$1+1, "[$-ko-KR]yyyy-mm-dd(ddd) ") &amp; "오전 00:00"</f>
        <v>2021-05-03(월)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8"/>
      <c r="R98" s="188"/>
      <c r="S98" s="18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8"/>
      <c r="R99" s="188"/>
      <c r="S99" s="18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93"/>
      <c r="R100" s="193"/>
      <c r="S100" s="193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93"/>
      <c r="R101" s="193"/>
      <c r="S101" s="193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93"/>
      <c r="R102" s="193"/>
      <c r="S102" s="193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93"/>
      <c r="R103" s="193"/>
      <c r="S103" s="193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93"/>
      <c r="R104" s="193"/>
      <c r="S104" s="193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93"/>
      <c r="R105" s="193"/>
      <c r="S105" s="193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202"/>
      <c r="R107" s="203"/>
      <c r="S107" s="204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05"/>
      <c r="R108" s="206"/>
      <c r="S108" s="207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08"/>
      <c r="R109" s="209"/>
      <c r="S109" s="210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93"/>
      <c r="R110" s="193"/>
      <c r="S110" s="193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8"/>
      <c r="R111" s="188"/>
      <c r="S111" s="18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8"/>
      <c r="R112" s="188"/>
      <c r="S112" s="188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93"/>
      <c r="R113" s="193"/>
      <c r="S113" s="193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93"/>
      <c r="R114" s="193"/>
      <c r="S114" s="193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93"/>
      <c r="R115" s="193"/>
      <c r="S115" s="193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15"/>
      <c r="R116" s="216"/>
      <c r="S116" s="21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2021-05-02(일) 오전 00:00</v>
      </c>
      <c r="C123" s="214"/>
      <c r="D123" s="190" t="str">
        <f>TEXT($G$1, "[$-ko-KR]yyyy-mm-dd(ddd) ") &amp; "오후 14:00"</f>
        <v>2021-05-02(일) 오후 14:00</v>
      </c>
      <c r="E123" s="191"/>
      <c r="F123" s="192"/>
      <c r="G123" s="190" t="str">
        <f>TEXT($G$1, "[$-ko-KR]yyyy-mm-dd(ddd) ") &amp; "오후 19:00"</f>
        <v>2021-05-02(일) 오후 19:00</v>
      </c>
      <c r="H123" s="191"/>
      <c r="I123" s="192"/>
      <c r="J123" s="190" t="str">
        <f>TEXT($G$1, "[$-ko-KR]yyyy-mm-dd(ddd) ") &amp; "오후 21:00"</f>
        <v>2021-05-02(일) 오후 21:00</v>
      </c>
      <c r="K123" s="191"/>
      <c r="L123" s="192"/>
      <c r="M123" s="190" t="str">
        <f>TEXT($G$1+1, "[$-ko-KR]yyyy-mm-dd(ddd) ") &amp; "오전 00:00"</f>
        <v>2021-05-03(월)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8"/>
      <c r="R125" s="188"/>
      <c r="S125" s="18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8"/>
      <c r="R126" s="188"/>
      <c r="S126" s="18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93"/>
      <c r="R127" s="193"/>
      <c r="S127" s="193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93"/>
      <c r="R128" s="193"/>
      <c r="S128" s="193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93"/>
      <c r="R129" s="193"/>
      <c r="S129" s="193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93"/>
      <c r="R130" s="193"/>
      <c r="S130" s="193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93"/>
      <c r="R131" s="193"/>
      <c r="S131" s="193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93"/>
      <c r="R132" s="193"/>
      <c r="S132" s="193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202"/>
      <c r="R134" s="203"/>
      <c r="S134" s="204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05"/>
      <c r="R135" s="206"/>
      <c r="S135" s="207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08"/>
      <c r="R136" s="209"/>
      <c r="S136" s="210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93"/>
      <c r="R137" s="193"/>
      <c r="S137" s="193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8"/>
      <c r="R138" s="188"/>
      <c r="S138" s="18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8"/>
      <c r="R139" s="188"/>
      <c r="S139" s="188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93"/>
      <c r="R140" s="193"/>
      <c r="S140" s="193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93"/>
      <c r="R141" s="193"/>
      <c r="S141" s="193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93"/>
      <c r="R142" s="193"/>
      <c r="S142" s="193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2021-05-02(일) 오전 00:00</v>
      </c>
      <c r="C150" s="214"/>
      <c r="D150" s="190" t="str">
        <f>TEXT($G$1, "[$-ko-KR]yyyy-mm-dd(ddd) ") &amp; "오후 14:00"</f>
        <v>2021-05-02(일) 오후 14:00</v>
      </c>
      <c r="E150" s="191"/>
      <c r="F150" s="192"/>
      <c r="G150" s="190" t="str">
        <f>TEXT($G$1, "[$-ko-KR]yyyy-mm-dd(ddd) ") &amp; "오후 19:00"</f>
        <v>2021-05-02(일) 오후 19:00</v>
      </c>
      <c r="H150" s="191"/>
      <c r="I150" s="192"/>
      <c r="J150" s="190" t="str">
        <f>TEXT($G$1, "[$-ko-KR]yyyy-mm-dd(ddd) ") &amp; "오후 21:00"</f>
        <v>2021-05-02(일) 오후 21:00</v>
      </c>
      <c r="K150" s="191"/>
      <c r="L150" s="192"/>
      <c r="M150" s="190" t="str">
        <f>TEXT($G$1+1, "[$-ko-KR]yyyy-mm-dd(ddd) ") &amp; "오전 00:00"</f>
        <v>2021-05-03(월)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8"/>
      <c r="R152" s="188"/>
      <c r="S152" s="18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8"/>
      <c r="R153" s="188"/>
      <c r="S153" s="18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93"/>
      <c r="R154" s="193"/>
      <c r="S154" s="193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93"/>
      <c r="R155" s="193"/>
      <c r="S155" s="193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93"/>
      <c r="R156" s="193"/>
      <c r="S156" s="193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93"/>
      <c r="R157" s="193"/>
      <c r="S157" s="193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93"/>
      <c r="R158" s="193"/>
      <c r="S158" s="193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93"/>
      <c r="R159" s="193"/>
      <c r="S159" s="193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202"/>
      <c r="R161" s="203"/>
      <c r="S161" s="204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05"/>
      <c r="R162" s="206"/>
      <c r="S162" s="207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08"/>
      <c r="R163" s="209"/>
      <c r="S163" s="210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93"/>
      <c r="R164" s="193"/>
      <c r="S164" s="193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8"/>
      <c r="R165" s="188"/>
      <c r="S165" s="18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8"/>
      <c r="R166" s="188"/>
      <c r="S166" s="188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93"/>
      <c r="R167" s="193"/>
      <c r="S167" s="193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93"/>
      <c r="R168" s="193"/>
      <c r="S168" s="193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93"/>
      <c r="R169" s="193"/>
      <c r="S169" s="193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15"/>
      <c r="R170" s="216"/>
      <c r="S170" s="21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2021-05-02(일) 오전 00:00</v>
      </c>
      <c r="C177" s="214"/>
      <c r="D177" s="190" t="str">
        <f>TEXT($G$1, "[$-ko-KR]yyyy-mm-dd(ddd) ") &amp; "오후 14:00"</f>
        <v>2021-05-02(일) 오후 14:00</v>
      </c>
      <c r="E177" s="191"/>
      <c r="F177" s="192"/>
      <c r="G177" s="190" t="str">
        <f>TEXT($G$1, "[$-ko-KR]yyyy-mm-dd(ddd) ") &amp; "오후 19:00"</f>
        <v>2021-05-02(일) 오후 19:00</v>
      </c>
      <c r="H177" s="191"/>
      <c r="I177" s="192"/>
      <c r="J177" s="190" t="str">
        <f>TEXT($G$1, "[$-ko-KR]yyyy-mm-dd(ddd) ") &amp; "오후 21:00"</f>
        <v>2021-05-02(일) 오후 21:00</v>
      </c>
      <c r="K177" s="191"/>
      <c r="L177" s="192"/>
      <c r="M177" s="190" t="str">
        <f>TEXT($G$1+1, "[$-ko-KR]yyyy-mm-dd(ddd) ") &amp; "오전 00:00"</f>
        <v>2021-05-03(월)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8"/>
      <c r="R179" s="188"/>
      <c r="S179" s="18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8"/>
      <c r="R180" s="188"/>
      <c r="S180" s="18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93"/>
      <c r="R181" s="193"/>
      <c r="S181" s="193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93"/>
      <c r="R182" s="193"/>
      <c r="S182" s="193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93"/>
      <c r="R183" s="193"/>
      <c r="S183" s="193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93"/>
      <c r="R184" s="193"/>
      <c r="S184" s="193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93"/>
      <c r="R185" s="193"/>
      <c r="S185" s="193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93"/>
      <c r="R186" s="193"/>
      <c r="S186" s="193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202"/>
      <c r="R188" s="203"/>
      <c r="S188" s="204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05"/>
      <c r="R189" s="206"/>
      <c r="S189" s="207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08"/>
      <c r="R190" s="209"/>
      <c r="S190" s="210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93"/>
      <c r="R191" s="193"/>
      <c r="S191" s="193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8"/>
      <c r="R192" s="188"/>
      <c r="S192" s="18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8"/>
      <c r="R193" s="188"/>
      <c r="S193" s="188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93"/>
      <c r="R194" s="193"/>
      <c r="S194" s="193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93"/>
      <c r="R195" s="193"/>
      <c r="S195" s="193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93"/>
      <c r="R196" s="193"/>
      <c r="S196" s="193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15"/>
      <c r="R197" s="216"/>
      <c r="S197" s="21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16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15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15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5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5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5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5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5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5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5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50" priority="157">
      <formula>AND($N17 &gt; 0, ISNUMBER($N17))</formula>
    </cfRule>
    <cfRule type="expression" dxfId="3149" priority="158">
      <formula>AND($N17 = 0 * ISNUMBER($N17))</formula>
    </cfRule>
    <cfRule type="expression" dxfId="3148" priority="159">
      <formula>AND($N17 &lt; 0, ISNUMBER($N17))</formula>
    </cfRule>
  </conditionalFormatting>
  <conditionalFormatting sqref="A17:F36">
    <cfRule type="expression" dxfId="3147" priority="166">
      <formula>AND($E17 &gt; 0, ISNUMBER($E17))</formula>
    </cfRule>
    <cfRule type="expression" dxfId="3146" priority="167">
      <formula>AND($E17 = 0 * ISNUMBER($E17))</formula>
    </cfRule>
    <cfRule type="expression" dxfId="3145" priority="168">
      <formula>AND($E17 &lt; 0, ISNUMBER($E17))</formula>
    </cfRule>
  </conditionalFormatting>
  <conditionalFormatting sqref="A17:C36 G17:I36">
    <cfRule type="expression" dxfId="3144" priority="163">
      <formula>AND($H17 &gt; 0, ISNUMBER($H17))</formula>
    </cfRule>
    <cfRule type="expression" dxfId="3143" priority="164">
      <formula>AND($H17 = 0 * ISNUMBER($H17))</formula>
    </cfRule>
    <cfRule type="expression" dxfId="3142" priority="165">
      <formula>AND($H17 &lt; 0, ISNUMBER($H17))</formula>
    </cfRule>
  </conditionalFormatting>
  <conditionalFormatting sqref="A17:C36 J17:L36">
    <cfRule type="expression" dxfId="3141" priority="160">
      <formula>AND($K17 &gt; 0, ISNUMBER($K17))</formula>
    </cfRule>
    <cfRule type="expression" dxfId="3140" priority="161">
      <formula>AND($K17 = 0 * ISNUMBER($K17))</formula>
    </cfRule>
    <cfRule type="expression" dxfId="3139" priority="162">
      <formula>AND($K17 &lt; 0, ISNUMBER($K17))</formula>
    </cfRule>
  </conditionalFormatting>
  <conditionalFormatting sqref="D15:F16 E37:F37">
    <cfRule type="expression" dxfId="3138" priority="154">
      <formula>$E$37 &gt; 0</formula>
    </cfRule>
    <cfRule type="expression" dxfId="3137" priority="155">
      <formula>$E$37 = 0</formula>
    </cfRule>
    <cfRule type="expression" dxfId="3136" priority="156">
      <formula>$E$37 &lt; 0</formula>
    </cfRule>
  </conditionalFormatting>
  <conditionalFormatting sqref="G15:I16 H37:I37">
    <cfRule type="expression" dxfId="3135" priority="151">
      <formula>$H$37 &gt; 0</formula>
    </cfRule>
    <cfRule type="expression" dxfId="3134" priority="152">
      <formula>$H$37 = 0</formula>
    </cfRule>
    <cfRule type="expression" dxfId="3133" priority="153">
      <formula>$H$37 &lt; 0</formula>
    </cfRule>
  </conditionalFormatting>
  <conditionalFormatting sqref="J15:L16 K37:L37">
    <cfRule type="expression" dxfId="3132" priority="148">
      <formula>$K$37 &gt; 0</formula>
    </cfRule>
    <cfRule type="expression" dxfId="3131" priority="149">
      <formula>$K$37 = 0</formula>
    </cfRule>
    <cfRule type="expression" dxfId="3130" priority="150">
      <formula>$K$37 &lt; 0</formula>
    </cfRule>
  </conditionalFormatting>
  <conditionalFormatting sqref="M15:O16 N37:O37">
    <cfRule type="expression" dxfId="3129" priority="145">
      <formula>$N$37 &gt; 0</formula>
    </cfRule>
    <cfRule type="expression" dxfId="3128" priority="146">
      <formula>$N$37 = 0</formula>
    </cfRule>
    <cfRule type="expression" dxfId="3127" priority="147">
      <formula>$N$37 &lt; 0</formula>
    </cfRule>
  </conditionalFormatting>
  <conditionalFormatting sqref="A44:C63 M44:O63">
    <cfRule type="expression" dxfId="3126" priority="133">
      <formula>AND($N44 &gt; 0, ISNUMBER($N44))</formula>
    </cfRule>
    <cfRule type="expression" dxfId="3125" priority="134">
      <formula>AND($N44 = 0 * ISNUMBER($N44))</formula>
    </cfRule>
    <cfRule type="expression" dxfId="3124" priority="135">
      <formula>AND($N44 &lt; 0, ISNUMBER($N44))</formula>
    </cfRule>
  </conditionalFormatting>
  <conditionalFormatting sqref="A44:F63">
    <cfRule type="expression" dxfId="3123" priority="142">
      <formula>AND($E44 &gt; 0, ISNUMBER($E44))</formula>
    </cfRule>
    <cfRule type="expression" dxfId="3122" priority="143">
      <formula>AND($E44 = 0 * ISNUMBER($E44))</formula>
    </cfRule>
    <cfRule type="expression" dxfId="3121" priority="144">
      <formula>AND($E44 &lt; 0, ISNUMBER($E44))</formula>
    </cfRule>
  </conditionalFormatting>
  <conditionalFormatting sqref="A44:C63 G44:I63">
    <cfRule type="expression" dxfId="3120" priority="139">
      <formula>AND($H44 &gt; 0, ISNUMBER($H44))</formula>
    </cfRule>
    <cfRule type="expression" dxfId="3119" priority="140">
      <formula>AND($H44 = 0 * ISNUMBER($H44))</formula>
    </cfRule>
    <cfRule type="expression" dxfId="3118" priority="141">
      <formula>AND($H44 &lt; 0, ISNUMBER($H44))</formula>
    </cfRule>
  </conditionalFormatting>
  <conditionalFormatting sqref="A44:C63 J44:L63">
    <cfRule type="expression" dxfId="3117" priority="136">
      <formula>AND($K44 &gt; 0, ISNUMBER($K44))</formula>
    </cfRule>
    <cfRule type="expression" dxfId="3116" priority="137">
      <formula>AND($K44 = 0 * ISNUMBER($K44))</formula>
    </cfRule>
    <cfRule type="expression" dxfId="3115" priority="138">
      <formula>AND($K44 &lt; 0, ISNUMBER($K44))</formula>
    </cfRule>
  </conditionalFormatting>
  <conditionalFormatting sqref="D42:F43 E64:F64">
    <cfRule type="expression" dxfId="3114" priority="130">
      <formula>$E$64 &gt; 0</formula>
    </cfRule>
    <cfRule type="expression" dxfId="3113" priority="131">
      <formula>$E$64 = 0</formula>
    </cfRule>
    <cfRule type="expression" dxfId="3112" priority="132">
      <formula>$E$64 &lt; 0</formula>
    </cfRule>
  </conditionalFormatting>
  <conditionalFormatting sqref="G42:I43 H64:I64">
    <cfRule type="expression" dxfId="3111" priority="127">
      <formula>$H$64 &gt; 0</formula>
    </cfRule>
    <cfRule type="expression" dxfId="3110" priority="128">
      <formula>$H$64 = 0</formula>
    </cfRule>
    <cfRule type="expression" dxfId="3109" priority="129">
      <formula>$H$64 &lt; 0</formula>
    </cfRule>
  </conditionalFormatting>
  <conditionalFormatting sqref="J42:L43 K64:L64">
    <cfRule type="expression" dxfId="3108" priority="124">
      <formula>$K$64 &gt; 0</formula>
    </cfRule>
    <cfRule type="expression" dxfId="3107" priority="125">
      <formula>$K$64 = 0</formula>
    </cfRule>
    <cfRule type="expression" dxfId="3106" priority="126">
      <formula>$K$64 &lt; 0</formula>
    </cfRule>
  </conditionalFormatting>
  <conditionalFormatting sqref="M42:O43 N64:O64">
    <cfRule type="expression" dxfId="3105" priority="121">
      <formula>$N$64 &gt; 0</formula>
    </cfRule>
    <cfRule type="expression" dxfId="3104" priority="122">
      <formula>$N$64 = 0</formula>
    </cfRule>
    <cfRule type="expression" dxfId="3103" priority="123">
      <formula>$N$64 &lt; 0</formula>
    </cfRule>
  </conditionalFormatting>
  <conditionalFormatting sqref="A71:C90 M71:O90">
    <cfRule type="expression" dxfId="3102" priority="109">
      <formula>AND($N71 &gt; 0, ISNUMBER($N71))</formula>
    </cfRule>
    <cfRule type="expression" dxfId="3101" priority="110">
      <formula>AND($N71 = 0 * ISNUMBER($N71))</formula>
    </cfRule>
    <cfRule type="expression" dxfId="3100" priority="111">
      <formula>AND($N71 &lt; 0, ISNUMBER($N71))</formula>
    </cfRule>
  </conditionalFormatting>
  <conditionalFormatting sqref="A71:F90">
    <cfRule type="expression" dxfId="3099" priority="118">
      <formula>AND($E71 &gt; 0, ISNUMBER($E71))</formula>
    </cfRule>
    <cfRule type="expression" dxfId="3098" priority="119">
      <formula>AND($E71 = 0 * ISNUMBER($E71))</formula>
    </cfRule>
    <cfRule type="expression" dxfId="3097" priority="120">
      <formula>AND($E71 &lt; 0, ISNUMBER($E71))</formula>
    </cfRule>
  </conditionalFormatting>
  <conditionalFormatting sqref="A71:C90 G71:I90">
    <cfRule type="expression" dxfId="3096" priority="115">
      <formula>AND($H71 &gt; 0, ISNUMBER($H71))</formula>
    </cfRule>
    <cfRule type="expression" dxfId="3095" priority="116">
      <formula>AND($H71 = 0 * ISNUMBER($H71))</formula>
    </cfRule>
    <cfRule type="expression" dxfId="3094" priority="117">
      <formula>AND($H71 &lt; 0, ISNUMBER($H71))</formula>
    </cfRule>
  </conditionalFormatting>
  <conditionalFormatting sqref="A71:C90 J71:L90">
    <cfRule type="expression" dxfId="3093" priority="112">
      <formula>AND($K71 &gt; 0, ISNUMBER($K71))</formula>
    </cfRule>
    <cfRule type="expression" dxfId="3092" priority="113">
      <formula>AND($K71 = 0 * ISNUMBER($K71))</formula>
    </cfRule>
    <cfRule type="expression" dxfId="3091" priority="114">
      <formula>AND($K71 &lt; 0, ISNUMBER($K71))</formula>
    </cfRule>
  </conditionalFormatting>
  <conditionalFormatting sqref="D69:F70 E91:F91">
    <cfRule type="expression" dxfId="3090" priority="106">
      <formula>$E$91 &gt; 0</formula>
    </cfRule>
    <cfRule type="expression" dxfId="3089" priority="107">
      <formula>$E$91 = 0</formula>
    </cfRule>
    <cfRule type="expression" dxfId="3088" priority="108">
      <formula>$E$91 &lt; 0</formula>
    </cfRule>
  </conditionalFormatting>
  <conditionalFormatting sqref="G69:I70 H91:I91">
    <cfRule type="expression" dxfId="3087" priority="103">
      <formula>$H$91 &gt; 0</formula>
    </cfRule>
    <cfRule type="expression" dxfId="3086" priority="104">
      <formula>$H$91 = 0</formula>
    </cfRule>
    <cfRule type="expression" dxfId="3085" priority="105">
      <formula>$H$91 &lt; 0</formula>
    </cfRule>
  </conditionalFormatting>
  <conditionalFormatting sqref="J69:L70 K91:L91">
    <cfRule type="expression" dxfId="3084" priority="100">
      <formula>$K$91 &gt; 0</formula>
    </cfRule>
    <cfRule type="expression" dxfId="3083" priority="101">
      <formula>$K$91 = 0</formula>
    </cfRule>
    <cfRule type="expression" dxfId="3082" priority="102">
      <formula>$K$91 &lt; 0</formula>
    </cfRule>
  </conditionalFormatting>
  <conditionalFormatting sqref="M69:O70 N91:O91">
    <cfRule type="expression" dxfId="3081" priority="97">
      <formula>$N$91 &gt; 0</formula>
    </cfRule>
    <cfRule type="expression" dxfId="3080" priority="98">
      <formula>$N$91 = 0</formula>
    </cfRule>
    <cfRule type="expression" dxfId="3079" priority="99">
      <formula>$N$91 &lt; 0</formula>
    </cfRule>
  </conditionalFormatting>
  <conditionalFormatting sqref="A98:C117 M98:O117">
    <cfRule type="expression" dxfId="3078" priority="85">
      <formula>AND($N98 &gt; 0, ISNUMBER($N98))</formula>
    </cfRule>
    <cfRule type="expression" dxfId="3077" priority="86">
      <formula>AND($N98 = 0 * ISNUMBER($N98))</formula>
    </cfRule>
    <cfRule type="expression" dxfId="3076" priority="87">
      <formula>AND($N98 &lt; 0, ISNUMBER($N98))</formula>
    </cfRule>
  </conditionalFormatting>
  <conditionalFormatting sqref="A98:F117">
    <cfRule type="expression" dxfId="3075" priority="94">
      <formula>AND($E98 &gt; 0, ISNUMBER($E98))</formula>
    </cfRule>
    <cfRule type="expression" dxfId="3074" priority="95">
      <formula>AND($E98 = 0 * ISNUMBER($E98))</formula>
    </cfRule>
    <cfRule type="expression" dxfId="3073" priority="96">
      <formula>AND($E98 &lt; 0, ISNUMBER($E98))</formula>
    </cfRule>
  </conditionalFormatting>
  <conditionalFormatting sqref="A98:C117 G98:I117">
    <cfRule type="expression" dxfId="3072" priority="91">
      <formula>AND($H98 &gt; 0, ISNUMBER($H98))</formula>
    </cfRule>
    <cfRule type="expression" dxfId="3071" priority="92">
      <formula>AND($H98 = 0 * ISNUMBER($H98))</formula>
    </cfRule>
    <cfRule type="expression" dxfId="3070" priority="93">
      <formula>AND($H98 &lt; 0, ISNUMBER($H98))</formula>
    </cfRule>
  </conditionalFormatting>
  <conditionalFormatting sqref="A98:C117 J98:L117">
    <cfRule type="expression" dxfId="3069" priority="88">
      <formula>AND($K98 &gt; 0, ISNUMBER($K98))</formula>
    </cfRule>
    <cfRule type="expression" dxfId="3068" priority="89">
      <formula>AND($K98 = 0 * ISNUMBER($K98))</formula>
    </cfRule>
    <cfRule type="expression" dxfId="3067" priority="90">
      <formula>AND($K98 &lt; 0, ISNUMBER($K98))</formula>
    </cfRule>
  </conditionalFormatting>
  <conditionalFormatting sqref="D96:F97 E118:F118">
    <cfRule type="expression" dxfId="3066" priority="82">
      <formula>$E$118 &gt; 0</formula>
    </cfRule>
    <cfRule type="expression" dxfId="3065" priority="83">
      <formula>$E$118 = 0</formula>
    </cfRule>
    <cfRule type="expression" dxfId="3064" priority="84">
      <formula>$E$118 &lt; 0</formula>
    </cfRule>
  </conditionalFormatting>
  <conditionalFormatting sqref="G96:I97 H118:I118">
    <cfRule type="expression" dxfId="3063" priority="79">
      <formula>$H$118 &gt; 0</formula>
    </cfRule>
    <cfRule type="expression" dxfId="3062" priority="80">
      <formula>$H$118 = 0</formula>
    </cfRule>
    <cfRule type="expression" dxfId="3061" priority="81">
      <formula>$H$118 &lt; 0</formula>
    </cfRule>
  </conditionalFormatting>
  <conditionalFormatting sqref="J96:L97 K118:L118">
    <cfRule type="expression" dxfId="3060" priority="76">
      <formula>$K$118 &gt; 0</formula>
    </cfRule>
    <cfRule type="expression" dxfId="3059" priority="77">
      <formula>$K$118 = 0</formula>
    </cfRule>
    <cfRule type="expression" dxfId="3058" priority="78">
      <formula>$K$118 &lt; 0</formula>
    </cfRule>
  </conditionalFormatting>
  <conditionalFormatting sqref="M96:O97 N118:O118">
    <cfRule type="expression" dxfId="3057" priority="73">
      <formula>$N$118 &gt; 0</formula>
    </cfRule>
    <cfRule type="expression" dxfId="3056" priority="74">
      <formula>$N$118 = 0</formula>
    </cfRule>
    <cfRule type="expression" dxfId="3055" priority="75">
      <formula>$N$118 &lt; 0</formula>
    </cfRule>
  </conditionalFormatting>
  <conditionalFormatting sqref="A125:C144 M125:O144">
    <cfRule type="expression" dxfId="3054" priority="61">
      <formula>AND($N125 &gt; 0, ISNUMBER($N125))</formula>
    </cfRule>
    <cfRule type="expression" dxfId="3053" priority="62">
      <formula>AND($N125 = 0 * ISNUMBER($N125))</formula>
    </cfRule>
    <cfRule type="expression" dxfId="3052" priority="63">
      <formula>AND($N125 &lt; 0, ISNUMBER($N125))</formula>
    </cfRule>
  </conditionalFormatting>
  <conditionalFormatting sqref="A125:F144">
    <cfRule type="expression" dxfId="3051" priority="70">
      <formula>AND($E125 &gt; 0, ISNUMBER($E125))</formula>
    </cfRule>
    <cfRule type="expression" dxfId="3050" priority="71">
      <formula>AND($E125 = 0 * ISNUMBER($E125))</formula>
    </cfRule>
    <cfRule type="expression" dxfId="3049" priority="72">
      <formula>AND($E125 &lt; 0, ISNUMBER($E125))</formula>
    </cfRule>
  </conditionalFormatting>
  <conditionalFormatting sqref="A125:C144 G125:I144">
    <cfRule type="expression" dxfId="3048" priority="67">
      <formula>AND($H125 &gt; 0, ISNUMBER($H125))</formula>
    </cfRule>
    <cfRule type="expression" dxfId="3047" priority="68">
      <formula>AND($H125 = 0 * ISNUMBER($H125))</formula>
    </cfRule>
    <cfRule type="expression" dxfId="3046" priority="69">
      <formula>AND($H125 &lt; 0, ISNUMBER($H125))</formula>
    </cfRule>
  </conditionalFormatting>
  <conditionalFormatting sqref="A125:C144 J125:L144">
    <cfRule type="expression" dxfId="3045" priority="64">
      <formula>AND($K125 &gt; 0, ISNUMBER($K125))</formula>
    </cfRule>
    <cfRule type="expression" dxfId="3044" priority="65">
      <formula>AND($K125 = 0 * ISNUMBER($K125))</formula>
    </cfRule>
    <cfRule type="expression" dxfId="3043" priority="66">
      <formula>AND($K125 &lt; 0, ISNUMBER($K125))</formula>
    </cfRule>
  </conditionalFormatting>
  <conditionalFormatting sqref="D123:F124 E145:F145">
    <cfRule type="expression" dxfId="3042" priority="58">
      <formula>$E$145 &gt; 0</formula>
    </cfRule>
    <cfRule type="expression" dxfId="3041" priority="59">
      <formula>$E$145 = 0</formula>
    </cfRule>
    <cfRule type="expression" dxfId="3040" priority="60">
      <formula>$E$145 &lt; 0</formula>
    </cfRule>
  </conditionalFormatting>
  <conditionalFormatting sqref="G123:I124 H145:I145">
    <cfRule type="expression" dxfId="3039" priority="55">
      <formula>$H$145 &gt; 0</formula>
    </cfRule>
    <cfRule type="expression" dxfId="3038" priority="56">
      <formula>$H$145 = 0</formula>
    </cfRule>
    <cfRule type="expression" dxfId="3037" priority="57">
      <formula>$H$145 &lt; 0</formula>
    </cfRule>
  </conditionalFormatting>
  <conditionalFormatting sqref="J123:L124 K145:L145">
    <cfRule type="expression" dxfId="3036" priority="52">
      <formula>$K$145 &gt; 0</formula>
    </cfRule>
    <cfRule type="expression" dxfId="3035" priority="53">
      <formula>$K$145 = 0</formula>
    </cfRule>
    <cfRule type="expression" dxfId="3034" priority="54">
      <formula>$K$145 &lt; 0</formula>
    </cfRule>
  </conditionalFormatting>
  <conditionalFormatting sqref="M123:O124 N145:O145">
    <cfRule type="expression" dxfId="3033" priority="49">
      <formula>$N$145 &gt; 0</formula>
    </cfRule>
    <cfRule type="expression" dxfId="3032" priority="50">
      <formula>$N$145 = 0</formula>
    </cfRule>
    <cfRule type="expression" dxfId="3031" priority="51">
      <formula>$N$145 &lt; 0</formula>
    </cfRule>
  </conditionalFormatting>
  <conditionalFormatting sqref="A152:C171 M152:O171">
    <cfRule type="expression" dxfId="3030" priority="37">
      <formula>AND($N152 &gt; 0, ISNUMBER($N152))</formula>
    </cfRule>
    <cfRule type="expression" dxfId="3029" priority="38">
      <formula>AND($N152 = 0 * ISNUMBER($N152))</formula>
    </cfRule>
    <cfRule type="expression" dxfId="3028" priority="39">
      <formula>AND($N152 &lt; 0, ISNUMBER($N152))</formula>
    </cfRule>
  </conditionalFormatting>
  <conditionalFormatting sqref="A152:F171">
    <cfRule type="expression" dxfId="3027" priority="46">
      <formula>AND($E152 &gt; 0, ISNUMBER($E152))</formula>
    </cfRule>
    <cfRule type="expression" dxfId="3026" priority="47">
      <formula>AND($E152 = 0 * ISNUMBER($E152))</formula>
    </cfRule>
    <cfRule type="expression" dxfId="3025" priority="48">
      <formula>AND($E152 &lt; 0, ISNUMBER($E152))</formula>
    </cfRule>
  </conditionalFormatting>
  <conditionalFormatting sqref="A152:C171 G152:I171">
    <cfRule type="expression" dxfId="3024" priority="43">
      <formula>AND($H152 &gt; 0, ISNUMBER($H152))</formula>
    </cfRule>
    <cfRule type="expression" dxfId="3023" priority="44">
      <formula>AND($H152 = 0 * ISNUMBER($H152))</formula>
    </cfRule>
    <cfRule type="expression" dxfId="3022" priority="45">
      <formula>AND($H152 &lt; 0, ISNUMBER($H152))</formula>
    </cfRule>
  </conditionalFormatting>
  <conditionalFormatting sqref="A152:C171 J152:L171">
    <cfRule type="expression" dxfId="3021" priority="40">
      <formula>AND($K152 &gt; 0, ISNUMBER($K152))</formula>
    </cfRule>
    <cfRule type="expression" dxfId="3020" priority="41">
      <formula>AND($K152 = 0 * ISNUMBER($K152))</formula>
    </cfRule>
    <cfRule type="expression" dxfId="3019" priority="42">
      <formula>AND($K152 &lt; 0, ISNUMBER($K152))</formula>
    </cfRule>
  </conditionalFormatting>
  <conditionalFormatting sqref="D150:F151 E172:F172">
    <cfRule type="expression" dxfId="3018" priority="34">
      <formula>$E$172 &gt; 0</formula>
    </cfRule>
    <cfRule type="expression" dxfId="3017" priority="35">
      <formula>$E$172 = 0</formula>
    </cfRule>
    <cfRule type="expression" dxfId="3016" priority="36">
      <formula>$E$172 &lt; 0</formula>
    </cfRule>
  </conditionalFormatting>
  <conditionalFormatting sqref="G150:I151 H172:I172">
    <cfRule type="expression" dxfId="3015" priority="31">
      <formula>$H$172 &gt; 0</formula>
    </cfRule>
    <cfRule type="expression" dxfId="3014" priority="32">
      <formula>$H$172 = 0</formula>
    </cfRule>
    <cfRule type="expression" dxfId="3013" priority="33">
      <formula>$H$172 &lt; 0</formula>
    </cfRule>
  </conditionalFormatting>
  <conditionalFormatting sqref="J150:L151 K172:L172">
    <cfRule type="expression" dxfId="3012" priority="28">
      <formula>$K$172 &gt; 0</formula>
    </cfRule>
    <cfRule type="expression" dxfId="3011" priority="29">
      <formula>$K$172 = 0</formula>
    </cfRule>
    <cfRule type="expression" dxfId="3010" priority="30">
      <formula>$K$172 &lt; 0</formula>
    </cfRule>
  </conditionalFormatting>
  <conditionalFormatting sqref="M150:O151 N172:O172">
    <cfRule type="expression" dxfId="3009" priority="25">
      <formula>$N$172 &gt; 0</formula>
    </cfRule>
    <cfRule type="expression" dxfId="3008" priority="26">
      <formula>$N$172 = 0</formula>
    </cfRule>
    <cfRule type="expression" dxfId="3007" priority="27">
      <formula>$N$172 &lt; 0</formula>
    </cfRule>
  </conditionalFormatting>
  <conditionalFormatting sqref="A179:C198 M179:O198">
    <cfRule type="expression" dxfId="3006" priority="13">
      <formula>AND($N179 &gt; 0, ISNUMBER($N179))</formula>
    </cfRule>
    <cfRule type="expression" dxfId="3005" priority="14">
      <formula>AND($N179 = 0 * ISNUMBER($N179))</formula>
    </cfRule>
    <cfRule type="expression" dxfId="3004" priority="15">
      <formula>AND($N179 &lt; 0, ISNUMBER($N179))</formula>
    </cfRule>
  </conditionalFormatting>
  <conditionalFormatting sqref="A179:F198">
    <cfRule type="expression" dxfId="3003" priority="22">
      <formula>AND($E179 &gt; 0, ISNUMBER($E179))</formula>
    </cfRule>
    <cfRule type="expression" dxfId="3002" priority="23">
      <formula>AND($E179 = 0 * ISNUMBER($E179))</formula>
    </cfRule>
    <cfRule type="expression" dxfId="3001" priority="24">
      <formula>AND($E179 &lt; 0, ISNUMBER($E179))</formula>
    </cfRule>
  </conditionalFormatting>
  <conditionalFormatting sqref="A179:C198 G179:I198">
    <cfRule type="expression" dxfId="3000" priority="19">
      <formula>AND($H179 &gt; 0, ISNUMBER($H179))</formula>
    </cfRule>
    <cfRule type="expression" dxfId="2999" priority="20">
      <formula>AND($H179 = 0 * ISNUMBER($H179))</formula>
    </cfRule>
    <cfRule type="expression" dxfId="2998" priority="21">
      <formula>AND($H179 &lt; 0, ISNUMBER($H179))</formula>
    </cfRule>
  </conditionalFormatting>
  <conditionalFormatting sqref="A179:C198 J179:L198">
    <cfRule type="expression" dxfId="2997" priority="16">
      <formula>AND($K179 &gt; 0, ISNUMBER($K179))</formula>
    </cfRule>
    <cfRule type="expression" dxfId="2996" priority="17">
      <formula>AND($K179 = 0 * ISNUMBER($K179))</formula>
    </cfRule>
    <cfRule type="expression" dxfId="2995" priority="18">
      <formula>AND($K179 &lt; 0, ISNUMBER($K179))</formula>
    </cfRule>
  </conditionalFormatting>
  <conditionalFormatting sqref="D177:F178 E199:F199">
    <cfRule type="expression" dxfId="2994" priority="10">
      <formula>$E$199 &gt; 0</formula>
    </cfRule>
    <cfRule type="expression" dxfId="2993" priority="11">
      <formula>$E$199 = 0</formula>
    </cfRule>
    <cfRule type="expression" dxfId="2992" priority="12">
      <formula>$E$199 &lt; 0</formula>
    </cfRule>
  </conditionalFormatting>
  <conditionalFormatting sqref="G177:I178 H199:I199">
    <cfRule type="expression" dxfId="2991" priority="7">
      <formula>$H$199 &gt; 0</formula>
    </cfRule>
    <cfRule type="expression" dxfId="2990" priority="8">
      <formula>$H$199 = 0</formula>
    </cfRule>
    <cfRule type="expression" dxfId="2989" priority="9">
      <formula>$H$199 &lt; 0</formula>
    </cfRule>
  </conditionalFormatting>
  <conditionalFormatting sqref="J177:L178 K199:L199">
    <cfRule type="expression" dxfId="2988" priority="4">
      <formula>$K$199 &gt; 0</formula>
    </cfRule>
    <cfRule type="expression" dxfId="2987" priority="5">
      <formula>$K$199 = 0</formula>
    </cfRule>
    <cfRule type="expression" dxfId="2986" priority="6">
      <formula>$K$199 &lt; 0</formula>
    </cfRule>
  </conditionalFormatting>
  <conditionalFormatting sqref="M177:O178 N199:O199">
    <cfRule type="expression" dxfId="2985" priority="1">
      <formula>$N$199 &gt; 0</formula>
    </cfRule>
    <cfRule type="expression" dxfId="2984" priority="2">
      <formula>$N$199 = 0</formula>
    </cfRule>
    <cfRule type="expression" dxfId="298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44" zoomScaleNormal="100" workbookViewId="0">
      <selection activeCell="J158" sqref="J15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44319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2021-05-03(월) 오전 00:00</v>
      </c>
      <c r="C15" s="201"/>
      <c r="D15" s="190" t="str">
        <f>TEXT($G$1, "[$-ko-KR]yyyy-mm-dd(ddd) ") &amp; "오후 14:00"</f>
        <v>2021-05-03(월) 오후 14:00</v>
      </c>
      <c r="E15" s="191"/>
      <c r="F15" s="192"/>
      <c r="G15" s="190" t="str">
        <f>TEXT($G$1, "[$-ko-KR]yyyy-mm-dd(ddd) ") &amp; "오후 19:00"</f>
        <v>2021-05-03(월) 오후 19:00</v>
      </c>
      <c r="H15" s="191"/>
      <c r="I15" s="192"/>
      <c r="J15" s="190" t="str">
        <f>TEXT($G$1, "[$-ko-KR]yyyy-mm-dd(ddd) ") &amp; "오후 21:00"</f>
        <v>2021-05-03(월) 오후 21:00</v>
      </c>
      <c r="K15" s="191"/>
      <c r="L15" s="192"/>
      <c r="M15" s="190" t="str">
        <f>TEXT($G$1+1, "[$-ko-KR]yyyy-mm-dd(ddd) ") &amp; "오전 00:00"</f>
        <v>2021-05-04(화)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8"/>
      <c r="R17" s="188"/>
      <c r="S17" s="18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8"/>
      <c r="R18" s="188"/>
      <c r="S18" s="18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93"/>
      <c r="R19" s="193"/>
      <c r="S19" s="193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93"/>
      <c r="R20" s="193"/>
      <c r="S20" s="193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2021-05-03(월) 오전 00:00</v>
      </c>
      <c r="C42" s="214"/>
      <c r="D42" s="190" t="str">
        <f>TEXT($G$1, "[$-ko-KR]yyyy-mm-dd(ddd) ") &amp; "오후 14:00"</f>
        <v>2021-05-03(월) 오후 14:00</v>
      </c>
      <c r="E42" s="191"/>
      <c r="F42" s="192"/>
      <c r="G42" s="190" t="str">
        <f>TEXT($G$1, "[$-ko-KR]yyyy-mm-dd(ddd) ") &amp; "오후 19:00"</f>
        <v>2021-05-03(월) 오후 19:00</v>
      </c>
      <c r="H42" s="191"/>
      <c r="I42" s="192"/>
      <c r="J42" s="190" t="str">
        <f>TEXT($G$1, "[$-ko-KR]yyyy-mm-dd(ddd) ") &amp; "오후 21:00"</f>
        <v>2021-05-03(월) 오후 21:00</v>
      </c>
      <c r="K42" s="191"/>
      <c r="L42" s="192"/>
      <c r="M42" s="190" t="str">
        <f>TEXT($G$1+1, "[$-ko-KR]yyyy-mm-dd(ddd) ") &amp; "오전 00:00"</f>
        <v>2021-05-04(화)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8"/>
      <c r="R44" s="188"/>
      <c r="S44" s="18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8"/>
      <c r="R45" s="188"/>
      <c r="S45" s="18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93"/>
      <c r="R46" s="193"/>
      <c r="S46" s="193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93"/>
      <c r="R47" s="193"/>
      <c r="S47" s="193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93"/>
      <c r="R48" s="193"/>
      <c r="S48" s="193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93"/>
      <c r="R49" s="193"/>
      <c r="S49" s="193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93"/>
      <c r="R50" s="193"/>
      <c r="S50" s="193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93"/>
      <c r="R51" s="193"/>
      <c r="S51" s="193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202"/>
      <c r="R53" s="203"/>
      <c r="S53" s="204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05"/>
      <c r="R54" s="206"/>
      <c r="S54" s="207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08"/>
      <c r="R55" s="209"/>
      <c r="S55" s="210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93"/>
      <c r="R56" s="193"/>
      <c r="S56" s="193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8"/>
      <c r="R57" s="188"/>
      <c r="S57" s="18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8"/>
      <c r="R58" s="188"/>
      <c r="S58" s="188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93"/>
      <c r="R59" s="193"/>
      <c r="S59" s="193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93"/>
      <c r="R60" s="193"/>
      <c r="S60" s="193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93"/>
      <c r="R61" s="193"/>
      <c r="S61" s="193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2021-05-03(월) 오전 00:00</v>
      </c>
      <c r="C69" s="214"/>
      <c r="D69" s="190" t="str">
        <f>TEXT($G$1, "[$-ko-KR]yyyy-mm-dd(ddd) ") &amp; "오후 14:00"</f>
        <v>2021-05-03(월) 오후 14:00</v>
      </c>
      <c r="E69" s="191"/>
      <c r="F69" s="192"/>
      <c r="G69" s="190" t="str">
        <f>TEXT($G$1, "[$-ko-KR]yyyy-mm-dd(ddd) ") &amp; "오후 19:00"</f>
        <v>2021-05-03(월) 오후 19:00</v>
      </c>
      <c r="H69" s="191"/>
      <c r="I69" s="192"/>
      <c r="J69" s="190" t="str">
        <f>TEXT($G$1, "[$-ko-KR]yyyy-mm-dd(ddd) ") &amp; "오후 21:00"</f>
        <v>2021-05-03(월) 오후 21:00</v>
      </c>
      <c r="K69" s="191"/>
      <c r="L69" s="192"/>
      <c r="M69" s="190" t="str">
        <f>TEXT($G$1+1, "[$-ko-KR]yyyy-mm-dd(ddd) ") &amp; "오전 00:00"</f>
        <v>2021-05-04(화)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8"/>
      <c r="R71" s="188"/>
      <c r="S71" s="18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8"/>
      <c r="R72" s="188"/>
      <c r="S72" s="18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93"/>
      <c r="R73" s="193"/>
      <c r="S73" s="193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93"/>
      <c r="R74" s="193"/>
      <c r="S74" s="193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93"/>
      <c r="R75" s="193"/>
      <c r="S75" s="193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93"/>
      <c r="R76" s="193"/>
      <c r="S76" s="193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93"/>
      <c r="R77" s="193"/>
      <c r="S77" s="193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93"/>
      <c r="R78" s="193"/>
      <c r="S78" s="193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202"/>
      <c r="R80" s="203"/>
      <c r="S80" s="204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05"/>
      <c r="R81" s="206"/>
      <c r="S81" s="207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08"/>
      <c r="R82" s="209"/>
      <c r="S82" s="210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93"/>
      <c r="R83" s="193"/>
      <c r="S83" s="193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8"/>
      <c r="R84" s="188"/>
      <c r="S84" s="18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8"/>
      <c r="R85" s="188"/>
      <c r="S85" s="188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93"/>
      <c r="R86" s="193"/>
      <c r="S86" s="193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93"/>
      <c r="R87" s="193"/>
      <c r="S87" s="193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93"/>
      <c r="R88" s="193"/>
      <c r="S88" s="193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15"/>
      <c r="R89" s="216"/>
      <c r="S89" s="21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2021-05-03(월) 오전 00:00</v>
      </c>
      <c r="C96" s="214"/>
      <c r="D96" s="190" t="str">
        <f>TEXT($G$1, "[$-ko-KR]yyyy-mm-dd(ddd) ") &amp; "오후 14:00"</f>
        <v>2021-05-03(월) 오후 14:00</v>
      </c>
      <c r="E96" s="191"/>
      <c r="F96" s="192"/>
      <c r="G96" s="190" t="str">
        <f>TEXT($G$1, "[$-ko-KR]yyyy-mm-dd(ddd) ") &amp; "오후 19:00"</f>
        <v>2021-05-03(월) 오후 19:00</v>
      </c>
      <c r="H96" s="191"/>
      <c r="I96" s="192"/>
      <c r="J96" s="190" t="str">
        <f>TEXT($G$1, "[$-ko-KR]yyyy-mm-dd(ddd) ") &amp; "오후 21:00"</f>
        <v>2021-05-03(월) 오후 21:00</v>
      </c>
      <c r="K96" s="191"/>
      <c r="L96" s="192"/>
      <c r="M96" s="190" t="str">
        <f>TEXT($G$1+1, "[$-ko-KR]yyyy-mm-dd(ddd) ") &amp; "오전 00:00"</f>
        <v>2021-05-04(화)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8"/>
      <c r="R98" s="188"/>
      <c r="S98" s="18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8"/>
      <c r="R99" s="188"/>
      <c r="S99" s="18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93"/>
      <c r="R100" s="193"/>
      <c r="S100" s="193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93"/>
      <c r="R101" s="193"/>
      <c r="S101" s="193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93"/>
      <c r="R102" s="193"/>
      <c r="S102" s="193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93"/>
      <c r="R103" s="193"/>
      <c r="S103" s="193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93"/>
      <c r="R104" s="193"/>
      <c r="S104" s="193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93"/>
      <c r="R105" s="193"/>
      <c r="S105" s="193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202"/>
      <c r="R107" s="203"/>
      <c r="S107" s="204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05"/>
      <c r="R108" s="206"/>
      <c r="S108" s="207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08"/>
      <c r="R109" s="209"/>
      <c r="S109" s="210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93"/>
      <c r="R110" s="193"/>
      <c r="S110" s="193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8"/>
      <c r="R111" s="188"/>
      <c r="S111" s="18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8"/>
      <c r="R112" s="188"/>
      <c r="S112" s="188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93"/>
      <c r="R113" s="193"/>
      <c r="S113" s="193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93"/>
      <c r="R114" s="193"/>
      <c r="S114" s="193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93"/>
      <c r="R115" s="193"/>
      <c r="S115" s="193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15"/>
      <c r="R116" s="216"/>
      <c r="S116" s="21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2021-05-03(월) 오전 00:00</v>
      </c>
      <c r="C123" s="214"/>
      <c r="D123" s="190" t="str">
        <f>TEXT($G$1, "[$-ko-KR]yyyy-mm-dd(ddd) ") &amp; "오후 14:00"</f>
        <v>2021-05-03(월) 오후 14:00</v>
      </c>
      <c r="E123" s="191"/>
      <c r="F123" s="192"/>
      <c r="G123" s="190" t="str">
        <f>TEXT($G$1, "[$-ko-KR]yyyy-mm-dd(ddd) ") &amp; "오후 19:00"</f>
        <v>2021-05-03(월) 오후 19:00</v>
      </c>
      <c r="H123" s="191"/>
      <c r="I123" s="192"/>
      <c r="J123" s="190" t="str">
        <f>TEXT($G$1, "[$-ko-KR]yyyy-mm-dd(ddd) ") &amp; "오후 21:00"</f>
        <v>2021-05-03(월) 오후 21:00</v>
      </c>
      <c r="K123" s="191"/>
      <c r="L123" s="192"/>
      <c r="M123" s="190" t="str">
        <f>TEXT($G$1+1, "[$-ko-KR]yyyy-mm-dd(ddd) ") &amp; "오전 00:00"</f>
        <v>2021-05-04(화)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8"/>
      <c r="R125" s="188"/>
      <c r="S125" s="18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8"/>
      <c r="R126" s="188"/>
      <c r="S126" s="18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93"/>
      <c r="R127" s="193"/>
      <c r="S127" s="193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93"/>
      <c r="R128" s="193"/>
      <c r="S128" s="193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93"/>
      <c r="R129" s="193"/>
      <c r="S129" s="193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93"/>
      <c r="R130" s="193"/>
      <c r="S130" s="193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93"/>
      <c r="R131" s="193"/>
      <c r="S131" s="193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93"/>
      <c r="R132" s="193"/>
      <c r="S132" s="193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202"/>
      <c r="R134" s="203"/>
      <c r="S134" s="204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05"/>
      <c r="R135" s="206"/>
      <c r="S135" s="207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08"/>
      <c r="R136" s="209"/>
      <c r="S136" s="210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93"/>
      <c r="R137" s="193"/>
      <c r="S137" s="193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8"/>
      <c r="R138" s="188"/>
      <c r="S138" s="18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8"/>
      <c r="R139" s="188"/>
      <c r="S139" s="188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93"/>
      <c r="R140" s="193"/>
      <c r="S140" s="193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93"/>
      <c r="R141" s="193"/>
      <c r="S141" s="193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93"/>
      <c r="R142" s="193"/>
      <c r="S142" s="193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2021-05-03(월) 오전 00:00</v>
      </c>
      <c r="C150" s="214"/>
      <c r="D150" s="190" t="str">
        <f>TEXT($G$1, "[$-ko-KR]yyyy-mm-dd(ddd) ") &amp; "오후 14:00"</f>
        <v>2021-05-03(월) 오후 14:00</v>
      </c>
      <c r="E150" s="191"/>
      <c r="F150" s="192"/>
      <c r="G150" s="190" t="str">
        <f>TEXT($G$1, "[$-ko-KR]yyyy-mm-dd(ddd) ") &amp; "오후 19:00"</f>
        <v>2021-05-03(월) 오후 19:00</v>
      </c>
      <c r="H150" s="191"/>
      <c r="I150" s="192"/>
      <c r="J150" s="190" t="str">
        <f>TEXT($G$1, "[$-ko-KR]yyyy-mm-dd(ddd) ") &amp; "오후 21:00"</f>
        <v>2021-05-03(월) 오후 21:00</v>
      </c>
      <c r="K150" s="191"/>
      <c r="L150" s="192"/>
      <c r="M150" s="190" t="str">
        <f>TEXT($G$1+1, "[$-ko-KR]yyyy-mm-dd(ddd) ") &amp; "오전 00:00"</f>
        <v>2021-05-04(화)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8"/>
      <c r="R152" s="188"/>
      <c r="S152" s="18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8"/>
      <c r="R153" s="188"/>
      <c r="S153" s="18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93"/>
      <c r="R154" s="193"/>
      <c r="S154" s="193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93"/>
      <c r="R155" s="193"/>
      <c r="S155" s="193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93"/>
      <c r="R156" s="193"/>
      <c r="S156" s="193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93"/>
      <c r="R157" s="193"/>
      <c r="S157" s="193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93"/>
      <c r="R158" s="193"/>
      <c r="S158" s="193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93"/>
      <c r="R159" s="193"/>
      <c r="S159" s="193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202"/>
      <c r="R161" s="203"/>
      <c r="S161" s="204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05"/>
      <c r="R162" s="206"/>
      <c r="S162" s="207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08"/>
      <c r="R163" s="209"/>
      <c r="S163" s="210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93"/>
      <c r="R164" s="193"/>
      <c r="S164" s="193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8"/>
      <c r="R165" s="188"/>
      <c r="S165" s="18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8"/>
      <c r="R166" s="188"/>
      <c r="S166" s="188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93"/>
      <c r="R167" s="193"/>
      <c r="S167" s="193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93"/>
      <c r="R168" s="193"/>
      <c r="S168" s="193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93"/>
      <c r="R169" s="193"/>
      <c r="S169" s="193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15"/>
      <c r="R170" s="216"/>
      <c r="S170" s="21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2021-05-03(월) 오전 00:00</v>
      </c>
      <c r="C177" s="214"/>
      <c r="D177" s="190" t="str">
        <f>TEXT($G$1, "[$-ko-KR]yyyy-mm-dd(ddd) ") &amp; "오후 14:00"</f>
        <v>2021-05-03(월) 오후 14:00</v>
      </c>
      <c r="E177" s="191"/>
      <c r="F177" s="192"/>
      <c r="G177" s="190" t="str">
        <f>TEXT($G$1, "[$-ko-KR]yyyy-mm-dd(ddd) ") &amp; "오후 19:00"</f>
        <v>2021-05-03(월) 오후 19:00</v>
      </c>
      <c r="H177" s="191"/>
      <c r="I177" s="192"/>
      <c r="J177" s="190" t="str">
        <f>TEXT($G$1, "[$-ko-KR]yyyy-mm-dd(ddd) ") &amp; "오후 21:00"</f>
        <v>2021-05-03(월) 오후 21:00</v>
      </c>
      <c r="K177" s="191"/>
      <c r="L177" s="192"/>
      <c r="M177" s="190" t="str">
        <f>TEXT($G$1+1, "[$-ko-KR]yyyy-mm-dd(ddd) ") &amp; "오전 00:00"</f>
        <v>2021-05-04(화)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8"/>
      <c r="R179" s="188"/>
      <c r="S179" s="18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8"/>
      <c r="R180" s="188"/>
      <c r="S180" s="18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93"/>
      <c r="R181" s="193"/>
      <c r="S181" s="193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93"/>
      <c r="R182" s="193"/>
      <c r="S182" s="193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93"/>
      <c r="R183" s="193"/>
      <c r="S183" s="193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93"/>
      <c r="R184" s="193"/>
      <c r="S184" s="193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93"/>
      <c r="R185" s="193"/>
      <c r="S185" s="193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93"/>
      <c r="R186" s="193"/>
      <c r="S186" s="193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202"/>
      <c r="R188" s="203"/>
      <c r="S188" s="204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05"/>
      <c r="R189" s="206"/>
      <c r="S189" s="207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08"/>
      <c r="R190" s="209"/>
      <c r="S190" s="210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93"/>
      <c r="R191" s="193"/>
      <c r="S191" s="193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8"/>
      <c r="R192" s="188"/>
      <c r="S192" s="18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8"/>
      <c r="R193" s="188"/>
      <c r="S193" s="188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93"/>
      <c r="R194" s="193"/>
      <c r="S194" s="193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93"/>
      <c r="R195" s="193"/>
      <c r="S195" s="193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93"/>
      <c r="R196" s="193"/>
      <c r="S196" s="193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15"/>
      <c r="R197" s="216"/>
      <c r="S197" s="21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8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8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8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7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7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7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7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7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7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7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72" priority="157">
      <formula>AND($N17 &gt; 0, ISNUMBER($N17))</formula>
    </cfRule>
    <cfRule type="expression" dxfId="2971" priority="158">
      <formula>AND($N17 = 0 * ISNUMBER($N17))</formula>
    </cfRule>
    <cfRule type="expression" dxfId="2970" priority="159">
      <formula>AND($N17 &lt; 0, ISNUMBER($N17))</formula>
    </cfRule>
  </conditionalFormatting>
  <conditionalFormatting sqref="A17:F36">
    <cfRule type="expression" dxfId="2969" priority="166">
      <formula>AND($E17 &gt; 0, ISNUMBER($E17))</formula>
    </cfRule>
    <cfRule type="expression" dxfId="2968" priority="167">
      <formula>AND($E17 = 0 * ISNUMBER($E17))</formula>
    </cfRule>
    <cfRule type="expression" dxfId="2967" priority="168">
      <formula>AND($E17 &lt; 0, ISNUMBER($E17))</formula>
    </cfRule>
  </conditionalFormatting>
  <conditionalFormatting sqref="A17:C36 G17:I36">
    <cfRule type="expression" dxfId="2966" priority="163">
      <formula>AND($H17 &gt; 0, ISNUMBER($H17))</formula>
    </cfRule>
    <cfRule type="expression" dxfId="2965" priority="164">
      <formula>AND($H17 = 0 * ISNUMBER($H17))</formula>
    </cfRule>
    <cfRule type="expression" dxfId="2964" priority="165">
      <formula>AND($H17 &lt; 0, ISNUMBER($H17))</formula>
    </cfRule>
  </conditionalFormatting>
  <conditionalFormatting sqref="A17:C36 J17:L36">
    <cfRule type="expression" dxfId="2963" priority="160">
      <formula>AND($K17 &gt; 0, ISNUMBER($K17))</formula>
    </cfRule>
    <cfRule type="expression" dxfId="2962" priority="161">
      <formula>AND($K17 = 0 * ISNUMBER($K17))</formula>
    </cfRule>
    <cfRule type="expression" dxfId="2961" priority="162">
      <formula>AND($K17 &lt; 0, ISNUMBER($K17))</formula>
    </cfRule>
  </conditionalFormatting>
  <conditionalFormatting sqref="D15:F16 E37:F37">
    <cfRule type="expression" dxfId="2960" priority="154">
      <formula>$E$37 &gt; 0</formula>
    </cfRule>
    <cfRule type="expression" dxfId="2959" priority="155">
      <formula>$E$37 = 0</formula>
    </cfRule>
    <cfRule type="expression" dxfId="2958" priority="156">
      <formula>$E$37 &lt; 0</formula>
    </cfRule>
  </conditionalFormatting>
  <conditionalFormatting sqref="G15:I16 H37:I37">
    <cfRule type="expression" dxfId="2957" priority="151">
      <formula>$H$37 &gt; 0</formula>
    </cfRule>
    <cfRule type="expression" dxfId="2956" priority="152">
      <formula>$H$37 = 0</formula>
    </cfRule>
    <cfRule type="expression" dxfId="2955" priority="153">
      <formula>$H$37 &lt; 0</formula>
    </cfRule>
  </conditionalFormatting>
  <conditionalFormatting sqref="J15:L16 K37:L37">
    <cfRule type="expression" dxfId="2954" priority="148">
      <formula>$K$37 &gt; 0</formula>
    </cfRule>
    <cfRule type="expression" dxfId="2953" priority="149">
      <formula>$K$37 = 0</formula>
    </cfRule>
    <cfRule type="expression" dxfId="2952" priority="150">
      <formula>$K$37 &lt; 0</formula>
    </cfRule>
  </conditionalFormatting>
  <conditionalFormatting sqref="M15:O16 N37:O37">
    <cfRule type="expression" dxfId="2951" priority="145">
      <formula>$N$37 &gt; 0</formula>
    </cfRule>
    <cfRule type="expression" dxfId="2950" priority="146">
      <formula>$N$37 = 0</formula>
    </cfRule>
    <cfRule type="expression" dxfId="2949" priority="147">
      <formula>$N$37 &lt; 0</formula>
    </cfRule>
  </conditionalFormatting>
  <conditionalFormatting sqref="A44:C63 M44:O63">
    <cfRule type="expression" dxfId="2948" priority="133">
      <formula>AND($N44 &gt; 0, ISNUMBER($N44))</formula>
    </cfRule>
    <cfRule type="expression" dxfId="2947" priority="134">
      <formula>AND($N44 = 0 * ISNUMBER($N44))</formula>
    </cfRule>
    <cfRule type="expression" dxfId="2946" priority="135">
      <formula>AND($N44 &lt; 0, ISNUMBER($N44))</formula>
    </cfRule>
  </conditionalFormatting>
  <conditionalFormatting sqref="A44:F63">
    <cfRule type="expression" dxfId="2945" priority="142">
      <formula>AND($E44 &gt; 0, ISNUMBER($E44))</formula>
    </cfRule>
    <cfRule type="expression" dxfId="2944" priority="143">
      <formula>AND($E44 = 0 * ISNUMBER($E44))</formula>
    </cfRule>
    <cfRule type="expression" dxfId="2943" priority="144">
      <formula>AND($E44 &lt; 0, ISNUMBER($E44))</formula>
    </cfRule>
  </conditionalFormatting>
  <conditionalFormatting sqref="A44:C63 G44:I63">
    <cfRule type="expression" dxfId="2942" priority="139">
      <formula>AND($H44 &gt; 0, ISNUMBER($H44))</formula>
    </cfRule>
    <cfRule type="expression" dxfId="2941" priority="140">
      <formula>AND($H44 = 0 * ISNUMBER($H44))</formula>
    </cfRule>
    <cfRule type="expression" dxfId="2940" priority="141">
      <formula>AND($H44 &lt; 0, ISNUMBER($H44))</formula>
    </cfRule>
  </conditionalFormatting>
  <conditionalFormatting sqref="A44:C63 J44:L63">
    <cfRule type="expression" dxfId="2939" priority="136">
      <formula>AND($K44 &gt; 0, ISNUMBER($K44))</formula>
    </cfRule>
    <cfRule type="expression" dxfId="2938" priority="137">
      <formula>AND($K44 = 0 * ISNUMBER($K44))</formula>
    </cfRule>
    <cfRule type="expression" dxfId="2937" priority="138">
      <formula>AND($K44 &lt; 0, ISNUMBER($K44))</formula>
    </cfRule>
  </conditionalFormatting>
  <conditionalFormatting sqref="D42:F43 E64:F64">
    <cfRule type="expression" dxfId="2936" priority="130">
      <formula>$E$64 &gt; 0</formula>
    </cfRule>
    <cfRule type="expression" dxfId="2935" priority="131">
      <formula>$E$64 = 0</formula>
    </cfRule>
    <cfRule type="expression" dxfId="2934" priority="132">
      <formula>$E$64 &lt; 0</formula>
    </cfRule>
  </conditionalFormatting>
  <conditionalFormatting sqref="G42:I43 H64:I64">
    <cfRule type="expression" dxfId="2933" priority="127">
      <formula>$H$64 &gt; 0</formula>
    </cfRule>
    <cfRule type="expression" dxfId="2932" priority="128">
      <formula>$H$64 = 0</formula>
    </cfRule>
    <cfRule type="expression" dxfId="2931" priority="129">
      <formula>$H$64 &lt; 0</formula>
    </cfRule>
  </conditionalFormatting>
  <conditionalFormatting sqref="J42:L43 K64:L64">
    <cfRule type="expression" dxfId="2930" priority="124">
      <formula>$K$64 &gt; 0</formula>
    </cfRule>
    <cfRule type="expression" dxfId="2929" priority="125">
      <formula>$K$64 = 0</formula>
    </cfRule>
    <cfRule type="expression" dxfId="2928" priority="126">
      <formula>$K$64 &lt; 0</formula>
    </cfRule>
  </conditionalFormatting>
  <conditionalFormatting sqref="M42:O43 N64:O64">
    <cfRule type="expression" dxfId="2927" priority="121">
      <formula>$N$64 &gt; 0</formula>
    </cfRule>
    <cfRule type="expression" dxfId="2926" priority="122">
      <formula>$N$64 = 0</formula>
    </cfRule>
    <cfRule type="expression" dxfId="2925" priority="123">
      <formula>$N$64 &lt; 0</formula>
    </cfRule>
  </conditionalFormatting>
  <conditionalFormatting sqref="A71:C90 M71:O90">
    <cfRule type="expression" dxfId="2924" priority="109">
      <formula>AND($N71 &gt; 0, ISNUMBER($N71))</formula>
    </cfRule>
    <cfRule type="expression" dxfId="2923" priority="110">
      <formula>AND($N71 = 0 * ISNUMBER($N71))</formula>
    </cfRule>
    <cfRule type="expression" dxfId="2922" priority="111">
      <formula>AND($N71 &lt; 0, ISNUMBER($N71))</formula>
    </cfRule>
  </conditionalFormatting>
  <conditionalFormatting sqref="A71:F90">
    <cfRule type="expression" dxfId="2921" priority="118">
      <formula>AND($E71 &gt; 0, ISNUMBER($E71))</formula>
    </cfRule>
    <cfRule type="expression" dxfId="2920" priority="119">
      <formula>AND($E71 = 0 * ISNUMBER($E71))</formula>
    </cfRule>
    <cfRule type="expression" dxfId="2919" priority="120">
      <formula>AND($E71 &lt; 0, ISNUMBER($E71))</formula>
    </cfRule>
  </conditionalFormatting>
  <conditionalFormatting sqref="A71:C90 G71:I90">
    <cfRule type="expression" dxfId="2918" priority="115">
      <formula>AND($H71 &gt; 0, ISNUMBER($H71))</formula>
    </cfRule>
    <cfRule type="expression" dxfId="2917" priority="116">
      <formula>AND($H71 = 0 * ISNUMBER($H71))</formula>
    </cfRule>
    <cfRule type="expression" dxfId="2916" priority="117">
      <formula>AND($H71 &lt; 0, ISNUMBER($H71))</formula>
    </cfRule>
  </conditionalFormatting>
  <conditionalFormatting sqref="A71:C90 J71:L90">
    <cfRule type="expression" dxfId="2915" priority="112">
      <formula>AND($K71 &gt; 0, ISNUMBER($K71))</formula>
    </cfRule>
    <cfRule type="expression" dxfId="2914" priority="113">
      <formula>AND($K71 = 0 * ISNUMBER($K71))</formula>
    </cfRule>
    <cfRule type="expression" dxfId="2913" priority="114">
      <formula>AND($K71 &lt; 0, ISNUMBER($K71))</formula>
    </cfRule>
  </conditionalFormatting>
  <conditionalFormatting sqref="D69:F70 E91:F91">
    <cfRule type="expression" dxfId="2912" priority="106">
      <formula>$E$91 &gt; 0</formula>
    </cfRule>
    <cfRule type="expression" dxfId="2911" priority="107">
      <formula>$E$91 = 0</formula>
    </cfRule>
    <cfRule type="expression" dxfId="2910" priority="108">
      <formula>$E$91 &lt; 0</formula>
    </cfRule>
  </conditionalFormatting>
  <conditionalFormatting sqref="G69:I70 H91:I91">
    <cfRule type="expression" dxfId="2909" priority="103">
      <formula>$H$91 &gt; 0</formula>
    </cfRule>
    <cfRule type="expression" dxfId="2908" priority="104">
      <formula>$H$91 = 0</formula>
    </cfRule>
    <cfRule type="expression" dxfId="2907" priority="105">
      <formula>$H$91 &lt; 0</formula>
    </cfRule>
  </conditionalFormatting>
  <conditionalFormatting sqref="J69:L70 K91:L91">
    <cfRule type="expression" dxfId="2906" priority="100">
      <formula>$K$91 &gt; 0</formula>
    </cfRule>
    <cfRule type="expression" dxfId="2905" priority="101">
      <formula>$K$91 = 0</formula>
    </cfRule>
    <cfRule type="expression" dxfId="2904" priority="102">
      <formula>$K$91 &lt; 0</formula>
    </cfRule>
  </conditionalFormatting>
  <conditionalFormatting sqref="M69:O70 N91:O91">
    <cfRule type="expression" dxfId="2903" priority="97">
      <formula>$N$91 &gt; 0</formula>
    </cfRule>
    <cfRule type="expression" dxfId="2902" priority="98">
      <formula>$N$91 = 0</formula>
    </cfRule>
    <cfRule type="expression" dxfId="2901" priority="99">
      <formula>$N$91 &lt; 0</formula>
    </cfRule>
  </conditionalFormatting>
  <conditionalFormatting sqref="A98:C117 M98:O117">
    <cfRule type="expression" dxfId="2900" priority="85">
      <formula>AND($N98 &gt; 0, ISNUMBER($N98))</formula>
    </cfRule>
    <cfRule type="expression" dxfId="2899" priority="86">
      <formula>AND($N98 = 0 * ISNUMBER($N98))</formula>
    </cfRule>
    <cfRule type="expression" dxfId="2898" priority="87">
      <formula>AND($N98 &lt; 0, ISNUMBER($N98))</formula>
    </cfRule>
  </conditionalFormatting>
  <conditionalFormatting sqref="A98:F117">
    <cfRule type="expression" dxfId="2897" priority="94">
      <formula>AND($E98 &gt; 0, ISNUMBER($E98))</formula>
    </cfRule>
    <cfRule type="expression" dxfId="2896" priority="95">
      <formula>AND($E98 = 0 * ISNUMBER($E98))</formula>
    </cfRule>
    <cfRule type="expression" dxfId="2895" priority="96">
      <formula>AND($E98 &lt; 0, ISNUMBER($E98))</formula>
    </cfRule>
  </conditionalFormatting>
  <conditionalFormatting sqref="A98:C117 G98:I117">
    <cfRule type="expression" dxfId="2894" priority="91">
      <formula>AND($H98 &gt; 0, ISNUMBER($H98))</formula>
    </cfRule>
    <cfRule type="expression" dxfId="2893" priority="92">
      <formula>AND($H98 = 0 * ISNUMBER($H98))</formula>
    </cfRule>
    <cfRule type="expression" dxfId="2892" priority="93">
      <formula>AND($H98 &lt; 0, ISNUMBER($H98))</formula>
    </cfRule>
  </conditionalFormatting>
  <conditionalFormatting sqref="A98:C117 J98:L117">
    <cfRule type="expression" dxfId="2891" priority="88">
      <formula>AND($K98 &gt; 0, ISNUMBER($K98))</formula>
    </cfRule>
    <cfRule type="expression" dxfId="2890" priority="89">
      <formula>AND($K98 = 0 * ISNUMBER($K98))</formula>
    </cfRule>
    <cfRule type="expression" dxfId="2889" priority="90">
      <formula>AND($K98 &lt; 0, ISNUMBER($K98))</formula>
    </cfRule>
  </conditionalFormatting>
  <conditionalFormatting sqref="D96:F97 E118:F118">
    <cfRule type="expression" dxfId="2888" priority="82">
      <formula>$E$118 &gt; 0</formula>
    </cfRule>
    <cfRule type="expression" dxfId="2887" priority="83">
      <formula>$E$118 = 0</formula>
    </cfRule>
    <cfRule type="expression" dxfId="2886" priority="84">
      <formula>$E$118 &lt; 0</formula>
    </cfRule>
  </conditionalFormatting>
  <conditionalFormatting sqref="G96:I97 H118:I118">
    <cfRule type="expression" dxfId="2885" priority="79">
      <formula>$H$118 &gt; 0</formula>
    </cfRule>
    <cfRule type="expression" dxfId="2884" priority="80">
      <formula>$H$118 = 0</formula>
    </cfRule>
    <cfRule type="expression" dxfId="2883" priority="81">
      <formula>$H$118 &lt; 0</formula>
    </cfRule>
  </conditionalFormatting>
  <conditionalFormatting sqref="J96:L97 K118:L118">
    <cfRule type="expression" dxfId="2882" priority="76">
      <formula>$K$118 &gt; 0</formula>
    </cfRule>
    <cfRule type="expression" dxfId="2881" priority="77">
      <formula>$K$118 = 0</formula>
    </cfRule>
    <cfRule type="expression" dxfId="2880" priority="78">
      <formula>$K$118 &lt; 0</formula>
    </cfRule>
  </conditionalFormatting>
  <conditionalFormatting sqref="M96:O97 N118:O118">
    <cfRule type="expression" dxfId="2879" priority="73">
      <formula>$N$118 &gt; 0</formula>
    </cfRule>
    <cfRule type="expression" dxfId="2878" priority="74">
      <formula>$N$118 = 0</formula>
    </cfRule>
    <cfRule type="expression" dxfId="2877" priority="75">
      <formula>$N$118 &lt; 0</formula>
    </cfRule>
  </conditionalFormatting>
  <conditionalFormatting sqref="A125:C144 M125:O144">
    <cfRule type="expression" dxfId="2876" priority="61">
      <formula>AND($N125 &gt; 0, ISNUMBER($N125))</formula>
    </cfRule>
    <cfRule type="expression" dxfId="2875" priority="62">
      <formula>AND($N125 = 0 * ISNUMBER($N125))</formula>
    </cfRule>
    <cfRule type="expression" dxfId="2874" priority="63">
      <formula>AND($N125 &lt; 0, ISNUMBER($N125))</formula>
    </cfRule>
  </conditionalFormatting>
  <conditionalFormatting sqref="A125:F144">
    <cfRule type="expression" dxfId="2873" priority="70">
      <formula>AND($E125 &gt; 0, ISNUMBER($E125))</formula>
    </cfRule>
    <cfRule type="expression" dxfId="2872" priority="71">
      <formula>AND($E125 = 0 * ISNUMBER($E125))</formula>
    </cfRule>
    <cfRule type="expression" dxfId="2871" priority="72">
      <formula>AND($E125 &lt; 0, ISNUMBER($E125))</formula>
    </cfRule>
  </conditionalFormatting>
  <conditionalFormatting sqref="A125:C144 G125:I144">
    <cfRule type="expression" dxfId="2870" priority="67">
      <formula>AND($H125 &gt; 0, ISNUMBER($H125))</formula>
    </cfRule>
    <cfRule type="expression" dxfId="2869" priority="68">
      <formula>AND($H125 = 0 * ISNUMBER($H125))</formula>
    </cfRule>
    <cfRule type="expression" dxfId="2868" priority="69">
      <formula>AND($H125 &lt; 0, ISNUMBER($H125))</formula>
    </cfRule>
  </conditionalFormatting>
  <conditionalFormatting sqref="A125:C144 J125:L144">
    <cfRule type="expression" dxfId="2867" priority="64">
      <formula>AND($K125 &gt; 0, ISNUMBER($K125))</formula>
    </cfRule>
    <cfRule type="expression" dxfId="2866" priority="65">
      <formula>AND($K125 = 0 * ISNUMBER($K125))</formula>
    </cfRule>
    <cfRule type="expression" dxfId="2865" priority="66">
      <formula>AND($K125 &lt; 0, ISNUMBER($K125))</formula>
    </cfRule>
  </conditionalFormatting>
  <conditionalFormatting sqref="D123:F124 E145:F145">
    <cfRule type="expression" dxfId="2864" priority="58">
      <formula>$E$145 &gt; 0</formula>
    </cfRule>
    <cfRule type="expression" dxfId="2863" priority="59">
      <formula>$E$145 = 0</formula>
    </cfRule>
    <cfRule type="expression" dxfId="2862" priority="60">
      <formula>$E$145 &lt; 0</formula>
    </cfRule>
  </conditionalFormatting>
  <conditionalFormatting sqref="G123:I124 H145:I145">
    <cfRule type="expression" dxfId="2861" priority="55">
      <formula>$H$145 &gt; 0</formula>
    </cfRule>
    <cfRule type="expression" dxfId="2860" priority="56">
      <formula>$H$145 = 0</formula>
    </cfRule>
    <cfRule type="expression" dxfId="2859" priority="57">
      <formula>$H$145 &lt; 0</formula>
    </cfRule>
  </conditionalFormatting>
  <conditionalFormatting sqref="J123:L124 K145:L145">
    <cfRule type="expression" dxfId="2858" priority="52">
      <formula>$K$145 &gt; 0</formula>
    </cfRule>
    <cfRule type="expression" dxfId="2857" priority="53">
      <formula>$K$145 = 0</formula>
    </cfRule>
    <cfRule type="expression" dxfId="2856" priority="54">
      <formula>$K$145 &lt; 0</formula>
    </cfRule>
  </conditionalFormatting>
  <conditionalFormatting sqref="M123:O124 N145:O145">
    <cfRule type="expression" dxfId="2855" priority="49">
      <formula>$N$145 &gt; 0</formula>
    </cfRule>
    <cfRule type="expression" dxfId="2854" priority="50">
      <formula>$N$145 = 0</formula>
    </cfRule>
    <cfRule type="expression" dxfId="2853" priority="51">
      <formula>$N$145 &lt; 0</formula>
    </cfRule>
  </conditionalFormatting>
  <conditionalFormatting sqref="A152:C171 M152:O171">
    <cfRule type="expression" dxfId="2852" priority="37">
      <formula>AND($N152 &gt; 0, ISNUMBER($N152))</formula>
    </cfRule>
    <cfRule type="expression" dxfId="2851" priority="38">
      <formula>AND($N152 = 0 * ISNUMBER($N152))</formula>
    </cfRule>
    <cfRule type="expression" dxfId="2850" priority="39">
      <formula>AND($N152 &lt; 0, ISNUMBER($N152))</formula>
    </cfRule>
  </conditionalFormatting>
  <conditionalFormatting sqref="A152:F171">
    <cfRule type="expression" dxfId="2849" priority="46">
      <formula>AND($E152 &gt; 0, ISNUMBER($E152))</formula>
    </cfRule>
    <cfRule type="expression" dxfId="2848" priority="47">
      <formula>AND($E152 = 0 * ISNUMBER($E152))</formula>
    </cfRule>
    <cfRule type="expression" dxfId="2847" priority="48">
      <formula>AND($E152 &lt; 0, ISNUMBER($E152))</formula>
    </cfRule>
  </conditionalFormatting>
  <conditionalFormatting sqref="A152:C171 G152:I171">
    <cfRule type="expression" dxfId="2846" priority="43">
      <formula>AND($H152 &gt; 0, ISNUMBER($H152))</formula>
    </cfRule>
    <cfRule type="expression" dxfId="2845" priority="44">
      <formula>AND($H152 = 0 * ISNUMBER($H152))</formula>
    </cfRule>
    <cfRule type="expression" dxfId="2844" priority="45">
      <formula>AND($H152 &lt; 0, ISNUMBER($H152))</formula>
    </cfRule>
  </conditionalFormatting>
  <conditionalFormatting sqref="A152:C171 J152:L171">
    <cfRule type="expression" dxfId="2843" priority="40">
      <formula>AND($K152 &gt; 0, ISNUMBER($K152))</formula>
    </cfRule>
    <cfRule type="expression" dxfId="2842" priority="41">
      <formula>AND($K152 = 0 * ISNUMBER($K152))</formula>
    </cfRule>
    <cfRule type="expression" dxfId="2841" priority="42">
      <formula>AND($K152 &lt; 0, ISNUMBER($K152))</formula>
    </cfRule>
  </conditionalFormatting>
  <conditionalFormatting sqref="D150:F151 E172:F172">
    <cfRule type="expression" dxfId="2840" priority="34">
      <formula>$E$172 &gt; 0</formula>
    </cfRule>
    <cfRule type="expression" dxfId="2839" priority="35">
      <formula>$E$172 = 0</formula>
    </cfRule>
    <cfRule type="expression" dxfId="2838" priority="36">
      <formula>$E$172 &lt; 0</formula>
    </cfRule>
  </conditionalFormatting>
  <conditionalFormatting sqref="G150:I151 H172:I172">
    <cfRule type="expression" dxfId="2837" priority="31">
      <formula>$H$172 &gt; 0</formula>
    </cfRule>
    <cfRule type="expression" dxfId="2836" priority="32">
      <formula>$H$172 = 0</formula>
    </cfRule>
    <cfRule type="expression" dxfId="2835" priority="33">
      <formula>$H$172 &lt; 0</formula>
    </cfRule>
  </conditionalFormatting>
  <conditionalFormatting sqref="J150:L151 K172:L172">
    <cfRule type="expression" dxfId="2834" priority="28">
      <formula>$K$172 &gt; 0</formula>
    </cfRule>
    <cfRule type="expression" dxfId="2833" priority="29">
      <formula>$K$172 = 0</formula>
    </cfRule>
    <cfRule type="expression" dxfId="2832" priority="30">
      <formula>$K$172 &lt; 0</formula>
    </cfRule>
  </conditionalFormatting>
  <conditionalFormatting sqref="M150:O151 N172:O172">
    <cfRule type="expression" dxfId="2831" priority="25">
      <formula>$N$172 &gt; 0</formula>
    </cfRule>
    <cfRule type="expression" dxfId="2830" priority="26">
      <formula>$N$172 = 0</formula>
    </cfRule>
    <cfRule type="expression" dxfId="2829" priority="27">
      <formula>$N$172 &lt; 0</formula>
    </cfRule>
  </conditionalFormatting>
  <conditionalFormatting sqref="A179:C198 M179:O198">
    <cfRule type="expression" dxfId="2828" priority="13">
      <formula>AND($N179 &gt; 0, ISNUMBER($N179))</formula>
    </cfRule>
    <cfRule type="expression" dxfId="2827" priority="14">
      <formula>AND($N179 = 0 * ISNUMBER($N179))</formula>
    </cfRule>
    <cfRule type="expression" dxfId="2826" priority="15">
      <formula>AND($N179 &lt; 0, ISNUMBER($N179))</formula>
    </cfRule>
  </conditionalFormatting>
  <conditionalFormatting sqref="A179:F198">
    <cfRule type="expression" dxfId="2825" priority="22">
      <formula>AND($E179 &gt; 0, ISNUMBER($E179))</formula>
    </cfRule>
    <cfRule type="expression" dxfId="2824" priority="23">
      <formula>AND($E179 = 0 * ISNUMBER($E179))</formula>
    </cfRule>
    <cfRule type="expression" dxfId="2823" priority="24">
      <formula>AND($E179 &lt; 0, ISNUMBER($E179))</formula>
    </cfRule>
  </conditionalFormatting>
  <conditionalFormatting sqref="A179:C198 G179:I198">
    <cfRule type="expression" dxfId="2822" priority="19">
      <formula>AND($H179 &gt; 0, ISNUMBER($H179))</formula>
    </cfRule>
    <cfRule type="expression" dxfId="2821" priority="20">
      <formula>AND($H179 = 0 * ISNUMBER($H179))</formula>
    </cfRule>
    <cfRule type="expression" dxfId="2820" priority="21">
      <formula>AND($H179 &lt; 0, ISNUMBER($H179))</formula>
    </cfRule>
  </conditionalFormatting>
  <conditionalFormatting sqref="A179:C198 J179:L198">
    <cfRule type="expression" dxfId="2819" priority="16">
      <formula>AND($K179 &gt; 0, ISNUMBER($K179))</formula>
    </cfRule>
    <cfRule type="expression" dxfId="2818" priority="17">
      <formula>AND($K179 = 0 * ISNUMBER($K179))</formula>
    </cfRule>
    <cfRule type="expression" dxfId="2817" priority="18">
      <formula>AND($K179 &lt; 0, ISNUMBER($K179))</formula>
    </cfRule>
  </conditionalFormatting>
  <conditionalFormatting sqref="D177:F178 E199:F199">
    <cfRule type="expression" dxfId="2816" priority="10">
      <formula>$E$199 &gt; 0</formula>
    </cfRule>
    <cfRule type="expression" dxfId="2815" priority="11">
      <formula>$E$199 = 0</formula>
    </cfRule>
    <cfRule type="expression" dxfId="2814" priority="12">
      <formula>$E$199 &lt; 0</formula>
    </cfRule>
  </conditionalFormatting>
  <conditionalFormatting sqref="G177:I178 H199:I199">
    <cfRule type="expression" dxfId="2813" priority="7">
      <formula>$H$199 &gt; 0</formula>
    </cfRule>
    <cfRule type="expression" dxfId="2812" priority="8">
      <formula>$H$199 = 0</formula>
    </cfRule>
    <cfRule type="expression" dxfId="2811" priority="9">
      <formula>$H$199 &lt; 0</formula>
    </cfRule>
  </conditionalFormatting>
  <conditionalFormatting sqref="J177:L178 K199:L199">
    <cfRule type="expression" dxfId="2810" priority="4">
      <formula>$K$199 &gt; 0</formula>
    </cfRule>
    <cfRule type="expression" dxfId="2809" priority="5">
      <formula>$K$199 = 0</formula>
    </cfRule>
    <cfRule type="expression" dxfId="2808" priority="6">
      <formula>$K$199 &lt; 0</formula>
    </cfRule>
  </conditionalFormatting>
  <conditionalFormatting sqref="M177:O178 N199:O199">
    <cfRule type="expression" dxfId="2807" priority="1">
      <formula>$N$199 &gt; 0</formula>
    </cfRule>
    <cfRule type="expression" dxfId="2806" priority="2">
      <formula>$N$199 = 0</formula>
    </cfRule>
    <cfRule type="expression" dxfId="280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44320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6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2021-05-04(화) 오전 00:00</v>
      </c>
      <c r="C15" s="234"/>
      <c r="D15" s="190" t="str">
        <f>TEXT($G$1, "[$-ko-KR]yyyy-mm-dd(ddd) ") &amp; "오후 14:00"</f>
        <v>2021-05-04(화) 오후 14:00</v>
      </c>
      <c r="E15" s="191"/>
      <c r="F15" s="192"/>
      <c r="G15" s="190" t="str">
        <f>TEXT($G$1, "[$-ko-KR]yyyy-mm-dd(ddd) ") &amp; "오후 19:00"</f>
        <v>2021-05-04(화) 오후 19:00</v>
      </c>
      <c r="H15" s="191"/>
      <c r="I15" s="192"/>
      <c r="J15" s="190" t="str">
        <f>TEXT($G$1, "[$-ko-KR]yyyy-mm-dd(ddd) ") &amp; "오후 21:00"</f>
        <v>2021-05-04(화) 오후 21:00</v>
      </c>
      <c r="K15" s="191"/>
      <c r="L15" s="192"/>
      <c r="M15" s="190" t="str">
        <f>TEXT($G$1+1, "[$-ko-KR]yyyy-mm-dd(ddd) ") &amp; "오전 00:00"</f>
        <v>2021-05-05(수)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8"/>
      <c r="R17" s="188"/>
      <c r="S17" s="188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8"/>
      <c r="R18" s="188"/>
      <c r="S18" s="188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93"/>
      <c r="R19" s="193"/>
      <c r="S19" s="193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93"/>
      <c r="R20" s="193"/>
      <c r="S20" s="193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6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2021-05-04(화) 오전 00:00</v>
      </c>
      <c r="C42" s="231"/>
      <c r="D42" s="190" t="str">
        <f>TEXT($G$1, "[$-ko-KR]yyyy-mm-dd(ddd) ") &amp; "오후 14:00"</f>
        <v>2021-05-04(화) 오후 14:00</v>
      </c>
      <c r="E42" s="191"/>
      <c r="F42" s="192"/>
      <c r="G42" s="190" t="str">
        <f>TEXT($G$1, "[$-ko-KR]yyyy-mm-dd(ddd) ") &amp; "오후 19:00"</f>
        <v>2021-05-04(화) 오후 19:00</v>
      </c>
      <c r="H42" s="191"/>
      <c r="I42" s="192"/>
      <c r="J42" s="190" t="str">
        <f>TEXT($G$1, "[$-ko-KR]yyyy-mm-dd(ddd) ") &amp; "오후 21:00"</f>
        <v>2021-05-04(화) 오후 21:00</v>
      </c>
      <c r="K42" s="191"/>
      <c r="L42" s="192"/>
      <c r="M42" s="190" t="str">
        <f>TEXT($G$1+1, "[$-ko-KR]yyyy-mm-dd(ddd) ") &amp; "오전 00:00"</f>
        <v>2021-05-05(수)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8"/>
      <c r="R44" s="188"/>
      <c r="S44" s="188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8"/>
      <c r="R45" s="188"/>
      <c r="S45" s="188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93"/>
      <c r="R46" s="193"/>
      <c r="S46" s="193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93"/>
      <c r="R47" s="193"/>
      <c r="S47" s="193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93"/>
      <c r="R48" s="193"/>
      <c r="S48" s="193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93"/>
      <c r="R49" s="193"/>
      <c r="S49" s="193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93"/>
      <c r="R50" s="193"/>
      <c r="S50" s="193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93"/>
      <c r="R51" s="193"/>
      <c r="S51" s="193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202"/>
      <c r="R53" s="203"/>
      <c r="S53" s="204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05"/>
      <c r="R54" s="206"/>
      <c r="S54" s="207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08"/>
      <c r="R55" s="209"/>
      <c r="S55" s="210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93"/>
      <c r="R56" s="193"/>
      <c r="S56" s="193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8"/>
      <c r="R57" s="188"/>
      <c r="S57" s="188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8"/>
      <c r="R58" s="188"/>
      <c r="S58" s="188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93"/>
      <c r="R59" s="193"/>
      <c r="S59" s="193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93"/>
      <c r="R60" s="193"/>
      <c r="S60" s="193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6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2021-05-04(화) 오전 00:00</v>
      </c>
      <c r="C69" s="231"/>
      <c r="D69" s="190" t="str">
        <f>TEXT($G$1, "[$-ko-KR]yyyy-mm-dd(ddd) ") &amp; "오후 14:00"</f>
        <v>2021-05-04(화) 오후 14:00</v>
      </c>
      <c r="E69" s="191"/>
      <c r="F69" s="192"/>
      <c r="G69" s="190" t="str">
        <f>TEXT($G$1, "[$-ko-KR]yyyy-mm-dd(ddd) ") &amp; "오후 19:00"</f>
        <v>2021-05-04(화) 오후 19:00</v>
      </c>
      <c r="H69" s="191"/>
      <c r="I69" s="192"/>
      <c r="J69" s="190" t="str">
        <f>TEXT($G$1, "[$-ko-KR]yyyy-mm-dd(ddd) ") &amp; "오후 21:00"</f>
        <v>2021-05-04(화) 오후 21:00</v>
      </c>
      <c r="K69" s="191"/>
      <c r="L69" s="192"/>
      <c r="M69" s="190" t="str">
        <f>TEXT($G$1+1, "[$-ko-KR]yyyy-mm-dd(ddd) ") &amp; "오전 00:00"</f>
        <v>2021-05-05(수)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8"/>
      <c r="R71" s="188"/>
      <c r="S71" s="188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8"/>
      <c r="R72" s="188"/>
      <c r="S72" s="188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93"/>
      <c r="R73" s="193"/>
      <c r="S73" s="193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93"/>
      <c r="R74" s="193"/>
      <c r="S74" s="193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93"/>
      <c r="R75" s="193"/>
      <c r="S75" s="193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93"/>
      <c r="R76" s="193"/>
      <c r="S76" s="193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93"/>
      <c r="R77" s="193"/>
      <c r="S77" s="193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93"/>
      <c r="R78" s="193"/>
      <c r="S78" s="193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202"/>
      <c r="R80" s="203"/>
      <c r="S80" s="204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05"/>
      <c r="R81" s="206"/>
      <c r="S81" s="207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08"/>
      <c r="R82" s="209"/>
      <c r="S82" s="210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93"/>
      <c r="R83" s="193"/>
      <c r="S83" s="193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8"/>
      <c r="R84" s="188"/>
      <c r="S84" s="188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8"/>
      <c r="R85" s="188"/>
      <c r="S85" s="188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93"/>
      <c r="R86" s="193"/>
      <c r="S86" s="193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93"/>
      <c r="R87" s="193"/>
      <c r="S87" s="193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93"/>
      <c r="R88" s="193"/>
      <c r="S88" s="193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15"/>
      <c r="R89" s="216"/>
      <c r="S89" s="217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218"/>
      <c r="R90" s="219"/>
      <c r="S90" s="220"/>
    </row>
    <row r="91" spans="1:19" ht="17.25" thickBot="1">
      <c r="A91" s="135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6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2021-05-04(화) 오전 00:00</v>
      </c>
      <c r="C96" s="231"/>
      <c r="D96" s="190" t="str">
        <f>TEXT($G$1, "[$-ko-KR]yyyy-mm-dd(ddd) ") &amp; "오후 14:00"</f>
        <v>2021-05-04(화) 오후 14:00</v>
      </c>
      <c r="E96" s="191"/>
      <c r="F96" s="192"/>
      <c r="G96" s="190" t="str">
        <f>TEXT($G$1, "[$-ko-KR]yyyy-mm-dd(ddd) ") &amp; "오후 19:00"</f>
        <v>2021-05-04(화) 오후 19:00</v>
      </c>
      <c r="H96" s="191"/>
      <c r="I96" s="192"/>
      <c r="J96" s="190" t="str">
        <f>TEXT($G$1, "[$-ko-KR]yyyy-mm-dd(ddd) ") &amp; "오후 21:00"</f>
        <v>2021-05-04(화) 오후 21:00</v>
      </c>
      <c r="K96" s="191"/>
      <c r="L96" s="192"/>
      <c r="M96" s="190" t="str">
        <f>TEXT($G$1+1, "[$-ko-KR]yyyy-mm-dd(ddd) ") &amp; "오전 00:00"</f>
        <v>2021-05-05(수)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8"/>
      <c r="R98" s="188"/>
      <c r="S98" s="188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8"/>
      <c r="R99" s="188"/>
      <c r="S99" s="188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93"/>
      <c r="R100" s="193"/>
      <c r="S100" s="193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93"/>
      <c r="R101" s="193"/>
      <c r="S101" s="193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93"/>
      <c r="R102" s="193"/>
      <c r="S102" s="193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93"/>
      <c r="R103" s="193"/>
      <c r="S103" s="193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93"/>
      <c r="R104" s="193"/>
      <c r="S104" s="193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93"/>
      <c r="R105" s="193"/>
      <c r="S105" s="193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202"/>
      <c r="R107" s="203"/>
      <c r="S107" s="204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05"/>
      <c r="R108" s="206"/>
      <c r="S108" s="207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08"/>
      <c r="R109" s="209"/>
      <c r="S109" s="210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93"/>
      <c r="R110" s="193"/>
      <c r="S110" s="193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8"/>
      <c r="R111" s="188"/>
      <c r="S111" s="188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8"/>
      <c r="R112" s="188"/>
      <c r="S112" s="188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93"/>
      <c r="R113" s="193"/>
      <c r="S113" s="193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93"/>
      <c r="R114" s="193"/>
      <c r="S114" s="193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93"/>
      <c r="R115" s="193"/>
      <c r="S115" s="193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15"/>
      <c r="R116" s="216"/>
      <c r="S116" s="217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6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2021-05-04(화) 오전 00:00</v>
      </c>
      <c r="C123" s="231"/>
      <c r="D123" s="190" t="str">
        <f>TEXT($G$1, "[$-ko-KR]yyyy-mm-dd(ddd) ") &amp; "오후 14:00"</f>
        <v>2021-05-04(화) 오후 14:00</v>
      </c>
      <c r="E123" s="191"/>
      <c r="F123" s="192"/>
      <c r="G123" s="190" t="str">
        <f>TEXT($G$1, "[$-ko-KR]yyyy-mm-dd(ddd) ") &amp; "오후 19:00"</f>
        <v>2021-05-04(화) 오후 19:00</v>
      </c>
      <c r="H123" s="191"/>
      <c r="I123" s="192"/>
      <c r="J123" s="190" t="str">
        <f>TEXT($G$1, "[$-ko-KR]yyyy-mm-dd(ddd) ") &amp; "오후 21:00"</f>
        <v>2021-05-04(화) 오후 21:00</v>
      </c>
      <c r="K123" s="191"/>
      <c r="L123" s="192"/>
      <c r="M123" s="190" t="str">
        <f>TEXT($G$1+1, "[$-ko-KR]yyyy-mm-dd(ddd) ") &amp; "오전 00:00"</f>
        <v>2021-05-05(수)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8"/>
      <c r="R125" s="188"/>
      <c r="S125" s="188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8"/>
      <c r="R126" s="188"/>
      <c r="S126" s="188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93"/>
      <c r="R127" s="193"/>
      <c r="S127" s="193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93"/>
      <c r="R128" s="193"/>
      <c r="S128" s="193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93"/>
      <c r="R129" s="193"/>
      <c r="S129" s="193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93"/>
      <c r="R130" s="193"/>
      <c r="S130" s="193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93"/>
      <c r="R131" s="193"/>
      <c r="S131" s="193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93"/>
      <c r="R132" s="193"/>
      <c r="S132" s="193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202"/>
      <c r="R134" s="203"/>
      <c r="S134" s="204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05"/>
      <c r="R135" s="206"/>
      <c r="S135" s="207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08"/>
      <c r="R136" s="209"/>
      <c r="S136" s="210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93"/>
      <c r="R137" s="193"/>
      <c r="S137" s="193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8"/>
      <c r="R138" s="188"/>
      <c r="S138" s="188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8"/>
      <c r="R139" s="188"/>
      <c r="S139" s="188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93"/>
      <c r="R140" s="193"/>
      <c r="S140" s="193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93"/>
      <c r="R141" s="193"/>
      <c r="S141" s="193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6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2021-05-04(화) 오전 00:00</v>
      </c>
      <c r="C150" s="231"/>
      <c r="D150" s="190" t="str">
        <f>TEXT($G$1, "[$-ko-KR]yyyy-mm-dd(ddd) ") &amp; "오후 14:00"</f>
        <v>2021-05-04(화) 오후 14:00</v>
      </c>
      <c r="E150" s="191"/>
      <c r="F150" s="192"/>
      <c r="G150" s="190" t="str">
        <f>TEXT($G$1, "[$-ko-KR]yyyy-mm-dd(ddd) ") &amp; "오후 19:00"</f>
        <v>2021-05-04(화) 오후 19:00</v>
      </c>
      <c r="H150" s="191"/>
      <c r="I150" s="192"/>
      <c r="J150" s="190" t="str">
        <f>TEXT($G$1, "[$-ko-KR]yyyy-mm-dd(ddd) ") &amp; "오후 21:00"</f>
        <v>2021-05-04(화) 오후 21:00</v>
      </c>
      <c r="K150" s="191"/>
      <c r="L150" s="192"/>
      <c r="M150" s="190" t="str">
        <f>TEXT($G$1+1, "[$-ko-KR]yyyy-mm-dd(ddd) ") &amp; "오전 00:00"</f>
        <v>2021-05-05(수)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8"/>
      <c r="R152" s="188"/>
      <c r="S152" s="188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8"/>
      <c r="R153" s="188"/>
      <c r="S153" s="188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93"/>
      <c r="R154" s="193"/>
      <c r="S154" s="193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93"/>
      <c r="R155" s="193"/>
      <c r="S155" s="193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93"/>
      <c r="R156" s="193"/>
      <c r="S156" s="193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93"/>
      <c r="R157" s="193"/>
      <c r="S157" s="193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93"/>
      <c r="R158" s="193"/>
      <c r="S158" s="193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93"/>
      <c r="R159" s="193"/>
      <c r="S159" s="193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202"/>
      <c r="R161" s="203"/>
      <c r="S161" s="204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05"/>
      <c r="R162" s="206"/>
      <c r="S162" s="207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08"/>
      <c r="R163" s="209"/>
      <c r="S163" s="210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93"/>
      <c r="R164" s="193"/>
      <c r="S164" s="193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8"/>
      <c r="R165" s="188"/>
      <c r="S165" s="188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8"/>
      <c r="R166" s="188"/>
      <c r="S166" s="188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93"/>
      <c r="R167" s="193"/>
      <c r="S167" s="193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93"/>
      <c r="R168" s="193"/>
      <c r="S168" s="193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93"/>
      <c r="R169" s="193"/>
      <c r="S169" s="193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15"/>
      <c r="R170" s="216"/>
      <c r="S170" s="217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6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2021-05-04(화) 오전 00:00</v>
      </c>
      <c r="C177" s="231"/>
      <c r="D177" s="190" t="str">
        <f>TEXT($G$1, "[$-ko-KR]yyyy-mm-dd(ddd) ") &amp; "오후 14:00"</f>
        <v>2021-05-04(화) 오후 14:00</v>
      </c>
      <c r="E177" s="191"/>
      <c r="F177" s="192"/>
      <c r="G177" s="190" t="str">
        <f>TEXT($G$1, "[$-ko-KR]yyyy-mm-dd(ddd) ") &amp; "오후 19:00"</f>
        <v>2021-05-04(화) 오후 19:00</v>
      </c>
      <c r="H177" s="191"/>
      <c r="I177" s="192"/>
      <c r="J177" s="190" t="str">
        <f>TEXT($G$1, "[$-ko-KR]yyyy-mm-dd(ddd) ") &amp; "오후 21:00"</f>
        <v>2021-05-04(화) 오후 21:00</v>
      </c>
      <c r="K177" s="191"/>
      <c r="L177" s="192"/>
      <c r="M177" s="190" t="str">
        <f>TEXT($G$1+1, "[$-ko-KR]yyyy-mm-dd(ddd) ") &amp; "오전 00:00"</f>
        <v>2021-05-05(수)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8"/>
      <c r="R179" s="188"/>
      <c r="S179" s="188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8"/>
      <c r="R180" s="188"/>
      <c r="S180" s="188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93"/>
      <c r="R181" s="193"/>
      <c r="S181" s="193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93"/>
      <c r="R182" s="193"/>
      <c r="S182" s="193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93"/>
      <c r="R183" s="193"/>
      <c r="S183" s="193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93"/>
      <c r="R184" s="193"/>
      <c r="S184" s="193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93"/>
      <c r="R185" s="193"/>
      <c r="S185" s="193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93"/>
      <c r="R186" s="193"/>
      <c r="S186" s="193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202"/>
      <c r="R188" s="203"/>
      <c r="S188" s="204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05"/>
      <c r="R189" s="206"/>
      <c r="S189" s="207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08"/>
      <c r="R190" s="209"/>
      <c r="S190" s="210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93"/>
      <c r="R191" s="193"/>
      <c r="S191" s="193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8"/>
      <c r="R192" s="188"/>
      <c r="S192" s="188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8"/>
      <c r="R193" s="188"/>
      <c r="S193" s="188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93"/>
      <c r="R194" s="193"/>
      <c r="S194" s="193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93"/>
      <c r="R195" s="193"/>
      <c r="S195" s="193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93"/>
      <c r="R196" s="193"/>
      <c r="S196" s="193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15"/>
      <c r="R197" s="216"/>
      <c r="S197" s="217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21"/>
      <c r="R199" s="222"/>
      <c r="S199" s="22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0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0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0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0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0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9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9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9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9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9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94" priority="157">
      <formula>AND($N17 &gt; 0, ISNUMBER($N17))</formula>
    </cfRule>
    <cfRule type="expression" dxfId="2793" priority="158">
      <formula>AND($N17 = 0 * ISNUMBER($N17))</formula>
    </cfRule>
    <cfRule type="expression" dxfId="2792" priority="159">
      <formula>AND($N17 &lt; 0, ISNUMBER($N17))</formula>
    </cfRule>
  </conditionalFormatting>
  <conditionalFormatting sqref="A17:F36">
    <cfRule type="expression" dxfId="2791" priority="166">
      <formula>AND($E17 &gt; 0, ISNUMBER($E17))</formula>
    </cfRule>
    <cfRule type="expression" dxfId="2790" priority="167">
      <formula>AND($E17 = 0 * ISNUMBER($E17))</formula>
    </cfRule>
    <cfRule type="expression" dxfId="2789" priority="168">
      <formula>AND($E17 &lt; 0, ISNUMBER($E17))</formula>
    </cfRule>
  </conditionalFormatting>
  <conditionalFormatting sqref="A17:C36 G17:I36">
    <cfRule type="expression" dxfId="2788" priority="163">
      <formula>AND($H17 &gt; 0, ISNUMBER($H17))</formula>
    </cfRule>
    <cfRule type="expression" dxfId="2787" priority="164">
      <formula>AND($H17 = 0 * ISNUMBER($H17))</formula>
    </cfRule>
    <cfRule type="expression" dxfId="2786" priority="165">
      <formula>AND($H17 &lt; 0, ISNUMBER($H17))</formula>
    </cfRule>
  </conditionalFormatting>
  <conditionalFormatting sqref="A17:C36 J17:L36">
    <cfRule type="expression" dxfId="2785" priority="160">
      <formula>AND($K17 &gt; 0, ISNUMBER($K17))</formula>
    </cfRule>
    <cfRule type="expression" dxfId="2784" priority="161">
      <formula>AND($K17 = 0 * ISNUMBER($K17))</formula>
    </cfRule>
    <cfRule type="expression" dxfId="2783" priority="162">
      <formula>AND($K17 &lt; 0, ISNUMBER($K17))</formula>
    </cfRule>
  </conditionalFormatting>
  <conditionalFormatting sqref="D15:F16 E37:F37">
    <cfRule type="expression" dxfId="2782" priority="154">
      <formula>$E$37 &gt; 0</formula>
    </cfRule>
    <cfRule type="expression" dxfId="2781" priority="155">
      <formula>$E$37 = 0</formula>
    </cfRule>
    <cfRule type="expression" dxfId="2780" priority="156">
      <formula>$E$37 &lt; 0</formula>
    </cfRule>
  </conditionalFormatting>
  <conditionalFormatting sqref="G15:I16 H37:I37">
    <cfRule type="expression" dxfId="2779" priority="151">
      <formula>$H$37 &gt; 0</formula>
    </cfRule>
    <cfRule type="expression" dxfId="2778" priority="152">
      <formula>$H$37 = 0</formula>
    </cfRule>
    <cfRule type="expression" dxfId="2777" priority="153">
      <formula>$H$37 &lt; 0</formula>
    </cfRule>
  </conditionalFormatting>
  <conditionalFormatting sqref="J15:L16 K37:L37">
    <cfRule type="expression" dxfId="2776" priority="148">
      <formula>$K$37 &gt; 0</formula>
    </cfRule>
    <cfRule type="expression" dxfId="2775" priority="149">
      <formula>$K$37 = 0</formula>
    </cfRule>
    <cfRule type="expression" dxfId="2774" priority="150">
      <formula>$K$37 &lt; 0</formula>
    </cfRule>
  </conditionalFormatting>
  <conditionalFormatting sqref="M15:O16 N37:O37">
    <cfRule type="expression" dxfId="2773" priority="145">
      <formula>$N$37 &gt; 0</formula>
    </cfRule>
    <cfRule type="expression" dxfId="2772" priority="146">
      <formula>$N$37 = 0</formula>
    </cfRule>
    <cfRule type="expression" dxfId="2771" priority="147">
      <formula>$N$37 &lt; 0</formula>
    </cfRule>
  </conditionalFormatting>
  <conditionalFormatting sqref="A44:C63 M44:O63">
    <cfRule type="expression" dxfId="2770" priority="133">
      <formula>AND($N44 &gt; 0, ISNUMBER($N44))</formula>
    </cfRule>
    <cfRule type="expression" dxfId="2769" priority="134">
      <formula>AND($N44 = 0 * ISNUMBER($N44))</formula>
    </cfRule>
    <cfRule type="expression" dxfId="2768" priority="135">
      <formula>AND($N44 &lt; 0, ISNUMBER($N44))</formula>
    </cfRule>
  </conditionalFormatting>
  <conditionalFormatting sqref="A44:F63">
    <cfRule type="expression" dxfId="2767" priority="142">
      <formula>AND($E44 &gt; 0, ISNUMBER($E44))</formula>
    </cfRule>
    <cfRule type="expression" dxfId="2766" priority="143">
      <formula>AND($E44 = 0 * ISNUMBER($E44))</formula>
    </cfRule>
    <cfRule type="expression" dxfId="2765" priority="144">
      <formula>AND($E44 &lt; 0, ISNUMBER($E44))</formula>
    </cfRule>
  </conditionalFormatting>
  <conditionalFormatting sqref="A44:C63 G44:I63">
    <cfRule type="expression" dxfId="2764" priority="139">
      <formula>AND($H44 &gt; 0, ISNUMBER($H44))</formula>
    </cfRule>
    <cfRule type="expression" dxfId="2763" priority="140">
      <formula>AND($H44 = 0 * ISNUMBER($H44))</formula>
    </cfRule>
    <cfRule type="expression" dxfId="2762" priority="141">
      <formula>AND($H44 &lt; 0, ISNUMBER($H44))</formula>
    </cfRule>
  </conditionalFormatting>
  <conditionalFormatting sqref="A44:C63 J44:L63">
    <cfRule type="expression" dxfId="2761" priority="136">
      <formula>AND($K44 &gt; 0, ISNUMBER($K44))</formula>
    </cfRule>
    <cfRule type="expression" dxfId="2760" priority="137">
      <formula>AND($K44 = 0 * ISNUMBER($K44))</formula>
    </cfRule>
    <cfRule type="expression" dxfId="2759" priority="138">
      <formula>AND($K44 &lt; 0, ISNUMBER($K44))</formula>
    </cfRule>
  </conditionalFormatting>
  <conditionalFormatting sqref="D42:F43 E64:F64">
    <cfRule type="expression" dxfId="2758" priority="130">
      <formula>$E$64 &gt; 0</formula>
    </cfRule>
    <cfRule type="expression" dxfId="2757" priority="131">
      <formula>$E$64 = 0</formula>
    </cfRule>
    <cfRule type="expression" dxfId="2756" priority="132">
      <formula>$E$64 &lt; 0</formula>
    </cfRule>
  </conditionalFormatting>
  <conditionalFormatting sqref="G42:I43 H64:I64">
    <cfRule type="expression" dxfId="2755" priority="127">
      <formula>$H$64 &gt; 0</formula>
    </cfRule>
    <cfRule type="expression" dxfId="2754" priority="128">
      <formula>$H$64 = 0</formula>
    </cfRule>
    <cfRule type="expression" dxfId="2753" priority="129">
      <formula>$H$64 &lt; 0</formula>
    </cfRule>
  </conditionalFormatting>
  <conditionalFormatting sqref="J42:L43 K64:L64">
    <cfRule type="expression" dxfId="2752" priority="124">
      <formula>$K$64 &gt; 0</formula>
    </cfRule>
    <cfRule type="expression" dxfId="2751" priority="125">
      <formula>$K$64 = 0</formula>
    </cfRule>
    <cfRule type="expression" dxfId="2750" priority="126">
      <formula>$K$64 &lt; 0</formula>
    </cfRule>
  </conditionalFormatting>
  <conditionalFormatting sqref="M42:O43 N64:O64">
    <cfRule type="expression" dxfId="2749" priority="121">
      <formula>$N$64 &gt; 0</formula>
    </cfRule>
    <cfRule type="expression" dxfId="2748" priority="122">
      <formula>$N$64 = 0</formula>
    </cfRule>
    <cfRule type="expression" dxfId="2747" priority="123">
      <formula>$N$64 &lt; 0</formula>
    </cfRule>
  </conditionalFormatting>
  <conditionalFormatting sqref="A71:C90 M71:O90">
    <cfRule type="expression" dxfId="2746" priority="109">
      <formula>AND($N71 &gt; 0, ISNUMBER($N71))</formula>
    </cfRule>
    <cfRule type="expression" dxfId="2745" priority="110">
      <formula>AND($N71 = 0 * ISNUMBER($N71))</formula>
    </cfRule>
    <cfRule type="expression" dxfId="2744" priority="111">
      <formula>AND($N71 &lt; 0, ISNUMBER($N71))</formula>
    </cfRule>
  </conditionalFormatting>
  <conditionalFormatting sqref="A71:F90">
    <cfRule type="expression" dxfId="2743" priority="118">
      <formula>AND($E71 &gt; 0, ISNUMBER($E71))</formula>
    </cfRule>
    <cfRule type="expression" dxfId="2742" priority="119">
      <formula>AND($E71 = 0 * ISNUMBER($E71))</formula>
    </cfRule>
    <cfRule type="expression" dxfId="2741" priority="120">
      <formula>AND($E71 &lt; 0, ISNUMBER($E71))</formula>
    </cfRule>
  </conditionalFormatting>
  <conditionalFormatting sqref="A71:C90 G71:I90">
    <cfRule type="expression" dxfId="2740" priority="115">
      <formula>AND($H71 &gt; 0, ISNUMBER($H71))</formula>
    </cfRule>
    <cfRule type="expression" dxfId="2739" priority="116">
      <formula>AND($H71 = 0 * ISNUMBER($H71))</formula>
    </cfRule>
    <cfRule type="expression" dxfId="2738" priority="117">
      <formula>AND($H71 &lt; 0, ISNUMBER($H71))</formula>
    </cfRule>
  </conditionalFormatting>
  <conditionalFormatting sqref="A71:C90 J71:L90">
    <cfRule type="expression" dxfId="2737" priority="112">
      <formula>AND($K71 &gt; 0, ISNUMBER($K71))</formula>
    </cfRule>
    <cfRule type="expression" dxfId="2736" priority="113">
      <formula>AND($K71 = 0 * ISNUMBER($K71))</formula>
    </cfRule>
    <cfRule type="expression" dxfId="2735" priority="114">
      <formula>AND($K71 &lt; 0, ISNUMBER($K71))</formula>
    </cfRule>
  </conditionalFormatting>
  <conditionalFormatting sqref="D69:F70 E91:F91">
    <cfRule type="expression" dxfId="2734" priority="106">
      <formula>$E$91 &gt; 0</formula>
    </cfRule>
    <cfRule type="expression" dxfId="2733" priority="107">
      <formula>$E$91 = 0</formula>
    </cfRule>
    <cfRule type="expression" dxfId="2732" priority="108">
      <formula>$E$91 &lt; 0</formula>
    </cfRule>
  </conditionalFormatting>
  <conditionalFormatting sqref="G69:I70 H91:I91">
    <cfRule type="expression" dxfId="2731" priority="103">
      <formula>$H$91 &gt; 0</formula>
    </cfRule>
    <cfRule type="expression" dxfId="2730" priority="104">
      <formula>$H$91 = 0</formula>
    </cfRule>
    <cfRule type="expression" dxfId="2729" priority="105">
      <formula>$H$91 &lt; 0</formula>
    </cfRule>
  </conditionalFormatting>
  <conditionalFormatting sqref="J69:L70 K91:L91">
    <cfRule type="expression" dxfId="2728" priority="100">
      <formula>$K$91 &gt; 0</formula>
    </cfRule>
    <cfRule type="expression" dxfId="2727" priority="101">
      <formula>$K$91 = 0</formula>
    </cfRule>
    <cfRule type="expression" dxfId="2726" priority="102">
      <formula>$K$91 &lt; 0</formula>
    </cfRule>
  </conditionalFormatting>
  <conditionalFormatting sqref="M69:O70 N91:O91">
    <cfRule type="expression" dxfId="2725" priority="97">
      <formula>$N$91 &gt; 0</formula>
    </cfRule>
    <cfRule type="expression" dxfId="2724" priority="98">
      <formula>$N$91 = 0</formula>
    </cfRule>
    <cfRule type="expression" dxfId="2723" priority="99">
      <formula>$N$91 &lt; 0</formula>
    </cfRule>
  </conditionalFormatting>
  <conditionalFormatting sqref="A98:C117 M98:O117">
    <cfRule type="expression" dxfId="2722" priority="85">
      <formula>AND($N98 &gt; 0, ISNUMBER($N98))</formula>
    </cfRule>
    <cfRule type="expression" dxfId="2721" priority="86">
      <formula>AND($N98 = 0 * ISNUMBER($N98))</formula>
    </cfRule>
    <cfRule type="expression" dxfId="2720" priority="87">
      <formula>AND($N98 &lt; 0, ISNUMBER($N98))</formula>
    </cfRule>
  </conditionalFormatting>
  <conditionalFormatting sqref="A98:F117">
    <cfRule type="expression" dxfId="2719" priority="94">
      <formula>AND($E98 &gt; 0, ISNUMBER($E98))</formula>
    </cfRule>
    <cfRule type="expression" dxfId="2718" priority="95">
      <formula>AND($E98 = 0 * ISNUMBER($E98))</formula>
    </cfRule>
    <cfRule type="expression" dxfId="2717" priority="96">
      <formula>AND($E98 &lt; 0, ISNUMBER($E98))</formula>
    </cfRule>
  </conditionalFormatting>
  <conditionalFormatting sqref="A98:C117 G98:I117">
    <cfRule type="expression" dxfId="2716" priority="91">
      <formula>AND($H98 &gt; 0, ISNUMBER($H98))</formula>
    </cfRule>
    <cfRule type="expression" dxfId="2715" priority="92">
      <formula>AND($H98 = 0 * ISNUMBER($H98))</formula>
    </cfRule>
    <cfRule type="expression" dxfId="2714" priority="93">
      <formula>AND($H98 &lt; 0, ISNUMBER($H98))</formula>
    </cfRule>
  </conditionalFormatting>
  <conditionalFormatting sqref="A98:C117 J98:L117">
    <cfRule type="expression" dxfId="2713" priority="88">
      <formula>AND($K98 &gt; 0, ISNUMBER($K98))</formula>
    </cfRule>
    <cfRule type="expression" dxfId="2712" priority="89">
      <formula>AND($K98 = 0 * ISNUMBER($K98))</formula>
    </cfRule>
    <cfRule type="expression" dxfId="2711" priority="90">
      <formula>AND($K98 &lt; 0, ISNUMBER($K98))</formula>
    </cfRule>
  </conditionalFormatting>
  <conditionalFormatting sqref="D96:F97 E118:F118">
    <cfRule type="expression" dxfId="2710" priority="82">
      <formula>$E$118 &gt; 0</formula>
    </cfRule>
    <cfRule type="expression" dxfId="2709" priority="83">
      <formula>$E$118 = 0</formula>
    </cfRule>
    <cfRule type="expression" dxfId="2708" priority="84">
      <formula>$E$118 &lt; 0</formula>
    </cfRule>
  </conditionalFormatting>
  <conditionalFormatting sqref="G96:I97 H118:I118">
    <cfRule type="expression" dxfId="2707" priority="79">
      <formula>$H$118 &gt; 0</formula>
    </cfRule>
    <cfRule type="expression" dxfId="2706" priority="80">
      <formula>$H$118 = 0</formula>
    </cfRule>
    <cfRule type="expression" dxfId="2705" priority="81">
      <formula>$H$118 &lt; 0</formula>
    </cfRule>
  </conditionalFormatting>
  <conditionalFormatting sqref="J96:L97 K118:L118">
    <cfRule type="expression" dxfId="2704" priority="76">
      <formula>$K$118 &gt; 0</formula>
    </cfRule>
    <cfRule type="expression" dxfId="2703" priority="77">
      <formula>$K$118 = 0</formula>
    </cfRule>
    <cfRule type="expression" dxfId="2702" priority="78">
      <formula>$K$118 &lt; 0</formula>
    </cfRule>
  </conditionalFormatting>
  <conditionalFormatting sqref="M96:O97 N118:O118">
    <cfRule type="expression" dxfId="2701" priority="73">
      <formula>$N$118 &gt; 0</formula>
    </cfRule>
    <cfRule type="expression" dxfId="2700" priority="74">
      <formula>$N$118 = 0</formula>
    </cfRule>
    <cfRule type="expression" dxfId="2699" priority="75">
      <formula>$N$118 &lt; 0</formula>
    </cfRule>
  </conditionalFormatting>
  <conditionalFormatting sqref="A125:C144 M125:O144">
    <cfRule type="expression" dxfId="2698" priority="61">
      <formula>AND($N125 &gt; 0, ISNUMBER($N125))</formula>
    </cfRule>
    <cfRule type="expression" dxfId="2697" priority="62">
      <formula>AND($N125 = 0 * ISNUMBER($N125))</formula>
    </cfRule>
    <cfRule type="expression" dxfId="2696" priority="63">
      <formula>AND($N125 &lt; 0, ISNUMBER($N125))</formula>
    </cfRule>
  </conditionalFormatting>
  <conditionalFormatting sqref="A125:F144">
    <cfRule type="expression" dxfId="2695" priority="70">
      <formula>AND($E125 &gt; 0, ISNUMBER($E125))</formula>
    </cfRule>
    <cfRule type="expression" dxfId="2694" priority="71">
      <formula>AND($E125 = 0 * ISNUMBER($E125))</formula>
    </cfRule>
    <cfRule type="expression" dxfId="2693" priority="72">
      <formula>AND($E125 &lt; 0, ISNUMBER($E125))</formula>
    </cfRule>
  </conditionalFormatting>
  <conditionalFormatting sqref="A125:C144 G125:I144">
    <cfRule type="expression" dxfId="2692" priority="67">
      <formula>AND($H125 &gt; 0, ISNUMBER($H125))</formula>
    </cfRule>
    <cfRule type="expression" dxfId="2691" priority="68">
      <formula>AND($H125 = 0 * ISNUMBER($H125))</formula>
    </cfRule>
    <cfRule type="expression" dxfId="2690" priority="69">
      <formula>AND($H125 &lt; 0, ISNUMBER($H125))</formula>
    </cfRule>
  </conditionalFormatting>
  <conditionalFormatting sqref="A125:C144 J125:L144">
    <cfRule type="expression" dxfId="2689" priority="64">
      <formula>AND($K125 &gt; 0, ISNUMBER($K125))</formula>
    </cfRule>
    <cfRule type="expression" dxfId="2688" priority="65">
      <formula>AND($K125 = 0 * ISNUMBER($K125))</formula>
    </cfRule>
    <cfRule type="expression" dxfId="2687" priority="66">
      <formula>AND($K125 &lt; 0, ISNUMBER($K125))</formula>
    </cfRule>
  </conditionalFormatting>
  <conditionalFormatting sqref="D123:F124 E145:F145">
    <cfRule type="expression" dxfId="2686" priority="58">
      <formula>$E$145 &gt; 0</formula>
    </cfRule>
    <cfRule type="expression" dxfId="2685" priority="59">
      <formula>$E$145 = 0</formula>
    </cfRule>
    <cfRule type="expression" dxfId="2684" priority="60">
      <formula>$E$145 &lt; 0</formula>
    </cfRule>
  </conditionalFormatting>
  <conditionalFormatting sqref="G123:I124 H145:I145">
    <cfRule type="expression" dxfId="2683" priority="55">
      <formula>$H$145 &gt; 0</formula>
    </cfRule>
    <cfRule type="expression" dxfId="2682" priority="56">
      <formula>$H$145 = 0</formula>
    </cfRule>
    <cfRule type="expression" dxfId="2681" priority="57">
      <formula>$H$145 &lt; 0</formula>
    </cfRule>
  </conditionalFormatting>
  <conditionalFormatting sqref="J123:L124 K145:L145">
    <cfRule type="expression" dxfId="2680" priority="52">
      <formula>$K$145 &gt; 0</formula>
    </cfRule>
    <cfRule type="expression" dxfId="2679" priority="53">
      <formula>$K$145 = 0</formula>
    </cfRule>
    <cfRule type="expression" dxfId="2678" priority="54">
      <formula>$K$145 &lt; 0</formula>
    </cfRule>
  </conditionalFormatting>
  <conditionalFormatting sqref="M123:O124 N145:O145">
    <cfRule type="expression" dxfId="2677" priority="49">
      <formula>$N$145 &gt; 0</formula>
    </cfRule>
    <cfRule type="expression" dxfId="2676" priority="50">
      <formula>$N$145 = 0</formula>
    </cfRule>
    <cfRule type="expression" dxfId="2675" priority="51">
      <formula>$N$145 &lt; 0</formula>
    </cfRule>
  </conditionalFormatting>
  <conditionalFormatting sqref="A152:C171 M152:O171">
    <cfRule type="expression" dxfId="2674" priority="37">
      <formula>AND($N152 &gt; 0, ISNUMBER($N152))</formula>
    </cfRule>
    <cfRule type="expression" dxfId="2673" priority="38">
      <formula>AND($N152 = 0 * ISNUMBER($N152))</formula>
    </cfRule>
    <cfRule type="expression" dxfId="2672" priority="39">
      <formula>AND($N152 &lt; 0, ISNUMBER($N152))</formula>
    </cfRule>
  </conditionalFormatting>
  <conditionalFormatting sqref="A152:F171">
    <cfRule type="expression" dxfId="2671" priority="46">
      <formula>AND($E152 &gt; 0, ISNUMBER($E152))</formula>
    </cfRule>
    <cfRule type="expression" dxfId="2670" priority="47">
      <formula>AND($E152 = 0 * ISNUMBER($E152))</formula>
    </cfRule>
    <cfRule type="expression" dxfId="2669" priority="48">
      <formula>AND($E152 &lt; 0, ISNUMBER($E152))</formula>
    </cfRule>
  </conditionalFormatting>
  <conditionalFormatting sqref="A152:C171 G152:I171">
    <cfRule type="expression" dxfId="2668" priority="43">
      <formula>AND($H152 &gt; 0, ISNUMBER($H152))</formula>
    </cfRule>
    <cfRule type="expression" dxfId="2667" priority="44">
      <formula>AND($H152 = 0 * ISNUMBER($H152))</formula>
    </cfRule>
    <cfRule type="expression" dxfId="2666" priority="45">
      <formula>AND($H152 &lt; 0, ISNUMBER($H152))</formula>
    </cfRule>
  </conditionalFormatting>
  <conditionalFormatting sqref="A152:C171 J152:L171">
    <cfRule type="expression" dxfId="2665" priority="40">
      <formula>AND($K152 &gt; 0, ISNUMBER($K152))</formula>
    </cfRule>
    <cfRule type="expression" dxfId="2664" priority="41">
      <formula>AND($K152 = 0 * ISNUMBER($K152))</formula>
    </cfRule>
    <cfRule type="expression" dxfId="2663" priority="42">
      <formula>AND($K152 &lt; 0, ISNUMBER($K152))</formula>
    </cfRule>
  </conditionalFormatting>
  <conditionalFormatting sqref="D150:F151 E172:F172">
    <cfRule type="expression" dxfId="2662" priority="34">
      <formula>$E$172 &gt; 0</formula>
    </cfRule>
    <cfRule type="expression" dxfId="2661" priority="35">
      <formula>$E$172 = 0</formula>
    </cfRule>
    <cfRule type="expression" dxfId="2660" priority="36">
      <formula>$E$172 &lt; 0</formula>
    </cfRule>
  </conditionalFormatting>
  <conditionalFormatting sqref="G150:I151 H172:I172">
    <cfRule type="expression" dxfId="2659" priority="31">
      <formula>$H$172 &gt; 0</formula>
    </cfRule>
    <cfRule type="expression" dxfId="2658" priority="32">
      <formula>$H$172 = 0</formula>
    </cfRule>
    <cfRule type="expression" dxfId="2657" priority="33">
      <formula>$H$172 &lt; 0</formula>
    </cfRule>
  </conditionalFormatting>
  <conditionalFormatting sqref="J150:L151 K172:L172">
    <cfRule type="expression" dxfId="2656" priority="28">
      <formula>$K$172 &gt; 0</formula>
    </cfRule>
    <cfRule type="expression" dxfId="2655" priority="29">
      <formula>$K$172 = 0</formula>
    </cfRule>
    <cfRule type="expression" dxfId="2654" priority="30">
      <formula>$K$172 &lt; 0</formula>
    </cfRule>
  </conditionalFormatting>
  <conditionalFormatting sqref="M150:O151 N172:O172">
    <cfRule type="expression" dxfId="2653" priority="25">
      <formula>$N$172 &gt; 0</formula>
    </cfRule>
    <cfRule type="expression" dxfId="2652" priority="26">
      <formula>$N$172 = 0</formula>
    </cfRule>
    <cfRule type="expression" dxfId="2651" priority="27">
      <formula>$N$172 &lt; 0</formula>
    </cfRule>
  </conditionalFormatting>
  <conditionalFormatting sqref="A179:C198 M179:O198">
    <cfRule type="expression" dxfId="2650" priority="13">
      <formula>AND($N179 &gt; 0, ISNUMBER($N179))</formula>
    </cfRule>
    <cfRule type="expression" dxfId="2649" priority="14">
      <formula>AND($N179 = 0 * ISNUMBER($N179))</formula>
    </cfRule>
    <cfRule type="expression" dxfId="2648" priority="15">
      <formula>AND($N179 &lt; 0, ISNUMBER($N179))</formula>
    </cfRule>
  </conditionalFormatting>
  <conditionalFormatting sqref="A179:F198">
    <cfRule type="expression" dxfId="2647" priority="22">
      <formula>AND($E179 &gt; 0, ISNUMBER($E179))</formula>
    </cfRule>
    <cfRule type="expression" dxfId="2646" priority="23">
      <formula>AND($E179 = 0 * ISNUMBER($E179))</formula>
    </cfRule>
    <cfRule type="expression" dxfId="2645" priority="24">
      <formula>AND($E179 &lt; 0, ISNUMBER($E179))</formula>
    </cfRule>
  </conditionalFormatting>
  <conditionalFormatting sqref="A179:C198 G179:I198">
    <cfRule type="expression" dxfId="2644" priority="19">
      <formula>AND($H179 &gt; 0, ISNUMBER($H179))</formula>
    </cfRule>
    <cfRule type="expression" dxfId="2643" priority="20">
      <formula>AND($H179 = 0 * ISNUMBER($H179))</formula>
    </cfRule>
    <cfRule type="expression" dxfId="2642" priority="21">
      <formula>AND($H179 &lt; 0, ISNUMBER($H179))</formula>
    </cfRule>
  </conditionalFormatting>
  <conditionalFormatting sqref="A179:C198 J179:L198">
    <cfRule type="expression" dxfId="2641" priority="16">
      <formula>AND($K179 &gt; 0, ISNUMBER($K179))</formula>
    </cfRule>
    <cfRule type="expression" dxfId="2640" priority="17">
      <formula>AND($K179 = 0 * ISNUMBER($K179))</formula>
    </cfRule>
    <cfRule type="expression" dxfId="2639" priority="18">
      <formula>AND($K179 &lt; 0, ISNUMBER($K179))</formula>
    </cfRule>
  </conditionalFormatting>
  <conditionalFormatting sqref="D177:F178 E199:F199">
    <cfRule type="expression" dxfId="2638" priority="10">
      <formula>$E$199 &gt; 0</formula>
    </cfRule>
    <cfRule type="expression" dxfId="2637" priority="11">
      <formula>$E$199 = 0</formula>
    </cfRule>
    <cfRule type="expression" dxfId="2636" priority="12">
      <formula>$E$199 &lt; 0</formula>
    </cfRule>
  </conditionalFormatting>
  <conditionalFormatting sqref="G177:I178 H199:I199">
    <cfRule type="expression" dxfId="2635" priority="7">
      <formula>$H$199 &gt; 0</formula>
    </cfRule>
    <cfRule type="expression" dxfId="2634" priority="8">
      <formula>$H$199 = 0</formula>
    </cfRule>
    <cfRule type="expression" dxfId="2633" priority="9">
      <formula>$H$199 &lt; 0</formula>
    </cfRule>
  </conditionalFormatting>
  <conditionalFormatting sqref="J177:L178 K199:L199">
    <cfRule type="expression" dxfId="2632" priority="4">
      <formula>$K$199 &gt; 0</formula>
    </cfRule>
    <cfRule type="expression" dxfId="2631" priority="5">
      <formula>$K$199 = 0</formula>
    </cfRule>
    <cfRule type="expression" dxfId="2630" priority="6">
      <formula>$K$199 &lt; 0</formula>
    </cfRule>
  </conditionalFormatting>
  <conditionalFormatting sqref="M177:O178 N199:O199">
    <cfRule type="expression" dxfId="2629" priority="1">
      <formula>$N$199 &gt; 0</formula>
    </cfRule>
    <cfRule type="expression" dxfId="2628" priority="2">
      <formula>$N$199 = 0</formula>
    </cfRule>
    <cfRule type="expression" dxfId="262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44321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53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2021-05-05(수) 오전 00:00</v>
      </c>
      <c r="C15" s="234"/>
      <c r="D15" s="190" t="str">
        <f>TEXT($G$1, "[$-ko-KR]yyyy-mm-dd(ddd) ") &amp; "오후 14:00"</f>
        <v>2021-05-05(수) 오후 14:00</v>
      </c>
      <c r="E15" s="191"/>
      <c r="F15" s="192"/>
      <c r="G15" s="190" t="str">
        <f>TEXT($G$1, "[$-ko-KR]yyyy-mm-dd(ddd) ") &amp; "오후 19:00"</f>
        <v>2021-05-05(수) 오후 19:00</v>
      </c>
      <c r="H15" s="191"/>
      <c r="I15" s="192"/>
      <c r="J15" s="190" t="str">
        <f>TEXT($G$1, "[$-ko-KR]yyyy-mm-dd(ddd) ") &amp; "오후 21:00"</f>
        <v>2021-05-05(수) 오후 21:00</v>
      </c>
      <c r="K15" s="191"/>
      <c r="L15" s="192"/>
      <c r="M15" s="190" t="str">
        <f>TEXT($G$1+1, "[$-ko-KR]yyyy-mm-dd(ddd) ") &amp; "오전 00:00"</f>
        <v>2021-05-06(목)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150000</v>
      </c>
      <c r="C37" s="22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53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2021-05-05(수) 오전 00:00</v>
      </c>
      <c r="C42" s="231"/>
      <c r="D42" s="190" t="str">
        <f>TEXT($G$1, "[$-ko-KR]yyyy-mm-dd(ddd) ") &amp; "오후 14:00"</f>
        <v>2021-05-05(수) 오후 14:00</v>
      </c>
      <c r="E42" s="191"/>
      <c r="F42" s="192"/>
      <c r="G42" s="190" t="str">
        <f>TEXT($G$1, "[$-ko-KR]yyyy-mm-dd(ddd) ") &amp; "오후 19:00"</f>
        <v>2021-05-05(수) 오후 19:00</v>
      </c>
      <c r="H42" s="191"/>
      <c r="I42" s="192"/>
      <c r="J42" s="190" t="str">
        <f>TEXT($G$1, "[$-ko-KR]yyyy-mm-dd(ddd) ") &amp; "오후 21:00"</f>
        <v>2021-05-05(수) 오후 21:00</v>
      </c>
      <c r="K42" s="191"/>
      <c r="L42" s="192"/>
      <c r="M42" s="190" t="str">
        <f>TEXT($G$1+1, "[$-ko-KR]yyyy-mm-dd(ddd) ") &amp; "오전 00:00"</f>
        <v>2021-05-06(목)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88"/>
      <c r="R44" s="188"/>
      <c r="S44" s="188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88"/>
      <c r="R45" s="188"/>
      <c r="S45" s="188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93"/>
      <c r="R46" s="193"/>
      <c r="S46" s="193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93"/>
      <c r="R47" s="193"/>
      <c r="S47" s="193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93"/>
      <c r="R48" s="193"/>
      <c r="S48" s="193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93"/>
      <c r="R49" s="193"/>
      <c r="S49" s="193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93"/>
      <c r="R50" s="193"/>
      <c r="S50" s="193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93"/>
      <c r="R51" s="193"/>
      <c r="S51" s="193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202"/>
      <c r="R53" s="203"/>
      <c r="S53" s="204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05"/>
      <c r="R54" s="206"/>
      <c r="S54" s="207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08"/>
      <c r="R55" s="209"/>
      <c r="S55" s="210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93"/>
      <c r="R56" s="193"/>
      <c r="S56" s="193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88"/>
      <c r="R57" s="188"/>
      <c r="S57" s="188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88"/>
      <c r="R58" s="188"/>
      <c r="S58" s="188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93"/>
      <c r="R59" s="193"/>
      <c r="S59" s="193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93"/>
      <c r="R60" s="193"/>
      <c r="S60" s="193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150000</v>
      </c>
      <c r="C64" s="22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53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2021-05-05(수) 오전 00:00</v>
      </c>
      <c r="C69" s="231"/>
      <c r="D69" s="190" t="str">
        <f>TEXT($G$1, "[$-ko-KR]yyyy-mm-dd(ddd) ") &amp; "오후 14:00"</f>
        <v>2021-05-05(수) 오후 14:00</v>
      </c>
      <c r="E69" s="191"/>
      <c r="F69" s="192"/>
      <c r="G69" s="190" t="str">
        <f>TEXT($G$1, "[$-ko-KR]yyyy-mm-dd(ddd) ") &amp; "오후 19:00"</f>
        <v>2021-05-05(수) 오후 19:00</v>
      </c>
      <c r="H69" s="191"/>
      <c r="I69" s="192"/>
      <c r="J69" s="190" t="str">
        <f>TEXT($G$1, "[$-ko-KR]yyyy-mm-dd(ddd) ") &amp; "오후 21:00"</f>
        <v>2021-05-05(수) 오후 21:00</v>
      </c>
      <c r="K69" s="191"/>
      <c r="L69" s="192"/>
      <c r="M69" s="190" t="str">
        <f>TEXT($G$1+1, "[$-ko-KR]yyyy-mm-dd(ddd) ") &amp; "오전 00:00"</f>
        <v>2021-05-06(목)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88"/>
      <c r="R71" s="188"/>
      <c r="S71" s="188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88"/>
      <c r="R72" s="188"/>
      <c r="S72" s="188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93"/>
      <c r="R73" s="193"/>
      <c r="S73" s="193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93"/>
      <c r="R74" s="193"/>
      <c r="S74" s="193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93"/>
      <c r="R75" s="193"/>
      <c r="S75" s="193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93"/>
      <c r="R76" s="193"/>
      <c r="S76" s="193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93"/>
      <c r="R77" s="193"/>
      <c r="S77" s="193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93"/>
      <c r="R78" s="193"/>
      <c r="S78" s="193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202"/>
      <c r="R80" s="203"/>
      <c r="S80" s="204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05"/>
      <c r="R81" s="206"/>
      <c r="S81" s="207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08"/>
      <c r="R82" s="209"/>
      <c r="S82" s="210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93"/>
      <c r="R83" s="193"/>
      <c r="S83" s="193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88"/>
      <c r="R84" s="188"/>
      <c r="S84" s="188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88"/>
      <c r="R85" s="188"/>
      <c r="S85" s="188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93"/>
      <c r="R86" s="193"/>
      <c r="S86" s="193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93"/>
      <c r="R87" s="193"/>
      <c r="S87" s="193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93"/>
      <c r="R88" s="193"/>
      <c r="S88" s="193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15"/>
      <c r="R89" s="216"/>
      <c r="S89" s="217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218"/>
      <c r="R90" s="219"/>
      <c r="S90" s="220"/>
    </row>
    <row r="91" spans="1:19" ht="17.25" thickBot="1">
      <c r="A91" s="135" t="s">
        <v>301</v>
      </c>
      <c r="B91" s="226">
        <f>$B$37</f>
        <v>150000</v>
      </c>
      <c r="C91" s="22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53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2021-05-05(수) 오전 00:00</v>
      </c>
      <c r="C96" s="231"/>
      <c r="D96" s="190" t="str">
        <f>TEXT($G$1, "[$-ko-KR]yyyy-mm-dd(ddd) ") &amp; "오후 14:00"</f>
        <v>2021-05-05(수) 오후 14:00</v>
      </c>
      <c r="E96" s="191"/>
      <c r="F96" s="192"/>
      <c r="G96" s="190" t="str">
        <f>TEXT($G$1, "[$-ko-KR]yyyy-mm-dd(ddd) ") &amp; "오후 19:00"</f>
        <v>2021-05-05(수) 오후 19:00</v>
      </c>
      <c r="H96" s="191"/>
      <c r="I96" s="192"/>
      <c r="J96" s="190" t="str">
        <f>TEXT($G$1, "[$-ko-KR]yyyy-mm-dd(ddd) ") &amp; "오후 21:00"</f>
        <v>2021-05-05(수) 오후 21:00</v>
      </c>
      <c r="K96" s="191"/>
      <c r="L96" s="192"/>
      <c r="M96" s="190" t="str">
        <f>TEXT($G$1+1, "[$-ko-KR]yyyy-mm-dd(ddd) ") &amp; "오전 00:00"</f>
        <v>2021-05-06(목)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88"/>
      <c r="R98" s="188"/>
      <c r="S98" s="188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88"/>
      <c r="R99" s="188"/>
      <c r="S99" s="188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93"/>
      <c r="R100" s="193"/>
      <c r="S100" s="193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93"/>
      <c r="R101" s="193"/>
      <c r="S101" s="193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93"/>
      <c r="R102" s="193"/>
      <c r="S102" s="193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93"/>
      <c r="R103" s="193"/>
      <c r="S103" s="193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93"/>
      <c r="R104" s="193"/>
      <c r="S104" s="193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93"/>
      <c r="R105" s="193"/>
      <c r="S105" s="193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202"/>
      <c r="R107" s="203"/>
      <c r="S107" s="204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05"/>
      <c r="R108" s="206"/>
      <c r="S108" s="207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08"/>
      <c r="R109" s="209"/>
      <c r="S109" s="210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93"/>
      <c r="R110" s="193"/>
      <c r="S110" s="193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88"/>
      <c r="R111" s="188"/>
      <c r="S111" s="188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88"/>
      <c r="R112" s="188"/>
      <c r="S112" s="188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93"/>
      <c r="R113" s="193"/>
      <c r="S113" s="193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93"/>
      <c r="R114" s="193"/>
      <c r="S114" s="193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93"/>
      <c r="R115" s="193"/>
      <c r="S115" s="193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15"/>
      <c r="R116" s="216"/>
      <c r="S116" s="217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150000</v>
      </c>
      <c r="C118" s="22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53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2021-05-05(수) 오전 00:00</v>
      </c>
      <c r="C123" s="231"/>
      <c r="D123" s="190" t="str">
        <f>TEXT($G$1, "[$-ko-KR]yyyy-mm-dd(ddd) ") &amp; "오후 14:00"</f>
        <v>2021-05-05(수) 오후 14:00</v>
      </c>
      <c r="E123" s="191"/>
      <c r="F123" s="192"/>
      <c r="G123" s="190" t="str">
        <f>TEXT($G$1, "[$-ko-KR]yyyy-mm-dd(ddd) ") &amp; "오후 19:00"</f>
        <v>2021-05-05(수) 오후 19:00</v>
      </c>
      <c r="H123" s="191"/>
      <c r="I123" s="192"/>
      <c r="J123" s="190" t="str">
        <f>TEXT($G$1, "[$-ko-KR]yyyy-mm-dd(ddd) ") &amp; "오후 21:00"</f>
        <v>2021-05-05(수) 오후 21:00</v>
      </c>
      <c r="K123" s="191"/>
      <c r="L123" s="192"/>
      <c r="M123" s="190" t="str">
        <f>TEXT($G$1+1, "[$-ko-KR]yyyy-mm-dd(ddd) ") &amp; "오전 00:00"</f>
        <v>2021-05-06(목)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88"/>
      <c r="R125" s="188"/>
      <c r="S125" s="188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88"/>
      <c r="R126" s="188"/>
      <c r="S126" s="188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93"/>
      <c r="R127" s="193"/>
      <c r="S127" s="193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93"/>
      <c r="R128" s="193"/>
      <c r="S128" s="193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93"/>
      <c r="R129" s="193"/>
      <c r="S129" s="193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93"/>
      <c r="R130" s="193"/>
      <c r="S130" s="193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93"/>
      <c r="R131" s="193"/>
      <c r="S131" s="193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93"/>
      <c r="R132" s="193"/>
      <c r="S132" s="193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202"/>
      <c r="R134" s="203"/>
      <c r="S134" s="204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05"/>
      <c r="R135" s="206"/>
      <c r="S135" s="207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08"/>
      <c r="R136" s="209"/>
      <c r="S136" s="210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93"/>
      <c r="R137" s="193"/>
      <c r="S137" s="193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88"/>
      <c r="R138" s="188"/>
      <c r="S138" s="188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88"/>
      <c r="R139" s="188"/>
      <c r="S139" s="188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93"/>
      <c r="R140" s="193"/>
      <c r="S140" s="193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93"/>
      <c r="R141" s="193"/>
      <c r="S141" s="193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150000</v>
      </c>
      <c r="C145" s="22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53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2021-05-05(수) 오전 00:00</v>
      </c>
      <c r="C150" s="231"/>
      <c r="D150" s="190" t="str">
        <f>TEXT($G$1, "[$-ko-KR]yyyy-mm-dd(ddd) ") &amp; "오후 14:00"</f>
        <v>2021-05-05(수) 오후 14:00</v>
      </c>
      <c r="E150" s="191"/>
      <c r="F150" s="192"/>
      <c r="G150" s="190" t="str">
        <f>TEXT($G$1, "[$-ko-KR]yyyy-mm-dd(ddd) ") &amp; "오후 19:00"</f>
        <v>2021-05-05(수) 오후 19:00</v>
      </c>
      <c r="H150" s="191"/>
      <c r="I150" s="192"/>
      <c r="J150" s="190" t="str">
        <f>TEXT($G$1, "[$-ko-KR]yyyy-mm-dd(ddd) ") &amp; "오후 21:00"</f>
        <v>2021-05-05(수) 오후 21:00</v>
      </c>
      <c r="K150" s="191"/>
      <c r="L150" s="192"/>
      <c r="M150" s="190" t="str">
        <f>TEXT($G$1+1, "[$-ko-KR]yyyy-mm-dd(ddd) ") &amp; "오전 00:00"</f>
        <v>2021-05-06(목)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88"/>
      <c r="R152" s="188"/>
      <c r="S152" s="188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88"/>
      <c r="R153" s="188"/>
      <c r="S153" s="188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93"/>
      <c r="R154" s="193"/>
      <c r="S154" s="193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93"/>
      <c r="R155" s="193"/>
      <c r="S155" s="193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93"/>
      <c r="R156" s="193"/>
      <c r="S156" s="193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93"/>
      <c r="R157" s="193"/>
      <c r="S157" s="193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93"/>
      <c r="R158" s="193"/>
      <c r="S158" s="193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93"/>
      <c r="R159" s="193"/>
      <c r="S159" s="193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202"/>
      <c r="R161" s="203"/>
      <c r="S161" s="204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05"/>
      <c r="R162" s="206"/>
      <c r="S162" s="207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08"/>
      <c r="R163" s="209"/>
      <c r="S163" s="210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93"/>
      <c r="R164" s="193"/>
      <c r="S164" s="193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88"/>
      <c r="R165" s="188"/>
      <c r="S165" s="188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88"/>
      <c r="R166" s="188"/>
      <c r="S166" s="188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93"/>
      <c r="R167" s="193"/>
      <c r="S167" s="193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93"/>
      <c r="R168" s="193"/>
      <c r="S168" s="193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93"/>
      <c r="R169" s="193"/>
      <c r="S169" s="193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15"/>
      <c r="R170" s="216"/>
      <c r="S170" s="217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150000</v>
      </c>
      <c r="C172" s="22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53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2021-05-05(수) 오전 00:00</v>
      </c>
      <c r="C177" s="231"/>
      <c r="D177" s="190" t="str">
        <f>TEXT($G$1, "[$-ko-KR]yyyy-mm-dd(ddd) ") &amp; "오후 14:00"</f>
        <v>2021-05-05(수) 오후 14:00</v>
      </c>
      <c r="E177" s="191"/>
      <c r="F177" s="192"/>
      <c r="G177" s="190" t="str">
        <f>TEXT($G$1, "[$-ko-KR]yyyy-mm-dd(ddd) ") &amp; "오후 19:00"</f>
        <v>2021-05-05(수) 오후 19:00</v>
      </c>
      <c r="H177" s="191"/>
      <c r="I177" s="192"/>
      <c r="J177" s="190" t="str">
        <f>TEXT($G$1, "[$-ko-KR]yyyy-mm-dd(ddd) ") &amp; "오후 21:00"</f>
        <v>2021-05-05(수) 오후 21:00</v>
      </c>
      <c r="K177" s="191"/>
      <c r="L177" s="192"/>
      <c r="M177" s="190" t="str">
        <f>TEXT($G$1+1, "[$-ko-KR]yyyy-mm-dd(ddd) ") &amp; "오전 00:00"</f>
        <v>2021-05-06(목)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88"/>
      <c r="R179" s="188"/>
      <c r="S179" s="188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88"/>
      <c r="R180" s="188"/>
      <c r="S180" s="188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93"/>
      <c r="R181" s="193"/>
      <c r="S181" s="193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93"/>
      <c r="R182" s="193"/>
      <c r="S182" s="193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93"/>
      <c r="R183" s="193"/>
      <c r="S183" s="193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93"/>
      <c r="R184" s="193"/>
      <c r="S184" s="193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93"/>
      <c r="R185" s="193"/>
      <c r="S185" s="193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93"/>
      <c r="R186" s="193"/>
      <c r="S186" s="193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202"/>
      <c r="R188" s="203"/>
      <c r="S188" s="204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05"/>
      <c r="R189" s="206"/>
      <c r="S189" s="207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08"/>
      <c r="R190" s="209"/>
      <c r="S190" s="210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93"/>
      <c r="R191" s="193"/>
      <c r="S191" s="193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88"/>
      <c r="R192" s="188"/>
      <c r="S192" s="188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88"/>
      <c r="R193" s="188"/>
      <c r="S193" s="188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93"/>
      <c r="R194" s="193"/>
      <c r="S194" s="193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93"/>
      <c r="R195" s="193"/>
      <c r="S195" s="193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93"/>
      <c r="R196" s="193"/>
      <c r="S196" s="193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15"/>
      <c r="R197" s="216"/>
      <c r="S197" s="217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150000</v>
      </c>
      <c r="C199" s="22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2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2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2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2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2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2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2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1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1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1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16" priority="157">
      <formula>AND($N17 &gt; 0, ISNUMBER($N17))</formula>
    </cfRule>
    <cfRule type="expression" dxfId="2615" priority="158">
      <formula>AND($N17 = 0 * ISNUMBER($N17))</formula>
    </cfRule>
    <cfRule type="expression" dxfId="2614" priority="159">
      <formula>AND($N17 &lt; 0, ISNUMBER($N17))</formula>
    </cfRule>
  </conditionalFormatting>
  <conditionalFormatting sqref="A17:F36">
    <cfRule type="expression" dxfId="2613" priority="166">
      <formula>AND($E17 &gt; 0, ISNUMBER($E17))</formula>
    </cfRule>
    <cfRule type="expression" dxfId="2612" priority="167">
      <formula>AND($E17 = 0 * ISNUMBER($E17))</formula>
    </cfRule>
    <cfRule type="expression" dxfId="2611" priority="168">
      <formula>AND($E17 &lt; 0, ISNUMBER($E17))</formula>
    </cfRule>
  </conditionalFormatting>
  <conditionalFormatting sqref="A17:C36 G17:I36">
    <cfRule type="expression" dxfId="2610" priority="163">
      <formula>AND($H17 &gt; 0, ISNUMBER($H17))</formula>
    </cfRule>
    <cfRule type="expression" dxfId="2609" priority="164">
      <formula>AND($H17 = 0 * ISNUMBER($H17))</formula>
    </cfRule>
    <cfRule type="expression" dxfId="2608" priority="165">
      <formula>AND($H17 &lt; 0, ISNUMBER($H17))</formula>
    </cfRule>
  </conditionalFormatting>
  <conditionalFormatting sqref="A17:C36 J17:L36">
    <cfRule type="expression" dxfId="2607" priority="160">
      <formula>AND($K17 &gt; 0, ISNUMBER($K17))</formula>
    </cfRule>
    <cfRule type="expression" dxfId="2606" priority="161">
      <formula>AND($K17 = 0 * ISNUMBER($K17))</formula>
    </cfRule>
    <cfRule type="expression" dxfId="2605" priority="162">
      <formula>AND($K17 &lt; 0, ISNUMBER($K17))</formula>
    </cfRule>
  </conditionalFormatting>
  <conditionalFormatting sqref="D15:F16 E37:F37">
    <cfRule type="expression" dxfId="2604" priority="154">
      <formula>$E$37 &gt; 0</formula>
    </cfRule>
    <cfRule type="expression" dxfId="2603" priority="155">
      <formula>$E$37 = 0</formula>
    </cfRule>
    <cfRule type="expression" dxfId="2602" priority="156">
      <formula>$E$37 &lt; 0</formula>
    </cfRule>
  </conditionalFormatting>
  <conditionalFormatting sqref="G15:I16 H37:I37">
    <cfRule type="expression" dxfId="2601" priority="151">
      <formula>$H$37 &gt; 0</formula>
    </cfRule>
    <cfRule type="expression" dxfId="2600" priority="152">
      <formula>$H$37 = 0</formula>
    </cfRule>
    <cfRule type="expression" dxfId="2599" priority="153">
      <formula>$H$37 &lt; 0</formula>
    </cfRule>
  </conditionalFormatting>
  <conditionalFormatting sqref="J15:L16 K37:L37">
    <cfRule type="expression" dxfId="2598" priority="148">
      <formula>$K$37 &gt; 0</formula>
    </cfRule>
    <cfRule type="expression" dxfId="2597" priority="149">
      <formula>$K$37 = 0</formula>
    </cfRule>
    <cfRule type="expression" dxfId="2596" priority="150">
      <formula>$K$37 &lt; 0</formula>
    </cfRule>
  </conditionalFormatting>
  <conditionalFormatting sqref="M15:O16 N37:O37">
    <cfRule type="expression" dxfId="2595" priority="145">
      <formula>$N$37 &gt; 0</formula>
    </cfRule>
    <cfRule type="expression" dxfId="2594" priority="146">
      <formula>$N$37 = 0</formula>
    </cfRule>
    <cfRule type="expression" dxfId="2593" priority="147">
      <formula>$N$37 &lt; 0</formula>
    </cfRule>
  </conditionalFormatting>
  <conditionalFormatting sqref="A44:C63 M44:O63">
    <cfRule type="expression" dxfId="2592" priority="133">
      <formula>AND($N44 &gt; 0, ISNUMBER($N44))</formula>
    </cfRule>
    <cfRule type="expression" dxfId="2591" priority="134">
      <formula>AND($N44 = 0 * ISNUMBER($N44))</formula>
    </cfRule>
    <cfRule type="expression" dxfId="2590" priority="135">
      <formula>AND($N44 &lt; 0, ISNUMBER($N44))</formula>
    </cfRule>
  </conditionalFormatting>
  <conditionalFormatting sqref="A44:F63">
    <cfRule type="expression" dxfId="2589" priority="142">
      <formula>AND($E44 &gt; 0, ISNUMBER($E44))</formula>
    </cfRule>
    <cfRule type="expression" dxfId="2588" priority="143">
      <formula>AND($E44 = 0 * ISNUMBER($E44))</formula>
    </cfRule>
    <cfRule type="expression" dxfId="2587" priority="144">
      <formula>AND($E44 &lt; 0, ISNUMBER($E44))</formula>
    </cfRule>
  </conditionalFormatting>
  <conditionalFormatting sqref="A44:C63 G44:I63">
    <cfRule type="expression" dxfId="2586" priority="139">
      <formula>AND($H44 &gt; 0, ISNUMBER($H44))</formula>
    </cfRule>
    <cfRule type="expression" dxfId="2585" priority="140">
      <formula>AND($H44 = 0 * ISNUMBER($H44))</formula>
    </cfRule>
    <cfRule type="expression" dxfId="2584" priority="141">
      <formula>AND($H44 &lt; 0, ISNUMBER($H44))</formula>
    </cfRule>
  </conditionalFormatting>
  <conditionalFormatting sqref="A44:C63 J44:L63">
    <cfRule type="expression" dxfId="2583" priority="136">
      <formula>AND($K44 &gt; 0, ISNUMBER($K44))</formula>
    </cfRule>
    <cfRule type="expression" dxfId="2582" priority="137">
      <formula>AND($K44 = 0 * ISNUMBER($K44))</formula>
    </cfRule>
    <cfRule type="expression" dxfId="2581" priority="138">
      <formula>AND($K44 &lt; 0, ISNUMBER($K44))</formula>
    </cfRule>
  </conditionalFormatting>
  <conditionalFormatting sqref="D42:F43 E64:F64">
    <cfRule type="expression" dxfId="2580" priority="130">
      <formula>$E$64 &gt; 0</formula>
    </cfRule>
    <cfRule type="expression" dxfId="2579" priority="131">
      <formula>$E$64 = 0</formula>
    </cfRule>
    <cfRule type="expression" dxfId="2578" priority="132">
      <formula>$E$64 &lt; 0</formula>
    </cfRule>
  </conditionalFormatting>
  <conditionalFormatting sqref="G42:I43 H64:I64">
    <cfRule type="expression" dxfId="2577" priority="127">
      <formula>$H$64 &gt; 0</formula>
    </cfRule>
    <cfRule type="expression" dxfId="2576" priority="128">
      <formula>$H$64 = 0</formula>
    </cfRule>
    <cfRule type="expression" dxfId="2575" priority="129">
      <formula>$H$64 &lt; 0</formula>
    </cfRule>
  </conditionalFormatting>
  <conditionalFormatting sqref="J42:L43 K64:L64">
    <cfRule type="expression" dxfId="2574" priority="124">
      <formula>$K$64 &gt; 0</formula>
    </cfRule>
    <cfRule type="expression" dxfId="2573" priority="125">
      <formula>$K$64 = 0</formula>
    </cfRule>
    <cfRule type="expression" dxfId="2572" priority="126">
      <formula>$K$64 &lt; 0</formula>
    </cfRule>
  </conditionalFormatting>
  <conditionalFormatting sqref="M42:O43 N64:O64">
    <cfRule type="expression" dxfId="2571" priority="121">
      <formula>$N$64 &gt; 0</formula>
    </cfRule>
    <cfRule type="expression" dxfId="2570" priority="122">
      <formula>$N$64 = 0</formula>
    </cfRule>
    <cfRule type="expression" dxfId="2569" priority="123">
      <formula>$N$64 &lt; 0</formula>
    </cfRule>
  </conditionalFormatting>
  <conditionalFormatting sqref="A71:C90 M71:O90">
    <cfRule type="expression" dxfId="2568" priority="109">
      <formula>AND($N71 &gt; 0, ISNUMBER($N71))</formula>
    </cfRule>
    <cfRule type="expression" dxfId="2567" priority="110">
      <formula>AND($N71 = 0 * ISNUMBER($N71))</formula>
    </cfRule>
    <cfRule type="expression" dxfId="2566" priority="111">
      <formula>AND($N71 &lt; 0, ISNUMBER($N71))</formula>
    </cfRule>
  </conditionalFormatting>
  <conditionalFormatting sqref="A71:F90">
    <cfRule type="expression" dxfId="2565" priority="118">
      <formula>AND($E71 &gt; 0, ISNUMBER($E71))</formula>
    </cfRule>
    <cfRule type="expression" dxfId="2564" priority="119">
      <formula>AND($E71 = 0 * ISNUMBER($E71))</formula>
    </cfRule>
    <cfRule type="expression" dxfId="2563" priority="120">
      <formula>AND($E71 &lt; 0, ISNUMBER($E71))</formula>
    </cfRule>
  </conditionalFormatting>
  <conditionalFormatting sqref="A71:C90 G71:I90">
    <cfRule type="expression" dxfId="2562" priority="115">
      <formula>AND($H71 &gt; 0, ISNUMBER($H71))</formula>
    </cfRule>
    <cfRule type="expression" dxfId="2561" priority="116">
      <formula>AND($H71 = 0 * ISNUMBER($H71))</formula>
    </cfRule>
    <cfRule type="expression" dxfId="2560" priority="117">
      <formula>AND($H71 &lt; 0, ISNUMBER($H71))</formula>
    </cfRule>
  </conditionalFormatting>
  <conditionalFormatting sqref="A71:C90 J71:L90">
    <cfRule type="expression" dxfId="2559" priority="112">
      <formula>AND($K71 &gt; 0, ISNUMBER($K71))</formula>
    </cfRule>
    <cfRule type="expression" dxfId="2558" priority="113">
      <formula>AND($K71 = 0 * ISNUMBER($K71))</formula>
    </cfRule>
    <cfRule type="expression" dxfId="2557" priority="114">
      <formula>AND($K71 &lt; 0, ISNUMBER($K71))</formula>
    </cfRule>
  </conditionalFormatting>
  <conditionalFormatting sqref="D69:F70 E91:F91">
    <cfRule type="expression" dxfId="2556" priority="106">
      <formula>$E$91 &gt; 0</formula>
    </cfRule>
    <cfRule type="expression" dxfId="2555" priority="107">
      <formula>$E$91 = 0</formula>
    </cfRule>
    <cfRule type="expression" dxfId="2554" priority="108">
      <formula>$E$91 &lt; 0</formula>
    </cfRule>
  </conditionalFormatting>
  <conditionalFormatting sqref="G69:I70 H91:I91">
    <cfRule type="expression" dxfId="2553" priority="103">
      <formula>$H$91 &gt; 0</formula>
    </cfRule>
    <cfRule type="expression" dxfId="2552" priority="104">
      <formula>$H$91 = 0</formula>
    </cfRule>
    <cfRule type="expression" dxfId="2551" priority="105">
      <formula>$H$91 &lt; 0</formula>
    </cfRule>
  </conditionalFormatting>
  <conditionalFormatting sqref="J69:L70 K91:L91">
    <cfRule type="expression" dxfId="2550" priority="100">
      <formula>$K$91 &gt; 0</formula>
    </cfRule>
    <cfRule type="expression" dxfId="2549" priority="101">
      <formula>$K$91 = 0</formula>
    </cfRule>
    <cfRule type="expression" dxfId="2548" priority="102">
      <formula>$K$91 &lt; 0</formula>
    </cfRule>
  </conditionalFormatting>
  <conditionalFormatting sqref="M69:O70 N91:O91">
    <cfRule type="expression" dxfId="2547" priority="97">
      <formula>$N$91 &gt; 0</formula>
    </cfRule>
    <cfRule type="expression" dxfId="2546" priority="98">
      <formula>$N$91 = 0</formula>
    </cfRule>
    <cfRule type="expression" dxfId="2545" priority="99">
      <formula>$N$91 &lt; 0</formula>
    </cfRule>
  </conditionalFormatting>
  <conditionalFormatting sqref="A98:C117 M98:O117">
    <cfRule type="expression" dxfId="2544" priority="85">
      <formula>AND($N98 &gt; 0, ISNUMBER($N98))</formula>
    </cfRule>
    <cfRule type="expression" dxfId="2543" priority="86">
      <formula>AND($N98 = 0 * ISNUMBER($N98))</formula>
    </cfRule>
    <cfRule type="expression" dxfId="2542" priority="87">
      <formula>AND($N98 &lt; 0, ISNUMBER($N98))</formula>
    </cfRule>
  </conditionalFormatting>
  <conditionalFormatting sqref="A98:F117">
    <cfRule type="expression" dxfId="2541" priority="94">
      <formula>AND($E98 &gt; 0, ISNUMBER($E98))</formula>
    </cfRule>
    <cfRule type="expression" dxfId="2540" priority="95">
      <formula>AND($E98 = 0 * ISNUMBER($E98))</formula>
    </cfRule>
    <cfRule type="expression" dxfId="2539" priority="96">
      <formula>AND($E98 &lt; 0, ISNUMBER($E98))</formula>
    </cfRule>
  </conditionalFormatting>
  <conditionalFormatting sqref="A98:C117 G98:I117">
    <cfRule type="expression" dxfId="2538" priority="91">
      <formula>AND($H98 &gt; 0, ISNUMBER($H98))</formula>
    </cfRule>
    <cfRule type="expression" dxfId="2537" priority="92">
      <formula>AND($H98 = 0 * ISNUMBER($H98))</formula>
    </cfRule>
    <cfRule type="expression" dxfId="2536" priority="93">
      <formula>AND($H98 &lt; 0, ISNUMBER($H98))</formula>
    </cfRule>
  </conditionalFormatting>
  <conditionalFormatting sqref="A98:C117 J98:L117">
    <cfRule type="expression" dxfId="2535" priority="88">
      <formula>AND($K98 &gt; 0, ISNUMBER($K98))</formula>
    </cfRule>
    <cfRule type="expression" dxfId="2534" priority="89">
      <formula>AND($K98 = 0 * ISNUMBER($K98))</formula>
    </cfRule>
    <cfRule type="expression" dxfId="2533" priority="90">
      <formula>AND($K98 &lt; 0, ISNUMBER($K98))</formula>
    </cfRule>
  </conditionalFormatting>
  <conditionalFormatting sqref="D96:F97 E118:F118">
    <cfRule type="expression" dxfId="2532" priority="82">
      <formula>$E$118 &gt; 0</formula>
    </cfRule>
    <cfRule type="expression" dxfId="2531" priority="83">
      <formula>$E$118 = 0</formula>
    </cfRule>
    <cfRule type="expression" dxfId="2530" priority="84">
      <formula>$E$118 &lt; 0</formula>
    </cfRule>
  </conditionalFormatting>
  <conditionalFormatting sqref="G96:I97 H118:I118">
    <cfRule type="expression" dxfId="2529" priority="79">
      <formula>$H$118 &gt; 0</formula>
    </cfRule>
    <cfRule type="expression" dxfId="2528" priority="80">
      <formula>$H$118 = 0</formula>
    </cfRule>
    <cfRule type="expression" dxfId="2527" priority="81">
      <formula>$H$118 &lt; 0</formula>
    </cfRule>
  </conditionalFormatting>
  <conditionalFormatting sqref="J96:L97 K118:L118">
    <cfRule type="expression" dxfId="2526" priority="76">
      <formula>$K$118 &gt; 0</formula>
    </cfRule>
    <cfRule type="expression" dxfId="2525" priority="77">
      <formula>$K$118 = 0</formula>
    </cfRule>
    <cfRule type="expression" dxfId="2524" priority="78">
      <formula>$K$118 &lt; 0</formula>
    </cfRule>
  </conditionalFormatting>
  <conditionalFormatting sqref="M96:O97 N118:O118">
    <cfRule type="expression" dxfId="2523" priority="73">
      <formula>$N$118 &gt; 0</formula>
    </cfRule>
    <cfRule type="expression" dxfId="2522" priority="74">
      <formula>$N$118 = 0</formula>
    </cfRule>
    <cfRule type="expression" dxfId="2521" priority="75">
      <formula>$N$118 &lt; 0</formula>
    </cfRule>
  </conditionalFormatting>
  <conditionalFormatting sqref="A125:C144 M125:O144">
    <cfRule type="expression" dxfId="2520" priority="61">
      <formula>AND($N125 &gt; 0, ISNUMBER($N125))</formula>
    </cfRule>
    <cfRule type="expression" dxfId="2519" priority="62">
      <formula>AND($N125 = 0 * ISNUMBER($N125))</formula>
    </cfRule>
    <cfRule type="expression" dxfId="2518" priority="63">
      <formula>AND($N125 &lt; 0, ISNUMBER($N125))</formula>
    </cfRule>
  </conditionalFormatting>
  <conditionalFormatting sqref="A125:F144">
    <cfRule type="expression" dxfId="2517" priority="70">
      <formula>AND($E125 &gt; 0, ISNUMBER($E125))</formula>
    </cfRule>
    <cfRule type="expression" dxfId="2516" priority="71">
      <formula>AND($E125 = 0 * ISNUMBER($E125))</formula>
    </cfRule>
    <cfRule type="expression" dxfId="2515" priority="72">
      <formula>AND($E125 &lt; 0, ISNUMBER($E125))</formula>
    </cfRule>
  </conditionalFormatting>
  <conditionalFormatting sqref="A125:C144 G125:I144">
    <cfRule type="expression" dxfId="2514" priority="67">
      <formula>AND($H125 &gt; 0, ISNUMBER($H125))</formula>
    </cfRule>
    <cfRule type="expression" dxfId="2513" priority="68">
      <formula>AND($H125 = 0 * ISNUMBER($H125))</formula>
    </cfRule>
    <cfRule type="expression" dxfId="2512" priority="69">
      <formula>AND($H125 &lt; 0, ISNUMBER($H125))</formula>
    </cfRule>
  </conditionalFormatting>
  <conditionalFormatting sqref="A125:C144 J125:L144">
    <cfRule type="expression" dxfId="2511" priority="64">
      <formula>AND($K125 &gt; 0, ISNUMBER($K125))</formula>
    </cfRule>
    <cfRule type="expression" dxfId="2510" priority="65">
      <formula>AND($K125 = 0 * ISNUMBER($K125))</formula>
    </cfRule>
    <cfRule type="expression" dxfId="2509" priority="66">
      <formula>AND($K125 &lt; 0, ISNUMBER($K125))</formula>
    </cfRule>
  </conditionalFormatting>
  <conditionalFormatting sqref="D123:F124 E145:F145">
    <cfRule type="expression" dxfId="2508" priority="58">
      <formula>$E$145 &gt; 0</formula>
    </cfRule>
    <cfRule type="expression" dxfId="2507" priority="59">
      <formula>$E$145 = 0</formula>
    </cfRule>
    <cfRule type="expression" dxfId="2506" priority="60">
      <formula>$E$145 &lt; 0</formula>
    </cfRule>
  </conditionalFormatting>
  <conditionalFormatting sqref="G123:I124 H145:I145">
    <cfRule type="expression" dxfId="2505" priority="55">
      <formula>$H$145 &gt; 0</formula>
    </cfRule>
    <cfRule type="expression" dxfId="2504" priority="56">
      <formula>$H$145 = 0</formula>
    </cfRule>
    <cfRule type="expression" dxfId="2503" priority="57">
      <formula>$H$145 &lt; 0</formula>
    </cfRule>
  </conditionalFormatting>
  <conditionalFormatting sqref="J123:L124 K145:L145">
    <cfRule type="expression" dxfId="2502" priority="52">
      <formula>$K$145 &gt; 0</formula>
    </cfRule>
    <cfRule type="expression" dxfId="2501" priority="53">
      <formula>$K$145 = 0</formula>
    </cfRule>
    <cfRule type="expression" dxfId="2500" priority="54">
      <formula>$K$145 &lt; 0</formula>
    </cfRule>
  </conditionalFormatting>
  <conditionalFormatting sqref="M123:O124 N145:O145">
    <cfRule type="expression" dxfId="2499" priority="49">
      <formula>$N$145 &gt; 0</formula>
    </cfRule>
    <cfRule type="expression" dxfId="2498" priority="50">
      <formula>$N$145 = 0</formula>
    </cfRule>
    <cfRule type="expression" dxfId="2497" priority="51">
      <formula>$N$145 &lt; 0</formula>
    </cfRule>
  </conditionalFormatting>
  <conditionalFormatting sqref="A152:C171 M152:O171">
    <cfRule type="expression" dxfId="2496" priority="37">
      <formula>AND($N152 &gt; 0, ISNUMBER($N152))</formula>
    </cfRule>
    <cfRule type="expression" dxfId="2495" priority="38">
      <formula>AND($N152 = 0 * ISNUMBER($N152))</formula>
    </cfRule>
    <cfRule type="expression" dxfId="2494" priority="39">
      <formula>AND($N152 &lt; 0, ISNUMBER($N152))</formula>
    </cfRule>
  </conditionalFormatting>
  <conditionalFormatting sqref="A152:F171">
    <cfRule type="expression" dxfId="2493" priority="46">
      <formula>AND($E152 &gt; 0, ISNUMBER($E152))</formula>
    </cfRule>
    <cfRule type="expression" dxfId="2492" priority="47">
      <formula>AND($E152 = 0 * ISNUMBER($E152))</formula>
    </cfRule>
    <cfRule type="expression" dxfId="2491" priority="48">
      <formula>AND($E152 &lt; 0, ISNUMBER($E152))</formula>
    </cfRule>
  </conditionalFormatting>
  <conditionalFormatting sqref="A152:C171 G152:I171">
    <cfRule type="expression" dxfId="2490" priority="43">
      <formula>AND($H152 &gt; 0, ISNUMBER($H152))</formula>
    </cfRule>
    <cfRule type="expression" dxfId="2489" priority="44">
      <formula>AND($H152 = 0 * ISNUMBER($H152))</formula>
    </cfRule>
    <cfRule type="expression" dxfId="2488" priority="45">
      <formula>AND($H152 &lt; 0, ISNUMBER($H152))</formula>
    </cfRule>
  </conditionalFormatting>
  <conditionalFormatting sqref="A152:C171 J152:L171">
    <cfRule type="expression" dxfId="2487" priority="40">
      <formula>AND($K152 &gt; 0, ISNUMBER($K152))</formula>
    </cfRule>
    <cfRule type="expression" dxfId="2486" priority="41">
      <formula>AND($K152 = 0 * ISNUMBER($K152))</formula>
    </cfRule>
    <cfRule type="expression" dxfId="2485" priority="42">
      <formula>AND($K152 &lt; 0, ISNUMBER($K152))</formula>
    </cfRule>
  </conditionalFormatting>
  <conditionalFormatting sqref="D150:F151 E172:F172">
    <cfRule type="expression" dxfId="2484" priority="34">
      <formula>$E$172 &gt; 0</formula>
    </cfRule>
    <cfRule type="expression" dxfId="2483" priority="35">
      <formula>$E$172 = 0</formula>
    </cfRule>
    <cfRule type="expression" dxfId="2482" priority="36">
      <formula>$E$172 &lt; 0</formula>
    </cfRule>
  </conditionalFormatting>
  <conditionalFormatting sqref="G150:I151 H172:I172">
    <cfRule type="expression" dxfId="2481" priority="31">
      <formula>$H$172 &gt; 0</formula>
    </cfRule>
    <cfRule type="expression" dxfId="2480" priority="32">
      <formula>$H$172 = 0</formula>
    </cfRule>
    <cfRule type="expression" dxfId="2479" priority="33">
      <formula>$H$172 &lt; 0</formula>
    </cfRule>
  </conditionalFormatting>
  <conditionalFormatting sqref="J150:L151 K172:L172">
    <cfRule type="expression" dxfId="2478" priority="28">
      <formula>$K$172 &gt; 0</formula>
    </cfRule>
    <cfRule type="expression" dxfId="2477" priority="29">
      <formula>$K$172 = 0</formula>
    </cfRule>
    <cfRule type="expression" dxfId="2476" priority="30">
      <formula>$K$172 &lt; 0</formula>
    </cfRule>
  </conditionalFormatting>
  <conditionalFormatting sqref="M150:O151 N172:O172">
    <cfRule type="expression" dxfId="2475" priority="25">
      <formula>$N$172 &gt; 0</formula>
    </cfRule>
    <cfRule type="expression" dxfId="2474" priority="26">
      <formula>$N$172 = 0</formula>
    </cfRule>
    <cfRule type="expression" dxfId="2473" priority="27">
      <formula>$N$172 &lt; 0</formula>
    </cfRule>
  </conditionalFormatting>
  <conditionalFormatting sqref="A179:C198 M179:O198">
    <cfRule type="expression" dxfId="2472" priority="13">
      <formula>AND($N179 &gt; 0, ISNUMBER($N179))</formula>
    </cfRule>
    <cfRule type="expression" dxfId="2471" priority="14">
      <formula>AND($N179 = 0 * ISNUMBER($N179))</formula>
    </cfRule>
    <cfRule type="expression" dxfId="2470" priority="15">
      <formula>AND($N179 &lt; 0, ISNUMBER($N179))</formula>
    </cfRule>
  </conditionalFormatting>
  <conditionalFormatting sqref="A179:F198">
    <cfRule type="expression" dxfId="2469" priority="22">
      <formula>AND($E179 &gt; 0, ISNUMBER($E179))</formula>
    </cfRule>
    <cfRule type="expression" dxfId="2468" priority="23">
      <formula>AND($E179 = 0 * ISNUMBER($E179))</formula>
    </cfRule>
    <cfRule type="expression" dxfId="2467" priority="24">
      <formula>AND($E179 &lt; 0, ISNUMBER($E179))</formula>
    </cfRule>
  </conditionalFormatting>
  <conditionalFormatting sqref="A179:C198 G179:I198">
    <cfRule type="expression" dxfId="2466" priority="19">
      <formula>AND($H179 &gt; 0, ISNUMBER($H179))</formula>
    </cfRule>
    <cfRule type="expression" dxfId="2465" priority="20">
      <formula>AND($H179 = 0 * ISNUMBER($H179))</formula>
    </cfRule>
    <cfRule type="expression" dxfId="2464" priority="21">
      <formula>AND($H179 &lt; 0, ISNUMBER($H179))</formula>
    </cfRule>
  </conditionalFormatting>
  <conditionalFormatting sqref="A179:C198 J179:L198">
    <cfRule type="expression" dxfId="2463" priority="16">
      <formula>AND($K179 &gt; 0, ISNUMBER($K179))</formula>
    </cfRule>
    <cfRule type="expression" dxfId="2462" priority="17">
      <formula>AND($K179 = 0 * ISNUMBER($K179))</formula>
    </cfRule>
    <cfRule type="expression" dxfId="2461" priority="18">
      <formula>AND($K179 &lt; 0, ISNUMBER($K179))</formula>
    </cfRule>
  </conditionalFormatting>
  <conditionalFormatting sqref="D177:F178 E199:F199">
    <cfRule type="expression" dxfId="2460" priority="10">
      <formula>$E$199 &gt; 0</formula>
    </cfRule>
    <cfRule type="expression" dxfId="2459" priority="11">
      <formula>$E$199 = 0</formula>
    </cfRule>
    <cfRule type="expression" dxfId="2458" priority="12">
      <formula>$E$199 &lt; 0</formula>
    </cfRule>
  </conditionalFormatting>
  <conditionalFormatting sqref="G177:I178 H199:I199">
    <cfRule type="expression" dxfId="2457" priority="7">
      <formula>$H$199 &gt; 0</formula>
    </cfRule>
    <cfRule type="expression" dxfId="2456" priority="8">
      <formula>$H$199 = 0</formula>
    </cfRule>
    <cfRule type="expression" dxfId="2455" priority="9">
      <formula>$H$199 &lt; 0</formula>
    </cfRule>
  </conditionalFormatting>
  <conditionalFormatting sqref="J177:L178 K199:L199">
    <cfRule type="expression" dxfId="2454" priority="4">
      <formula>$K$199 &gt; 0</formula>
    </cfRule>
    <cfRule type="expression" dxfId="2453" priority="5">
      <formula>$K$199 = 0</formula>
    </cfRule>
    <cfRule type="expression" dxfId="2452" priority="6">
      <formula>$K$199 &lt; 0</formula>
    </cfRule>
  </conditionalFormatting>
  <conditionalFormatting sqref="M177:O178 N199:O199">
    <cfRule type="expression" dxfId="2451" priority="1">
      <formula>$N$199 &gt; 0</formula>
    </cfRule>
    <cfRule type="expression" dxfId="2450" priority="2">
      <formula>$N$199 = 0</formula>
    </cfRule>
    <cfRule type="expression" dxfId="244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44322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63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2021-05-06(목) 오전 00:00</v>
      </c>
      <c r="C15" s="234"/>
      <c r="D15" s="190" t="str">
        <f>TEXT($G$1, "[$-ko-KR]yyyy-mm-dd(ddd) ") &amp; "오후 14:00"</f>
        <v>2021-05-06(목) 오후 14:00</v>
      </c>
      <c r="E15" s="191"/>
      <c r="F15" s="192"/>
      <c r="G15" s="190" t="str">
        <f>TEXT($G$1, "[$-ko-KR]yyyy-mm-dd(ddd) ") &amp; "오후 19:00"</f>
        <v>2021-05-06(목) 오후 19:00</v>
      </c>
      <c r="H15" s="191"/>
      <c r="I15" s="192"/>
      <c r="J15" s="190" t="str">
        <f>TEXT($G$1, "[$-ko-KR]yyyy-mm-dd(ddd) ") &amp; "오후 21:00"</f>
        <v>2021-05-06(목) 오후 21:00</v>
      </c>
      <c r="K15" s="191"/>
      <c r="L15" s="192"/>
      <c r="M15" s="190" t="str">
        <f>TEXT($G$1+1, "[$-ko-KR]yyyy-mm-dd(ddd) ") &amp; "오전 00:00"</f>
        <v>2021-05-07(금)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 t="s">
        <v>322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150000</v>
      </c>
      <c r="C37" s="22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63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2021-05-06(목) 오전 00:00</v>
      </c>
      <c r="C42" s="231"/>
      <c r="D42" s="190" t="str">
        <f>TEXT($G$1, "[$-ko-KR]yyyy-mm-dd(ddd) ") &amp; "오후 14:00"</f>
        <v>2021-05-06(목) 오후 14:00</v>
      </c>
      <c r="E42" s="191"/>
      <c r="F42" s="192"/>
      <c r="G42" s="190" t="str">
        <f>TEXT($G$1, "[$-ko-KR]yyyy-mm-dd(ddd) ") &amp; "오후 19:00"</f>
        <v>2021-05-06(목) 오후 19:00</v>
      </c>
      <c r="H42" s="191"/>
      <c r="I42" s="192"/>
      <c r="J42" s="190" t="str">
        <f>TEXT($G$1, "[$-ko-KR]yyyy-mm-dd(ddd) ") &amp; "오후 21:00"</f>
        <v>2021-05-06(목) 오후 21:00</v>
      </c>
      <c r="K42" s="191"/>
      <c r="L42" s="192"/>
      <c r="M42" s="190" t="str">
        <f>TEXT($G$1+1, "[$-ko-KR]yyyy-mm-dd(ddd) ") &amp; "오전 00:00"</f>
        <v>2021-05-07(금)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150000</v>
      </c>
      <c r="C64" s="22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63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2021-05-06(목) 오전 00:00</v>
      </c>
      <c r="C69" s="231"/>
      <c r="D69" s="190" t="str">
        <f>TEXT($G$1, "[$-ko-KR]yyyy-mm-dd(ddd) ") &amp; "오후 14:00"</f>
        <v>2021-05-06(목) 오후 14:00</v>
      </c>
      <c r="E69" s="191"/>
      <c r="F69" s="192"/>
      <c r="G69" s="190" t="str">
        <f>TEXT($G$1, "[$-ko-KR]yyyy-mm-dd(ddd) ") &amp; "오후 19:00"</f>
        <v>2021-05-06(목) 오후 19:00</v>
      </c>
      <c r="H69" s="191"/>
      <c r="I69" s="192"/>
      <c r="J69" s="190" t="str">
        <f>TEXT($G$1, "[$-ko-KR]yyyy-mm-dd(ddd) ") &amp; "오후 21:00"</f>
        <v>2021-05-06(목) 오후 21:00</v>
      </c>
      <c r="K69" s="191"/>
      <c r="L69" s="192"/>
      <c r="M69" s="190" t="str">
        <f>TEXT($G$1+1, "[$-ko-KR]yyyy-mm-dd(ddd) ") &amp; "오전 00:00"</f>
        <v>2021-05-07(금)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 t="s">
        <v>51</v>
      </c>
      <c r="B73" s="129">
        <v>699</v>
      </c>
      <c r="C73" s="77">
        <v>0.1077654517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8" t="s">
        <v>136</v>
      </c>
      <c r="B77" s="129">
        <v>255</v>
      </c>
      <c r="C77" s="77">
        <v>4.9382716E-2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8" t="s">
        <v>278</v>
      </c>
      <c r="B79" s="129">
        <v>156</v>
      </c>
      <c r="C79" s="77">
        <v>0.04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6" t="s">
        <v>132</v>
      </c>
      <c r="B81" s="127">
        <v>244</v>
      </c>
      <c r="C81" s="76">
        <v>3.8297872300000001E-2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8" t="s">
        <v>134</v>
      </c>
      <c r="B82" s="129">
        <v>151</v>
      </c>
      <c r="C82" s="77">
        <v>2.72108844E-2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8" t="s">
        <v>128</v>
      </c>
      <c r="B87" s="129">
        <v>680</v>
      </c>
      <c r="C87" s="77">
        <v>1.94902549E-2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8" t="s">
        <v>116</v>
      </c>
      <c r="B88" s="129">
        <v>731</v>
      </c>
      <c r="C88" s="77">
        <v>1.38696255E-2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8" t="s">
        <v>256</v>
      </c>
      <c r="B89" s="129">
        <v>265</v>
      </c>
      <c r="C89" s="77">
        <v>1.14503817E-2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133" t="s">
        <v>216</v>
      </c>
      <c r="B90" s="134">
        <v>449</v>
      </c>
      <c r="C90" s="79">
        <v>1.12612613E-2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135" t="s">
        <v>301</v>
      </c>
      <c r="B91" s="226">
        <f>$B$37</f>
        <v>150000</v>
      </c>
      <c r="C91" s="22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63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2021-05-06(목) 오전 00:00</v>
      </c>
      <c r="C96" s="231"/>
      <c r="D96" s="190" t="str">
        <f>TEXT($G$1, "[$-ko-KR]yyyy-mm-dd(ddd) ") &amp; "오후 14:00"</f>
        <v>2021-05-06(목) 오후 14:00</v>
      </c>
      <c r="E96" s="191"/>
      <c r="F96" s="192"/>
      <c r="G96" s="190" t="str">
        <f>TEXT($G$1, "[$-ko-KR]yyyy-mm-dd(ddd) ") &amp; "오후 19:00"</f>
        <v>2021-05-06(목) 오후 19:00</v>
      </c>
      <c r="H96" s="191"/>
      <c r="I96" s="192"/>
      <c r="J96" s="190" t="str">
        <f>TEXT($G$1, "[$-ko-KR]yyyy-mm-dd(ddd) ") &amp; "오후 21:00"</f>
        <v>2021-05-06(목) 오후 21:00</v>
      </c>
      <c r="K96" s="191"/>
      <c r="L96" s="192"/>
      <c r="M96" s="190" t="str">
        <f>TEXT($G$1+1, "[$-ko-KR]yyyy-mm-dd(ddd) ") &amp; "오전 00:00"</f>
        <v>2021-05-07(금)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 t="s">
        <v>86</v>
      </c>
      <c r="B100" s="129">
        <v>9180</v>
      </c>
      <c r="C100" s="77">
        <v>0.1489361702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6" t="s">
        <v>144</v>
      </c>
      <c r="B108" s="127">
        <v>11990</v>
      </c>
      <c r="C108" s="76">
        <v>9.7985348E-2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8" t="s">
        <v>130</v>
      </c>
      <c r="B116" s="129">
        <v>413800</v>
      </c>
      <c r="C116" s="77">
        <v>7.6482830399999993E-2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150000</v>
      </c>
      <c r="C118" s="22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63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2021-05-06(목) 오전 00:00</v>
      </c>
      <c r="C123" s="231"/>
      <c r="D123" s="190" t="str">
        <f>TEXT($G$1, "[$-ko-KR]yyyy-mm-dd(ddd) ") &amp; "오후 14:00"</f>
        <v>2021-05-06(목) 오후 14:00</v>
      </c>
      <c r="E123" s="191"/>
      <c r="F123" s="192"/>
      <c r="G123" s="190" t="str">
        <f>TEXT($G$1, "[$-ko-KR]yyyy-mm-dd(ddd) ") &amp; "오후 19:00"</f>
        <v>2021-05-06(목) 오후 19:00</v>
      </c>
      <c r="H123" s="191"/>
      <c r="I123" s="192"/>
      <c r="J123" s="190" t="str">
        <f>TEXT($G$1, "[$-ko-KR]yyyy-mm-dd(ddd) ") &amp; "오후 21:00"</f>
        <v>2021-05-06(목) 오후 21:00</v>
      </c>
      <c r="K123" s="191"/>
      <c r="L123" s="192"/>
      <c r="M123" s="190" t="str">
        <f>TEXT($G$1+1, "[$-ko-KR]yyyy-mm-dd(ddd) ") &amp; "오전 00:00"</f>
        <v>2021-05-07(금)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8" t="s">
        <v>268</v>
      </c>
      <c r="B133" s="129">
        <v>99.8</v>
      </c>
      <c r="C133" s="77">
        <v>-2E-3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6" t="s">
        <v>186</v>
      </c>
      <c r="B135" s="127">
        <v>25.9</v>
      </c>
      <c r="C135" s="76">
        <v>-3.8461538E-3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150000</v>
      </c>
      <c r="C145" s="22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63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2021-05-06(목) 오전 00:00</v>
      </c>
      <c r="C150" s="231"/>
      <c r="D150" s="190" t="str">
        <f>TEXT($G$1, "[$-ko-KR]yyyy-mm-dd(ddd) ") &amp; "오후 14:00"</f>
        <v>2021-05-06(목) 오후 14:00</v>
      </c>
      <c r="E150" s="191"/>
      <c r="F150" s="192"/>
      <c r="G150" s="190" t="str">
        <f>TEXT($G$1, "[$-ko-KR]yyyy-mm-dd(ddd) ") &amp; "오후 19:00"</f>
        <v>2021-05-06(목) 오후 19:00</v>
      </c>
      <c r="H150" s="191"/>
      <c r="I150" s="192"/>
      <c r="J150" s="190" t="str">
        <f>TEXT($G$1, "[$-ko-KR]yyyy-mm-dd(ddd) ") &amp; "오후 21:00"</f>
        <v>2021-05-06(목) 오후 21:00</v>
      </c>
      <c r="K150" s="191"/>
      <c r="L150" s="192"/>
      <c r="M150" s="190" t="str">
        <f>TEXT($G$1+1, "[$-ko-KR]yyyy-mm-dd(ddd) ") &amp; "오전 00:00"</f>
        <v>2021-05-07(금)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6" t="s">
        <v>226</v>
      </c>
      <c r="B162" s="127">
        <v>502</v>
      </c>
      <c r="C162" s="76">
        <v>-1.953125E-2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8" t="s">
        <v>284</v>
      </c>
      <c r="B163" s="129">
        <v>441</v>
      </c>
      <c r="C163" s="77">
        <v>-0.02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8" t="s">
        <v>260</v>
      </c>
      <c r="B168" s="129">
        <v>122</v>
      </c>
      <c r="C168" s="77">
        <v>-2.4E-2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8" t="s">
        <v>258</v>
      </c>
      <c r="B170" s="129">
        <v>720</v>
      </c>
      <c r="C170" s="77">
        <v>-2.8340081E-2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150000</v>
      </c>
      <c r="C172" s="22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63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2021-05-06(목) 오전 00:00</v>
      </c>
      <c r="C177" s="231"/>
      <c r="D177" s="190" t="str">
        <f>TEXT($G$1, "[$-ko-KR]yyyy-mm-dd(ddd) ") &amp; "오후 14:00"</f>
        <v>2021-05-06(목) 오후 14:00</v>
      </c>
      <c r="E177" s="191"/>
      <c r="F177" s="192"/>
      <c r="G177" s="190" t="str">
        <f>TEXT($G$1, "[$-ko-KR]yyyy-mm-dd(ddd) ") &amp; "오후 19:00"</f>
        <v>2021-05-06(목) 오후 19:00</v>
      </c>
      <c r="H177" s="191"/>
      <c r="I177" s="192"/>
      <c r="J177" s="190" t="str">
        <f>TEXT($G$1, "[$-ko-KR]yyyy-mm-dd(ddd) ") &amp; "오후 21:00"</f>
        <v>2021-05-06(목) 오후 21:00</v>
      </c>
      <c r="K177" s="191"/>
      <c r="L177" s="192"/>
      <c r="M177" s="190" t="str">
        <f>TEXT($G$1+1, "[$-ko-KR]yyyy-mm-dd(ddd) ") &amp; "오전 00:00"</f>
        <v>2021-05-07(금)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284</v>
      </c>
      <c r="B179" s="127">
        <v>441</v>
      </c>
      <c r="C179" s="76">
        <v>-0.02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8" t="s">
        <v>260</v>
      </c>
      <c r="B186" s="129">
        <v>122</v>
      </c>
      <c r="C186" s="77">
        <v>-2.4E-2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6" t="s">
        <v>82</v>
      </c>
      <c r="B189" s="127">
        <v>1530</v>
      </c>
      <c r="C189" s="76">
        <v>-2.5477706999999999E-2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8" t="s">
        <v>204</v>
      </c>
      <c r="B197" s="129">
        <v>8795</v>
      </c>
      <c r="C197" s="77">
        <v>-3.98471616E-2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150000</v>
      </c>
      <c r="C199" s="22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44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4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4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4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4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4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4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4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4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3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38" priority="157">
      <formula>AND($N17 &gt; 0, ISNUMBER($N17))</formula>
    </cfRule>
    <cfRule type="expression" dxfId="2437" priority="158">
      <formula>AND($N17 = 0 * ISNUMBER($N17))</formula>
    </cfRule>
    <cfRule type="expression" dxfId="2436" priority="159">
      <formula>AND($N17 &lt; 0, ISNUMBER($N17))</formula>
    </cfRule>
  </conditionalFormatting>
  <conditionalFormatting sqref="A17:F36">
    <cfRule type="expression" dxfId="2435" priority="166">
      <formula>AND($E17 &gt; 0, ISNUMBER($E17))</formula>
    </cfRule>
    <cfRule type="expression" dxfId="2434" priority="167">
      <formula>AND($E17 = 0 * ISNUMBER($E17))</formula>
    </cfRule>
    <cfRule type="expression" dxfId="2433" priority="168">
      <formula>AND($E17 &lt; 0, ISNUMBER($E17))</formula>
    </cfRule>
  </conditionalFormatting>
  <conditionalFormatting sqref="A17:C36 G17:I36">
    <cfRule type="expression" dxfId="2432" priority="163">
      <formula>AND($H17 &gt; 0, ISNUMBER($H17))</formula>
    </cfRule>
    <cfRule type="expression" dxfId="2431" priority="164">
      <formula>AND($H17 = 0 * ISNUMBER($H17))</formula>
    </cfRule>
    <cfRule type="expression" dxfId="2430" priority="165">
      <formula>AND($H17 &lt; 0, ISNUMBER($H17))</formula>
    </cfRule>
  </conditionalFormatting>
  <conditionalFormatting sqref="A17:C36 J17:L36">
    <cfRule type="expression" dxfId="2429" priority="160">
      <formula>AND($K17 &gt; 0, ISNUMBER($K17))</formula>
    </cfRule>
    <cfRule type="expression" dxfId="2428" priority="161">
      <formula>AND($K17 = 0 * ISNUMBER($K17))</formula>
    </cfRule>
    <cfRule type="expression" dxfId="2427" priority="162">
      <formula>AND($K17 &lt; 0, ISNUMBER($K17))</formula>
    </cfRule>
  </conditionalFormatting>
  <conditionalFormatting sqref="D15:F16 E37:F37">
    <cfRule type="expression" dxfId="2426" priority="154">
      <formula>$E$37 &gt; 0</formula>
    </cfRule>
    <cfRule type="expression" dxfId="2425" priority="155">
      <formula>$E$37 = 0</formula>
    </cfRule>
    <cfRule type="expression" dxfId="2424" priority="156">
      <formula>$E$37 &lt; 0</formula>
    </cfRule>
  </conditionalFormatting>
  <conditionalFormatting sqref="G15:I16 H37:I37">
    <cfRule type="expression" dxfId="2423" priority="151">
      <formula>$H$37 &gt; 0</formula>
    </cfRule>
    <cfRule type="expression" dxfId="2422" priority="152">
      <formula>$H$37 = 0</formula>
    </cfRule>
    <cfRule type="expression" dxfId="2421" priority="153">
      <formula>$H$37 &lt; 0</formula>
    </cfRule>
  </conditionalFormatting>
  <conditionalFormatting sqref="J15:L16 K37:L37">
    <cfRule type="expression" dxfId="2420" priority="148">
      <formula>$K$37 &gt; 0</formula>
    </cfRule>
    <cfRule type="expression" dxfId="2419" priority="149">
      <formula>$K$37 = 0</formula>
    </cfRule>
    <cfRule type="expression" dxfId="2418" priority="150">
      <formula>$K$37 &lt; 0</formula>
    </cfRule>
  </conditionalFormatting>
  <conditionalFormatting sqref="M15:O16 N37:O37">
    <cfRule type="expression" dxfId="2417" priority="145">
      <formula>$N$37 &gt; 0</formula>
    </cfRule>
    <cfRule type="expression" dxfId="2416" priority="146">
      <formula>$N$37 = 0</formula>
    </cfRule>
    <cfRule type="expression" dxfId="2415" priority="147">
      <formula>$N$37 &lt; 0</formula>
    </cfRule>
  </conditionalFormatting>
  <conditionalFormatting sqref="A44:C63 M44:O63">
    <cfRule type="expression" dxfId="2414" priority="133">
      <formula>AND($N44 &gt; 0, ISNUMBER($N44))</formula>
    </cfRule>
    <cfRule type="expression" dxfId="2413" priority="134">
      <formula>AND($N44 = 0 * ISNUMBER($N44))</formula>
    </cfRule>
    <cfRule type="expression" dxfId="2412" priority="135">
      <formula>AND($N44 &lt; 0, ISNUMBER($N44))</formula>
    </cfRule>
  </conditionalFormatting>
  <conditionalFormatting sqref="A44:F63">
    <cfRule type="expression" dxfId="2411" priority="142">
      <formula>AND($E44 &gt; 0, ISNUMBER($E44))</formula>
    </cfRule>
    <cfRule type="expression" dxfId="2410" priority="143">
      <formula>AND($E44 = 0 * ISNUMBER($E44))</formula>
    </cfRule>
    <cfRule type="expression" dxfId="2409" priority="144">
      <formula>AND($E44 &lt; 0, ISNUMBER($E44))</formula>
    </cfRule>
  </conditionalFormatting>
  <conditionalFormatting sqref="A44:C63 G44:I63">
    <cfRule type="expression" dxfId="2408" priority="139">
      <formula>AND($H44 &gt; 0, ISNUMBER($H44))</formula>
    </cfRule>
    <cfRule type="expression" dxfId="2407" priority="140">
      <formula>AND($H44 = 0 * ISNUMBER($H44))</formula>
    </cfRule>
    <cfRule type="expression" dxfId="2406" priority="141">
      <formula>AND($H44 &lt; 0, ISNUMBER($H44))</formula>
    </cfRule>
  </conditionalFormatting>
  <conditionalFormatting sqref="A44:C63 J44:L63">
    <cfRule type="expression" dxfId="2405" priority="136">
      <formula>AND($K44 &gt; 0, ISNUMBER($K44))</formula>
    </cfRule>
    <cfRule type="expression" dxfId="2404" priority="137">
      <formula>AND($K44 = 0 * ISNUMBER($K44))</formula>
    </cfRule>
    <cfRule type="expression" dxfId="2403" priority="138">
      <formula>AND($K44 &lt; 0, ISNUMBER($K44))</formula>
    </cfRule>
  </conditionalFormatting>
  <conditionalFormatting sqref="D42:F43 E64:F64">
    <cfRule type="expression" dxfId="2402" priority="130">
      <formula>$E$64 &gt; 0</formula>
    </cfRule>
    <cfRule type="expression" dxfId="2401" priority="131">
      <formula>$E$64 = 0</formula>
    </cfRule>
    <cfRule type="expression" dxfId="2400" priority="132">
      <formula>$E$64 &lt; 0</formula>
    </cfRule>
  </conditionalFormatting>
  <conditionalFormatting sqref="G42:I43 H64:I64">
    <cfRule type="expression" dxfId="2399" priority="127">
      <formula>$H$64 &gt; 0</formula>
    </cfRule>
    <cfRule type="expression" dxfId="2398" priority="128">
      <formula>$H$64 = 0</formula>
    </cfRule>
    <cfRule type="expression" dxfId="2397" priority="129">
      <formula>$H$64 &lt; 0</formula>
    </cfRule>
  </conditionalFormatting>
  <conditionalFormatting sqref="J42:L43 K64:L64">
    <cfRule type="expression" dxfId="2396" priority="124">
      <formula>$K$64 &gt; 0</formula>
    </cfRule>
    <cfRule type="expression" dxfId="2395" priority="125">
      <formula>$K$64 = 0</formula>
    </cfRule>
    <cfRule type="expression" dxfId="2394" priority="126">
      <formula>$K$64 &lt; 0</formula>
    </cfRule>
  </conditionalFormatting>
  <conditionalFormatting sqref="M42:O43 N64:O64">
    <cfRule type="expression" dxfId="2393" priority="121">
      <formula>$N$64 &gt; 0</formula>
    </cfRule>
    <cfRule type="expression" dxfId="2392" priority="122">
      <formula>$N$64 = 0</formula>
    </cfRule>
    <cfRule type="expression" dxfId="2391" priority="123">
      <formula>$N$64 &lt; 0</formula>
    </cfRule>
  </conditionalFormatting>
  <conditionalFormatting sqref="A71:C90 M71:O90">
    <cfRule type="expression" dxfId="2390" priority="109">
      <formula>AND($N71 &gt; 0, ISNUMBER($N71))</formula>
    </cfRule>
    <cfRule type="expression" dxfId="2389" priority="110">
      <formula>AND($N71 = 0 * ISNUMBER($N71))</formula>
    </cfRule>
    <cfRule type="expression" dxfId="2388" priority="111">
      <formula>AND($N71 &lt; 0, ISNUMBER($N71))</formula>
    </cfRule>
  </conditionalFormatting>
  <conditionalFormatting sqref="A71:F90">
    <cfRule type="expression" dxfId="2387" priority="118">
      <formula>AND($E71 &gt; 0, ISNUMBER($E71))</formula>
    </cfRule>
    <cfRule type="expression" dxfId="2386" priority="119">
      <formula>AND($E71 = 0 * ISNUMBER($E71))</formula>
    </cfRule>
    <cfRule type="expression" dxfId="2385" priority="120">
      <formula>AND($E71 &lt; 0, ISNUMBER($E71))</formula>
    </cfRule>
  </conditionalFormatting>
  <conditionalFormatting sqref="A71:C90 G71:I90">
    <cfRule type="expression" dxfId="2384" priority="115">
      <formula>AND($H71 &gt; 0, ISNUMBER($H71))</formula>
    </cfRule>
    <cfRule type="expression" dxfId="2383" priority="116">
      <formula>AND($H71 = 0 * ISNUMBER($H71))</formula>
    </cfRule>
    <cfRule type="expression" dxfId="2382" priority="117">
      <formula>AND($H71 &lt; 0, ISNUMBER($H71))</formula>
    </cfRule>
  </conditionalFormatting>
  <conditionalFormatting sqref="A71:C90 J71:L90">
    <cfRule type="expression" dxfId="2381" priority="112">
      <formula>AND($K71 &gt; 0, ISNUMBER($K71))</formula>
    </cfRule>
    <cfRule type="expression" dxfId="2380" priority="113">
      <formula>AND($K71 = 0 * ISNUMBER($K71))</formula>
    </cfRule>
    <cfRule type="expression" dxfId="2379" priority="114">
      <formula>AND($K71 &lt; 0, ISNUMBER($K71))</formula>
    </cfRule>
  </conditionalFormatting>
  <conditionalFormatting sqref="D69:F70 E91:F91">
    <cfRule type="expression" dxfId="2378" priority="106">
      <formula>$E$91 &gt; 0</formula>
    </cfRule>
    <cfRule type="expression" dxfId="2377" priority="107">
      <formula>$E$91 = 0</formula>
    </cfRule>
    <cfRule type="expression" dxfId="2376" priority="108">
      <formula>$E$91 &lt; 0</formula>
    </cfRule>
  </conditionalFormatting>
  <conditionalFormatting sqref="G69:I70 H91:I91">
    <cfRule type="expression" dxfId="2375" priority="103">
      <formula>$H$91 &gt; 0</formula>
    </cfRule>
    <cfRule type="expression" dxfId="2374" priority="104">
      <formula>$H$91 = 0</formula>
    </cfRule>
    <cfRule type="expression" dxfId="2373" priority="105">
      <formula>$H$91 &lt; 0</formula>
    </cfRule>
  </conditionalFormatting>
  <conditionalFormatting sqref="J69:L70 K91:L91">
    <cfRule type="expression" dxfId="2372" priority="100">
      <formula>$K$91 &gt; 0</formula>
    </cfRule>
    <cfRule type="expression" dxfId="2371" priority="101">
      <formula>$K$91 = 0</formula>
    </cfRule>
    <cfRule type="expression" dxfId="2370" priority="102">
      <formula>$K$91 &lt; 0</formula>
    </cfRule>
  </conditionalFormatting>
  <conditionalFormatting sqref="M69:O70 N91:O91">
    <cfRule type="expression" dxfId="2369" priority="97">
      <formula>$N$91 &gt; 0</formula>
    </cfRule>
    <cfRule type="expression" dxfId="2368" priority="98">
      <formula>$N$91 = 0</formula>
    </cfRule>
    <cfRule type="expression" dxfId="2367" priority="99">
      <formula>$N$91 &lt; 0</formula>
    </cfRule>
  </conditionalFormatting>
  <conditionalFormatting sqref="A98:C117 M98:O117">
    <cfRule type="expression" dxfId="2366" priority="85">
      <formula>AND($N98 &gt; 0, ISNUMBER($N98))</formula>
    </cfRule>
    <cfRule type="expression" dxfId="2365" priority="86">
      <formula>AND($N98 = 0 * ISNUMBER($N98))</formula>
    </cfRule>
    <cfRule type="expression" dxfId="2364" priority="87">
      <formula>AND($N98 &lt; 0, ISNUMBER($N98))</formula>
    </cfRule>
  </conditionalFormatting>
  <conditionalFormatting sqref="A98:F117">
    <cfRule type="expression" dxfId="2363" priority="94">
      <formula>AND($E98 &gt; 0, ISNUMBER($E98))</formula>
    </cfRule>
    <cfRule type="expression" dxfId="2362" priority="95">
      <formula>AND($E98 = 0 * ISNUMBER($E98))</formula>
    </cfRule>
    <cfRule type="expression" dxfId="2361" priority="96">
      <formula>AND($E98 &lt; 0, ISNUMBER($E98))</formula>
    </cfRule>
  </conditionalFormatting>
  <conditionalFormatting sqref="A98:C117 G98:I117">
    <cfRule type="expression" dxfId="2360" priority="91">
      <formula>AND($H98 &gt; 0, ISNUMBER($H98))</formula>
    </cfRule>
    <cfRule type="expression" dxfId="2359" priority="92">
      <formula>AND($H98 = 0 * ISNUMBER($H98))</formula>
    </cfRule>
    <cfRule type="expression" dxfId="2358" priority="93">
      <formula>AND($H98 &lt; 0, ISNUMBER($H98))</formula>
    </cfRule>
  </conditionalFormatting>
  <conditionalFormatting sqref="A98:C117 J98:L117">
    <cfRule type="expression" dxfId="2357" priority="88">
      <formula>AND($K98 &gt; 0, ISNUMBER($K98))</formula>
    </cfRule>
    <cfRule type="expression" dxfId="2356" priority="89">
      <formula>AND($K98 = 0 * ISNUMBER($K98))</formula>
    </cfRule>
    <cfRule type="expression" dxfId="2355" priority="90">
      <formula>AND($K98 &lt; 0, ISNUMBER($K98))</formula>
    </cfRule>
  </conditionalFormatting>
  <conditionalFormatting sqref="D96:F97 E118:F118">
    <cfRule type="expression" dxfId="2354" priority="82">
      <formula>$E$118 &gt; 0</formula>
    </cfRule>
    <cfRule type="expression" dxfId="2353" priority="83">
      <formula>$E$118 = 0</formula>
    </cfRule>
    <cfRule type="expression" dxfId="2352" priority="84">
      <formula>$E$118 &lt; 0</formula>
    </cfRule>
  </conditionalFormatting>
  <conditionalFormatting sqref="G96:I97 H118:I118">
    <cfRule type="expression" dxfId="2351" priority="79">
      <formula>$H$118 &gt; 0</formula>
    </cfRule>
    <cfRule type="expression" dxfId="2350" priority="80">
      <formula>$H$118 = 0</formula>
    </cfRule>
    <cfRule type="expression" dxfId="2349" priority="81">
      <formula>$H$118 &lt; 0</formula>
    </cfRule>
  </conditionalFormatting>
  <conditionalFormatting sqref="J96:L97 K118:L118">
    <cfRule type="expression" dxfId="2348" priority="76">
      <formula>$K$118 &gt; 0</formula>
    </cfRule>
    <cfRule type="expression" dxfId="2347" priority="77">
      <formula>$K$118 = 0</formula>
    </cfRule>
    <cfRule type="expression" dxfId="2346" priority="78">
      <formula>$K$118 &lt; 0</formula>
    </cfRule>
  </conditionalFormatting>
  <conditionalFormatting sqref="M96:O97 N118:O118">
    <cfRule type="expression" dxfId="2345" priority="73">
      <formula>$N$118 &gt; 0</formula>
    </cfRule>
    <cfRule type="expression" dxfId="2344" priority="74">
      <formula>$N$118 = 0</formula>
    </cfRule>
    <cfRule type="expression" dxfId="2343" priority="75">
      <formula>$N$118 &lt; 0</formula>
    </cfRule>
  </conditionalFormatting>
  <conditionalFormatting sqref="A125:C144 M125:O144">
    <cfRule type="expression" dxfId="2342" priority="61">
      <formula>AND($N125 &gt; 0, ISNUMBER($N125))</formula>
    </cfRule>
    <cfRule type="expression" dxfId="2341" priority="62">
      <formula>AND($N125 = 0 * ISNUMBER($N125))</formula>
    </cfRule>
    <cfRule type="expression" dxfId="2340" priority="63">
      <formula>AND($N125 &lt; 0, ISNUMBER($N125))</formula>
    </cfRule>
  </conditionalFormatting>
  <conditionalFormatting sqref="A125:F144">
    <cfRule type="expression" dxfId="2339" priority="70">
      <formula>AND($E125 &gt; 0, ISNUMBER($E125))</formula>
    </cfRule>
    <cfRule type="expression" dxfId="2338" priority="71">
      <formula>AND($E125 = 0 * ISNUMBER($E125))</formula>
    </cfRule>
    <cfRule type="expression" dxfId="2337" priority="72">
      <formula>AND($E125 &lt; 0, ISNUMBER($E125))</formula>
    </cfRule>
  </conditionalFormatting>
  <conditionalFormatting sqref="A125:C144 G125:I144">
    <cfRule type="expression" dxfId="2336" priority="67">
      <formula>AND($H125 &gt; 0, ISNUMBER($H125))</formula>
    </cfRule>
    <cfRule type="expression" dxfId="2335" priority="68">
      <formula>AND($H125 = 0 * ISNUMBER($H125))</formula>
    </cfRule>
    <cfRule type="expression" dxfId="2334" priority="69">
      <formula>AND($H125 &lt; 0, ISNUMBER($H125))</formula>
    </cfRule>
  </conditionalFormatting>
  <conditionalFormatting sqref="A125:C144 J125:L144">
    <cfRule type="expression" dxfId="2333" priority="64">
      <formula>AND($K125 &gt; 0, ISNUMBER($K125))</formula>
    </cfRule>
    <cfRule type="expression" dxfId="2332" priority="65">
      <formula>AND($K125 = 0 * ISNUMBER($K125))</formula>
    </cfRule>
    <cfRule type="expression" dxfId="2331" priority="66">
      <formula>AND($K125 &lt; 0, ISNUMBER($K125))</formula>
    </cfRule>
  </conditionalFormatting>
  <conditionalFormatting sqref="D123:F124 E145:F145">
    <cfRule type="expression" dxfId="2330" priority="58">
      <formula>$E$145 &gt; 0</formula>
    </cfRule>
    <cfRule type="expression" dxfId="2329" priority="59">
      <formula>$E$145 = 0</formula>
    </cfRule>
    <cfRule type="expression" dxfId="2328" priority="60">
      <formula>$E$145 &lt; 0</formula>
    </cfRule>
  </conditionalFormatting>
  <conditionalFormatting sqref="G123:I124 H145:I145">
    <cfRule type="expression" dxfId="2327" priority="55">
      <formula>$H$145 &gt; 0</formula>
    </cfRule>
    <cfRule type="expression" dxfId="2326" priority="56">
      <formula>$H$145 = 0</formula>
    </cfRule>
    <cfRule type="expression" dxfId="2325" priority="57">
      <formula>$H$145 &lt; 0</formula>
    </cfRule>
  </conditionalFormatting>
  <conditionalFormatting sqref="J123:L124 K145:L145">
    <cfRule type="expression" dxfId="2324" priority="52">
      <formula>$K$145 &gt; 0</formula>
    </cfRule>
    <cfRule type="expression" dxfId="2323" priority="53">
      <formula>$K$145 = 0</formula>
    </cfRule>
    <cfRule type="expression" dxfId="2322" priority="54">
      <formula>$K$145 &lt; 0</formula>
    </cfRule>
  </conditionalFormatting>
  <conditionalFormatting sqref="M123:O124 N145:O145">
    <cfRule type="expression" dxfId="2321" priority="49">
      <formula>$N$145 &gt; 0</formula>
    </cfRule>
    <cfRule type="expression" dxfId="2320" priority="50">
      <formula>$N$145 = 0</formula>
    </cfRule>
    <cfRule type="expression" dxfId="2319" priority="51">
      <formula>$N$145 &lt; 0</formula>
    </cfRule>
  </conditionalFormatting>
  <conditionalFormatting sqref="A152:C171 M152:O171">
    <cfRule type="expression" dxfId="2318" priority="37">
      <formula>AND($N152 &gt; 0, ISNUMBER($N152))</formula>
    </cfRule>
    <cfRule type="expression" dxfId="2317" priority="38">
      <formula>AND($N152 = 0 * ISNUMBER($N152))</formula>
    </cfRule>
    <cfRule type="expression" dxfId="2316" priority="39">
      <formula>AND($N152 &lt; 0, ISNUMBER($N152))</formula>
    </cfRule>
  </conditionalFormatting>
  <conditionalFormatting sqref="A152:F171">
    <cfRule type="expression" dxfId="2315" priority="46">
      <formula>AND($E152 &gt; 0, ISNUMBER($E152))</formula>
    </cfRule>
    <cfRule type="expression" dxfId="2314" priority="47">
      <formula>AND($E152 = 0 * ISNUMBER($E152))</formula>
    </cfRule>
    <cfRule type="expression" dxfId="2313" priority="48">
      <formula>AND($E152 &lt; 0, ISNUMBER($E152))</formula>
    </cfRule>
  </conditionalFormatting>
  <conditionalFormatting sqref="A152:C171 G152:I171">
    <cfRule type="expression" dxfId="2312" priority="43">
      <formula>AND($H152 &gt; 0, ISNUMBER($H152))</formula>
    </cfRule>
    <cfRule type="expression" dxfId="2311" priority="44">
      <formula>AND($H152 = 0 * ISNUMBER($H152))</formula>
    </cfRule>
    <cfRule type="expression" dxfId="2310" priority="45">
      <formula>AND($H152 &lt; 0, ISNUMBER($H152))</formula>
    </cfRule>
  </conditionalFormatting>
  <conditionalFormatting sqref="A152:C171 J152:L171">
    <cfRule type="expression" dxfId="2309" priority="40">
      <formula>AND($K152 &gt; 0, ISNUMBER($K152))</formula>
    </cfRule>
    <cfRule type="expression" dxfId="2308" priority="41">
      <formula>AND($K152 = 0 * ISNUMBER($K152))</formula>
    </cfRule>
    <cfRule type="expression" dxfId="2307" priority="42">
      <formula>AND($K152 &lt; 0, ISNUMBER($K152))</formula>
    </cfRule>
  </conditionalFormatting>
  <conditionalFormatting sqref="D150:F151 E172:F172">
    <cfRule type="expression" dxfId="2306" priority="34">
      <formula>$E$172 &gt; 0</formula>
    </cfRule>
    <cfRule type="expression" dxfId="2305" priority="35">
      <formula>$E$172 = 0</formula>
    </cfRule>
    <cfRule type="expression" dxfId="2304" priority="36">
      <formula>$E$172 &lt; 0</formula>
    </cfRule>
  </conditionalFormatting>
  <conditionalFormatting sqref="G150:I151 H172:I172">
    <cfRule type="expression" dxfId="2303" priority="31">
      <formula>$H$172 &gt; 0</formula>
    </cfRule>
    <cfRule type="expression" dxfId="2302" priority="32">
      <formula>$H$172 = 0</formula>
    </cfRule>
    <cfRule type="expression" dxfId="2301" priority="33">
      <formula>$H$172 &lt; 0</formula>
    </cfRule>
  </conditionalFormatting>
  <conditionalFormatting sqref="J150:L151 K172:L172">
    <cfRule type="expression" dxfId="2300" priority="28">
      <formula>$K$172 &gt; 0</formula>
    </cfRule>
    <cfRule type="expression" dxfId="2299" priority="29">
      <formula>$K$172 = 0</formula>
    </cfRule>
    <cfRule type="expression" dxfId="2298" priority="30">
      <formula>$K$172 &lt; 0</formula>
    </cfRule>
  </conditionalFormatting>
  <conditionalFormatting sqref="M150:O151 N172:O172">
    <cfRule type="expression" dxfId="2297" priority="25">
      <formula>$N$172 &gt; 0</formula>
    </cfRule>
    <cfRule type="expression" dxfId="2296" priority="26">
      <formula>$N$172 = 0</formula>
    </cfRule>
    <cfRule type="expression" dxfId="2295" priority="27">
      <formula>$N$172 &lt; 0</formula>
    </cfRule>
  </conditionalFormatting>
  <conditionalFormatting sqref="A179:C198 M179:O198">
    <cfRule type="expression" dxfId="2294" priority="13">
      <formula>AND($N179 &gt; 0, ISNUMBER($N179))</formula>
    </cfRule>
    <cfRule type="expression" dxfId="2293" priority="14">
      <formula>AND($N179 = 0 * ISNUMBER($N179))</formula>
    </cfRule>
    <cfRule type="expression" dxfId="2292" priority="15">
      <formula>AND($N179 &lt; 0, ISNUMBER($N179))</formula>
    </cfRule>
  </conditionalFormatting>
  <conditionalFormatting sqref="A179:F198">
    <cfRule type="expression" dxfId="2291" priority="22">
      <formula>AND($E179 &gt; 0, ISNUMBER($E179))</formula>
    </cfRule>
    <cfRule type="expression" dxfId="2290" priority="23">
      <formula>AND($E179 = 0 * ISNUMBER($E179))</formula>
    </cfRule>
    <cfRule type="expression" dxfId="2289" priority="24">
      <formula>AND($E179 &lt; 0, ISNUMBER($E179))</formula>
    </cfRule>
  </conditionalFormatting>
  <conditionalFormatting sqref="A179:C198 G179:I198">
    <cfRule type="expression" dxfId="2288" priority="19">
      <formula>AND($H179 &gt; 0, ISNUMBER($H179))</formula>
    </cfRule>
    <cfRule type="expression" dxfId="2287" priority="20">
      <formula>AND($H179 = 0 * ISNUMBER($H179))</formula>
    </cfRule>
    <cfRule type="expression" dxfId="2286" priority="21">
      <formula>AND($H179 &lt; 0, ISNUMBER($H179))</formula>
    </cfRule>
  </conditionalFormatting>
  <conditionalFormatting sqref="A179:C198 J179:L198">
    <cfRule type="expression" dxfId="2285" priority="16">
      <formula>AND($K179 &gt; 0, ISNUMBER($K179))</formula>
    </cfRule>
    <cfRule type="expression" dxfId="2284" priority="17">
      <formula>AND($K179 = 0 * ISNUMBER($K179))</formula>
    </cfRule>
    <cfRule type="expression" dxfId="2283" priority="18">
      <formula>AND($K179 &lt; 0, ISNUMBER($K179))</formula>
    </cfRule>
  </conditionalFormatting>
  <conditionalFormatting sqref="D177:F178 E199:F199">
    <cfRule type="expression" dxfId="2282" priority="10">
      <formula>$E$199 &gt; 0</formula>
    </cfRule>
    <cfRule type="expression" dxfId="2281" priority="11">
      <formula>$E$199 = 0</formula>
    </cfRule>
    <cfRule type="expression" dxfId="2280" priority="12">
      <formula>$E$199 &lt; 0</formula>
    </cfRule>
  </conditionalFormatting>
  <conditionalFormatting sqref="G177:I178 H199:I199">
    <cfRule type="expression" dxfId="2279" priority="7">
      <formula>$H$199 &gt; 0</formula>
    </cfRule>
    <cfRule type="expression" dxfId="2278" priority="8">
      <formula>$H$199 = 0</formula>
    </cfRule>
    <cfRule type="expression" dxfId="2277" priority="9">
      <formula>$H$199 &lt; 0</formula>
    </cfRule>
  </conditionalFormatting>
  <conditionalFormatting sqref="J177:L178 K199:L199">
    <cfRule type="expression" dxfId="2276" priority="4">
      <formula>$K$199 &gt; 0</formula>
    </cfRule>
    <cfRule type="expression" dxfId="2275" priority="5">
      <formula>$K$199 = 0</formula>
    </cfRule>
    <cfRule type="expression" dxfId="2274" priority="6">
      <formula>$K$199 &lt; 0</formula>
    </cfRule>
  </conditionalFormatting>
  <conditionalFormatting sqref="M177:O178 N199:O199">
    <cfRule type="expression" dxfId="2273" priority="1">
      <formula>$N$199 &gt; 0</formula>
    </cfRule>
    <cfRule type="expression" dxfId="2272" priority="2">
      <formula>$N$199 = 0</formula>
    </cfRule>
    <cfRule type="expression" dxfId="227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2021-05-05T19:52:12Z</dcterms:modified>
</cp:coreProperties>
</file>