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drawings/drawing4.xml" ContentType="application/vnd.openxmlformats-officedocument.drawing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5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6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drawings/drawing7.xml" ContentType="application/vnd.openxmlformats-officedocument.drawing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drawings/drawing8.xml" ContentType="application/vnd.openxmlformats-officedocument.drawing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drawings/drawing9.xml" ContentType="application/vnd.openxmlformats-officedocument.drawing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E3E4C2E4-6AC2-47D1-B448-90FB86AFA934}" xr6:coauthVersionLast="46" xr6:coauthVersionMax="46" xr10:uidLastSave="{00000000-0000-0000-0000-000000000000}"/>
  <bookViews>
    <workbookView xWindow="28680" yWindow="-120" windowWidth="29040" windowHeight="15840" firstSheet="1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2" i="9" l="1"/>
  <c r="A204" i="9"/>
  <c r="A166" i="9"/>
  <c r="A128" i="9"/>
  <c r="A90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A52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A14" i="9"/>
  <c r="B199" i="28"/>
  <c r="O198" i="28"/>
  <c r="N198" i="28"/>
  <c r="L198" i="28"/>
  <c r="K198" i="28"/>
  <c r="I198" i="28"/>
  <c r="H198" i="28"/>
  <c r="E198" i="28"/>
  <c r="F198" i="28" s="1"/>
  <c r="O197" i="28"/>
  <c r="N197" i="28"/>
  <c r="L197" i="28"/>
  <c r="K197" i="28"/>
  <c r="I197" i="28"/>
  <c r="H197" i="28"/>
  <c r="E197" i="28"/>
  <c r="F197" i="28" s="1"/>
  <c r="O196" i="28"/>
  <c r="N196" i="28"/>
  <c r="L196" i="28"/>
  <c r="K196" i="28"/>
  <c r="I196" i="28"/>
  <c r="H196" i="28"/>
  <c r="E196" i="28"/>
  <c r="F196" i="28" s="1"/>
  <c r="O195" i="28"/>
  <c r="N195" i="28"/>
  <c r="L195" i="28"/>
  <c r="K195" i="28"/>
  <c r="I195" i="28"/>
  <c r="H195" i="28"/>
  <c r="E195" i="28"/>
  <c r="F195" i="28" s="1"/>
  <c r="O194" i="28"/>
  <c r="N194" i="28"/>
  <c r="L194" i="28"/>
  <c r="K194" i="28"/>
  <c r="I194" i="28"/>
  <c r="H194" i="28"/>
  <c r="E194" i="28"/>
  <c r="F194" i="28" s="1"/>
  <c r="O193" i="28"/>
  <c r="N193" i="28"/>
  <c r="L193" i="28"/>
  <c r="K193" i="28"/>
  <c r="I193" i="28"/>
  <c r="H193" i="28"/>
  <c r="E193" i="28"/>
  <c r="F193" i="28" s="1"/>
  <c r="O192" i="28"/>
  <c r="N192" i="28"/>
  <c r="L192" i="28"/>
  <c r="K192" i="28"/>
  <c r="I192" i="28"/>
  <c r="H192" i="28"/>
  <c r="E192" i="28"/>
  <c r="F192" i="28" s="1"/>
  <c r="O191" i="28"/>
  <c r="N191" i="28"/>
  <c r="L191" i="28"/>
  <c r="K191" i="28"/>
  <c r="I191" i="28"/>
  <c r="H191" i="28"/>
  <c r="E191" i="28"/>
  <c r="F191" i="28" s="1"/>
  <c r="O190" i="28"/>
  <c r="N190" i="28"/>
  <c r="L190" i="28"/>
  <c r="K190" i="28"/>
  <c r="I190" i="28"/>
  <c r="H190" i="28"/>
  <c r="E190" i="28"/>
  <c r="F190" i="28" s="1"/>
  <c r="O189" i="28"/>
  <c r="N189" i="28"/>
  <c r="L189" i="28"/>
  <c r="K189" i="28"/>
  <c r="I189" i="28"/>
  <c r="H189" i="28"/>
  <c r="E189" i="28"/>
  <c r="F189" i="28" s="1"/>
  <c r="O188" i="28"/>
  <c r="N188" i="28"/>
  <c r="L188" i="28"/>
  <c r="K188" i="28"/>
  <c r="I188" i="28"/>
  <c r="H188" i="28"/>
  <c r="E188" i="28"/>
  <c r="F188" i="28" s="1"/>
  <c r="O187" i="28"/>
  <c r="N187" i="28"/>
  <c r="L187" i="28"/>
  <c r="K187" i="28"/>
  <c r="I187" i="28"/>
  <c r="H187" i="28"/>
  <c r="E187" i="28"/>
  <c r="F187" i="28" s="1"/>
  <c r="O186" i="28"/>
  <c r="N186" i="28"/>
  <c r="L186" i="28"/>
  <c r="K186" i="28"/>
  <c r="I186" i="28"/>
  <c r="H186" i="28"/>
  <c r="E186" i="28"/>
  <c r="F186" i="28" s="1"/>
  <c r="O185" i="28"/>
  <c r="N185" i="28"/>
  <c r="L185" i="28"/>
  <c r="K185" i="28"/>
  <c r="I185" i="28"/>
  <c r="H185" i="28"/>
  <c r="E185" i="28"/>
  <c r="F185" i="28" s="1"/>
  <c r="O184" i="28"/>
  <c r="N184" i="28"/>
  <c r="L184" i="28"/>
  <c r="K184" i="28"/>
  <c r="I184" i="28"/>
  <c r="H184" i="28"/>
  <c r="E184" i="28"/>
  <c r="F184" i="28" s="1"/>
  <c r="O183" i="28"/>
  <c r="N183" i="28"/>
  <c r="L183" i="28"/>
  <c r="K183" i="28"/>
  <c r="I183" i="28"/>
  <c r="H183" i="28"/>
  <c r="E183" i="28"/>
  <c r="F183" i="28" s="1"/>
  <c r="O182" i="28"/>
  <c r="N182" i="28"/>
  <c r="L182" i="28"/>
  <c r="K182" i="28"/>
  <c r="I182" i="28"/>
  <c r="H182" i="28"/>
  <c r="E182" i="28"/>
  <c r="F182" i="28" s="1"/>
  <c r="O181" i="28"/>
  <c r="N181" i="28"/>
  <c r="L181" i="28"/>
  <c r="K181" i="28"/>
  <c r="I181" i="28"/>
  <c r="H181" i="28"/>
  <c r="E181" i="28"/>
  <c r="F181" i="28" s="1"/>
  <c r="O180" i="28"/>
  <c r="N180" i="28"/>
  <c r="L180" i="28"/>
  <c r="K180" i="28"/>
  <c r="I180" i="28"/>
  <c r="H180" i="28"/>
  <c r="E180" i="28"/>
  <c r="F180" i="28" s="1"/>
  <c r="O179" i="28"/>
  <c r="O199" i="28" s="1"/>
  <c r="N179" i="28"/>
  <c r="N199" i="28" s="1"/>
  <c r="L179" i="28"/>
  <c r="L199" i="28" s="1"/>
  <c r="K179" i="28"/>
  <c r="K199" i="28" s="1"/>
  <c r="I179" i="28"/>
  <c r="I199" i="28" s="1"/>
  <c r="H179" i="28"/>
  <c r="H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I171" i="28"/>
  <c r="H171" i="28"/>
  <c r="E171" i="28"/>
  <c r="F171" i="28" s="1"/>
  <c r="O170" i="28"/>
  <c r="N170" i="28"/>
  <c r="L170" i="28"/>
  <c r="K170" i="28"/>
  <c r="I170" i="28"/>
  <c r="H170" i="28"/>
  <c r="E170" i="28"/>
  <c r="F170" i="28" s="1"/>
  <c r="O169" i="28"/>
  <c r="N169" i="28"/>
  <c r="L169" i="28"/>
  <c r="K169" i="28"/>
  <c r="I169" i="28"/>
  <c r="H169" i="28"/>
  <c r="E169" i="28"/>
  <c r="F169" i="28" s="1"/>
  <c r="O168" i="28"/>
  <c r="N168" i="28"/>
  <c r="L168" i="28"/>
  <c r="K168" i="28"/>
  <c r="I168" i="28"/>
  <c r="H168" i="28"/>
  <c r="E168" i="28"/>
  <c r="F168" i="28" s="1"/>
  <c r="O167" i="28"/>
  <c r="N167" i="28"/>
  <c r="L167" i="28"/>
  <c r="K167" i="28"/>
  <c r="I167" i="28"/>
  <c r="H167" i="28"/>
  <c r="E167" i="28"/>
  <c r="F167" i="28" s="1"/>
  <c r="O166" i="28"/>
  <c r="N166" i="28"/>
  <c r="L166" i="28"/>
  <c r="K166" i="28"/>
  <c r="I166" i="28"/>
  <c r="H166" i="28"/>
  <c r="E166" i="28"/>
  <c r="F166" i="28" s="1"/>
  <c r="O165" i="28"/>
  <c r="N165" i="28"/>
  <c r="L165" i="28"/>
  <c r="K165" i="28"/>
  <c r="I165" i="28"/>
  <c r="H165" i="28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I163" i="28"/>
  <c r="H163" i="28"/>
  <c r="E163" i="28"/>
  <c r="F163" i="28" s="1"/>
  <c r="O162" i="28"/>
  <c r="N162" i="28"/>
  <c r="L162" i="28"/>
  <c r="K162" i="28"/>
  <c r="I162" i="28"/>
  <c r="H162" i="28"/>
  <c r="E162" i="28"/>
  <c r="F162" i="28" s="1"/>
  <c r="O161" i="28"/>
  <c r="N161" i="28"/>
  <c r="L161" i="28"/>
  <c r="K161" i="28"/>
  <c r="I161" i="28"/>
  <c r="H161" i="28"/>
  <c r="E161" i="28"/>
  <c r="F161" i="28" s="1"/>
  <c r="O160" i="28"/>
  <c r="N160" i="28"/>
  <c r="L160" i="28"/>
  <c r="K160" i="28"/>
  <c r="I160" i="28"/>
  <c r="H160" i="28"/>
  <c r="E160" i="28"/>
  <c r="F160" i="28" s="1"/>
  <c r="O159" i="28"/>
  <c r="N159" i="28"/>
  <c r="L159" i="28"/>
  <c r="K159" i="28"/>
  <c r="I159" i="28"/>
  <c r="H159" i="28"/>
  <c r="E159" i="28"/>
  <c r="F159" i="28" s="1"/>
  <c r="O158" i="28"/>
  <c r="N158" i="28"/>
  <c r="L158" i="28"/>
  <c r="K158" i="28"/>
  <c r="I158" i="28"/>
  <c r="H158" i="28"/>
  <c r="E158" i="28"/>
  <c r="F158" i="28" s="1"/>
  <c r="O157" i="28"/>
  <c r="N157" i="28"/>
  <c r="L157" i="28"/>
  <c r="K157" i="28"/>
  <c r="I157" i="28"/>
  <c r="H157" i="28"/>
  <c r="E157" i="28"/>
  <c r="F157" i="28" s="1"/>
  <c r="O156" i="28"/>
  <c r="N156" i="28"/>
  <c r="L156" i="28"/>
  <c r="K156" i="28"/>
  <c r="I156" i="28"/>
  <c r="H156" i="28"/>
  <c r="E156" i="28"/>
  <c r="F156" i="28" s="1"/>
  <c r="O155" i="28"/>
  <c r="N155" i="28"/>
  <c r="L155" i="28"/>
  <c r="K155" i="28"/>
  <c r="I155" i="28"/>
  <c r="H155" i="28"/>
  <c r="E155" i="28"/>
  <c r="F155" i="28" s="1"/>
  <c r="O154" i="28"/>
  <c r="N154" i="28"/>
  <c r="L154" i="28"/>
  <c r="K154" i="28"/>
  <c r="I154" i="28"/>
  <c r="H154" i="28"/>
  <c r="E154" i="28"/>
  <c r="F154" i="28" s="1"/>
  <c r="O153" i="28"/>
  <c r="N153" i="28"/>
  <c r="L153" i="28"/>
  <c r="K153" i="28"/>
  <c r="I153" i="28"/>
  <c r="H153" i="28"/>
  <c r="E153" i="28"/>
  <c r="F153" i="28" s="1"/>
  <c r="O152" i="28"/>
  <c r="N152" i="28"/>
  <c r="N172" i="28" s="1"/>
  <c r="L152" i="28"/>
  <c r="K152" i="28"/>
  <c r="I152" i="28"/>
  <c r="H152" i="28"/>
  <c r="H17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E141" i="28"/>
  <c r="F141" i="28" s="1"/>
  <c r="O140" i="28"/>
  <c r="N140" i="28"/>
  <c r="L140" i="28"/>
  <c r="K140" i="28"/>
  <c r="I140" i="28"/>
  <c r="H140" i="28"/>
  <c r="E140" i="28"/>
  <c r="F140" i="28" s="1"/>
  <c r="O139" i="28"/>
  <c r="N139" i="28"/>
  <c r="L139" i="28"/>
  <c r="K139" i="28"/>
  <c r="I139" i="28"/>
  <c r="H139" i="28"/>
  <c r="E139" i="28"/>
  <c r="F139" i="28" s="1"/>
  <c r="O138" i="28"/>
  <c r="N138" i="28"/>
  <c r="L138" i="28"/>
  <c r="K138" i="28"/>
  <c r="I138" i="28"/>
  <c r="H138" i="28"/>
  <c r="E138" i="28"/>
  <c r="F138" i="28" s="1"/>
  <c r="O137" i="28"/>
  <c r="N137" i="28"/>
  <c r="L137" i="28"/>
  <c r="K137" i="28"/>
  <c r="I137" i="28"/>
  <c r="H137" i="28"/>
  <c r="E137" i="28"/>
  <c r="F137" i="28" s="1"/>
  <c r="O136" i="28"/>
  <c r="N136" i="28"/>
  <c r="L136" i="28"/>
  <c r="K136" i="28"/>
  <c r="I136" i="28"/>
  <c r="H136" i="28"/>
  <c r="E136" i="28"/>
  <c r="F136" i="28" s="1"/>
  <c r="O135" i="28"/>
  <c r="N135" i="28"/>
  <c r="L135" i="28"/>
  <c r="K135" i="28"/>
  <c r="I135" i="28"/>
  <c r="H135" i="28"/>
  <c r="E135" i="28"/>
  <c r="F135" i="28" s="1"/>
  <c r="O134" i="28"/>
  <c r="N134" i="28"/>
  <c r="L134" i="28"/>
  <c r="K134" i="28"/>
  <c r="I134" i="28"/>
  <c r="H134" i="28"/>
  <c r="E134" i="28"/>
  <c r="F134" i="28" s="1"/>
  <c r="O133" i="28"/>
  <c r="N133" i="28"/>
  <c r="L133" i="28"/>
  <c r="K133" i="28"/>
  <c r="I133" i="28"/>
  <c r="H133" i="28"/>
  <c r="E133" i="28"/>
  <c r="F133" i="28" s="1"/>
  <c r="O132" i="28"/>
  <c r="N132" i="28"/>
  <c r="L132" i="28"/>
  <c r="K132" i="28"/>
  <c r="I132" i="28"/>
  <c r="H132" i="28"/>
  <c r="E132" i="28"/>
  <c r="F132" i="28" s="1"/>
  <c r="O131" i="28"/>
  <c r="N131" i="28"/>
  <c r="L131" i="28"/>
  <c r="K131" i="28"/>
  <c r="I131" i="28"/>
  <c r="H131" i="28"/>
  <c r="E131" i="28"/>
  <c r="F131" i="28" s="1"/>
  <c r="O130" i="28"/>
  <c r="N130" i="28"/>
  <c r="L130" i="28"/>
  <c r="K130" i="28"/>
  <c r="I130" i="28"/>
  <c r="H130" i="28"/>
  <c r="E130" i="28"/>
  <c r="F130" i="28" s="1"/>
  <c r="O129" i="28"/>
  <c r="N129" i="28"/>
  <c r="L129" i="28"/>
  <c r="K129" i="28"/>
  <c r="I129" i="28"/>
  <c r="H129" i="28"/>
  <c r="E129" i="28"/>
  <c r="F129" i="28" s="1"/>
  <c r="O128" i="28"/>
  <c r="N128" i="28"/>
  <c r="L128" i="28"/>
  <c r="K128" i="28"/>
  <c r="I128" i="28"/>
  <c r="H128" i="28"/>
  <c r="E128" i="28"/>
  <c r="F128" i="28" s="1"/>
  <c r="O127" i="28"/>
  <c r="N127" i="28"/>
  <c r="L127" i="28"/>
  <c r="K127" i="28"/>
  <c r="I127" i="28"/>
  <c r="H127" i="28"/>
  <c r="E127" i="28"/>
  <c r="F127" i="28" s="1"/>
  <c r="O126" i="28"/>
  <c r="N126" i="28"/>
  <c r="L126" i="28"/>
  <c r="K126" i="28"/>
  <c r="K145" i="28" s="1"/>
  <c r="I126" i="28"/>
  <c r="H126" i="28"/>
  <c r="E126" i="28"/>
  <c r="O125" i="28"/>
  <c r="O145" i="28" s="1"/>
  <c r="N125" i="28"/>
  <c r="N145" i="28" s="1"/>
  <c r="L125" i="28"/>
  <c r="K125" i="28"/>
  <c r="I125" i="28"/>
  <c r="I145" i="28" s="1"/>
  <c r="H125" i="28"/>
  <c r="H145" i="28" s="1"/>
  <c r="E125" i="28"/>
  <c r="F125" i="28" s="1"/>
  <c r="M123" i="28"/>
  <c r="J123" i="28"/>
  <c r="G123" i="28"/>
  <c r="D123" i="28"/>
  <c r="B123" i="28"/>
  <c r="M122" i="28"/>
  <c r="G122" i="28"/>
  <c r="B118" i="28"/>
  <c r="O117" i="28"/>
  <c r="N117" i="28"/>
  <c r="L117" i="28"/>
  <c r="K117" i="28"/>
  <c r="I117" i="28"/>
  <c r="H117" i="28"/>
  <c r="E117" i="28"/>
  <c r="F117" i="28" s="1"/>
  <c r="O116" i="28"/>
  <c r="N116" i="28"/>
  <c r="L116" i="28"/>
  <c r="K116" i="28"/>
  <c r="I116" i="28"/>
  <c r="H116" i="28"/>
  <c r="E116" i="28"/>
  <c r="F116" i="28" s="1"/>
  <c r="O115" i="28"/>
  <c r="N115" i="28"/>
  <c r="L115" i="28"/>
  <c r="K115" i="28"/>
  <c r="I115" i="28"/>
  <c r="H115" i="28"/>
  <c r="E115" i="28"/>
  <c r="F115" i="28" s="1"/>
  <c r="O114" i="28"/>
  <c r="N114" i="28"/>
  <c r="L114" i="28"/>
  <c r="K114" i="28"/>
  <c r="I114" i="28"/>
  <c r="H114" i="28"/>
  <c r="E114" i="28"/>
  <c r="F114" i="28" s="1"/>
  <c r="F33" i="28" s="1"/>
  <c r="O113" i="28"/>
  <c r="N113" i="28"/>
  <c r="L113" i="28"/>
  <c r="K113" i="28"/>
  <c r="I113" i="28"/>
  <c r="H113" i="28"/>
  <c r="E113" i="28"/>
  <c r="F113" i="28" s="1"/>
  <c r="O112" i="28"/>
  <c r="N112" i="28"/>
  <c r="L112" i="28"/>
  <c r="K112" i="28"/>
  <c r="I112" i="28"/>
  <c r="H112" i="28"/>
  <c r="E112" i="28"/>
  <c r="F112" i="28" s="1"/>
  <c r="O111" i="28"/>
  <c r="N111" i="28"/>
  <c r="L111" i="28"/>
  <c r="K111" i="28"/>
  <c r="I111" i="28"/>
  <c r="H111" i="28"/>
  <c r="E111" i="28"/>
  <c r="F111" i="28" s="1"/>
  <c r="O110" i="28"/>
  <c r="N110" i="28"/>
  <c r="L110" i="28"/>
  <c r="K110" i="28"/>
  <c r="I110" i="28"/>
  <c r="H110" i="28"/>
  <c r="E110" i="28"/>
  <c r="F110" i="28" s="1"/>
  <c r="O109" i="28"/>
  <c r="N109" i="28"/>
  <c r="L109" i="28"/>
  <c r="K109" i="28"/>
  <c r="I109" i="28"/>
  <c r="H109" i="28"/>
  <c r="E109" i="28"/>
  <c r="F109" i="28" s="1"/>
  <c r="O108" i="28"/>
  <c r="N108" i="28"/>
  <c r="L108" i="28"/>
  <c r="K108" i="28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O106" i="28"/>
  <c r="N106" i="28"/>
  <c r="L106" i="28"/>
  <c r="K106" i="28"/>
  <c r="I106" i="28"/>
  <c r="H106" i="28"/>
  <c r="E106" i="28"/>
  <c r="F106" i="28" s="1"/>
  <c r="O105" i="28"/>
  <c r="N105" i="28"/>
  <c r="L105" i="28"/>
  <c r="K105" i="28"/>
  <c r="I105" i="28"/>
  <c r="H105" i="28"/>
  <c r="E105" i="28"/>
  <c r="F105" i="28" s="1"/>
  <c r="O104" i="28"/>
  <c r="N104" i="28"/>
  <c r="L104" i="28"/>
  <c r="K104" i="28"/>
  <c r="I104" i="28"/>
  <c r="H104" i="28"/>
  <c r="E104" i="28"/>
  <c r="F104" i="28" s="1"/>
  <c r="O103" i="28"/>
  <c r="N103" i="28"/>
  <c r="L103" i="28"/>
  <c r="K103" i="28"/>
  <c r="I103" i="28"/>
  <c r="H103" i="28"/>
  <c r="E103" i="28"/>
  <c r="F103" i="28" s="1"/>
  <c r="O102" i="28"/>
  <c r="N102" i="28"/>
  <c r="L102" i="28"/>
  <c r="K102" i="28"/>
  <c r="I102" i="28"/>
  <c r="H102" i="28"/>
  <c r="E102" i="28"/>
  <c r="F102" i="28" s="1"/>
  <c r="O101" i="28"/>
  <c r="N101" i="28"/>
  <c r="L101" i="28"/>
  <c r="K101" i="28"/>
  <c r="I101" i="28"/>
  <c r="H101" i="28"/>
  <c r="E101" i="28"/>
  <c r="F101" i="28" s="1"/>
  <c r="O100" i="28"/>
  <c r="N100" i="28"/>
  <c r="L100" i="28"/>
  <c r="K100" i="28"/>
  <c r="I100" i="28"/>
  <c r="H100" i="28"/>
  <c r="E100" i="28"/>
  <c r="F100" i="28" s="1"/>
  <c r="O99" i="28"/>
  <c r="N99" i="28"/>
  <c r="L99" i="28"/>
  <c r="K99" i="28"/>
  <c r="K118" i="28" s="1"/>
  <c r="I99" i="28"/>
  <c r="H99" i="28"/>
  <c r="E99" i="28"/>
  <c r="F99" i="28" s="1"/>
  <c r="O98" i="28"/>
  <c r="N98" i="28"/>
  <c r="N118" i="28" s="1"/>
  <c r="L98" i="28"/>
  <c r="L118" i="28" s="1"/>
  <c r="K98" i="28"/>
  <c r="I98" i="28"/>
  <c r="I118" i="28" s="1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I90" i="28"/>
  <c r="H90" i="28"/>
  <c r="E90" i="28"/>
  <c r="F90" i="28" s="1"/>
  <c r="O89" i="28"/>
  <c r="N89" i="28"/>
  <c r="L89" i="28"/>
  <c r="K89" i="28"/>
  <c r="I89" i="28"/>
  <c r="H89" i="28"/>
  <c r="E89" i="28"/>
  <c r="F89" i="28" s="1"/>
  <c r="O88" i="28"/>
  <c r="N88" i="28"/>
  <c r="L88" i="28"/>
  <c r="K88" i="28"/>
  <c r="I88" i="28"/>
  <c r="H88" i="28"/>
  <c r="E88" i="28"/>
  <c r="F88" i="28" s="1"/>
  <c r="O87" i="28"/>
  <c r="N87" i="28"/>
  <c r="L87" i="28"/>
  <c r="K87" i="28"/>
  <c r="I87" i="28"/>
  <c r="H87" i="28"/>
  <c r="E87" i="28"/>
  <c r="F87" i="28" s="1"/>
  <c r="O86" i="28"/>
  <c r="N86" i="28"/>
  <c r="L86" i="28"/>
  <c r="K86" i="28"/>
  <c r="I86" i="28"/>
  <c r="H86" i="28"/>
  <c r="E86" i="28"/>
  <c r="F86" i="28" s="1"/>
  <c r="O85" i="28"/>
  <c r="N85" i="28"/>
  <c r="L85" i="28"/>
  <c r="K85" i="28"/>
  <c r="I85" i="28"/>
  <c r="H85" i="28"/>
  <c r="E85" i="28"/>
  <c r="F85" i="28" s="1"/>
  <c r="O84" i="28"/>
  <c r="N84" i="28"/>
  <c r="L84" i="28"/>
  <c r="K84" i="28"/>
  <c r="I84" i="28"/>
  <c r="H84" i="28"/>
  <c r="E84" i="28"/>
  <c r="F84" i="28" s="1"/>
  <c r="O83" i="28"/>
  <c r="N83" i="28"/>
  <c r="L83" i="28"/>
  <c r="K83" i="28"/>
  <c r="I83" i="28"/>
  <c r="H83" i="28"/>
  <c r="E83" i="28"/>
  <c r="F83" i="28" s="1"/>
  <c r="O82" i="28"/>
  <c r="N82" i="28"/>
  <c r="L82" i="28"/>
  <c r="K82" i="28"/>
  <c r="I82" i="28"/>
  <c r="H82" i="28"/>
  <c r="E82" i="28"/>
  <c r="F82" i="28" s="1"/>
  <c r="O81" i="28"/>
  <c r="N81" i="28"/>
  <c r="L81" i="28"/>
  <c r="K81" i="28"/>
  <c r="I81" i="28"/>
  <c r="H81" i="28"/>
  <c r="E81" i="28"/>
  <c r="F81" i="28" s="1"/>
  <c r="O80" i="28"/>
  <c r="N80" i="28"/>
  <c r="L80" i="28"/>
  <c r="K80" i="28"/>
  <c r="I80" i="28"/>
  <c r="H80" i="28"/>
  <c r="E80" i="28"/>
  <c r="F80" i="28" s="1"/>
  <c r="O79" i="28"/>
  <c r="N79" i="28"/>
  <c r="L79" i="28"/>
  <c r="K79" i="28"/>
  <c r="I79" i="28"/>
  <c r="H79" i="28"/>
  <c r="E79" i="28"/>
  <c r="F79" i="28" s="1"/>
  <c r="O78" i="28"/>
  <c r="N78" i="28"/>
  <c r="L78" i="28"/>
  <c r="K78" i="28"/>
  <c r="I78" i="28"/>
  <c r="H78" i="28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L75" i="28"/>
  <c r="K75" i="28"/>
  <c r="I75" i="28"/>
  <c r="H75" i="28"/>
  <c r="E75" i="28"/>
  <c r="F75" i="28" s="1"/>
  <c r="O74" i="28"/>
  <c r="N74" i="28"/>
  <c r="L74" i="28"/>
  <c r="K74" i="28"/>
  <c r="I74" i="28"/>
  <c r="H74" i="28"/>
  <c r="E74" i="28"/>
  <c r="F74" i="28" s="1"/>
  <c r="O73" i="28"/>
  <c r="N73" i="28"/>
  <c r="L73" i="28"/>
  <c r="K73" i="28"/>
  <c r="I73" i="28"/>
  <c r="H73" i="28"/>
  <c r="E73" i="28"/>
  <c r="F73" i="28" s="1"/>
  <c r="O72" i="28"/>
  <c r="N72" i="28"/>
  <c r="L72" i="28"/>
  <c r="K72" i="28"/>
  <c r="K91" i="28" s="1"/>
  <c r="I72" i="28"/>
  <c r="H72" i="28"/>
  <c r="E72" i="28"/>
  <c r="F72" i="28" s="1"/>
  <c r="O71" i="28"/>
  <c r="O91" i="28" s="1"/>
  <c r="N71" i="28"/>
  <c r="N91" i="28" s="1"/>
  <c r="L71" i="28"/>
  <c r="L91" i="28" s="1"/>
  <c r="K71" i="28"/>
  <c r="I71" i="28"/>
  <c r="I9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E60" i="28"/>
  <c r="F60" i="28" s="1"/>
  <c r="O59" i="28"/>
  <c r="N59" i="28"/>
  <c r="L59" i="28"/>
  <c r="K59" i="28"/>
  <c r="I59" i="28"/>
  <c r="H59" i="28"/>
  <c r="E59" i="28"/>
  <c r="F59" i="28" s="1"/>
  <c r="O58" i="28"/>
  <c r="N58" i="28"/>
  <c r="L58" i="28"/>
  <c r="K58" i="28"/>
  <c r="I58" i="28"/>
  <c r="H58" i="28"/>
  <c r="E58" i="28"/>
  <c r="F58" i="28" s="1"/>
  <c r="O57" i="28"/>
  <c r="N57" i="28"/>
  <c r="L57" i="28"/>
  <c r="K57" i="28"/>
  <c r="I57" i="28"/>
  <c r="H57" i="28"/>
  <c r="E57" i="28"/>
  <c r="F57" i="28" s="1"/>
  <c r="O56" i="28"/>
  <c r="N56" i="28"/>
  <c r="L56" i="28"/>
  <c r="K56" i="28"/>
  <c r="I56" i="28"/>
  <c r="H56" i="28"/>
  <c r="E56" i="28"/>
  <c r="F56" i="28" s="1"/>
  <c r="O55" i="28"/>
  <c r="N55" i="28"/>
  <c r="L55" i="28"/>
  <c r="K55" i="28"/>
  <c r="I55" i="28"/>
  <c r="H55" i="28"/>
  <c r="E55" i="28"/>
  <c r="F55" i="28" s="1"/>
  <c r="O54" i="28"/>
  <c r="N54" i="28"/>
  <c r="L54" i="28"/>
  <c r="K54" i="28"/>
  <c r="I54" i="28"/>
  <c r="H54" i="28"/>
  <c r="E54" i="28"/>
  <c r="F54" i="28" s="1"/>
  <c r="O53" i="28"/>
  <c r="N53" i="28"/>
  <c r="L53" i="28"/>
  <c r="K53" i="28"/>
  <c r="I53" i="28"/>
  <c r="H53" i="28"/>
  <c r="E53" i="28"/>
  <c r="F53" i="28" s="1"/>
  <c r="O52" i="28"/>
  <c r="N52" i="28"/>
  <c r="L52" i="28"/>
  <c r="K52" i="28"/>
  <c r="I52" i="28"/>
  <c r="H52" i="28"/>
  <c r="E52" i="28"/>
  <c r="F52" i="28" s="1"/>
  <c r="O51" i="28"/>
  <c r="N51" i="28"/>
  <c r="L51" i="28"/>
  <c r="K51" i="28"/>
  <c r="I51" i="28"/>
  <c r="H51" i="28"/>
  <c r="E51" i="28"/>
  <c r="F51" i="28" s="1"/>
  <c r="O50" i="28"/>
  <c r="N50" i="28"/>
  <c r="L50" i="28"/>
  <c r="K50" i="28"/>
  <c r="I50" i="28"/>
  <c r="H50" i="28"/>
  <c r="E50" i="28"/>
  <c r="F50" i="28" s="1"/>
  <c r="O49" i="28"/>
  <c r="N49" i="28"/>
  <c r="L49" i="28"/>
  <c r="K49" i="28"/>
  <c r="I49" i="28"/>
  <c r="H49" i="28"/>
  <c r="E49" i="28"/>
  <c r="F49" i="28" s="1"/>
  <c r="O48" i="28"/>
  <c r="N48" i="28"/>
  <c r="L48" i="28"/>
  <c r="K48" i="28"/>
  <c r="I48" i="28"/>
  <c r="H48" i="28"/>
  <c r="E48" i="28"/>
  <c r="F48" i="28" s="1"/>
  <c r="O47" i="28"/>
  <c r="N47" i="28"/>
  <c r="L47" i="28"/>
  <c r="K47" i="28"/>
  <c r="I47" i="28"/>
  <c r="H47" i="28"/>
  <c r="E47" i="28"/>
  <c r="F47" i="28" s="1"/>
  <c r="O46" i="28"/>
  <c r="N46" i="28"/>
  <c r="L46" i="28"/>
  <c r="K46" i="28"/>
  <c r="I46" i="28"/>
  <c r="H46" i="28"/>
  <c r="E46" i="28"/>
  <c r="F46" i="28" s="1"/>
  <c r="O45" i="28"/>
  <c r="N45" i="28"/>
  <c r="L45" i="28"/>
  <c r="K45" i="28"/>
  <c r="K64" i="28" s="1"/>
  <c r="I45" i="28"/>
  <c r="H45" i="28"/>
  <c r="E45" i="28"/>
  <c r="F45" i="28" s="1"/>
  <c r="O44" i="28"/>
  <c r="O64" i="28" s="1"/>
  <c r="N44" i="28"/>
  <c r="N64" i="28" s="1"/>
  <c r="L44" i="28"/>
  <c r="L64" i="28" s="1"/>
  <c r="K44" i="28"/>
  <c r="I44" i="28"/>
  <c r="I64" i="28" s="1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F179" i="28" l="1"/>
  <c r="F199" i="28" s="1"/>
  <c r="E33" i="28"/>
  <c r="E37" i="28" s="1"/>
  <c r="F44" i="28"/>
  <c r="F172" i="28"/>
  <c r="E172" i="28"/>
  <c r="E145" i="28"/>
  <c r="F126" i="28"/>
  <c r="F98" i="28"/>
  <c r="F118" i="28" s="1"/>
  <c r="F71" i="28"/>
  <c r="I172" i="28"/>
  <c r="O172" i="28"/>
  <c r="L172" i="28"/>
  <c r="K172" i="28"/>
  <c r="F145" i="28"/>
  <c r="L145" i="28"/>
  <c r="O118" i="28"/>
  <c r="K37" i="28"/>
  <c r="I37" i="28"/>
  <c r="N37" i="28"/>
  <c r="O37" i="28"/>
  <c r="H37" i="28"/>
  <c r="L37" i="28"/>
  <c r="G1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246" i="9"/>
  <c r="I248" i="9"/>
  <c r="K250" i="9"/>
  <c r="E252" i="9"/>
  <c r="C254" i="9"/>
  <c r="N255" i="9"/>
  <c r="L257" i="9"/>
  <c r="F259" i="9"/>
  <c r="H261" i="9"/>
  <c r="O262" i="9"/>
  <c r="I264" i="9"/>
  <c r="K266" i="9"/>
  <c r="E268" i="9"/>
  <c r="C270" i="9"/>
  <c r="N271" i="9"/>
  <c r="L273" i="9"/>
  <c r="F275" i="9"/>
  <c r="C247" i="9"/>
  <c r="N248" i="9"/>
  <c r="L250" i="9"/>
  <c r="F252" i="9"/>
  <c r="H254" i="9"/>
  <c r="O255" i="9"/>
  <c r="I257" i="9"/>
  <c r="K259" i="9"/>
  <c r="E261" i="9"/>
  <c r="C263" i="9"/>
  <c r="N264" i="9"/>
  <c r="L266" i="9"/>
  <c r="F268" i="9"/>
  <c r="H270" i="9"/>
  <c r="O271" i="9"/>
  <c r="I273" i="9"/>
  <c r="K275" i="9"/>
  <c r="H247" i="9"/>
  <c r="O248" i="9"/>
  <c r="H251" i="9"/>
  <c r="O252" i="9"/>
  <c r="I254" i="9"/>
  <c r="K256" i="9"/>
  <c r="E258" i="9"/>
  <c r="C260" i="9"/>
  <c r="N261" i="9"/>
  <c r="L263" i="9"/>
  <c r="F265" i="9"/>
  <c r="H267" i="9"/>
  <c r="O268" i="9"/>
  <c r="I270" i="9"/>
  <c r="K272" i="9"/>
  <c r="E274" i="9"/>
  <c r="F246" i="9"/>
  <c r="H248" i="9"/>
  <c r="O249" i="9"/>
  <c r="E255" i="9"/>
  <c r="C265" i="9"/>
  <c r="O269" i="9"/>
  <c r="N274" i="9"/>
  <c r="I255" i="9"/>
  <c r="H260" i="9"/>
  <c r="F270" i="9"/>
  <c r="E275" i="9"/>
  <c r="I259" i="9"/>
  <c r="H264" i="9"/>
  <c r="F274" i="9"/>
  <c r="K253" i="9"/>
  <c r="I263" i="9"/>
  <c r="H268" i="9"/>
  <c r="N245" i="9"/>
  <c r="H245" i="9"/>
  <c r="C208" i="9"/>
  <c r="N209" i="9"/>
  <c r="C212" i="9"/>
  <c r="N213" i="9"/>
  <c r="L215" i="9"/>
  <c r="F217" i="9"/>
  <c r="H219" i="9"/>
  <c r="O220" i="9"/>
  <c r="I222" i="9"/>
  <c r="K224" i="9"/>
  <c r="E226" i="9"/>
  <c r="C228" i="9"/>
  <c r="N229" i="9"/>
  <c r="L231" i="9"/>
  <c r="F233" i="9"/>
  <c r="H235" i="9"/>
  <c r="O236" i="9"/>
  <c r="E212" i="9"/>
  <c r="L217" i="9"/>
  <c r="L208" i="9"/>
  <c r="F210" i="9"/>
  <c r="C213" i="9"/>
  <c r="N214" i="9"/>
  <c r="L216" i="9"/>
  <c r="F218" i="9"/>
  <c r="H220" i="9"/>
  <c r="O221" i="9"/>
  <c r="I223" i="9"/>
  <c r="K225" i="9"/>
  <c r="E227" i="9"/>
  <c r="C229" i="9"/>
  <c r="N230" i="9"/>
  <c r="L232" i="9"/>
  <c r="F234" i="9"/>
  <c r="H236" i="9"/>
  <c r="F247" i="9"/>
  <c r="H249" i="9"/>
  <c r="O250" i="9"/>
  <c r="I252" i="9"/>
  <c r="K254" i="9"/>
  <c r="E256" i="9"/>
  <c r="C258" i="9"/>
  <c r="N259" i="9"/>
  <c r="L261" i="9"/>
  <c r="F263" i="9"/>
  <c r="H265" i="9"/>
  <c r="O266" i="9"/>
  <c r="I268" i="9"/>
  <c r="K270" i="9"/>
  <c r="E272" i="9"/>
  <c r="C274" i="9"/>
  <c r="N275" i="9"/>
  <c r="K247" i="9"/>
  <c r="E249" i="9"/>
  <c r="C251" i="9"/>
  <c r="N252" i="9"/>
  <c r="L254" i="9"/>
  <c r="F256" i="9"/>
  <c r="H258" i="9"/>
  <c r="O259" i="9"/>
  <c r="I261" i="9"/>
  <c r="K263" i="9"/>
  <c r="E265" i="9"/>
  <c r="C267" i="9"/>
  <c r="N268" i="9"/>
  <c r="L270" i="9"/>
  <c r="F272" i="9"/>
  <c r="H274" i="9"/>
  <c r="O275" i="9"/>
  <c r="L247" i="9"/>
  <c r="N249" i="9"/>
  <c r="L251" i="9"/>
  <c r="F253" i="9"/>
  <c r="H255" i="9"/>
  <c r="O256" i="9"/>
  <c r="I258" i="9"/>
  <c r="K260" i="9"/>
  <c r="E262" i="9"/>
  <c r="C264" i="9"/>
  <c r="N265" i="9"/>
  <c r="L267" i="9"/>
  <c r="F269" i="9"/>
  <c r="H271" i="9"/>
  <c r="O272" i="9"/>
  <c r="I274" i="9"/>
  <c r="N246" i="9"/>
  <c r="L248" i="9"/>
  <c r="I251" i="9"/>
  <c r="H256" i="9"/>
  <c r="F266" i="9"/>
  <c r="E271" i="9"/>
  <c r="F250" i="9"/>
  <c r="L256" i="9"/>
  <c r="K261" i="9"/>
  <c r="I271" i="9"/>
  <c r="N250" i="9"/>
  <c r="L260" i="9"/>
  <c r="K265" i="9"/>
  <c r="I275" i="9"/>
  <c r="N254" i="9"/>
  <c r="L264" i="9"/>
  <c r="K269" i="9"/>
  <c r="L245" i="9"/>
  <c r="F245" i="9"/>
  <c r="K208" i="9"/>
  <c r="E210" i="9"/>
  <c r="K212" i="9"/>
  <c r="E214" i="9"/>
  <c r="C216" i="9"/>
  <c r="N217" i="9"/>
  <c r="L219" i="9"/>
  <c r="F221" i="9"/>
  <c r="H223" i="9"/>
  <c r="O224" i="9"/>
  <c r="I226" i="9"/>
  <c r="K228" i="9"/>
  <c r="E230" i="9"/>
  <c r="C232" i="9"/>
  <c r="N233" i="9"/>
  <c r="L235" i="9"/>
  <c r="F237" i="9"/>
  <c r="L213" i="9"/>
  <c r="K218" i="9"/>
  <c r="C209" i="9"/>
  <c r="N210" i="9"/>
  <c r="K213" i="9"/>
  <c r="E215" i="9"/>
  <c r="C217" i="9"/>
  <c r="N218" i="9"/>
  <c r="L220" i="9"/>
  <c r="F222" i="9"/>
  <c r="H224" i="9"/>
  <c r="O225" i="9"/>
  <c r="I227" i="9"/>
  <c r="K229" i="9"/>
  <c r="E231" i="9"/>
  <c r="C233" i="9"/>
  <c r="N234" i="9"/>
  <c r="L236" i="9"/>
  <c r="E208" i="9"/>
  <c r="I216" i="9"/>
  <c r="H221" i="9"/>
  <c r="K210" i="9"/>
  <c r="O214" i="9"/>
  <c r="I220" i="9"/>
  <c r="L210" i="9"/>
  <c r="N216" i="9"/>
  <c r="F224" i="9"/>
  <c r="O227" i="9"/>
  <c r="K231" i="9"/>
  <c r="L234" i="9"/>
  <c r="F212" i="9"/>
  <c r="E217" i="9"/>
  <c r="C222" i="9"/>
  <c r="I224" i="9"/>
  <c r="H229" i="9"/>
  <c r="N231" i="9"/>
  <c r="E236" i="9"/>
  <c r="F216" i="9"/>
  <c r="E221" i="9"/>
  <c r="H226" i="9"/>
  <c r="N228" i="9"/>
  <c r="C246" i="9"/>
  <c r="K246" i="9"/>
  <c r="E248" i="9"/>
  <c r="C250" i="9"/>
  <c r="N251" i="9"/>
  <c r="L253" i="9"/>
  <c r="F255" i="9"/>
  <c r="H257" i="9"/>
  <c r="O258" i="9"/>
  <c r="I260" i="9"/>
  <c r="K262" i="9"/>
  <c r="E264" i="9"/>
  <c r="C266" i="9"/>
  <c r="N267" i="9"/>
  <c r="L269" i="9"/>
  <c r="F271" i="9"/>
  <c r="H273" i="9"/>
  <c r="O274" i="9"/>
  <c r="L246" i="9"/>
  <c r="F248" i="9"/>
  <c r="H250" i="9"/>
  <c r="O251" i="9"/>
  <c r="I253" i="9"/>
  <c r="K255" i="9"/>
  <c r="E257" i="9"/>
  <c r="C259" i="9"/>
  <c r="N260" i="9"/>
  <c r="L262" i="9"/>
  <c r="F264" i="9"/>
  <c r="H266" i="9"/>
  <c r="O267" i="9"/>
  <c r="I269" i="9"/>
  <c r="K271" i="9"/>
  <c r="E273" i="9"/>
  <c r="C275" i="9"/>
  <c r="I246" i="9"/>
  <c r="K248" i="9"/>
  <c r="I250" i="9"/>
  <c r="K252" i="9"/>
  <c r="E254" i="9"/>
  <c r="C256" i="9"/>
  <c r="N257" i="9"/>
  <c r="L259" i="9"/>
  <c r="F261" i="9"/>
  <c r="H263" i="9"/>
  <c r="O264" i="9"/>
  <c r="I266" i="9"/>
  <c r="K268" i="9"/>
  <c r="E270" i="9"/>
  <c r="C272" i="9"/>
  <c r="N273" i="9"/>
  <c r="L275" i="9"/>
  <c r="I247" i="9"/>
  <c r="K249" i="9"/>
  <c r="O253" i="9"/>
  <c r="N258" i="9"/>
  <c r="L268" i="9"/>
  <c r="K273" i="9"/>
  <c r="F254" i="9"/>
  <c r="E259" i="9"/>
  <c r="C269" i="9"/>
  <c r="O273" i="9"/>
  <c r="F258" i="9"/>
  <c r="E263" i="9"/>
  <c r="C273" i="9"/>
  <c r="H252" i="9"/>
  <c r="F262" i="9"/>
  <c r="E267" i="9"/>
  <c r="O245" i="9"/>
  <c r="I245" i="9"/>
  <c r="C245" i="9"/>
  <c r="F209" i="9"/>
  <c r="H211" i="9"/>
  <c r="F213" i="9"/>
  <c r="H215" i="9"/>
  <c r="O216" i="9"/>
  <c r="I218" i="9"/>
  <c r="K220" i="9"/>
  <c r="E222" i="9"/>
  <c r="C224" i="9"/>
  <c r="N225" i="9"/>
  <c r="L227" i="9"/>
  <c r="F229" i="9"/>
  <c r="H231" i="9"/>
  <c r="O232" i="9"/>
  <c r="I234" i="9"/>
  <c r="K236" i="9"/>
  <c r="I208" i="9"/>
  <c r="E216" i="9"/>
  <c r="H208" i="9"/>
  <c r="O209" i="9"/>
  <c r="L212" i="9"/>
  <c r="F214" i="9"/>
  <c r="H216" i="9"/>
  <c r="O217" i="9"/>
  <c r="I219" i="9"/>
  <c r="K221" i="9"/>
  <c r="E223" i="9"/>
  <c r="C225" i="9"/>
  <c r="N226" i="9"/>
  <c r="L228" i="9"/>
  <c r="F230" i="9"/>
  <c r="H232" i="9"/>
  <c r="O233" i="9"/>
  <c r="I235" i="9"/>
  <c r="K237" i="9"/>
  <c r="C214" i="9"/>
  <c r="O218" i="9"/>
  <c r="L209" i="9"/>
  <c r="N211" i="9"/>
  <c r="C218" i="9"/>
  <c r="F208" i="9"/>
  <c r="H214" i="9"/>
  <c r="C223" i="9"/>
  <c r="I225" i="9"/>
  <c r="H230" i="9"/>
  <c r="N232" i="9"/>
  <c r="E237" i="9"/>
  <c r="L214" i="9"/>
  <c r="K219" i="9"/>
  <c r="F223" i="9"/>
  <c r="O226" i="9"/>
  <c r="K230" i="9"/>
  <c r="L233" i="9"/>
  <c r="N208" i="9"/>
  <c r="L218" i="9"/>
  <c r="O223" i="9"/>
  <c r="K227" i="9"/>
  <c r="N247" i="9"/>
  <c r="O254" i="9"/>
  <c r="C262" i="9"/>
  <c r="H269" i="9"/>
  <c r="H246" i="9"/>
  <c r="E253" i="9"/>
  <c r="F260" i="9"/>
  <c r="K267" i="9"/>
  <c r="L274" i="9"/>
  <c r="C252" i="9"/>
  <c r="H259" i="9"/>
  <c r="E266" i="9"/>
  <c r="F273" i="9"/>
  <c r="L252" i="9"/>
  <c r="C253" i="9"/>
  <c r="C257" i="9"/>
  <c r="C261" i="9"/>
  <c r="E245" i="9"/>
  <c r="I214" i="9"/>
  <c r="N221" i="9"/>
  <c r="O228" i="9"/>
  <c r="C236" i="9"/>
  <c r="K209" i="9"/>
  <c r="K217" i="9"/>
  <c r="L224" i="9"/>
  <c r="I231" i="9"/>
  <c r="O237" i="9"/>
  <c r="N219" i="9"/>
  <c r="H213" i="9"/>
  <c r="I209" i="9"/>
  <c r="K223" i="9"/>
  <c r="C231" i="9"/>
  <c r="C211" i="9"/>
  <c r="N220" i="9"/>
  <c r="E228" i="9"/>
  <c r="O234" i="9"/>
  <c r="O219" i="9"/>
  <c r="F228" i="9"/>
  <c r="E233" i="9"/>
  <c r="F236" i="9"/>
  <c r="H210" i="9"/>
  <c r="F220" i="9"/>
  <c r="H225" i="9"/>
  <c r="N227" i="9"/>
  <c r="E232" i="9"/>
  <c r="F235" i="9"/>
  <c r="O207" i="9"/>
  <c r="I207" i="9"/>
  <c r="C207" i="9"/>
  <c r="F171" i="9"/>
  <c r="H173" i="9"/>
  <c r="F175" i="9"/>
  <c r="H177" i="9"/>
  <c r="O178" i="9"/>
  <c r="I180" i="9"/>
  <c r="K182" i="9"/>
  <c r="E184" i="9"/>
  <c r="C186" i="9"/>
  <c r="N187" i="9"/>
  <c r="L189" i="9"/>
  <c r="F191" i="9"/>
  <c r="H193" i="9"/>
  <c r="O194" i="9"/>
  <c r="I196" i="9"/>
  <c r="K198" i="9"/>
  <c r="F170" i="9"/>
  <c r="H170" i="9"/>
  <c r="O171" i="9"/>
  <c r="H174" i="9"/>
  <c r="O175" i="9"/>
  <c r="I177" i="9"/>
  <c r="K179" i="9"/>
  <c r="E181" i="9"/>
  <c r="C183" i="9"/>
  <c r="N184" i="9"/>
  <c r="L186" i="9"/>
  <c r="F188" i="9"/>
  <c r="H190" i="9"/>
  <c r="O191" i="9"/>
  <c r="I193" i="9"/>
  <c r="K195" i="9"/>
  <c r="E197" i="9"/>
  <c r="C199" i="9"/>
  <c r="O173" i="9"/>
  <c r="E170" i="9"/>
  <c r="C172" i="9"/>
  <c r="E174" i="9"/>
  <c r="C176" i="9"/>
  <c r="N177" i="9"/>
  <c r="L179" i="9"/>
  <c r="F181" i="9"/>
  <c r="H183" i="9"/>
  <c r="O184" i="9"/>
  <c r="I186" i="9"/>
  <c r="K188" i="9"/>
  <c r="E190" i="9"/>
  <c r="C192" i="9"/>
  <c r="N193" i="9"/>
  <c r="L195" i="9"/>
  <c r="F197" i="9"/>
  <c r="H199" i="9"/>
  <c r="I171" i="9"/>
  <c r="N174" i="9"/>
  <c r="H180" i="9"/>
  <c r="F190" i="9"/>
  <c r="E195" i="9"/>
  <c r="F178" i="9"/>
  <c r="E183" i="9"/>
  <c r="C193" i="9"/>
  <c r="O197" i="9"/>
  <c r="I183" i="9"/>
  <c r="H188" i="9"/>
  <c r="F198" i="9"/>
  <c r="F186" i="9"/>
  <c r="E191" i="9"/>
  <c r="O169" i="9"/>
  <c r="I169" i="9"/>
  <c r="C169" i="9"/>
  <c r="F133" i="9"/>
  <c r="H135" i="9"/>
  <c r="O136" i="9"/>
  <c r="I138" i="9"/>
  <c r="K140" i="9"/>
  <c r="E142" i="9"/>
  <c r="C144" i="9"/>
  <c r="N145" i="9"/>
  <c r="L147" i="9"/>
  <c r="L249" i="9"/>
  <c r="I256" i="9"/>
  <c r="N263" i="9"/>
  <c r="O270" i="9"/>
  <c r="O247" i="9"/>
  <c r="C255" i="9"/>
  <c r="H262" i="9"/>
  <c r="E269" i="9"/>
  <c r="E246" i="9"/>
  <c r="N253" i="9"/>
  <c r="O260" i="9"/>
  <c r="C268" i="9"/>
  <c r="H275" i="9"/>
  <c r="K257" i="9"/>
  <c r="O257" i="9"/>
  <c r="O261" i="9"/>
  <c r="O265" i="9"/>
  <c r="O208" i="9"/>
  <c r="K216" i="9"/>
  <c r="L223" i="9"/>
  <c r="I230" i="9"/>
  <c r="N237" i="9"/>
  <c r="H212" i="9"/>
  <c r="E219" i="9"/>
  <c r="F226" i="9"/>
  <c r="K233" i="9"/>
  <c r="I212" i="9"/>
  <c r="H209" i="9"/>
  <c r="N215" i="9"/>
  <c r="E213" i="9"/>
  <c r="N224" i="9"/>
  <c r="F232" i="9"/>
  <c r="I213" i="9"/>
  <c r="K222" i="9"/>
  <c r="C230" i="9"/>
  <c r="H237" i="9"/>
  <c r="L222" i="9"/>
  <c r="I229" i="9"/>
  <c r="H234" i="9"/>
  <c r="N236" i="9"/>
  <c r="K211" i="9"/>
  <c r="I221" i="9"/>
  <c r="C226" i="9"/>
  <c r="I228" i="9"/>
  <c r="H233" i="9"/>
  <c r="N235" i="9"/>
  <c r="N207" i="9"/>
  <c r="H207" i="9"/>
  <c r="C170" i="9"/>
  <c r="N171" i="9"/>
  <c r="C174" i="9"/>
  <c r="N175" i="9"/>
  <c r="L177" i="9"/>
  <c r="F179" i="9"/>
  <c r="H181" i="9"/>
  <c r="O182" i="9"/>
  <c r="I184" i="9"/>
  <c r="K186" i="9"/>
  <c r="E188" i="9"/>
  <c r="C190" i="9"/>
  <c r="N191" i="9"/>
  <c r="L193" i="9"/>
  <c r="F195" i="9"/>
  <c r="H197" i="9"/>
  <c r="O198" i="9"/>
  <c r="F174" i="9"/>
  <c r="L170" i="9"/>
  <c r="F172" i="9"/>
  <c r="L174" i="9"/>
  <c r="F176" i="9"/>
  <c r="H178" i="9"/>
  <c r="O179" i="9"/>
  <c r="I181" i="9"/>
  <c r="K183" i="9"/>
  <c r="E185" i="9"/>
  <c r="C187" i="9"/>
  <c r="N188" i="9"/>
  <c r="L190" i="9"/>
  <c r="F192" i="9"/>
  <c r="H194" i="9"/>
  <c r="O195" i="9"/>
  <c r="I197" i="9"/>
  <c r="K199" i="9"/>
  <c r="E175" i="9"/>
  <c r="I170" i="9"/>
  <c r="K172" i="9"/>
  <c r="I174" i="9"/>
  <c r="K176" i="9"/>
  <c r="E178" i="9"/>
  <c r="C180" i="9"/>
  <c r="N181" i="9"/>
  <c r="L183" i="9"/>
  <c r="F185" i="9"/>
  <c r="H187" i="9"/>
  <c r="O188" i="9"/>
  <c r="I190" i="9"/>
  <c r="K192" i="9"/>
  <c r="E194" i="9"/>
  <c r="C196" i="9"/>
  <c r="N197" i="9"/>
  <c r="L199" i="9"/>
  <c r="H172" i="9"/>
  <c r="C177" i="9"/>
  <c r="K181" i="9"/>
  <c r="I191" i="9"/>
  <c r="H196" i="9"/>
  <c r="I179" i="9"/>
  <c r="H184" i="9"/>
  <c r="F194" i="9"/>
  <c r="E199" i="9"/>
  <c r="L184" i="9"/>
  <c r="K189" i="9"/>
  <c r="I199" i="9"/>
  <c r="I187" i="9"/>
  <c r="H192" i="9"/>
  <c r="N169" i="9"/>
  <c r="H169" i="9"/>
  <c r="C132" i="9"/>
  <c r="N133" i="9"/>
  <c r="L135" i="9"/>
  <c r="F137" i="9"/>
  <c r="H139" i="9"/>
  <c r="O140" i="9"/>
  <c r="I142" i="9"/>
  <c r="K144" i="9"/>
  <c r="E146" i="9"/>
  <c r="C148" i="9"/>
  <c r="F251" i="9"/>
  <c r="K258" i="9"/>
  <c r="L265" i="9"/>
  <c r="I272" i="9"/>
  <c r="I249" i="9"/>
  <c r="N256" i="9"/>
  <c r="O263" i="9"/>
  <c r="C271" i="9"/>
  <c r="C248" i="9"/>
  <c r="L255" i="9"/>
  <c r="I262" i="9"/>
  <c r="N269" i="9"/>
  <c r="E247" i="9"/>
  <c r="I267" i="9"/>
  <c r="N262" i="9"/>
  <c r="N266" i="9"/>
  <c r="N270" i="9"/>
  <c r="I210" i="9"/>
  <c r="E218" i="9"/>
  <c r="F225" i="9"/>
  <c r="K232" i="9"/>
  <c r="K214" i="9"/>
  <c r="O213" i="9"/>
  <c r="C221" i="9"/>
  <c r="H228" i="9"/>
  <c r="E235" i="9"/>
  <c r="F215" i="9"/>
  <c r="C210" i="9"/>
  <c r="F219" i="9"/>
  <c r="K215" i="9"/>
  <c r="L226" i="9"/>
  <c r="I233" i="9"/>
  <c r="O215" i="9"/>
  <c r="N223" i="9"/>
  <c r="F231" i="9"/>
  <c r="C215" i="9"/>
  <c r="E225" i="9"/>
  <c r="L230" i="9"/>
  <c r="C235" i="9"/>
  <c r="I237" i="9"/>
  <c r="N212" i="9"/>
  <c r="O222" i="9"/>
  <c r="K226" i="9"/>
  <c r="L229" i="9"/>
  <c r="C234" i="9"/>
  <c r="I236" i="9"/>
  <c r="K207" i="9"/>
  <c r="F207" i="9"/>
  <c r="K170" i="9"/>
  <c r="E172" i="9"/>
  <c r="K174" i="9"/>
  <c r="E176" i="9"/>
  <c r="C178" i="9"/>
  <c r="N179" i="9"/>
  <c r="L181" i="9"/>
  <c r="F183" i="9"/>
  <c r="H185" i="9"/>
  <c r="O186" i="9"/>
  <c r="I188" i="9"/>
  <c r="K190" i="9"/>
  <c r="E192" i="9"/>
  <c r="C194" i="9"/>
  <c r="N195" i="9"/>
  <c r="L197" i="9"/>
  <c r="F199" i="9"/>
  <c r="I175" i="9"/>
  <c r="C171" i="9"/>
  <c r="N172" i="9"/>
  <c r="C175" i="9"/>
  <c r="N176" i="9"/>
  <c r="L178" i="9"/>
  <c r="F180" i="9"/>
  <c r="H182" i="9"/>
  <c r="O183" i="9"/>
  <c r="I185" i="9"/>
  <c r="K187" i="9"/>
  <c r="E189" i="9"/>
  <c r="C191" i="9"/>
  <c r="N192" i="9"/>
  <c r="L194" i="9"/>
  <c r="F196" i="9"/>
  <c r="H198" i="9"/>
  <c r="O199" i="9"/>
  <c r="L176" i="9"/>
  <c r="H171" i="9"/>
  <c r="O172" i="9"/>
  <c r="H175" i="9"/>
  <c r="O176" i="9"/>
  <c r="I178" i="9"/>
  <c r="K180" i="9"/>
  <c r="E182" i="9"/>
  <c r="C184" i="9"/>
  <c r="N185" i="9"/>
  <c r="L187" i="9"/>
  <c r="F189" i="9"/>
  <c r="H191" i="9"/>
  <c r="O192" i="9"/>
  <c r="I194" i="9"/>
  <c r="K196" i="9"/>
  <c r="E198" i="9"/>
  <c r="N170" i="9"/>
  <c r="C173" i="9"/>
  <c r="O177" i="9"/>
  <c r="N182" i="9"/>
  <c r="L192" i="9"/>
  <c r="K197" i="9"/>
  <c r="L180" i="9"/>
  <c r="K185" i="9"/>
  <c r="I195" i="9"/>
  <c r="C181" i="9"/>
  <c r="O185" i="9"/>
  <c r="N190" i="9"/>
  <c r="N178" i="9"/>
  <c r="L188" i="9"/>
  <c r="K193" i="9"/>
  <c r="L169" i="9"/>
  <c r="F169" i="9"/>
  <c r="K132" i="9"/>
  <c r="E134" i="9"/>
  <c r="C136" i="9"/>
  <c r="N137" i="9"/>
  <c r="L139" i="9"/>
  <c r="F141" i="9"/>
  <c r="H143" i="9"/>
  <c r="O144" i="9"/>
  <c r="I146" i="9"/>
  <c r="K148" i="9"/>
  <c r="H253" i="9"/>
  <c r="K251" i="9"/>
  <c r="E250" i="9"/>
  <c r="C249" i="9"/>
  <c r="K245" i="9"/>
  <c r="E234" i="9"/>
  <c r="O229" i="9"/>
  <c r="L221" i="9"/>
  <c r="H218" i="9"/>
  <c r="C227" i="9"/>
  <c r="C219" i="9"/>
  <c r="K234" i="9"/>
  <c r="O170" i="9"/>
  <c r="K178" i="9"/>
  <c r="L185" i="9"/>
  <c r="I192" i="9"/>
  <c r="N199" i="9"/>
  <c r="K175" i="9"/>
  <c r="L182" i="9"/>
  <c r="I189" i="9"/>
  <c r="N196" i="9"/>
  <c r="L171" i="9"/>
  <c r="H179" i="9"/>
  <c r="E186" i="9"/>
  <c r="F193" i="9"/>
  <c r="E171" i="9"/>
  <c r="O193" i="9"/>
  <c r="L196" i="9"/>
  <c r="C185" i="9"/>
  <c r="E169" i="9"/>
  <c r="E138" i="9"/>
  <c r="F145" i="9"/>
  <c r="N149" i="9"/>
  <c r="L151" i="9"/>
  <c r="F153" i="9"/>
  <c r="H155" i="9"/>
  <c r="O156" i="9"/>
  <c r="I158" i="9"/>
  <c r="K160" i="9"/>
  <c r="H132" i="9"/>
  <c r="O133" i="9"/>
  <c r="I135" i="9"/>
  <c r="K137" i="9"/>
  <c r="E139" i="9"/>
  <c r="C141" i="9"/>
  <c r="N142" i="9"/>
  <c r="L144" i="9"/>
  <c r="F146" i="9"/>
  <c r="H148" i="9"/>
  <c r="O149" i="9"/>
  <c r="I151" i="9"/>
  <c r="K153" i="9"/>
  <c r="E155" i="9"/>
  <c r="C157" i="9"/>
  <c r="N158" i="9"/>
  <c r="L160" i="9"/>
  <c r="E132" i="9"/>
  <c r="C134" i="9"/>
  <c r="E136" i="9"/>
  <c r="C138" i="9"/>
  <c r="N139" i="9"/>
  <c r="L141" i="9"/>
  <c r="F143" i="9"/>
  <c r="H145" i="9"/>
  <c r="O146" i="9"/>
  <c r="I148" i="9"/>
  <c r="K150" i="9"/>
  <c r="E152" i="9"/>
  <c r="C154" i="9"/>
  <c r="N155" i="9"/>
  <c r="L157" i="9"/>
  <c r="F159" i="9"/>
  <c r="H161" i="9"/>
  <c r="I133" i="9"/>
  <c r="K135" i="9"/>
  <c r="O139" i="9"/>
  <c r="N144" i="9"/>
  <c r="L154" i="9"/>
  <c r="K159" i="9"/>
  <c r="F140" i="9"/>
  <c r="E145" i="9"/>
  <c r="C155" i="9"/>
  <c r="O159" i="9"/>
  <c r="F144" i="9"/>
  <c r="E149" i="9"/>
  <c r="C159" i="9"/>
  <c r="H138" i="9"/>
  <c r="F148" i="9"/>
  <c r="E153" i="9"/>
  <c r="O131" i="9"/>
  <c r="I131" i="9"/>
  <c r="C131" i="9"/>
  <c r="F95" i="9"/>
  <c r="H97" i="9"/>
  <c r="O98" i="9"/>
  <c r="I100" i="9"/>
  <c r="K102" i="9"/>
  <c r="E104" i="9"/>
  <c r="C106" i="9"/>
  <c r="N107" i="9"/>
  <c r="L109" i="9"/>
  <c r="F111" i="9"/>
  <c r="H113" i="9"/>
  <c r="O114" i="9"/>
  <c r="I116" i="9"/>
  <c r="K118" i="9"/>
  <c r="E120" i="9"/>
  <c r="C122" i="9"/>
  <c r="N123" i="9"/>
  <c r="I98" i="9"/>
  <c r="C95" i="9"/>
  <c r="N96" i="9"/>
  <c r="L98" i="9"/>
  <c r="F100" i="9"/>
  <c r="H102" i="9"/>
  <c r="O103" i="9"/>
  <c r="I105" i="9"/>
  <c r="K107" i="9"/>
  <c r="E109" i="9"/>
  <c r="C111" i="9"/>
  <c r="N112" i="9"/>
  <c r="L114" i="9"/>
  <c r="F116" i="9"/>
  <c r="H118" i="9"/>
  <c r="O119" i="9"/>
  <c r="I121" i="9"/>
  <c r="K123" i="9"/>
  <c r="L95" i="9"/>
  <c r="E260" i="9"/>
  <c r="L258" i="9"/>
  <c r="F257" i="9"/>
  <c r="H272" i="9"/>
  <c r="O212" i="9"/>
  <c r="E220" i="9"/>
  <c r="C237" i="9"/>
  <c r="H222" i="9"/>
  <c r="L225" i="9"/>
  <c r="O231" i="9"/>
  <c r="E224" i="9"/>
  <c r="L237" i="9"/>
  <c r="I172" i="9"/>
  <c r="E180" i="9"/>
  <c r="F187" i="9"/>
  <c r="K194" i="9"/>
  <c r="H176" i="9"/>
  <c r="E177" i="9"/>
  <c r="F184" i="9"/>
  <c r="K191" i="9"/>
  <c r="L198" i="9"/>
  <c r="N173" i="9"/>
  <c r="O180" i="9"/>
  <c r="C188" i="9"/>
  <c r="H195" i="9"/>
  <c r="K173" i="9"/>
  <c r="N198" i="9"/>
  <c r="F182" i="9"/>
  <c r="O189" i="9"/>
  <c r="O132" i="9"/>
  <c r="C140" i="9"/>
  <c r="H147" i="9"/>
  <c r="E150" i="9"/>
  <c r="C152" i="9"/>
  <c r="N153" i="9"/>
  <c r="L155" i="9"/>
  <c r="F157" i="9"/>
  <c r="H159" i="9"/>
  <c r="O160" i="9"/>
  <c r="L132" i="9"/>
  <c r="F134" i="9"/>
  <c r="H136" i="9"/>
  <c r="O137" i="9"/>
  <c r="I139" i="9"/>
  <c r="K141" i="9"/>
  <c r="E143" i="9"/>
  <c r="C145" i="9"/>
  <c r="N146" i="9"/>
  <c r="L148" i="9"/>
  <c r="F150" i="9"/>
  <c r="H152" i="9"/>
  <c r="O153" i="9"/>
  <c r="I155" i="9"/>
  <c r="K157" i="9"/>
  <c r="E159" i="9"/>
  <c r="C161" i="9"/>
  <c r="I132" i="9"/>
  <c r="K134" i="9"/>
  <c r="I136" i="9"/>
  <c r="K138" i="9"/>
  <c r="E140" i="9"/>
  <c r="C142" i="9"/>
  <c r="N143" i="9"/>
  <c r="L145" i="9"/>
  <c r="F147" i="9"/>
  <c r="H149" i="9"/>
  <c r="O150" i="9"/>
  <c r="I152" i="9"/>
  <c r="K154" i="9"/>
  <c r="E156" i="9"/>
  <c r="C158" i="9"/>
  <c r="N159" i="9"/>
  <c r="L161" i="9"/>
  <c r="H134" i="9"/>
  <c r="F136" i="9"/>
  <c r="E141" i="9"/>
  <c r="C151" i="9"/>
  <c r="O155" i="9"/>
  <c r="N160" i="9"/>
  <c r="I141" i="9"/>
  <c r="H146" i="9"/>
  <c r="F156" i="9"/>
  <c r="E161" i="9"/>
  <c r="I145" i="9"/>
  <c r="H150" i="9"/>
  <c r="F160" i="9"/>
  <c r="K139" i="9"/>
  <c r="I149" i="9"/>
  <c r="H154" i="9"/>
  <c r="N131" i="9"/>
  <c r="H131" i="9"/>
  <c r="C94" i="9"/>
  <c r="N95" i="9"/>
  <c r="L97" i="9"/>
  <c r="F99" i="9"/>
  <c r="H101" i="9"/>
  <c r="O102" i="9"/>
  <c r="I104" i="9"/>
  <c r="K106" i="9"/>
  <c r="E108" i="9"/>
  <c r="C110" i="9"/>
  <c r="N111" i="9"/>
  <c r="L113" i="9"/>
  <c r="F115" i="9"/>
  <c r="H117" i="9"/>
  <c r="O118" i="9"/>
  <c r="I120" i="9"/>
  <c r="K122" i="9"/>
  <c r="E94" i="9"/>
  <c r="H99" i="9"/>
  <c r="K95" i="9"/>
  <c r="E97" i="9"/>
  <c r="C99" i="9"/>
  <c r="N100" i="9"/>
  <c r="L102" i="9"/>
  <c r="F104" i="9"/>
  <c r="H106" i="9"/>
  <c r="O107" i="9"/>
  <c r="I109" i="9"/>
  <c r="K111" i="9"/>
  <c r="E113" i="9"/>
  <c r="C115" i="9"/>
  <c r="N116" i="9"/>
  <c r="L118" i="9"/>
  <c r="F120" i="9"/>
  <c r="H122" i="9"/>
  <c r="O123" i="9"/>
  <c r="F267" i="9"/>
  <c r="I265" i="9"/>
  <c r="K264" i="9"/>
  <c r="L272" i="9"/>
  <c r="C220" i="9"/>
  <c r="I215" i="9"/>
  <c r="H217" i="9"/>
  <c r="E229" i="9"/>
  <c r="I232" i="9"/>
  <c r="K235" i="9"/>
  <c r="F227" i="9"/>
  <c r="L207" i="9"/>
  <c r="O174" i="9"/>
  <c r="C182" i="9"/>
  <c r="H189" i="9"/>
  <c r="E196" i="9"/>
  <c r="K171" i="9"/>
  <c r="C179" i="9"/>
  <c r="H186" i="9"/>
  <c r="E193" i="9"/>
  <c r="L172" i="9"/>
  <c r="L175" i="9"/>
  <c r="I182" i="9"/>
  <c r="N189" i="9"/>
  <c r="O196" i="9"/>
  <c r="E179" i="9"/>
  <c r="O181" i="9"/>
  <c r="E187" i="9"/>
  <c r="N194" i="9"/>
  <c r="I134" i="9"/>
  <c r="N141" i="9"/>
  <c r="O148" i="9"/>
  <c r="I150" i="9"/>
  <c r="K152" i="9"/>
  <c r="E154" i="9"/>
  <c r="C156" i="9"/>
  <c r="N157" i="9"/>
  <c r="L159" i="9"/>
  <c r="F161" i="9"/>
  <c r="C133" i="9"/>
  <c r="N134" i="9"/>
  <c r="L136" i="9"/>
  <c r="F138" i="9"/>
  <c r="H140" i="9"/>
  <c r="O141" i="9"/>
  <c r="I143" i="9"/>
  <c r="K145" i="9"/>
  <c r="E147" i="9"/>
  <c r="C149" i="9"/>
  <c r="N150" i="9"/>
  <c r="L152" i="9"/>
  <c r="F154" i="9"/>
  <c r="H156" i="9"/>
  <c r="O157" i="9"/>
  <c r="I159" i="9"/>
  <c r="K161" i="9"/>
  <c r="H133" i="9"/>
  <c r="O134" i="9"/>
  <c r="H137" i="9"/>
  <c r="O138" i="9"/>
  <c r="I140" i="9"/>
  <c r="K142" i="9"/>
  <c r="E144" i="9"/>
  <c r="C146" i="9"/>
  <c r="N147" i="9"/>
  <c r="L149" i="9"/>
  <c r="F151" i="9"/>
  <c r="H153" i="9"/>
  <c r="O154" i="9"/>
  <c r="I156" i="9"/>
  <c r="K158" i="9"/>
  <c r="E160" i="9"/>
  <c r="F132" i="9"/>
  <c r="L134" i="9"/>
  <c r="I137" i="9"/>
  <c r="H142" i="9"/>
  <c r="F152" i="9"/>
  <c r="E157" i="9"/>
  <c r="N132" i="9"/>
  <c r="L142" i="9"/>
  <c r="K147" i="9"/>
  <c r="I157" i="9"/>
  <c r="N136" i="9"/>
  <c r="L146" i="9"/>
  <c r="K151" i="9"/>
  <c r="I161" i="9"/>
  <c r="N140" i="9"/>
  <c r="L150" i="9"/>
  <c r="K155" i="9"/>
  <c r="L131" i="9"/>
  <c r="F131" i="9"/>
  <c r="K94" i="9"/>
  <c r="E96" i="9"/>
  <c r="C98" i="9"/>
  <c r="N99" i="9"/>
  <c r="L101" i="9"/>
  <c r="F103" i="9"/>
  <c r="H105" i="9"/>
  <c r="O106" i="9"/>
  <c r="I108" i="9"/>
  <c r="K110" i="9"/>
  <c r="E112" i="9"/>
  <c r="C114" i="9"/>
  <c r="N115" i="9"/>
  <c r="L117" i="9"/>
  <c r="F119" i="9"/>
  <c r="H121" i="9"/>
  <c r="O122" i="9"/>
  <c r="K96" i="9"/>
  <c r="H94" i="9"/>
  <c r="O95" i="9"/>
  <c r="I97" i="9"/>
  <c r="K99" i="9"/>
  <c r="E101" i="9"/>
  <c r="C103" i="9"/>
  <c r="N104" i="9"/>
  <c r="L106" i="9"/>
  <c r="F108" i="9"/>
  <c r="H110" i="9"/>
  <c r="O111" i="9"/>
  <c r="I113" i="9"/>
  <c r="K115" i="9"/>
  <c r="E117" i="9"/>
  <c r="C119" i="9"/>
  <c r="N120" i="9"/>
  <c r="L122" i="9"/>
  <c r="I94" i="9"/>
  <c r="K274" i="9"/>
  <c r="H227" i="9"/>
  <c r="I217" i="9"/>
  <c r="I176" i="9"/>
  <c r="I173" i="9"/>
  <c r="K177" i="9"/>
  <c r="I198" i="9"/>
  <c r="K169" i="9"/>
  <c r="H151" i="9"/>
  <c r="E158" i="9"/>
  <c r="E135" i="9"/>
  <c r="F142" i="9"/>
  <c r="K149" i="9"/>
  <c r="L156" i="9"/>
  <c r="L133" i="9"/>
  <c r="H141" i="9"/>
  <c r="E148" i="9"/>
  <c r="F155" i="9"/>
  <c r="E133" i="9"/>
  <c r="I153" i="9"/>
  <c r="N148" i="9"/>
  <c r="N152" i="9"/>
  <c r="N156" i="9"/>
  <c r="I96" i="9"/>
  <c r="N103" i="9"/>
  <c r="O110" i="9"/>
  <c r="C118" i="9"/>
  <c r="N97" i="9"/>
  <c r="O99" i="9"/>
  <c r="C107" i="9"/>
  <c r="H114" i="9"/>
  <c r="E121" i="9"/>
  <c r="O96" i="9"/>
  <c r="L96" i="9"/>
  <c r="K100" i="9"/>
  <c r="L103" i="9"/>
  <c r="C108" i="9"/>
  <c r="I110" i="9"/>
  <c r="H115" i="9"/>
  <c r="N117" i="9"/>
  <c r="E122" i="9"/>
  <c r="I99" i="9"/>
  <c r="H104" i="9"/>
  <c r="N106" i="9"/>
  <c r="E111" i="9"/>
  <c r="F114" i="9"/>
  <c r="O117" i="9"/>
  <c r="K121" i="9"/>
  <c r="N94" i="9"/>
  <c r="H103" i="9"/>
  <c r="N105" i="9"/>
  <c r="E110" i="9"/>
  <c r="E107" i="9"/>
  <c r="N113" i="9"/>
  <c r="L123" i="9"/>
  <c r="F110" i="9"/>
  <c r="E115" i="9"/>
  <c r="K97" i="9"/>
  <c r="H108" i="9"/>
  <c r="L115" i="9"/>
  <c r="K120" i="9"/>
  <c r="C109" i="9"/>
  <c r="I119" i="9"/>
  <c r="O93" i="9"/>
  <c r="I93" i="9"/>
  <c r="C93" i="9"/>
  <c r="F57" i="9"/>
  <c r="H59" i="9"/>
  <c r="O60" i="9"/>
  <c r="I62" i="9"/>
  <c r="K64" i="9"/>
  <c r="E66" i="9"/>
  <c r="C68" i="9"/>
  <c r="N69" i="9"/>
  <c r="L71" i="9"/>
  <c r="F73" i="9"/>
  <c r="H75" i="9"/>
  <c r="O76" i="9"/>
  <c r="I78" i="9"/>
  <c r="K80" i="9"/>
  <c r="E82" i="9"/>
  <c r="C84" i="9"/>
  <c r="N85" i="9"/>
  <c r="F63" i="9"/>
  <c r="K57" i="9"/>
  <c r="E59" i="9"/>
  <c r="C61" i="9"/>
  <c r="N62" i="9"/>
  <c r="L64" i="9"/>
  <c r="F66" i="9"/>
  <c r="H68" i="9"/>
  <c r="O69" i="9"/>
  <c r="I71" i="9"/>
  <c r="K73" i="9"/>
  <c r="E75" i="9"/>
  <c r="C77" i="9"/>
  <c r="N78" i="9"/>
  <c r="L80" i="9"/>
  <c r="F82" i="9"/>
  <c r="H84" i="9"/>
  <c r="O85" i="9"/>
  <c r="N59" i="9"/>
  <c r="O62" i="9"/>
  <c r="L58" i="9"/>
  <c r="K63" i="9"/>
  <c r="L66" i="9"/>
  <c r="C71" i="9"/>
  <c r="I73" i="9"/>
  <c r="H78" i="9"/>
  <c r="N80" i="9"/>
  <c r="E85" i="9"/>
  <c r="L62" i="9"/>
  <c r="O66" i="9"/>
  <c r="K70" i="9"/>
  <c r="L73" i="9"/>
  <c r="C78" i="9"/>
  <c r="I80" i="9"/>
  <c r="H85" i="9"/>
  <c r="E65" i="9"/>
  <c r="F68" i="9"/>
  <c r="O71" i="9"/>
  <c r="K75" i="9"/>
  <c r="L78" i="9"/>
  <c r="C83" i="9"/>
  <c r="I85" i="9"/>
  <c r="N60" i="9"/>
  <c r="K66" i="9"/>
  <c r="L69" i="9"/>
  <c r="C74" i="9"/>
  <c r="I76" i="9"/>
  <c r="N272" i="9"/>
  <c r="N222" i="9"/>
  <c r="E209" i="9"/>
  <c r="N183" i="9"/>
  <c r="N180" i="9"/>
  <c r="F177" i="9"/>
  <c r="C189" i="9"/>
  <c r="K136" i="9"/>
  <c r="O152" i="9"/>
  <c r="C160" i="9"/>
  <c r="C137" i="9"/>
  <c r="H144" i="9"/>
  <c r="E151" i="9"/>
  <c r="F158" i="9"/>
  <c r="N135" i="9"/>
  <c r="O142" i="9"/>
  <c r="C150" i="9"/>
  <c r="H157" i="9"/>
  <c r="C135" i="9"/>
  <c r="H158" i="9"/>
  <c r="L158" i="9"/>
  <c r="E137" i="9"/>
  <c r="K131" i="9"/>
  <c r="K98" i="9"/>
  <c r="L105" i="9"/>
  <c r="I112" i="9"/>
  <c r="N119" i="9"/>
  <c r="L94" i="9"/>
  <c r="I101" i="9"/>
  <c r="N108" i="9"/>
  <c r="O115" i="9"/>
  <c r="C123" i="9"/>
  <c r="E98" i="9"/>
  <c r="O97" i="9"/>
  <c r="F101" i="9"/>
  <c r="O104" i="9"/>
  <c r="K108" i="9"/>
  <c r="L111" i="9"/>
  <c r="C116" i="9"/>
  <c r="I118" i="9"/>
  <c r="H123" i="9"/>
  <c r="L100" i="9"/>
  <c r="C105" i="9"/>
  <c r="I107" i="9"/>
  <c r="H112" i="9"/>
  <c r="N114" i="9"/>
  <c r="E119" i="9"/>
  <c r="F122" i="9"/>
  <c r="L99" i="9"/>
  <c r="C104" i="9"/>
  <c r="I106" i="9"/>
  <c r="E95" i="9"/>
  <c r="K109" i="9"/>
  <c r="C120" i="9"/>
  <c r="H96" i="9"/>
  <c r="I111" i="9"/>
  <c r="H116" i="9"/>
  <c r="C101" i="9"/>
  <c r="C112" i="9"/>
  <c r="O116" i="9"/>
  <c r="N121" i="9"/>
  <c r="N110" i="9"/>
  <c r="L120" i="9"/>
  <c r="N93" i="9"/>
  <c r="H93" i="9"/>
  <c r="C56" i="9"/>
  <c r="N57" i="9"/>
  <c r="L59" i="9"/>
  <c r="F61" i="9"/>
  <c r="H63" i="9"/>
  <c r="O64" i="9"/>
  <c r="I66" i="9"/>
  <c r="K68" i="9"/>
  <c r="E70" i="9"/>
  <c r="C72" i="9"/>
  <c r="N73" i="9"/>
  <c r="L75" i="9"/>
  <c r="F77" i="9"/>
  <c r="H79" i="9"/>
  <c r="O80" i="9"/>
  <c r="I82" i="9"/>
  <c r="K84" i="9"/>
  <c r="I56" i="9"/>
  <c r="E60" i="9"/>
  <c r="H56" i="9"/>
  <c r="O57" i="9"/>
  <c r="I59" i="9"/>
  <c r="K61" i="9"/>
  <c r="E63" i="9"/>
  <c r="C65" i="9"/>
  <c r="N66" i="9"/>
  <c r="L68" i="9"/>
  <c r="F70" i="9"/>
  <c r="H72" i="9"/>
  <c r="O73" i="9"/>
  <c r="I75" i="9"/>
  <c r="K77" i="9"/>
  <c r="E79" i="9"/>
  <c r="C81" i="9"/>
  <c r="N82" i="9"/>
  <c r="L84" i="9"/>
  <c r="E56" i="9"/>
  <c r="I60" i="9"/>
  <c r="C58" i="9"/>
  <c r="O59" i="9"/>
  <c r="F64" i="9"/>
  <c r="O67" i="9"/>
  <c r="K71" i="9"/>
  <c r="L74" i="9"/>
  <c r="C79" i="9"/>
  <c r="I81" i="9"/>
  <c r="C59" i="9"/>
  <c r="N63" i="9"/>
  <c r="E68" i="9"/>
  <c r="F71" i="9"/>
  <c r="O74" i="9"/>
  <c r="K78" i="9"/>
  <c r="L81" i="9"/>
  <c r="N56" i="9"/>
  <c r="H66" i="9"/>
  <c r="N68" i="9"/>
  <c r="E73" i="9"/>
  <c r="F76" i="9"/>
  <c r="O79" i="9"/>
  <c r="K83" i="9"/>
  <c r="E57" i="9"/>
  <c r="E64" i="9"/>
  <c r="F67" i="9"/>
  <c r="L271" i="9"/>
  <c r="O210" i="9"/>
  <c r="O230" i="9"/>
  <c r="O190" i="9"/>
  <c r="O187" i="9"/>
  <c r="K184" i="9"/>
  <c r="N186" i="9"/>
  <c r="L143" i="9"/>
  <c r="I154" i="9"/>
  <c r="N161" i="9"/>
  <c r="N138" i="9"/>
  <c r="O145" i="9"/>
  <c r="C153" i="9"/>
  <c r="H160" i="9"/>
  <c r="L137" i="9"/>
  <c r="I144" i="9"/>
  <c r="N151" i="9"/>
  <c r="O158" i="9"/>
  <c r="L138" i="9"/>
  <c r="C139" i="9"/>
  <c r="C143" i="9"/>
  <c r="C147" i="9"/>
  <c r="E131" i="9"/>
  <c r="E100" i="9"/>
  <c r="F107" i="9"/>
  <c r="K114" i="9"/>
  <c r="L121" i="9"/>
  <c r="F96" i="9"/>
  <c r="K103" i="9"/>
  <c r="L110" i="9"/>
  <c r="I117" i="9"/>
  <c r="H95" i="9"/>
  <c r="F94" i="9"/>
  <c r="E99" i="9"/>
  <c r="N101" i="9"/>
  <c r="E106" i="9"/>
  <c r="F109" i="9"/>
  <c r="O112" i="9"/>
  <c r="K116" i="9"/>
  <c r="L119" i="9"/>
  <c r="C97" i="9"/>
  <c r="O101" i="9"/>
  <c r="K105" i="9"/>
  <c r="L108" i="9"/>
  <c r="C113" i="9"/>
  <c r="I115" i="9"/>
  <c r="H120" i="9"/>
  <c r="N122" i="9"/>
  <c r="O100" i="9"/>
  <c r="K104" i="9"/>
  <c r="L107" i="9"/>
  <c r="F102" i="9"/>
  <c r="H111" i="9"/>
  <c r="F121" i="9"/>
  <c r="H100" i="9"/>
  <c r="L112" i="9"/>
  <c r="K117" i="9"/>
  <c r="I103" i="9"/>
  <c r="F113" i="9"/>
  <c r="E118" i="9"/>
  <c r="N98" i="9"/>
  <c r="C117" i="9"/>
  <c r="O121" i="9"/>
  <c r="L93" i="9"/>
  <c r="F93" i="9"/>
  <c r="K56" i="9"/>
  <c r="E58" i="9"/>
  <c r="C60" i="9"/>
  <c r="N61" i="9"/>
  <c r="L63" i="9"/>
  <c r="F65" i="9"/>
  <c r="H67" i="9"/>
  <c r="O68" i="9"/>
  <c r="I70" i="9"/>
  <c r="K72" i="9"/>
  <c r="E74" i="9"/>
  <c r="C76" i="9"/>
  <c r="N77" i="9"/>
  <c r="L79" i="9"/>
  <c r="F81" i="9"/>
  <c r="H83" i="9"/>
  <c r="O84" i="9"/>
  <c r="L57" i="9"/>
  <c r="L61" i="9"/>
  <c r="L56" i="9"/>
  <c r="F58" i="9"/>
  <c r="H60" i="9"/>
  <c r="O61" i="9"/>
  <c r="I63" i="9"/>
  <c r="K65" i="9"/>
  <c r="E67" i="9"/>
  <c r="C69" i="9"/>
  <c r="N70" i="9"/>
  <c r="L72" i="9"/>
  <c r="F74" i="9"/>
  <c r="H76" i="9"/>
  <c r="O77" i="9"/>
  <c r="I79" i="9"/>
  <c r="K81" i="9"/>
  <c r="E83" i="9"/>
  <c r="C85" i="9"/>
  <c r="H57" i="9"/>
  <c r="H61" i="9"/>
  <c r="F56" i="9"/>
  <c r="E61" i="9"/>
  <c r="N64" i="9"/>
  <c r="E69" i="9"/>
  <c r="F72" i="9"/>
  <c r="O75" i="9"/>
  <c r="K79" i="9"/>
  <c r="L82" i="9"/>
  <c r="F60" i="9"/>
  <c r="I64" i="9"/>
  <c r="H69" i="9"/>
  <c r="N71" i="9"/>
  <c r="E76" i="9"/>
  <c r="F79" i="9"/>
  <c r="O82" i="9"/>
  <c r="C63" i="9"/>
  <c r="C67" i="9"/>
  <c r="I69" i="9"/>
  <c r="H74" i="9"/>
  <c r="N76" i="9"/>
  <c r="E81" i="9"/>
  <c r="F84" i="9"/>
  <c r="H58" i="9"/>
  <c r="H65" i="9"/>
  <c r="E251" i="9"/>
  <c r="C195" i="9"/>
  <c r="K156" i="9"/>
  <c r="N154" i="9"/>
  <c r="L153" i="9"/>
  <c r="O147" i="9"/>
  <c r="H109" i="9"/>
  <c r="E105" i="9"/>
  <c r="I95" i="9"/>
  <c r="N109" i="9"/>
  <c r="F98" i="9"/>
  <c r="K113" i="9"/>
  <c r="E102" i="9"/>
  <c r="K112" i="9"/>
  <c r="N118" i="9"/>
  <c r="K101" i="9"/>
  <c r="E93" i="9"/>
  <c r="E62" i="9"/>
  <c r="F69" i="9"/>
  <c r="K76" i="9"/>
  <c r="L83" i="9"/>
  <c r="C57" i="9"/>
  <c r="H64" i="9"/>
  <c r="E71" i="9"/>
  <c r="F78" i="9"/>
  <c r="K85" i="9"/>
  <c r="H62" i="9"/>
  <c r="E77" i="9"/>
  <c r="L65" i="9"/>
  <c r="N79" i="9"/>
  <c r="L70" i="9"/>
  <c r="N84" i="9"/>
  <c r="I68" i="9"/>
  <c r="K74" i="9"/>
  <c r="O78" i="9"/>
  <c r="K82" i="9"/>
  <c r="L85" i="9"/>
  <c r="K55" i="9"/>
  <c r="E55" i="9"/>
  <c r="O70" i="9"/>
  <c r="E80" i="9"/>
  <c r="O55" i="9"/>
  <c r="C55" i="9"/>
  <c r="H81" i="9"/>
  <c r="H55" i="9"/>
  <c r="F149" i="9"/>
  <c r="C96" i="9"/>
  <c r="I123" i="9"/>
  <c r="K93" i="9"/>
  <c r="L67" i="9"/>
  <c r="F62" i="9"/>
  <c r="I83" i="9"/>
  <c r="I61" i="9"/>
  <c r="H82" i="9"/>
  <c r="L77" i="9"/>
  <c r="L55" i="9"/>
  <c r="O235" i="9"/>
  <c r="L191" i="9"/>
  <c r="K133" i="9"/>
  <c r="O161" i="9"/>
  <c r="I160" i="9"/>
  <c r="O151" i="9"/>
  <c r="E116" i="9"/>
  <c r="F112" i="9"/>
  <c r="C100" i="9"/>
  <c r="E114" i="9"/>
  <c r="E103" i="9"/>
  <c r="L116" i="9"/>
  <c r="F105" i="9"/>
  <c r="I122" i="9"/>
  <c r="O105" i="9"/>
  <c r="F118" i="9"/>
  <c r="O56" i="9"/>
  <c r="C64" i="9"/>
  <c r="H71" i="9"/>
  <c r="E78" i="9"/>
  <c r="F85" i="9"/>
  <c r="N58" i="9"/>
  <c r="O65" i="9"/>
  <c r="C73" i="9"/>
  <c r="H80" i="9"/>
  <c r="O58" i="9"/>
  <c r="I65" i="9"/>
  <c r="F80" i="9"/>
  <c r="C70" i="9"/>
  <c r="E84" i="9"/>
  <c r="C75" i="9"/>
  <c r="K59" i="9"/>
  <c r="F75" i="9"/>
  <c r="F83" i="9"/>
  <c r="I55" i="9"/>
  <c r="N83" i="9"/>
  <c r="C198" i="9"/>
  <c r="O120" i="9"/>
  <c r="L104" i="9"/>
  <c r="H119" i="9"/>
  <c r="I74" i="9"/>
  <c r="K62" i="9"/>
  <c r="L76" i="9"/>
  <c r="N72" i="9"/>
  <c r="K67" i="9"/>
  <c r="H73" i="9"/>
  <c r="I84" i="9"/>
  <c r="F55" i="9"/>
  <c r="E207" i="9"/>
  <c r="C197" i="9"/>
  <c r="L140" i="9"/>
  <c r="F139" i="9"/>
  <c r="K143" i="9"/>
  <c r="O94" i="9"/>
  <c r="F123" i="9"/>
  <c r="K119" i="9"/>
  <c r="I102" i="9"/>
  <c r="F117" i="9"/>
  <c r="F106" i="9"/>
  <c r="C121" i="9"/>
  <c r="O108" i="9"/>
  <c r="N102" i="9"/>
  <c r="I114" i="9"/>
  <c r="E123" i="9"/>
  <c r="I58" i="9"/>
  <c r="N65" i="9"/>
  <c r="O72" i="9"/>
  <c r="C80" i="9"/>
  <c r="K58" i="9"/>
  <c r="L60" i="9"/>
  <c r="I67" i="9"/>
  <c r="N74" i="9"/>
  <c r="O81" i="9"/>
  <c r="C62" i="9"/>
  <c r="H70" i="9"/>
  <c r="O83" i="9"/>
  <c r="I72" i="9"/>
  <c r="O63" i="9"/>
  <c r="I77" i="9"/>
  <c r="C66" i="9"/>
  <c r="E72" i="9"/>
  <c r="N75" i="9"/>
  <c r="N55" i="9"/>
  <c r="I147" i="9"/>
  <c r="K146" i="9"/>
  <c r="O143" i="9"/>
  <c r="C102" i="9"/>
  <c r="H98" i="9"/>
  <c r="H107" i="9"/>
  <c r="O109" i="9"/>
  <c r="O113" i="9"/>
  <c r="K60" i="9"/>
  <c r="N81" i="9"/>
  <c r="K69" i="9"/>
  <c r="I57" i="9"/>
  <c r="H77" i="9"/>
  <c r="N67" i="9"/>
  <c r="C82" i="9"/>
  <c r="F211" i="9"/>
  <c r="L173" i="9"/>
  <c r="O211" i="9"/>
  <c r="E211" i="9"/>
  <c r="I211" i="9"/>
  <c r="L211" i="9"/>
  <c r="F135" i="9"/>
  <c r="E173" i="9"/>
  <c r="F173" i="9"/>
  <c r="F249" i="9"/>
  <c r="O135" i="9"/>
  <c r="F91" i="28" l="1"/>
  <c r="F17" i="28"/>
  <c r="F64" i="28"/>
  <c r="F27" i="28"/>
  <c r="G82" i="9"/>
  <c r="M82" i="9"/>
  <c r="J82" i="9"/>
  <c r="D82" i="9"/>
  <c r="J102" i="9"/>
  <c r="M102" i="9"/>
  <c r="G102" i="9"/>
  <c r="D102" i="9"/>
  <c r="G66" i="9"/>
  <c r="M66" i="9"/>
  <c r="J66" i="9"/>
  <c r="D66" i="9"/>
  <c r="M62" i="9"/>
  <c r="J62" i="9"/>
  <c r="D62" i="9"/>
  <c r="G62" i="9"/>
  <c r="G80" i="9"/>
  <c r="D80" i="9"/>
  <c r="M80" i="9"/>
  <c r="J80" i="9"/>
  <c r="J121" i="9"/>
  <c r="G121" i="9"/>
  <c r="D121" i="9"/>
  <c r="M121" i="9"/>
  <c r="M197" i="9"/>
  <c r="J197" i="9"/>
  <c r="G197" i="9"/>
  <c r="D197" i="9"/>
  <c r="M198" i="9"/>
  <c r="J198" i="9"/>
  <c r="G198" i="9"/>
  <c r="D198" i="9"/>
  <c r="J75" i="9"/>
  <c r="D75" i="9"/>
  <c r="M75" i="9"/>
  <c r="G75" i="9"/>
  <c r="M70" i="9"/>
  <c r="J70" i="9"/>
  <c r="D70" i="9"/>
  <c r="G70" i="9"/>
  <c r="J73" i="9"/>
  <c r="D73" i="9"/>
  <c r="M73" i="9"/>
  <c r="G73" i="9"/>
  <c r="G64" i="9"/>
  <c r="D64" i="9"/>
  <c r="J64" i="9"/>
  <c r="M64" i="9"/>
  <c r="D100" i="9"/>
  <c r="G100" i="9"/>
  <c r="M100" i="9"/>
  <c r="J100" i="9"/>
  <c r="G96" i="9"/>
  <c r="D96" i="9"/>
  <c r="M96" i="9"/>
  <c r="J96" i="9"/>
  <c r="D55" i="9"/>
  <c r="J57" i="9"/>
  <c r="D57" i="9"/>
  <c r="G57" i="9"/>
  <c r="M57" i="9"/>
  <c r="D195" i="9"/>
  <c r="M195" i="9"/>
  <c r="J195" i="9"/>
  <c r="G195" i="9"/>
  <c r="J67" i="9"/>
  <c r="D67" i="9"/>
  <c r="M67" i="9"/>
  <c r="G67" i="9"/>
  <c r="G63" i="9"/>
  <c r="D63" i="9"/>
  <c r="M63" i="9"/>
  <c r="J63" i="9"/>
  <c r="J85" i="9"/>
  <c r="D85" i="9"/>
  <c r="G85" i="9"/>
  <c r="M85" i="9"/>
  <c r="J69" i="9"/>
  <c r="D69" i="9"/>
  <c r="G69" i="9"/>
  <c r="M69" i="9"/>
  <c r="G76" i="9"/>
  <c r="D76" i="9"/>
  <c r="J76" i="9"/>
  <c r="M76" i="9"/>
  <c r="G60" i="9"/>
  <c r="J60" i="9"/>
  <c r="M60" i="9"/>
  <c r="D60" i="9"/>
  <c r="G117" i="9"/>
  <c r="J117" i="9"/>
  <c r="D117" i="9"/>
  <c r="M117" i="9"/>
  <c r="J113" i="9"/>
  <c r="G113" i="9"/>
  <c r="D113" i="9"/>
  <c r="M113" i="9"/>
  <c r="M97" i="9"/>
  <c r="G97" i="9"/>
  <c r="D97" i="9"/>
  <c r="J97" i="9"/>
  <c r="J147" i="9"/>
  <c r="G147" i="9"/>
  <c r="D147" i="9"/>
  <c r="M147" i="9"/>
  <c r="J143" i="9"/>
  <c r="G143" i="9"/>
  <c r="D143" i="9"/>
  <c r="M143" i="9"/>
  <c r="J139" i="9"/>
  <c r="G139" i="9"/>
  <c r="D139" i="9"/>
  <c r="M139" i="9"/>
  <c r="D153" i="9"/>
  <c r="M153" i="9"/>
  <c r="J153" i="9"/>
  <c r="G153" i="9"/>
  <c r="D59" i="9"/>
  <c r="J59" i="9"/>
  <c r="G59" i="9"/>
  <c r="M59" i="9"/>
  <c r="D79" i="9"/>
  <c r="J79" i="9"/>
  <c r="M79" i="9"/>
  <c r="G79" i="9"/>
  <c r="M58" i="9"/>
  <c r="J58" i="9"/>
  <c r="G58" i="9"/>
  <c r="D58" i="9"/>
  <c r="J81" i="9"/>
  <c r="M81" i="9"/>
  <c r="G81" i="9"/>
  <c r="D81" i="9"/>
  <c r="J65" i="9"/>
  <c r="M65" i="9"/>
  <c r="G65" i="9"/>
  <c r="D65" i="9"/>
  <c r="G72" i="9"/>
  <c r="M72" i="9"/>
  <c r="D72" i="9"/>
  <c r="J72" i="9"/>
  <c r="G56" i="9"/>
  <c r="D56" i="9"/>
  <c r="J56" i="9"/>
  <c r="M56" i="9"/>
  <c r="G112" i="9"/>
  <c r="D112" i="9"/>
  <c r="M112" i="9"/>
  <c r="J112" i="9"/>
  <c r="G101" i="9"/>
  <c r="J101" i="9"/>
  <c r="D101" i="9"/>
  <c r="M101" i="9"/>
  <c r="G120" i="9"/>
  <c r="D120" i="9"/>
  <c r="M120" i="9"/>
  <c r="J120" i="9"/>
  <c r="G104" i="9"/>
  <c r="D104" i="9"/>
  <c r="M104" i="9"/>
  <c r="J104" i="9"/>
  <c r="J105" i="9"/>
  <c r="G105" i="9"/>
  <c r="D105" i="9"/>
  <c r="M105" i="9"/>
  <c r="D116" i="9"/>
  <c r="G116" i="9"/>
  <c r="M116" i="9"/>
  <c r="J116" i="9"/>
  <c r="M123" i="9"/>
  <c r="D123" i="9"/>
  <c r="J123" i="9"/>
  <c r="G123" i="9"/>
  <c r="J135" i="9"/>
  <c r="G135" i="9"/>
  <c r="D135" i="9"/>
  <c r="M135" i="9"/>
  <c r="G150" i="9"/>
  <c r="D150" i="9"/>
  <c r="M150" i="9"/>
  <c r="J150" i="9"/>
  <c r="D137" i="9"/>
  <c r="M137" i="9"/>
  <c r="J137" i="9"/>
  <c r="G137" i="9"/>
  <c r="M160" i="9"/>
  <c r="J160" i="9"/>
  <c r="G160" i="9"/>
  <c r="D160" i="9"/>
  <c r="M189" i="9"/>
  <c r="J189" i="9"/>
  <c r="G189" i="9"/>
  <c r="D189" i="9"/>
  <c r="G74" i="9"/>
  <c r="M74" i="9"/>
  <c r="J74" i="9"/>
  <c r="D74" i="9"/>
  <c r="J83" i="9"/>
  <c r="D83" i="9"/>
  <c r="M83" i="9"/>
  <c r="G83" i="9"/>
  <c r="M78" i="9"/>
  <c r="G78" i="9"/>
  <c r="J78" i="9"/>
  <c r="D78" i="9"/>
  <c r="D71" i="9"/>
  <c r="J71" i="9"/>
  <c r="M71" i="9"/>
  <c r="G71" i="9"/>
  <c r="J77" i="9"/>
  <c r="G77" i="9"/>
  <c r="M77" i="9"/>
  <c r="D77" i="9"/>
  <c r="J61" i="9"/>
  <c r="D61" i="9"/>
  <c r="M61" i="9"/>
  <c r="G61" i="9"/>
  <c r="G84" i="9"/>
  <c r="M84" i="9"/>
  <c r="D84" i="9"/>
  <c r="J84" i="9"/>
  <c r="G68" i="9"/>
  <c r="D68" i="9"/>
  <c r="M68" i="9"/>
  <c r="J68" i="9"/>
  <c r="G109" i="9"/>
  <c r="J109" i="9"/>
  <c r="D109" i="9"/>
  <c r="M109" i="9"/>
  <c r="D108" i="9"/>
  <c r="G108" i="9"/>
  <c r="M108" i="9"/>
  <c r="J108" i="9"/>
  <c r="D107" i="9"/>
  <c r="M107" i="9"/>
  <c r="J107" i="9"/>
  <c r="G107" i="9"/>
  <c r="J118" i="9"/>
  <c r="M118" i="9"/>
  <c r="G118" i="9"/>
  <c r="D118" i="9"/>
  <c r="D119" i="9"/>
  <c r="M119" i="9"/>
  <c r="J119" i="9"/>
  <c r="G119" i="9"/>
  <c r="D103" i="9"/>
  <c r="M103" i="9"/>
  <c r="J103" i="9"/>
  <c r="G103" i="9"/>
  <c r="M114" i="9"/>
  <c r="J114" i="9"/>
  <c r="G114" i="9"/>
  <c r="D114" i="9"/>
  <c r="M98" i="9"/>
  <c r="J98" i="9"/>
  <c r="G98" i="9"/>
  <c r="D98" i="9"/>
  <c r="G146" i="9"/>
  <c r="D146" i="9"/>
  <c r="M146" i="9"/>
  <c r="J146" i="9"/>
  <c r="D149" i="9"/>
  <c r="M149" i="9"/>
  <c r="J149" i="9"/>
  <c r="G149" i="9"/>
  <c r="D133" i="9"/>
  <c r="M133" i="9"/>
  <c r="J133" i="9"/>
  <c r="G133" i="9"/>
  <c r="M156" i="9"/>
  <c r="J156" i="9"/>
  <c r="G156" i="9"/>
  <c r="D156" i="9"/>
  <c r="D179" i="9"/>
  <c r="M179" i="9"/>
  <c r="J179" i="9"/>
  <c r="G179" i="9"/>
  <c r="M182" i="9"/>
  <c r="J182" i="9"/>
  <c r="G182" i="9"/>
  <c r="D182" i="9"/>
  <c r="D220" i="9"/>
  <c r="M220" i="9"/>
  <c r="J220" i="9"/>
  <c r="G220" i="9"/>
  <c r="D115" i="9"/>
  <c r="M115" i="9"/>
  <c r="J115" i="9"/>
  <c r="G115" i="9"/>
  <c r="D99" i="9"/>
  <c r="M99" i="9"/>
  <c r="J99" i="9"/>
  <c r="G99" i="9"/>
  <c r="J110" i="9"/>
  <c r="M110" i="9"/>
  <c r="G110" i="9"/>
  <c r="D110" i="9"/>
  <c r="M94" i="9"/>
  <c r="J94" i="9"/>
  <c r="G94" i="9"/>
  <c r="D94" i="9"/>
  <c r="J151" i="9"/>
  <c r="G151" i="9"/>
  <c r="D151" i="9"/>
  <c r="M151" i="9"/>
  <c r="G158" i="9"/>
  <c r="D158" i="9"/>
  <c r="M158" i="9"/>
  <c r="J158" i="9"/>
  <c r="G142" i="9"/>
  <c r="D142" i="9"/>
  <c r="M142" i="9"/>
  <c r="J142" i="9"/>
  <c r="D161" i="9"/>
  <c r="M161" i="9"/>
  <c r="J161" i="9"/>
  <c r="G161" i="9"/>
  <c r="D145" i="9"/>
  <c r="M145" i="9"/>
  <c r="J145" i="9"/>
  <c r="G145" i="9"/>
  <c r="M152" i="9"/>
  <c r="J152" i="9"/>
  <c r="G152" i="9"/>
  <c r="D152" i="9"/>
  <c r="M140" i="9"/>
  <c r="J140" i="9"/>
  <c r="G140" i="9"/>
  <c r="D140" i="9"/>
  <c r="G188" i="9"/>
  <c r="D188" i="9"/>
  <c r="M188" i="9"/>
  <c r="J188" i="9"/>
  <c r="G237" i="9"/>
  <c r="M237" i="9"/>
  <c r="D237" i="9"/>
  <c r="J237" i="9"/>
  <c r="D111" i="9"/>
  <c r="M111" i="9"/>
  <c r="J111" i="9"/>
  <c r="G111" i="9"/>
  <c r="D95" i="9"/>
  <c r="M95" i="9"/>
  <c r="J95" i="9"/>
  <c r="G95" i="9"/>
  <c r="M122" i="9"/>
  <c r="J122" i="9"/>
  <c r="G122" i="9"/>
  <c r="D122" i="9"/>
  <c r="M106" i="9"/>
  <c r="J106" i="9"/>
  <c r="G106" i="9"/>
  <c r="D106" i="9"/>
  <c r="J159" i="9"/>
  <c r="G159" i="9"/>
  <c r="D159" i="9"/>
  <c r="M159" i="9"/>
  <c r="J155" i="9"/>
  <c r="G155" i="9"/>
  <c r="D155" i="9"/>
  <c r="M155" i="9"/>
  <c r="G154" i="9"/>
  <c r="D154" i="9"/>
  <c r="M154" i="9"/>
  <c r="J154" i="9"/>
  <c r="G138" i="9"/>
  <c r="D138" i="9"/>
  <c r="M138" i="9"/>
  <c r="J138" i="9"/>
  <c r="G134" i="9"/>
  <c r="D134" i="9"/>
  <c r="M134" i="9"/>
  <c r="J134" i="9"/>
  <c r="D157" i="9"/>
  <c r="M157" i="9"/>
  <c r="J157" i="9"/>
  <c r="G157" i="9"/>
  <c r="D141" i="9"/>
  <c r="M141" i="9"/>
  <c r="J141" i="9"/>
  <c r="G141" i="9"/>
  <c r="M185" i="9"/>
  <c r="J185" i="9"/>
  <c r="G185" i="9"/>
  <c r="D185" i="9"/>
  <c r="D219" i="9"/>
  <c r="J219" i="9"/>
  <c r="M219" i="9"/>
  <c r="G219" i="9"/>
  <c r="D227" i="9"/>
  <c r="M227" i="9"/>
  <c r="G227" i="9"/>
  <c r="J227" i="9"/>
  <c r="D249" i="9"/>
  <c r="M249" i="9"/>
  <c r="J249" i="9"/>
  <c r="G249" i="9"/>
  <c r="M136" i="9"/>
  <c r="J136" i="9"/>
  <c r="G136" i="9"/>
  <c r="D136" i="9"/>
  <c r="M181" i="9"/>
  <c r="J181" i="9"/>
  <c r="G181" i="9"/>
  <c r="D181" i="9"/>
  <c r="M173" i="9"/>
  <c r="J173" i="9"/>
  <c r="G173" i="9"/>
  <c r="G184" i="9"/>
  <c r="D184" i="9"/>
  <c r="M184" i="9"/>
  <c r="J184" i="9"/>
  <c r="D191" i="9"/>
  <c r="M191" i="9"/>
  <c r="J191" i="9"/>
  <c r="G191" i="9"/>
  <c r="D175" i="9"/>
  <c r="M175" i="9"/>
  <c r="J175" i="9"/>
  <c r="G175" i="9"/>
  <c r="D171" i="9"/>
  <c r="M171" i="9"/>
  <c r="J171" i="9"/>
  <c r="G171" i="9"/>
  <c r="M194" i="9"/>
  <c r="J194" i="9"/>
  <c r="G194" i="9"/>
  <c r="D194" i="9"/>
  <c r="M178" i="9"/>
  <c r="J178" i="9"/>
  <c r="G178" i="9"/>
  <c r="D178" i="9"/>
  <c r="M234" i="9"/>
  <c r="J234" i="9"/>
  <c r="D234" i="9"/>
  <c r="G234" i="9"/>
  <c r="D235" i="9"/>
  <c r="M235" i="9"/>
  <c r="G235" i="9"/>
  <c r="J235" i="9"/>
  <c r="D215" i="9"/>
  <c r="J215" i="9"/>
  <c r="M215" i="9"/>
  <c r="G215" i="9"/>
  <c r="J210" i="9"/>
  <c r="G210" i="9"/>
  <c r="D210" i="9"/>
  <c r="M210" i="9"/>
  <c r="D221" i="9"/>
  <c r="G221" i="9"/>
  <c r="M221" i="9"/>
  <c r="J221" i="9"/>
  <c r="M248" i="9"/>
  <c r="J248" i="9"/>
  <c r="G248" i="9"/>
  <c r="D248" i="9"/>
  <c r="J271" i="9"/>
  <c r="G271" i="9"/>
  <c r="D271" i="9"/>
  <c r="M271" i="9"/>
  <c r="M148" i="9"/>
  <c r="J148" i="9"/>
  <c r="G148" i="9"/>
  <c r="D148" i="9"/>
  <c r="M132" i="9"/>
  <c r="J132" i="9"/>
  <c r="G132" i="9"/>
  <c r="D132" i="9"/>
  <c r="G177" i="9"/>
  <c r="M177" i="9"/>
  <c r="J177" i="9"/>
  <c r="D177" i="9"/>
  <c r="G196" i="9"/>
  <c r="D196" i="9"/>
  <c r="M196" i="9"/>
  <c r="J196" i="9"/>
  <c r="G180" i="9"/>
  <c r="D180" i="9"/>
  <c r="M180" i="9"/>
  <c r="J180" i="9"/>
  <c r="D187" i="9"/>
  <c r="M187" i="9"/>
  <c r="J187" i="9"/>
  <c r="G187" i="9"/>
  <c r="M190" i="9"/>
  <c r="J190" i="9"/>
  <c r="G190" i="9"/>
  <c r="D190" i="9"/>
  <c r="M174" i="9"/>
  <c r="J174" i="9"/>
  <c r="G174" i="9"/>
  <c r="D174" i="9"/>
  <c r="J170" i="9"/>
  <c r="M170" i="9"/>
  <c r="G170" i="9"/>
  <c r="D170" i="9"/>
  <c r="M226" i="9"/>
  <c r="J226" i="9"/>
  <c r="D226" i="9"/>
  <c r="G226" i="9"/>
  <c r="M230" i="9"/>
  <c r="J230" i="9"/>
  <c r="D230" i="9"/>
  <c r="G230" i="9"/>
  <c r="M268" i="9"/>
  <c r="J268" i="9"/>
  <c r="G268" i="9"/>
  <c r="D268" i="9"/>
  <c r="J255" i="9"/>
  <c r="G255" i="9"/>
  <c r="D255" i="9"/>
  <c r="M255" i="9"/>
  <c r="M144" i="9"/>
  <c r="J144" i="9"/>
  <c r="G144" i="9"/>
  <c r="D144" i="9"/>
  <c r="G169" i="9"/>
  <c r="J169" i="9"/>
  <c r="M169" i="9"/>
  <c r="M193" i="9"/>
  <c r="J193" i="9"/>
  <c r="G193" i="9"/>
  <c r="D193" i="9"/>
  <c r="G192" i="9"/>
  <c r="D192" i="9"/>
  <c r="M192" i="9"/>
  <c r="J192" i="9"/>
  <c r="G176" i="9"/>
  <c r="D176" i="9"/>
  <c r="M176" i="9"/>
  <c r="J176" i="9"/>
  <c r="G172" i="9"/>
  <c r="D172" i="9"/>
  <c r="M172" i="9"/>
  <c r="J172" i="9"/>
  <c r="D199" i="9"/>
  <c r="M199" i="9"/>
  <c r="J199" i="9"/>
  <c r="G199" i="9"/>
  <c r="D183" i="9"/>
  <c r="M183" i="9"/>
  <c r="J183" i="9"/>
  <c r="G183" i="9"/>
  <c r="M186" i="9"/>
  <c r="J186" i="9"/>
  <c r="G186" i="9"/>
  <c r="D186" i="9"/>
  <c r="M211" i="9"/>
  <c r="J211" i="9"/>
  <c r="G211" i="9"/>
  <c r="M231" i="9"/>
  <c r="G231" i="9"/>
  <c r="J231" i="9"/>
  <c r="D231" i="9"/>
  <c r="D236" i="9"/>
  <c r="J236" i="9"/>
  <c r="M236" i="9"/>
  <c r="G236" i="9"/>
  <c r="D261" i="9"/>
  <c r="M261" i="9"/>
  <c r="J261" i="9"/>
  <c r="G261" i="9"/>
  <c r="D257" i="9"/>
  <c r="M257" i="9"/>
  <c r="J257" i="9"/>
  <c r="G257" i="9"/>
  <c r="D253" i="9"/>
  <c r="M253" i="9"/>
  <c r="J253" i="9"/>
  <c r="G253" i="9"/>
  <c r="M252" i="9"/>
  <c r="J252" i="9"/>
  <c r="G252" i="9"/>
  <c r="D252" i="9"/>
  <c r="G262" i="9"/>
  <c r="D262" i="9"/>
  <c r="M262" i="9"/>
  <c r="J262" i="9"/>
  <c r="M223" i="9"/>
  <c r="G223" i="9"/>
  <c r="J223" i="9"/>
  <c r="D223" i="9"/>
  <c r="J218" i="9"/>
  <c r="G218" i="9"/>
  <c r="D218" i="9"/>
  <c r="M218" i="9"/>
  <c r="J214" i="9"/>
  <c r="G214" i="9"/>
  <c r="D214" i="9"/>
  <c r="M214" i="9"/>
  <c r="G225" i="9"/>
  <c r="D225" i="9"/>
  <c r="M225" i="9"/>
  <c r="J225" i="9"/>
  <c r="D224" i="9"/>
  <c r="J224" i="9"/>
  <c r="M224" i="9"/>
  <c r="G224" i="9"/>
  <c r="D273" i="9"/>
  <c r="M273" i="9"/>
  <c r="J273" i="9"/>
  <c r="G273" i="9"/>
  <c r="D269" i="9"/>
  <c r="M269" i="9"/>
  <c r="J269" i="9"/>
  <c r="G269" i="9"/>
  <c r="M272" i="9"/>
  <c r="J272" i="9"/>
  <c r="G272" i="9"/>
  <c r="D272" i="9"/>
  <c r="M256" i="9"/>
  <c r="J256" i="9"/>
  <c r="G256" i="9"/>
  <c r="D256" i="9"/>
  <c r="J275" i="9"/>
  <c r="G275" i="9"/>
  <c r="D275" i="9"/>
  <c r="M275" i="9"/>
  <c r="J259" i="9"/>
  <c r="G259" i="9"/>
  <c r="D259" i="9"/>
  <c r="M259" i="9"/>
  <c r="G266" i="9"/>
  <c r="D266" i="9"/>
  <c r="M266" i="9"/>
  <c r="J266" i="9"/>
  <c r="G250" i="9"/>
  <c r="D250" i="9"/>
  <c r="M250" i="9"/>
  <c r="J250" i="9"/>
  <c r="G246" i="9"/>
  <c r="D246" i="9"/>
  <c r="M246" i="9"/>
  <c r="J246" i="9"/>
  <c r="M222" i="9"/>
  <c r="J222" i="9"/>
  <c r="D222" i="9"/>
  <c r="G222" i="9"/>
  <c r="G233" i="9"/>
  <c r="D233" i="9"/>
  <c r="M233" i="9"/>
  <c r="J233" i="9"/>
  <c r="G217" i="9"/>
  <c r="D217" i="9"/>
  <c r="M217" i="9"/>
  <c r="J217" i="9"/>
  <c r="G209" i="9"/>
  <c r="D209" i="9"/>
  <c r="M209" i="9"/>
  <c r="J209" i="9"/>
  <c r="D232" i="9"/>
  <c r="J232" i="9"/>
  <c r="M232" i="9"/>
  <c r="G232" i="9"/>
  <c r="M216" i="9"/>
  <c r="D216" i="9"/>
  <c r="J216" i="9"/>
  <c r="G216" i="9"/>
  <c r="M264" i="9"/>
  <c r="J264" i="9"/>
  <c r="G264" i="9"/>
  <c r="D264" i="9"/>
  <c r="J267" i="9"/>
  <c r="G267" i="9"/>
  <c r="D267" i="9"/>
  <c r="M267" i="9"/>
  <c r="J251" i="9"/>
  <c r="G251" i="9"/>
  <c r="D251" i="9"/>
  <c r="M251" i="9"/>
  <c r="G274" i="9"/>
  <c r="D274" i="9"/>
  <c r="M274" i="9"/>
  <c r="J274" i="9"/>
  <c r="G258" i="9"/>
  <c r="D258" i="9"/>
  <c r="M258" i="9"/>
  <c r="J258" i="9"/>
  <c r="G229" i="9"/>
  <c r="M229" i="9"/>
  <c r="D229" i="9"/>
  <c r="J229" i="9"/>
  <c r="G213" i="9"/>
  <c r="D213" i="9"/>
  <c r="M213" i="9"/>
  <c r="J213" i="9"/>
  <c r="D228" i="9"/>
  <c r="J228" i="9"/>
  <c r="M228" i="9"/>
  <c r="G228" i="9"/>
  <c r="D212" i="9"/>
  <c r="M212" i="9"/>
  <c r="J212" i="9"/>
  <c r="G212" i="9"/>
  <c r="D208" i="9"/>
  <c r="M208" i="9"/>
  <c r="J208" i="9"/>
  <c r="G208" i="9"/>
  <c r="D265" i="9"/>
  <c r="M265" i="9"/>
  <c r="J265" i="9"/>
  <c r="G265" i="9"/>
  <c r="M260" i="9"/>
  <c r="J260" i="9"/>
  <c r="G260" i="9"/>
  <c r="D260" i="9"/>
  <c r="J263" i="9"/>
  <c r="G263" i="9"/>
  <c r="D263" i="9"/>
  <c r="M263" i="9"/>
  <c r="J247" i="9"/>
  <c r="G247" i="9"/>
  <c r="D247" i="9"/>
  <c r="M247" i="9"/>
  <c r="G270" i="9"/>
  <c r="D270" i="9"/>
  <c r="M270" i="9"/>
  <c r="J270" i="9"/>
  <c r="G254" i="9"/>
  <c r="D254" i="9"/>
  <c r="M254" i="9"/>
  <c r="J254" i="9"/>
  <c r="D211" i="9"/>
  <c r="D173" i="9"/>
  <c r="G3" i="28"/>
  <c r="G9" i="28"/>
  <c r="C277" i="9"/>
  <c r="M245" i="9"/>
  <c r="D245" i="9"/>
  <c r="G245" i="9"/>
  <c r="J245" i="9"/>
  <c r="L277" i="9"/>
  <c r="K277" i="9" s="1"/>
  <c r="F277" i="9"/>
  <c r="E277" i="9" s="1"/>
  <c r="O277" i="9"/>
  <c r="N277" i="9" s="1"/>
  <c r="I277" i="9"/>
  <c r="H277" i="9" s="1"/>
  <c r="F239" i="9"/>
  <c r="E239" i="9" s="1"/>
  <c r="I239" i="9"/>
  <c r="H239" i="9" s="1"/>
  <c r="C239" i="9"/>
  <c r="G207" i="9"/>
  <c r="J207" i="9"/>
  <c r="M207" i="9"/>
  <c r="D207" i="9"/>
  <c r="O239" i="9"/>
  <c r="N239" i="9" s="1"/>
  <c r="L239" i="9"/>
  <c r="K239" i="9" s="1"/>
  <c r="F201" i="9"/>
  <c r="E201" i="9" s="1"/>
  <c r="I201" i="9"/>
  <c r="H201" i="9" s="1"/>
  <c r="O201" i="9"/>
  <c r="N201" i="9" s="1"/>
  <c r="D169" i="9"/>
  <c r="C201" i="9"/>
  <c r="L201" i="9"/>
  <c r="K201" i="9" s="1"/>
  <c r="O163" i="9"/>
  <c r="N163" i="9" s="1"/>
  <c r="F163" i="9"/>
  <c r="E163" i="9" s="1"/>
  <c r="I163" i="9"/>
  <c r="H163" i="9" s="1"/>
  <c r="C163" i="9"/>
  <c r="G131" i="9"/>
  <c r="M131" i="9"/>
  <c r="J131" i="9"/>
  <c r="D131" i="9"/>
  <c r="L163" i="9"/>
  <c r="K163" i="9" s="1"/>
  <c r="O125" i="9"/>
  <c r="N125" i="9" s="1"/>
  <c r="L125" i="9"/>
  <c r="K125" i="9" s="1"/>
  <c r="M93" i="9"/>
  <c r="D93" i="9"/>
  <c r="C125" i="9"/>
  <c r="G93" i="9"/>
  <c r="J93" i="9"/>
  <c r="I125" i="9"/>
  <c r="H125" i="9" s="1"/>
  <c r="C87" i="9"/>
  <c r="G55" i="9"/>
  <c r="J55" i="9"/>
  <c r="M55" i="9"/>
  <c r="L87" i="9"/>
  <c r="K87" i="9" s="1"/>
  <c r="O87" i="9"/>
  <c r="N87" i="9" s="1"/>
  <c r="I87" i="9"/>
  <c r="H87" i="9" s="1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F97" i="9"/>
  <c r="F59" i="9"/>
  <c r="E17" i="9"/>
  <c r="F125" i="9" l="1"/>
  <c r="E125" i="9" s="1"/>
  <c r="F37" i="28"/>
  <c r="G11" i="28" s="1"/>
  <c r="G7" i="28"/>
  <c r="F87" i="9"/>
  <c r="E87" i="9" s="1"/>
  <c r="G5" i="28"/>
  <c r="J125" i="9"/>
  <c r="M125" i="9"/>
  <c r="G201" i="9"/>
  <c r="G277" i="9"/>
  <c r="D277" i="9"/>
  <c r="M277" i="9"/>
  <c r="J277" i="9"/>
  <c r="M239" i="9"/>
  <c r="J239" i="9"/>
  <c r="G239" i="9"/>
  <c r="J201" i="9"/>
  <c r="M201" i="9"/>
  <c r="D239" i="9"/>
  <c r="D201" i="9"/>
  <c r="J163" i="9"/>
  <c r="M163" i="9"/>
  <c r="G163" i="9"/>
  <c r="D163" i="9"/>
  <c r="G125" i="9"/>
  <c r="D125" i="9"/>
  <c r="G87" i="9"/>
  <c r="M87" i="9"/>
  <c r="J87" i="9"/>
  <c r="D87" i="9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7" l="1"/>
  <c r="G11" i="26"/>
  <c r="G11" i="24"/>
  <c r="G7" i="24"/>
  <c r="G9" i="6"/>
  <c r="G11" i="6"/>
  <c r="G5" i="6" l="1"/>
  <c r="K25" i="9"/>
  <c r="N22" i="9"/>
  <c r="O42" i="9"/>
  <c r="K43" i="9"/>
  <c r="H29" i="9"/>
  <c r="K42" i="3"/>
  <c r="K12" i="5"/>
  <c r="L22" i="9"/>
  <c r="K49" i="3"/>
  <c r="O29" i="9"/>
  <c r="I21" i="9"/>
  <c r="K11" i="5"/>
  <c r="E30" i="9"/>
  <c r="O45" i="3"/>
  <c r="K50" i="3"/>
  <c r="H25" i="9"/>
  <c r="O47" i="3"/>
  <c r="C24" i="9"/>
  <c r="F17" i="9"/>
  <c r="K42" i="9"/>
  <c r="N18" i="9"/>
  <c r="H46" i="9"/>
  <c r="O34" i="3"/>
  <c r="H45" i="9"/>
  <c r="N17" i="9"/>
  <c r="K67" i="3"/>
  <c r="K12" i="3"/>
  <c r="I30" i="9"/>
  <c r="N37" i="9"/>
  <c r="F40" i="9"/>
  <c r="K30" i="9"/>
  <c r="N41" i="9"/>
  <c r="K63" i="3"/>
  <c r="G61" i="3"/>
  <c r="I37" i="9"/>
  <c r="O41" i="9"/>
  <c r="N38" i="9"/>
  <c r="N28" i="9"/>
  <c r="K13" i="3"/>
  <c r="O69" i="3"/>
  <c r="E45" i="9"/>
  <c r="I23" i="9"/>
  <c r="K32" i="3"/>
  <c r="H40" i="9"/>
  <c r="H44" i="9"/>
  <c r="C41" i="9"/>
  <c r="E46" i="9"/>
  <c r="E26" i="9"/>
  <c r="O17" i="9"/>
  <c r="K13" i="5"/>
  <c r="H20" i="9"/>
  <c r="N20" i="9"/>
  <c r="O35" i="3"/>
  <c r="F42" i="9"/>
  <c r="K17" i="5"/>
  <c r="K68" i="3"/>
  <c r="K46" i="3"/>
  <c r="H35" i="9"/>
  <c r="L43" i="9"/>
  <c r="O21" i="9"/>
  <c r="L41" i="9"/>
  <c r="H19" i="9"/>
  <c r="E38" i="9"/>
  <c r="K64" i="3"/>
  <c r="C35" i="9"/>
  <c r="I34" i="9"/>
  <c r="F44" i="9"/>
  <c r="C45" i="9"/>
  <c r="K7" i="5"/>
  <c r="K71" i="3"/>
  <c r="H18" i="9"/>
  <c r="I18" i="9"/>
  <c r="G48" i="3"/>
  <c r="O44" i="9"/>
  <c r="O27" i="9"/>
  <c r="K24" i="3"/>
  <c r="E23" i="9"/>
  <c r="O64" i="3"/>
  <c r="H47" i="9"/>
  <c r="L46" i="9"/>
  <c r="G38" i="3"/>
  <c r="K19" i="5"/>
  <c r="L26" i="9"/>
  <c r="L20" i="9"/>
  <c r="K38" i="9"/>
  <c r="K40" i="9"/>
  <c r="K66" i="3"/>
  <c r="K8" i="5"/>
  <c r="K32" i="9"/>
  <c r="N34" i="9"/>
  <c r="K62" i="3"/>
  <c r="I26" i="9"/>
  <c r="I36" i="9"/>
  <c r="G39" i="3"/>
  <c r="F29" i="9"/>
  <c r="N35" i="9"/>
  <c r="H30" i="9"/>
  <c r="E28" i="9"/>
  <c r="K39" i="3"/>
  <c r="K21" i="5"/>
  <c r="C38" i="9"/>
  <c r="E40" i="9"/>
  <c r="K33" i="9"/>
  <c r="I25" i="9"/>
  <c r="I29" i="9"/>
  <c r="K56" i="3"/>
  <c r="K29" i="9"/>
  <c r="K17" i="9"/>
  <c r="K35" i="9"/>
  <c r="H39" i="9"/>
  <c r="N47" i="9"/>
  <c r="E25" i="9"/>
  <c r="E18" i="9"/>
  <c r="K16" i="3"/>
  <c r="O67" i="3"/>
  <c r="F31" i="9"/>
  <c r="H34" i="9"/>
  <c r="C34" i="9"/>
  <c r="L32" i="9"/>
  <c r="C28" i="9"/>
  <c r="O66" i="3"/>
  <c r="O38" i="9"/>
  <c r="H31" i="9"/>
  <c r="L35" i="9"/>
  <c r="K43" i="3"/>
  <c r="L45" i="9"/>
  <c r="N44" i="9"/>
  <c r="K16" i="5"/>
  <c r="K23" i="9"/>
  <c r="K9" i="3"/>
  <c r="G67" i="3"/>
  <c r="G44" i="3"/>
  <c r="C27" i="9"/>
  <c r="K15" i="5"/>
  <c r="K18" i="9"/>
  <c r="K15" i="3"/>
  <c r="G40" i="3"/>
  <c r="K26" i="9"/>
  <c r="L18" i="9"/>
  <c r="G34" i="3"/>
  <c r="G64" i="3"/>
  <c r="O34" i="9"/>
  <c r="O59" i="3"/>
  <c r="K34" i="9"/>
  <c r="O37" i="9"/>
  <c r="L37" i="9"/>
  <c r="F47" i="9"/>
  <c r="K36" i="9"/>
  <c r="L47" i="9"/>
  <c r="O28" i="9"/>
  <c r="I38" i="9"/>
  <c r="N39" i="9"/>
  <c r="C47" i="9"/>
  <c r="O56" i="3"/>
  <c r="K19" i="3"/>
  <c r="F18" i="9"/>
  <c r="O58" i="3"/>
  <c r="K57" i="3"/>
  <c r="E24" i="9"/>
  <c r="E39" i="9"/>
  <c r="O40" i="9"/>
  <c r="O62" i="3"/>
  <c r="K35" i="3"/>
  <c r="K31" i="3"/>
  <c r="I32" i="9"/>
  <c r="H22" i="9"/>
  <c r="L33" i="9"/>
  <c r="I42" i="9"/>
  <c r="N26" i="9"/>
  <c r="K14" i="5"/>
  <c r="O41" i="3"/>
  <c r="H42" i="9"/>
  <c r="C33" i="9"/>
  <c r="O70" i="3"/>
  <c r="C31" i="9"/>
  <c r="N27" i="9"/>
  <c r="G65" i="3"/>
  <c r="K22" i="9"/>
  <c r="L27" i="9"/>
  <c r="G43" i="3"/>
  <c r="K31" i="9"/>
  <c r="K60" i="3"/>
  <c r="N33" i="9"/>
  <c r="L42" i="9"/>
  <c r="L40" i="9"/>
  <c r="G41" i="3"/>
  <c r="K75" i="3"/>
  <c r="E43" i="9"/>
  <c r="G35" i="3"/>
  <c r="O33" i="3"/>
  <c r="C20" i="9"/>
  <c r="K7" i="3"/>
  <c r="L23" i="9"/>
  <c r="O37" i="3"/>
  <c r="K72" i="3"/>
  <c r="I39" i="9"/>
  <c r="G58" i="3"/>
  <c r="F33" i="9"/>
  <c r="K65" i="3"/>
  <c r="L44" i="9"/>
  <c r="G42" i="3"/>
  <c r="O46" i="9"/>
  <c r="C37" i="9"/>
  <c r="C29" i="9"/>
  <c r="G71" i="3"/>
  <c r="G56" i="3"/>
  <c r="G72" i="3"/>
  <c r="N23" i="9"/>
  <c r="O57" i="3"/>
  <c r="C17" i="9"/>
  <c r="O42" i="3"/>
  <c r="H26" i="9"/>
  <c r="F27" i="9"/>
  <c r="K74" i="3"/>
  <c r="K47" i="3"/>
  <c r="C42" i="9"/>
  <c r="K24" i="9"/>
  <c r="C46" i="9"/>
  <c r="L19" i="9"/>
  <c r="E41" i="9"/>
  <c r="O32" i="3"/>
  <c r="G70" i="3"/>
  <c r="K48" i="3"/>
  <c r="K36" i="3"/>
  <c r="C22" i="9"/>
  <c r="I28" i="9"/>
  <c r="I40" i="9"/>
  <c r="O44" i="3"/>
  <c r="K11" i="3"/>
  <c r="K8" i="3"/>
  <c r="G36" i="3"/>
  <c r="E20" i="9"/>
  <c r="K21" i="9"/>
  <c r="O43" i="9"/>
  <c r="K41" i="9"/>
  <c r="E31" i="9"/>
  <c r="I22" i="9"/>
  <c r="I35" i="9"/>
  <c r="G57" i="3"/>
  <c r="K44" i="9"/>
  <c r="G33" i="3"/>
  <c r="H23" i="9"/>
  <c r="E32" i="9"/>
  <c r="E29" i="9"/>
  <c r="K69" i="3"/>
  <c r="K46" i="9"/>
  <c r="G32" i="3"/>
  <c r="F41" i="9"/>
  <c r="K25" i="5"/>
  <c r="O31" i="3"/>
  <c r="H36" i="9"/>
  <c r="O48" i="3"/>
  <c r="C39" i="9"/>
  <c r="K18" i="3"/>
  <c r="G45" i="3"/>
  <c r="C32" i="9"/>
  <c r="O71" i="3"/>
  <c r="I41" i="9"/>
  <c r="L25" i="9"/>
  <c r="I19" i="9"/>
  <c r="N30" i="9"/>
  <c r="O25" i="9"/>
  <c r="O75" i="3"/>
  <c r="O45" i="9"/>
  <c r="F22" i="9"/>
  <c r="L38" i="9"/>
  <c r="G60" i="3"/>
  <c r="O39" i="3"/>
  <c r="O18" i="9"/>
  <c r="F34" i="9"/>
  <c r="K47" i="9"/>
  <c r="F20" i="9"/>
  <c r="H21" i="9"/>
  <c r="I46" i="9"/>
  <c r="O31" i="9"/>
  <c r="C23" i="9"/>
  <c r="O46" i="3"/>
  <c r="K37" i="9"/>
  <c r="C26" i="9"/>
  <c r="L28" i="9"/>
  <c r="C30" i="9"/>
  <c r="E36" i="9"/>
  <c r="O38" i="3"/>
  <c r="O49" i="3"/>
  <c r="G47" i="3"/>
  <c r="H43" i="9"/>
  <c r="I20" i="9"/>
  <c r="O72" i="3"/>
  <c r="K20" i="9"/>
  <c r="G69" i="3"/>
  <c r="K73" i="3"/>
  <c r="N25" i="9"/>
  <c r="K19" i="9"/>
  <c r="K39" i="9"/>
  <c r="N42" i="9"/>
  <c r="E22" i="9"/>
  <c r="F39" i="9"/>
  <c r="F46" i="9"/>
  <c r="K24" i="5"/>
  <c r="O73" i="3"/>
  <c r="E35" i="9"/>
  <c r="F26" i="9"/>
  <c r="L17" i="9"/>
  <c r="N24" i="9"/>
  <c r="K6" i="5"/>
  <c r="O43" i="3"/>
  <c r="O68" i="3"/>
  <c r="C18" i="9"/>
  <c r="O65" i="3"/>
  <c r="I45" i="9"/>
  <c r="F36" i="9"/>
  <c r="K59" i="3"/>
  <c r="K45" i="3"/>
  <c r="F38" i="9"/>
  <c r="G37" i="3"/>
  <c r="O30" i="9"/>
  <c r="G59" i="3"/>
  <c r="O74" i="3"/>
  <c r="I47" i="9"/>
  <c r="K40" i="3"/>
  <c r="L36" i="9"/>
  <c r="O20" i="9"/>
  <c r="F45" i="9"/>
  <c r="H28" i="9"/>
  <c r="L34" i="9"/>
  <c r="G74" i="3"/>
  <c r="G68" i="3"/>
  <c r="O47" i="9"/>
  <c r="K6" i="3"/>
  <c r="E44" i="9"/>
  <c r="N43" i="9"/>
  <c r="K10" i="3"/>
  <c r="G73" i="3"/>
  <c r="H37" i="9"/>
  <c r="K44" i="3"/>
  <c r="I31" i="9"/>
  <c r="O39" i="9"/>
  <c r="F25" i="9"/>
  <c r="K10" i="5"/>
  <c r="F35" i="9"/>
  <c r="G63" i="3"/>
  <c r="K27" i="9"/>
  <c r="N36" i="9"/>
  <c r="K70" i="3"/>
  <c r="K61" i="3"/>
  <c r="G66" i="3"/>
  <c r="N45" i="9"/>
  <c r="G46" i="3"/>
  <c r="C44" i="9"/>
  <c r="G62" i="3"/>
  <c r="C25" i="9"/>
  <c r="O32" i="9"/>
  <c r="L21" i="9"/>
  <c r="K28" i="9"/>
  <c r="O26" i="9"/>
  <c r="E34" i="9"/>
  <c r="E42" i="9"/>
  <c r="E27" i="9"/>
  <c r="K14" i="3"/>
  <c r="K38" i="3"/>
  <c r="H27" i="9"/>
  <c r="I33" i="9"/>
  <c r="H17" i="9"/>
  <c r="N29" i="9"/>
  <c r="K20" i="3"/>
  <c r="I17" i="9"/>
  <c r="N21" i="9"/>
  <c r="F43" i="9"/>
  <c r="O33" i="9"/>
  <c r="H41" i="9"/>
  <c r="O36" i="3"/>
  <c r="G31" i="3"/>
  <c r="N32" i="9"/>
  <c r="E47" i="9"/>
  <c r="H33" i="9"/>
  <c r="K17" i="3"/>
  <c r="K23" i="5"/>
  <c r="F28" i="9"/>
  <c r="F37" i="9"/>
  <c r="K23" i="3"/>
  <c r="K58" i="3"/>
  <c r="O61" i="3"/>
  <c r="K25" i="3"/>
  <c r="E33" i="9"/>
  <c r="C19" i="9"/>
  <c r="C36" i="9"/>
  <c r="L29" i="9"/>
  <c r="N31" i="9"/>
  <c r="K41" i="3"/>
  <c r="E21" i="9"/>
  <c r="N46" i="9"/>
  <c r="F24" i="9"/>
  <c r="K22" i="5"/>
  <c r="O23" i="9"/>
  <c r="N19" i="9"/>
  <c r="G75" i="3"/>
  <c r="F32" i="9"/>
  <c r="O36" i="9"/>
  <c r="O60" i="3"/>
  <c r="I43" i="9"/>
  <c r="O35" i="9"/>
  <c r="E19" i="9"/>
  <c r="O19" i="9"/>
  <c r="O40" i="3"/>
  <c r="N40" i="9"/>
  <c r="O50" i="3"/>
  <c r="K20" i="5"/>
  <c r="F30" i="9"/>
  <c r="K34" i="3"/>
  <c r="I27" i="9"/>
  <c r="I44" i="9"/>
  <c r="K22" i="3"/>
  <c r="K18" i="5"/>
  <c r="E37" i="9"/>
  <c r="F23" i="9"/>
  <c r="K33" i="3"/>
  <c r="G49" i="3"/>
  <c r="I24" i="9"/>
  <c r="L31" i="9"/>
  <c r="O22" i="9"/>
  <c r="F21" i="9"/>
  <c r="L24" i="9"/>
  <c r="C43" i="9"/>
  <c r="F19" i="9"/>
  <c r="O24" i="9"/>
  <c r="G50" i="3"/>
  <c r="H24" i="9"/>
  <c r="L39" i="9"/>
  <c r="L30" i="9"/>
  <c r="C21" i="9"/>
  <c r="K45" i="9"/>
  <c r="O63" i="3"/>
  <c r="K37" i="3"/>
  <c r="K21" i="3"/>
  <c r="K9" i="5"/>
  <c r="C40" i="9"/>
  <c r="H38" i="9"/>
  <c r="H32" i="9"/>
  <c r="J46" i="9" l="1"/>
  <c r="G46" i="9"/>
  <c r="D46" i="9"/>
  <c r="M46" i="9"/>
  <c r="J68" i="3"/>
  <c r="H68" i="3"/>
  <c r="I68" i="3"/>
  <c r="D40" i="9"/>
  <c r="G40" i="9"/>
  <c r="M40" i="9"/>
  <c r="J40" i="9"/>
  <c r="J74" i="3"/>
  <c r="H74" i="3"/>
  <c r="I74" i="3"/>
  <c r="M42" i="9"/>
  <c r="D42" i="9"/>
  <c r="G42" i="9"/>
  <c r="J42" i="9"/>
  <c r="L9" i="5"/>
  <c r="M9" i="5"/>
  <c r="N9" i="5"/>
  <c r="M47" i="3"/>
  <c r="L47" i="3"/>
  <c r="N47" i="3"/>
  <c r="M56" i="3"/>
  <c r="N56" i="3"/>
  <c r="L56" i="3"/>
  <c r="L21" i="3"/>
  <c r="M21" i="3"/>
  <c r="N21" i="3"/>
  <c r="M74" i="3"/>
  <c r="L74" i="3"/>
  <c r="N74" i="3"/>
  <c r="M37" i="3"/>
  <c r="N37" i="3"/>
  <c r="L37" i="3"/>
  <c r="P63" i="3"/>
  <c r="R63" i="3"/>
  <c r="Q63" i="3"/>
  <c r="P42" i="3"/>
  <c r="Q42" i="3"/>
  <c r="R42" i="3"/>
  <c r="D21" i="9"/>
  <c r="M21" i="9"/>
  <c r="J21" i="9"/>
  <c r="G21" i="9"/>
  <c r="L40" i="3"/>
  <c r="M40" i="3"/>
  <c r="N40" i="3"/>
  <c r="M17" i="9"/>
  <c r="J17" i="9"/>
  <c r="D17" i="9"/>
  <c r="G17" i="9"/>
  <c r="C49" i="9"/>
  <c r="D38" i="9"/>
  <c r="J38" i="9"/>
  <c r="M38" i="9"/>
  <c r="G38" i="9"/>
  <c r="P57" i="3"/>
  <c r="Q57" i="3"/>
  <c r="R57" i="3"/>
  <c r="L21" i="5"/>
  <c r="M21" i="5"/>
  <c r="N21" i="5"/>
  <c r="P74" i="3"/>
  <c r="Q74" i="3"/>
  <c r="R74" i="3"/>
  <c r="L39" i="3"/>
  <c r="N39" i="3"/>
  <c r="M39" i="3"/>
  <c r="I59" i="3"/>
  <c r="H59" i="3"/>
  <c r="J59" i="3"/>
  <c r="I72" i="3"/>
  <c r="H72" i="3"/>
  <c r="J72" i="3"/>
  <c r="I50" i="3"/>
  <c r="J50" i="3"/>
  <c r="H50" i="3"/>
  <c r="I56" i="3"/>
  <c r="H56" i="3"/>
  <c r="J56" i="3"/>
  <c r="J37" i="3"/>
  <c r="I37" i="3"/>
  <c r="H37" i="3"/>
  <c r="I71" i="3"/>
  <c r="H71" i="3"/>
  <c r="J71" i="3"/>
  <c r="G29" i="9"/>
  <c r="M29" i="9"/>
  <c r="D29" i="9"/>
  <c r="J29" i="9"/>
  <c r="G43" i="9"/>
  <c r="D43" i="9"/>
  <c r="M43" i="9"/>
  <c r="J43" i="9"/>
  <c r="L45" i="3"/>
  <c r="M45" i="3"/>
  <c r="N45" i="3"/>
  <c r="J37" i="9"/>
  <c r="G37" i="9"/>
  <c r="D37" i="9"/>
  <c r="M37" i="9"/>
  <c r="I39" i="3"/>
  <c r="J39" i="3"/>
  <c r="H39" i="3"/>
  <c r="M59" i="3"/>
  <c r="L59" i="3"/>
  <c r="N59" i="3"/>
  <c r="J42" i="3"/>
  <c r="H42" i="3"/>
  <c r="I42" i="3"/>
  <c r="M62" i="3"/>
  <c r="N62" i="3"/>
  <c r="L62" i="3"/>
  <c r="Q65" i="3"/>
  <c r="R65" i="3"/>
  <c r="P65" i="3"/>
  <c r="L65" i="3"/>
  <c r="M65" i="3"/>
  <c r="N65" i="3"/>
  <c r="G18" i="9"/>
  <c r="D18" i="9"/>
  <c r="M18" i="9"/>
  <c r="J18" i="9"/>
  <c r="I49" i="3"/>
  <c r="J49" i="3"/>
  <c r="H49" i="3"/>
  <c r="Q68" i="3"/>
  <c r="P68" i="3"/>
  <c r="R68" i="3"/>
  <c r="J58" i="3"/>
  <c r="H58" i="3"/>
  <c r="I58" i="3"/>
  <c r="L8" i="5"/>
  <c r="N8" i="5"/>
  <c r="M8" i="5"/>
  <c r="N33" i="3"/>
  <c r="M33" i="3"/>
  <c r="L33" i="3"/>
  <c r="P43" i="3"/>
  <c r="R43" i="3"/>
  <c r="Q43" i="3"/>
  <c r="L66" i="3"/>
  <c r="M66" i="3"/>
  <c r="N66" i="3"/>
  <c r="L6" i="5"/>
  <c r="M6" i="5"/>
  <c r="N6" i="5"/>
  <c r="N72" i="3"/>
  <c r="L72" i="3"/>
  <c r="M72" i="3"/>
  <c r="R37" i="3"/>
  <c r="Q37" i="3"/>
  <c r="P37" i="3"/>
  <c r="N18" i="5"/>
  <c r="M18" i="5"/>
  <c r="L18" i="5"/>
  <c r="L49" i="9"/>
  <c r="K49" i="9" s="1"/>
  <c r="G9" i="9" s="1"/>
  <c r="N22" i="3"/>
  <c r="L22" i="3"/>
  <c r="M22" i="3"/>
  <c r="L7" i="3"/>
  <c r="M7" i="3"/>
  <c r="N7" i="3"/>
  <c r="G20" i="9"/>
  <c r="D20" i="9"/>
  <c r="M20" i="9"/>
  <c r="J20" i="9"/>
  <c r="M19" i="5"/>
  <c r="N19" i="5"/>
  <c r="L19" i="5"/>
  <c r="Q73" i="3"/>
  <c r="R73" i="3"/>
  <c r="P73" i="3"/>
  <c r="R33" i="3"/>
  <c r="P33" i="3"/>
  <c r="Q33" i="3"/>
  <c r="H38" i="3"/>
  <c r="J38" i="3"/>
  <c r="I38" i="3"/>
  <c r="L34" i="3"/>
  <c r="M34" i="3"/>
  <c r="N34" i="3"/>
  <c r="M24" i="5"/>
  <c r="L24" i="5"/>
  <c r="N24" i="5"/>
  <c r="J35" i="3"/>
  <c r="I35" i="3"/>
  <c r="H35" i="3"/>
  <c r="M20" i="5"/>
  <c r="N20" i="5"/>
  <c r="L20" i="5"/>
  <c r="N75" i="3"/>
  <c r="L75" i="3"/>
  <c r="M75" i="3"/>
  <c r="P64" i="3"/>
  <c r="R64" i="3"/>
  <c r="Q64" i="3"/>
  <c r="P50" i="3"/>
  <c r="Q50" i="3"/>
  <c r="R50" i="3"/>
  <c r="J41" i="3"/>
  <c r="I41" i="3"/>
  <c r="H41" i="3"/>
  <c r="N24" i="3"/>
  <c r="M24" i="3"/>
  <c r="L24" i="3"/>
  <c r="Q40" i="3"/>
  <c r="P40" i="3"/>
  <c r="R40" i="3"/>
  <c r="N60" i="3"/>
  <c r="M60" i="3"/>
  <c r="L60" i="3"/>
  <c r="I48" i="3"/>
  <c r="J48" i="3"/>
  <c r="H48" i="3"/>
  <c r="N73" i="3"/>
  <c r="L73" i="3"/>
  <c r="M73" i="3"/>
  <c r="J69" i="3"/>
  <c r="I69" i="3"/>
  <c r="H69" i="3"/>
  <c r="I43" i="3"/>
  <c r="H43" i="3"/>
  <c r="J43" i="3"/>
  <c r="Q60" i="3"/>
  <c r="P60" i="3"/>
  <c r="R60" i="3"/>
  <c r="N71" i="3"/>
  <c r="M71" i="3"/>
  <c r="L71" i="3"/>
  <c r="Q72" i="3"/>
  <c r="R72" i="3"/>
  <c r="P72" i="3"/>
  <c r="L7" i="5"/>
  <c r="N7" i="5"/>
  <c r="M7" i="5"/>
  <c r="I65" i="3"/>
  <c r="J65" i="3"/>
  <c r="H65" i="3"/>
  <c r="D45" i="9"/>
  <c r="M45" i="9"/>
  <c r="J45" i="9"/>
  <c r="G45" i="9"/>
  <c r="J75" i="3"/>
  <c r="I75" i="3"/>
  <c r="H75" i="3"/>
  <c r="I47" i="3"/>
  <c r="H47" i="3"/>
  <c r="J47" i="3"/>
  <c r="M31" i="9"/>
  <c r="D31" i="9"/>
  <c r="G31" i="9"/>
  <c r="J31" i="9"/>
  <c r="Q49" i="3"/>
  <c r="R49" i="3"/>
  <c r="P49" i="3"/>
  <c r="Q70" i="3"/>
  <c r="R70" i="3"/>
  <c r="P70" i="3"/>
  <c r="M35" i="9"/>
  <c r="D35" i="9"/>
  <c r="G35" i="9"/>
  <c r="J35" i="9"/>
  <c r="N22" i="5"/>
  <c r="L22" i="5"/>
  <c r="M22" i="5"/>
  <c r="R38" i="3"/>
  <c r="Q38" i="3"/>
  <c r="P38" i="3"/>
  <c r="M33" i="9"/>
  <c r="D33" i="9"/>
  <c r="G33" i="9"/>
  <c r="J33" i="9"/>
  <c r="N64" i="3"/>
  <c r="M64" i="3"/>
  <c r="L64" i="3"/>
  <c r="G30" i="9"/>
  <c r="D30" i="9"/>
  <c r="M30" i="9"/>
  <c r="J30" i="9"/>
  <c r="R41" i="3"/>
  <c r="P41" i="3"/>
  <c r="Q41" i="3"/>
  <c r="N14" i="5"/>
  <c r="M14" i="5"/>
  <c r="L14" i="5"/>
  <c r="M41" i="3"/>
  <c r="L41" i="3"/>
  <c r="N41" i="3"/>
  <c r="D26" i="9"/>
  <c r="J26" i="9"/>
  <c r="G26" i="9"/>
  <c r="M26" i="9"/>
  <c r="P46" i="3"/>
  <c r="R46" i="3"/>
  <c r="Q46" i="3"/>
  <c r="J36" i="9"/>
  <c r="M36" i="9"/>
  <c r="G36" i="9"/>
  <c r="D36" i="9"/>
  <c r="G23" i="9"/>
  <c r="J23" i="9"/>
  <c r="D23" i="9"/>
  <c r="M23" i="9"/>
  <c r="L46" i="3"/>
  <c r="N46" i="3"/>
  <c r="M46" i="3"/>
  <c r="D19" i="9"/>
  <c r="G19" i="9"/>
  <c r="M19" i="9"/>
  <c r="J19" i="9"/>
  <c r="N68" i="3"/>
  <c r="M68" i="3"/>
  <c r="L68" i="3"/>
  <c r="M31" i="3"/>
  <c r="N31" i="3"/>
  <c r="L31" i="3"/>
  <c r="N17" i="5"/>
  <c r="L17" i="5"/>
  <c r="M17" i="5"/>
  <c r="M25" i="3"/>
  <c r="N25" i="3"/>
  <c r="L25" i="3"/>
  <c r="L35" i="3"/>
  <c r="M35" i="3"/>
  <c r="N35" i="3"/>
  <c r="R61" i="3"/>
  <c r="Q61" i="3"/>
  <c r="P61" i="3"/>
  <c r="R62" i="3"/>
  <c r="Q62" i="3"/>
  <c r="P62" i="3"/>
  <c r="R35" i="3"/>
  <c r="Q35" i="3"/>
  <c r="P35" i="3"/>
  <c r="M58" i="3"/>
  <c r="L58" i="3"/>
  <c r="N58" i="3"/>
  <c r="M23" i="3"/>
  <c r="N23" i="3"/>
  <c r="L23" i="3"/>
  <c r="N13" i="5"/>
  <c r="M13" i="5"/>
  <c r="L13" i="5"/>
  <c r="Q39" i="3"/>
  <c r="P39" i="3"/>
  <c r="R39" i="3"/>
  <c r="L57" i="3"/>
  <c r="M57" i="3"/>
  <c r="N57" i="3"/>
  <c r="O49" i="9"/>
  <c r="N49" i="9" s="1"/>
  <c r="G11" i="9" s="1"/>
  <c r="M23" i="5"/>
  <c r="L23" i="5"/>
  <c r="N23" i="5"/>
  <c r="I60" i="3"/>
  <c r="H60" i="3"/>
  <c r="J60" i="3"/>
  <c r="P58" i="3"/>
  <c r="R58" i="3"/>
  <c r="Q58" i="3"/>
  <c r="N17" i="3"/>
  <c r="M17" i="3"/>
  <c r="L17" i="3"/>
  <c r="N19" i="3"/>
  <c r="L19" i="3"/>
  <c r="M19" i="3"/>
  <c r="G41" i="9"/>
  <c r="D41" i="9"/>
  <c r="J41" i="9"/>
  <c r="M41" i="9"/>
  <c r="P56" i="3"/>
  <c r="R56" i="3"/>
  <c r="Q56" i="3"/>
  <c r="R75" i="3"/>
  <c r="Q75" i="3"/>
  <c r="P75" i="3"/>
  <c r="J47" i="9"/>
  <c r="G47" i="9"/>
  <c r="D47" i="9"/>
  <c r="M47" i="9"/>
  <c r="I31" i="3"/>
  <c r="H31" i="3"/>
  <c r="J31" i="3"/>
  <c r="L32" i="3"/>
  <c r="N32" i="3"/>
  <c r="M32" i="3"/>
  <c r="P36" i="3"/>
  <c r="Q36" i="3"/>
  <c r="R36" i="3"/>
  <c r="R69" i="3"/>
  <c r="P69" i="3"/>
  <c r="Q69" i="3"/>
  <c r="L13" i="3"/>
  <c r="N13" i="3"/>
  <c r="M13" i="3"/>
  <c r="P71" i="3"/>
  <c r="Q71" i="3"/>
  <c r="R71" i="3"/>
  <c r="I49" i="9"/>
  <c r="H49" i="9" s="1"/>
  <c r="G7" i="9" s="1"/>
  <c r="D32" i="9"/>
  <c r="M32" i="9"/>
  <c r="G32" i="9"/>
  <c r="J32" i="9"/>
  <c r="M20" i="3"/>
  <c r="L20" i="3"/>
  <c r="N20" i="3"/>
  <c r="I45" i="3"/>
  <c r="J45" i="3"/>
  <c r="H45" i="3"/>
  <c r="L18" i="3"/>
  <c r="N18" i="3"/>
  <c r="M18" i="3"/>
  <c r="M39" i="9"/>
  <c r="J39" i="9"/>
  <c r="G39" i="9"/>
  <c r="D39" i="9"/>
  <c r="R59" i="3"/>
  <c r="Q59" i="3"/>
  <c r="P59" i="3"/>
  <c r="I61" i="3"/>
  <c r="J61" i="3"/>
  <c r="H61" i="3"/>
  <c r="Q48" i="3"/>
  <c r="P48" i="3"/>
  <c r="R48" i="3"/>
  <c r="L63" i="3"/>
  <c r="N63" i="3"/>
  <c r="M63" i="3"/>
  <c r="I64" i="3"/>
  <c r="J64" i="3"/>
  <c r="H64" i="3"/>
  <c r="M38" i="3"/>
  <c r="N38" i="3"/>
  <c r="L38" i="3"/>
  <c r="P31" i="3"/>
  <c r="R31" i="3"/>
  <c r="Q31" i="3"/>
  <c r="I34" i="3"/>
  <c r="H34" i="3"/>
  <c r="J34" i="3"/>
  <c r="M14" i="3"/>
  <c r="N14" i="3"/>
  <c r="L14" i="3"/>
  <c r="N25" i="5"/>
  <c r="M25" i="5"/>
  <c r="L25" i="5"/>
  <c r="H32" i="3"/>
  <c r="I32" i="3"/>
  <c r="J32" i="3"/>
  <c r="I40" i="3"/>
  <c r="H40" i="3"/>
  <c r="J40" i="3"/>
  <c r="M15" i="3"/>
  <c r="L15" i="3"/>
  <c r="N15" i="3"/>
  <c r="M12" i="3"/>
  <c r="N12" i="3"/>
  <c r="L12" i="3"/>
  <c r="N69" i="3"/>
  <c r="M69" i="3"/>
  <c r="L69" i="3"/>
  <c r="N67" i="3"/>
  <c r="L67" i="3"/>
  <c r="M67" i="3"/>
  <c r="N15" i="5"/>
  <c r="M15" i="5"/>
  <c r="L15" i="5"/>
  <c r="G27" i="9"/>
  <c r="J27" i="9"/>
  <c r="D27" i="9"/>
  <c r="M27" i="9"/>
  <c r="I44" i="3"/>
  <c r="H44" i="3"/>
  <c r="J44" i="3"/>
  <c r="Q34" i="3"/>
  <c r="P34" i="3"/>
  <c r="R34" i="3"/>
  <c r="J25" i="9"/>
  <c r="G25" i="9"/>
  <c r="D25" i="9"/>
  <c r="M25" i="9"/>
  <c r="J33" i="3"/>
  <c r="I33" i="3"/>
  <c r="H33" i="3"/>
  <c r="H67" i="3"/>
  <c r="J67" i="3"/>
  <c r="I67" i="3"/>
  <c r="I62" i="3"/>
  <c r="H62" i="3"/>
  <c r="J62" i="3"/>
  <c r="M9" i="3"/>
  <c r="N9" i="3"/>
  <c r="L9" i="3"/>
  <c r="M44" i="9"/>
  <c r="J44" i="9"/>
  <c r="G44" i="9"/>
  <c r="D44" i="9"/>
  <c r="J57" i="3"/>
  <c r="H57" i="3"/>
  <c r="I57" i="3"/>
  <c r="H46" i="3"/>
  <c r="I46" i="3"/>
  <c r="J46" i="3"/>
  <c r="N16" i="5"/>
  <c r="M16" i="5"/>
  <c r="L16" i="5"/>
  <c r="F49" i="9"/>
  <c r="G24" i="9"/>
  <c r="M24" i="9"/>
  <c r="J24" i="9"/>
  <c r="D24" i="9"/>
  <c r="J66" i="3"/>
  <c r="I66" i="3"/>
  <c r="H66" i="3"/>
  <c r="R47" i="3"/>
  <c r="P47" i="3"/>
  <c r="Q47" i="3"/>
  <c r="N61" i="3"/>
  <c r="L61" i="3"/>
  <c r="M61" i="3"/>
  <c r="L43" i="3"/>
  <c r="M43" i="3"/>
  <c r="N43" i="3"/>
  <c r="M70" i="3"/>
  <c r="N70" i="3"/>
  <c r="L70" i="3"/>
  <c r="L50" i="3"/>
  <c r="N50" i="3"/>
  <c r="M50" i="3"/>
  <c r="Q45" i="3"/>
  <c r="R45" i="3"/>
  <c r="P45" i="3"/>
  <c r="I63" i="3"/>
  <c r="J63" i="3"/>
  <c r="H63" i="3"/>
  <c r="H36" i="3"/>
  <c r="J36" i="3"/>
  <c r="I36" i="3"/>
  <c r="Q66" i="3"/>
  <c r="P66" i="3"/>
  <c r="R66" i="3"/>
  <c r="M11" i="5"/>
  <c r="N11" i="5"/>
  <c r="L11" i="5"/>
  <c r="L8" i="3"/>
  <c r="M8" i="3"/>
  <c r="N8" i="3"/>
  <c r="M28" i="9"/>
  <c r="G28" i="9"/>
  <c r="D28" i="9"/>
  <c r="J28" i="9"/>
  <c r="M10" i="5"/>
  <c r="L10" i="5"/>
  <c r="N10" i="5"/>
  <c r="N11" i="3"/>
  <c r="M11" i="3"/>
  <c r="L11" i="3"/>
  <c r="Q44" i="3"/>
  <c r="R44" i="3"/>
  <c r="P44" i="3"/>
  <c r="G34" i="9"/>
  <c r="J34" i="9"/>
  <c r="M34" i="9"/>
  <c r="D34" i="9"/>
  <c r="N49" i="3"/>
  <c r="M49" i="3"/>
  <c r="L49" i="3"/>
  <c r="M12" i="5"/>
  <c r="N12" i="5"/>
  <c r="L12" i="5"/>
  <c r="M44" i="3"/>
  <c r="N44" i="3"/>
  <c r="L44" i="3"/>
  <c r="M22" i="9"/>
  <c r="J22" i="9"/>
  <c r="G22" i="9"/>
  <c r="D22" i="9"/>
  <c r="Q67" i="3"/>
  <c r="P67" i="3"/>
  <c r="R67" i="3"/>
  <c r="M42" i="3"/>
  <c r="N42" i="3"/>
  <c r="L42" i="3"/>
  <c r="L36" i="3"/>
  <c r="N36" i="3"/>
  <c r="M36" i="3"/>
  <c r="L16" i="3"/>
  <c r="M16" i="3"/>
  <c r="N16" i="3"/>
  <c r="H73" i="3"/>
  <c r="I73" i="3"/>
  <c r="J73" i="3"/>
  <c r="L48" i="3"/>
  <c r="M48" i="3"/>
  <c r="N48" i="3"/>
  <c r="L10" i="3"/>
  <c r="M10" i="3"/>
  <c r="N10" i="3"/>
  <c r="H70" i="3"/>
  <c r="I70" i="3"/>
  <c r="J70" i="3"/>
  <c r="R32" i="3"/>
  <c r="Q32" i="3"/>
  <c r="P32" i="3"/>
  <c r="L6" i="3"/>
  <c r="N6" i="3"/>
  <c r="M6" i="3"/>
  <c r="E49" i="9" l="1"/>
  <c r="G5" i="9" s="1"/>
  <c r="D49" i="9"/>
  <c r="J49" i="9"/>
  <c r="M49" i="9"/>
  <c r="G49" i="9"/>
  <c r="G3" i="9" l="1"/>
</calcChain>
</file>

<file path=xl/sharedStrings.xml><?xml version="1.0" encoding="utf-8"?>
<sst xmlns="http://schemas.openxmlformats.org/spreadsheetml/2006/main" count="3257" uniqueCount="323">
  <si>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</si>
  <si>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</si>
  <si>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</si>
  <si>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</si>
  <si>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</si>
  <si>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</si>
  <si>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</si>
  <si>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</si>
  <si>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</si>
  <si>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</si>
  <si>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</si>
  <si>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</si>
  <si>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</si>
  <si>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</si>
  <si>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</si>
  <si>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</si>
  <si>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</si>
  <si>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</si>
  <si>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</si>
  <si>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</si>
  <si>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</si>
  <si>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</si>
  <si>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</si>
  <si>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</si>
  <si>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</si>
  <si>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</si>
  <si>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</si>
  <si>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</si>
  <si>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</si>
  <si>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</si>
  <si>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</si>
  <si>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</si>
  <si>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</si>
  <si>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</si>
  <si>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</si>
  <si>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</si>
  <si>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</si>
  <si>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</si>
  <si>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</si>
  <si>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</si>
  <si>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</si>
  <si>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</si>
  <si>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</si>
  <si>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</si>
  <si>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</si>
  <si>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</si>
  <si>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</si>
  <si>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</si>
  <si>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</si>
  <si>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</si>
  <si>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</si>
  <si>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</si>
  <si>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</si>
  <si>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</si>
  <si>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</si>
  <si>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</si>
  <si>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</si>
  <si>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</si>
  <si>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</si>
  <si>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</si>
  <si>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</si>
  <si>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</si>
  <si>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</si>
  <si>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</si>
  <si>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</si>
  <si>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</si>
  <si>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</si>
  <si>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</si>
  <si>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</si>
  <si>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</si>
  <si>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</si>
  <si>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</si>
  <si>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</si>
  <si>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</si>
  <si>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</si>
  <si>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</si>
  <si>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</si>
  <si>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</si>
  <si>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</si>
  <si>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</si>
  <si>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</si>
  <si>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</si>
  <si>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</si>
  <si>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</si>
  <si>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</si>
  <si>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</si>
  <si>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</si>
  <si>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</si>
  <si>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</si>
  <si>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</si>
  <si>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</si>
  <si>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</si>
  <si>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</si>
  <si>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</si>
  <si>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</si>
  <si>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</si>
  <si>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</si>
  <si>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</si>
  <si>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</si>
  <si>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</si>
  <si>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</si>
  <si>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</si>
  <si>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</si>
  <si>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</si>
  <si>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</si>
  <si>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</si>
  <si>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</si>
  <si>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</si>
  <si>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</si>
  <si>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</si>
  <si>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</si>
  <si>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</si>
  <si>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</si>
  <si>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</si>
  <si>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</si>
  <si>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</si>
  <si>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</si>
  <si>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</si>
  <si>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</si>
  <si>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</si>
  <si>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</si>
  <si>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</si>
  <si>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</si>
  <si>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</si>
  <si>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</si>
  <si>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</si>
  <si>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</si>
  <si>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</si>
  <si>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</si>
  <si>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</si>
  <si>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</si>
  <si>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</si>
  <si>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</si>
  <si>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</si>
  <si>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</si>
  <si>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</si>
  <si>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</si>
  <si>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</si>
  <si>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</si>
  <si>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</si>
  <si>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</si>
  <si>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</si>
  <si>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</si>
  <si>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</si>
  <si>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</si>
  <si>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</si>
  <si>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</si>
  <si>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</si>
  <si>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</si>
  <si>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</si>
  <si>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</si>
  <si>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</si>
  <si>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</si>
  <si>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</si>
  <si>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</si>
  <si>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</si>
  <si>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</si>
  <si>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</si>
  <si>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</si>
  <si>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</si>
  <si>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</si>
  <si>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</si>
  <si>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</si>
  <si>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</si>
  <si>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</si>
  <si>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</si>
  <si>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</si>
  <si>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</si>
  <si>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</si>
  <si>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</si>
  <si>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</si>
  <si>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</si>
  <si>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</si>
  <si>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</si>
  <si>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</si>
  <si>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</si>
  <si>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</si>
  <si>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</si>
  <si>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</si>
  <si>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</si>
  <si>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</si>
  <si>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</si>
  <si>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</si>
  <si>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</si>
  <si>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</si>
  <si>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</si>
  <si>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</si>
  <si>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</si>
  <si>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</si>
  <si>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</si>
  <si>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</si>
  <si>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</si>
  <si>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</si>
  <si>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</si>
  <si>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</si>
  <si>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</si>
  <si>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</si>
  <si>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</si>
  <si>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</si>
  <si>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</si>
  <si>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</si>
  <si>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</si>
  <si>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</si>
  <si>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</si>
  <si>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</si>
  <si>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</si>
  <si>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</si>
  <si>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</si>
  <si>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</si>
  <si>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</si>
  <si>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</si>
  <si>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</si>
  <si>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</si>
  <si>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</si>
  <si>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</si>
  <si>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</si>
  <si>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</si>
  <si>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</si>
  <si>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</si>
  <si>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</si>
  <si>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</si>
  <si>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</si>
  <si>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</si>
  <si>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</si>
  <si>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</si>
  <si>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</si>
  <si>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</si>
  <si>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</si>
  <si>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</si>
  <si>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</si>
  <si>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</si>
  <si>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</si>
  <si>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</si>
  <si>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</si>
  <si>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</si>
  <si>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</si>
  <si>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</si>
  <si>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</si>
  <si>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</si>
  <si>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</si>
  <si>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</si>
  <si>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</si>
  <si>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</si>
  <si>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</si>
  <si>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</si>
  <si>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</si>
  <si>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</si>
  <si>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</si>
  <si>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</si>
  <si>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</si>
  <si>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</si>
  <si>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</si>
  <si>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</si>
  <si>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</si>
  <si>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</si>
  <si>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</si>
  <si>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</si>
  <si>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</si>
  <si>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</si>
  <si>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</si>
  <si>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</si>
  <si>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</si>
  <si>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</si>
  <si>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</si>
  <si>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</si>
  <si>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</si>
  <si>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</si>
  <si>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</si>
  <si>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</si>
  <si>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</si>
  <si>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</si>
  <si>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</si>
  <si>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</si>
  <si>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</si>
  <si>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</si>
  <si>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</si>
  <si>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</si>
  <si>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</si>
  <si>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</si>
  <si>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</si>
  <si>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</si>
  <si>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</si>
  <si>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</si>
  <si>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</si>
  <si>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</si>
  <si>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</si>
  <si>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</si>
  <si>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</si>
  <si>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</si>
  <si>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</si>
  <si>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</si>
  <si>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</si>
  <si>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</si>
  <si>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</si>
  <si>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</si>
  <si>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</si>
  <si>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</si>
  <si>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</si>
  <si>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</si>
  <si>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</si>
  <si>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</si>
  <si>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</si>
  <si>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</si>
  <si>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</si>
  <si>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</si>
  <si>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</si>
  <si>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</si>
  <si>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</si>
  <si>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</si>
  <si>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</si>
  <si>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</si>
  <si>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</si>
  <si>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</si>
  <si>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</si>
  <si>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</si>
  <si>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</si>
  <si>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</si>
  <si>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</si>
  <si>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</si>
  <si>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</si>
  <si>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</si>
  <si>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오전 09:00</t>
    <phoneticPr fontId="1" type="noConversion"/>
  </si>
  <si>
    <t>2021.05.05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</si>
</sst>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2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7.xml"/><Relationship Id="rId5" Type="http://schemas.openxmlformats.org/officeDocument/2006/relationships/ctrlProp" Target="../ctrlProps/ctrlProp286.xml"/><Relationship Id="rId4" Type="http://schemas.openxmlformats.org/officeDocument/2006/relationships/ctrlProp" Target="../ctrlProps/ctrlProp28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02.xml"/><Relationship Id="rId21" Type="http://schemas.openxmlformats.org/officeDocument/2006/relationships/ctrlProp" Target="../ctrlProps/ctrlProp306.xml"/><Relationship Id="rId42" Type="http://schemas.openxmlformats.org/officeDocument/2006/relationships/ctrlProp" Target="../ctrlProps/ctrlProp327.xml"/><Relationship Id="rId63" Type="http://schemas.openxmlformats.org/officeDocument/2006/relationships/ctrlProp" Target="../ctrlProps/ctrlProp348.xml"/><Relationship Id="rId84" Type="http://schemas.openxmlformats.org/officeDocument/2006/relationships/ctrlProp" Target="../ctrlProps/ctrlProp369.xml"/><Relationship Id="rId138" Type="http://schemas.openxmlformats.org/officeDocument/2006/relationships/ctrlProp" Target="../ctrlProps/ctrlProp423.xml"/><Relationship Id="rId107" Type="http://schemas.openxmlformats.org/officeDocument/2006/relationships/ctrlProp" Target="../ctrlProps/ctrlProp392.xml"/><Relationship Id="rId11" Type="http://schemas.openxmlformats.org/officeDocument/2006/relationships/ctrlProp" Target="../ctrlProps/ctrlProp296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3" Type="http://schemas.openxmlformats.org/officeDocument/2006/relationships/ctrlProp" Target="../ctrlProps/ctrlProp338.xml"/><Relationship Id="rId58" Type="http://schemas.openxmlformats.org/officeDocument/2006/relationships/ctrlProp" Target="../ctrlProps/ctrlProp343.xml"/><Relationship Id="rId74" Type="http://schemas.openxmlformats.org/officeDocument/2006/relationships/ctrlProp" Target="../ctrlProps/ctrlProp359.xml"/><Relationship Id="rId79" Type="http://schemas.openxmlformats.org/officeDocument/2006/relationships/ctrlProp" Target="../ctrlProps/ctrlProp364.xml"/><Relationship Id="rId102" Type="http://schemas.openxmlformats.org/officeDocument/2006/relationships/ctrlProp" Target="../ctrlProps/ctrlProp387.xml"/><Relationship Id="rId123" Type="http://schemas.openxmlformats.org/officeDocument/2006/relationships/ctrlProp" Target="../ctrlProps/ctrlProp408.xml"/><Relationship Id="rId128" Type="http://schemas.openxmlformats.org/officeDocument/2006/relationships/ctrlProp" Target="../ctrlProps/ctrlProp413.xml"/><Relationship Id="rId5" Type="http://schemas.openxmlformats.org/officeDocument/2006/relationships/ctrlProp" Target="../ctrlProps/ctrlProp290.xml"/><Relationship Id="rId90" Type="http://schemas.openxmlformats.org/officeDocument/2006/relationships/ctrlProp" Target="../ctrlProps/ctrlProp375.xml"/><Relationship Id="rId95" Type="http://schemas.openxmlformats.org/officeDocument/2006/relationships/ctrlProp" Target="../ctrlProps/ctrlProp380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43" Type="http://schemas.openxmlformats.org/officeDocument/2006/relationships/ctrlProp" Target="../ctrlProps/ctrlProp328.xml"/><Relationship Id="rId48" Type="http://schemas.openxmlformats.org/officeDocument/2006/relationships/ctrlProp" Target="../ctrlProps/ctrlProp333.xml"/><Relationship Id="rId64" Type="http://schemas.openxmlformats.org/officeDocument/2006/relationships/ctrlProp" Target="../ctrlProps/ctrlProp349.xml"/><Relationship Id="rId69" Type="http://schemas.openxmlformats.org/officeDocument/2006/relationships/ctrlProp" Target="../ctrlProps/ctrlProp354.xml"/><Relationship Id="rId113" Type="http://schemas.openxmlformats.org/officeDocument/2006/relationships/ctrlProp" Target="../ctrlProps/ctrlProp398.xml"/><Relationship Id="rId118" Type="http://schemas.openxmlformats.org/officeDocument/2006/relationships/ctrlProp" Target="../ctrlProps/ctrlProp403.xml"/><Relationship Id="rId134" Type="http://schemas.openxmlformats.org/officeDocument/2006/relationships/ctrlProp" Target="../ctrlProps/ctrlProp419.xml"/><Relationship Id="rId139" Type="http://schemas.openxmlformats.org/officeDocument/2006/relationships/ctrlProp" Target="../ctrlProps/ctrlProp424.xml"/><Relationship Id="rId80" Type="http://schemas.openxmlformats.org/officeDocument/2006/relationships/ctrlProp" Target="../ctrlProps/ctrlProp365.xml"/><Relationship Id="rId85" Type="http://schemas.openxmlformats.org/officeDocument/2006/relationships/ctrlProp" Target="../ctrlProps/ctrlProp370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59" Type="http://schemas.openxmlformats.org/officeDocument/2006/relationships/ctrlProp" Target="../ctrlProps/ctrlProp344.xml"/><Relationship Id="rId103" Type="http://schemas.openxmlformats.org/officeDocument/2006/relationships/ctrlProp" Target="../ctrlProps/ctrlProp388.xml"/><Relationship Id="rId108" Type="http://schemas.openxmlformats.org/officeDocument/2006/relationships/ctrlProp" Target="../ctrlProps/ctrlProp393.xml"/><Relationship Id="rId124" Type="http://schemas.openxmlformats.org/officeDocument/2006/relationships/ctrlProp" Target="../ctrlProps/ctrlProp409.xml"/><Relationship Id="rId129" Type="http://schemas.openxmlformats.org/officeDocument/2006/relationships/ctrlProp" Target="../ctrlProps/ctrlProp414.xml"/><Relationship Id="rId54" Type="http://schemas.openxmlformats.org/officeDocument/2006/relationships/ctrlProp" Target="../ctrlProps/ctrlProp339.xml"/><Relationship Id="rId70" Type="http://schemas.openxmlformats.org/officeDocument/2006/relationships/ctrlProp" Target="../ctrlProps/ctrlProp355.xml"/><Relationship Id="rId75" Type="http://schemas.openxmlformats.org/officeDocument/2006/relationships/ctrlProp" Target="../ctrlProps/ctrlProp360.xml"/><Relationship Id="rId91" Type="http://schemas.openxmlformats.org/officeDocument/2006/relationships/ctrlProp" Target="../ctrlProps/ctrlProp376.xml"/><Relationship Id="rId96" Type="http://schemas.openxmlformats.org/officeDocument/2006/relationships/ctrlProp" Target="../ctrlProps/ctrlProp381.xml"/><Relationship Id="rId140" Type="http://schemas.openxmlformats.org/officeDocument/2006/relationships/ctrlProp" Target="../ctrlProps/ctrlProp42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1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49" Type="http://schemas.openxmlformats.org/officeDocument/2006/relationships/ctrlProp" Target="../ctrlProps/ctrlProp334.xml"/><Relationship Id="rId114" Type="http://schemas.openxmlformats.org/officeDocument/2006/relationships/ctrlProp" Target="../ctrlProps/ctrlProp399.xml"/><Relationship Id="rId119" Type="http://schemas.openxmlformats.org/officeDocument/2006/relationships/ctrlProp" Target="../ctrlProps/ctrlProp404.xml"/><Relationship Id="rId44" Type="http://schemas.openxmlformats.org/officeDocument/2006/relationships/ctrlProp" Target="../ctrlProps/ctrlProp329.xml"/><Relationship Id="rId60" Type="http://schemas.openxmlformats.org/officeDocument/2006/relationships/ctrlProp" Target="../ctrlProps/ctrlProp345.xml"/><Relationship Id="rId65" Type="http://schemas.openxmlformats.org/officeDocument/2006/relationships/ctrlProp" Target="../ctrlProps/ctrlProp350.xml"/><Relationship Id="rId81" Type="http://schemas.openxmlformats.org/officeDocument/2006/relationships/ctrlProp" Target="../ctrlProps/ctrlProp366.xml"/><Relationship Id="rId86" Type="http://schemas.openxmlformats.org/officeDocument/2006/relationships/ctrlProp" Target="../ctrlProps/ctrlProp371.xml"/><Relationship Id="rId130" Type="http://schemas.openxmlformats.org/officeDocument/2006/relationships/ctrlProp" Target="../ctrlProps/ctrlProp415.xml"/><Relationship Id="rId135" Type="http://schemas.openxmlformats.org/officeDocument/2006/relationships/ctrlProp" Target="../ctrlProps/ctrlProp420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39" Type="http://schemas.openxmlformats.org/officeDocument/2006/relationships/ctrlProp" Target="../ctrlProps/ctrlProp324.xml"/><Relationship Id="rId109" Type="http://schemas.openxmlformats.org/officeDocument/2006/relationships/ctrlProp" Target="../ctrlProps/ctrlProp394.xml"/><Relationship Id="rId34" Type="http://schemas.openxmlformats.org/officeDocument/2006/relationships/ctrlProp" Target="../ctrlProps/ctrlProp319.xml"/><Relationship Id="rId50" Type="http://schemas.openxmlformats.org/officeDocument/2006/relationships/ctrlProp" Target="../ctrlProps/ctrlProp335.xml"/><Relationship Id="rId55" Type="http://schemas.openxmlformats.org/officeDocument/2006/relationships/ctrlProp" Target="../ctrlProps/ctrlProp340.xml"/><Relationship Id="rId76" Type="http://schemas.openxmlformats.org/officeDocument/2006/relationships/ctrlProp" Target="../ctrlProps/ctrlProp361.xml"/><Relationship Id="rId97" Type="http://schemas.openxmlformats.org/officeDocument/2006/relationships/ctrlProp" Target="../ctrlProps/ctrlProp382.xml"/><Relationship Id="rId104" Type="http://schemas.openxmlformats.org/officeDocument/2006/relationships/ctrlProp" Target="../ctrlProps/ctrlProp389.xml"/><Relationship Id="rId120" Type="http://schemas.openxmlformats.org/officeDocument/2006/relationships/ctrlProp" Target="../ctrlProps/ctrlProp405.xml"/><Relationship Id="rId125" Type="http://schemas.openxmlformats.org/officeDocument/2006/relationships/ctrlProp" Target="../ctrlProps/ctrlProp410.xml"/><Relationship Id="rId141" Type="http://schemas.openxmlformats.org/officeDocument/2006/relationships/ctrlProp" Target="../ctrlProps/ctrlProp426.xml"/><Relationship Id="rId7" Type="http://schemas.openxmlformats.org/officeDocument/2006/relationships/ctrlProp" Target="../ctrlProps/ctrlProp292.xml"/><Relationship Id="rId71" Type="http://schemas.openxmlformats.org/officeDocument/2006/relationships/ctrlProp" Target="../ctrlProps/ctrlProp356.xml"/><Relationship Id="rId92" Type="http://schemas.openxmlformats.org/officeDocument/2006/relationships/ctrlProp" Target="../ctrlProps/ctrlProp37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4.xml"/><Relationship Id="rId24" Type="http://schemas.openxmlformats.org/officeDocument/2006/relationships/ctrlProp" Target="../ctrlProps/ctrlProp309.xml"/><Relationship Id="rId40" Type="http://schemas.openxmlformats.org/officeDocument/2006/relationships/ctrlProp" Target="../ctrlProps/ctrlProp325.xml"/><Relationship Id="rId45" Type="http://schemas.openxmlformats.org/officeDocument/2006/relationships/ctrlProp" Target="../ctrlProps/ctrlProp330.xml"/><Relationship Id="rId66" Type="http://schemas.openxmlformats.org/officeDocument/2006/relationships/ctrlProp" Target="../ctrlProps/ctrlProp351.xml"/><Relationship Id="rId87" Type="http://schemas.openxmlformats.org/officeDocument/2006/relationships/ctrlProp" Target="../ctrlProps/ctrlProp372.xml"/><Relationship Id="rId110" Type="http://schemas.openxmlformats.org/officeDocument/2006/relationships/ctrlProp" Target="../ctrlProps/ctrlProp395.xml"/><Relationship Id="rId115" Type="http://schemas.openxmlformats.org/officeDocument/2006/relationships/ctrlProp" Target="../ctrlProps/ctrlProp400.xml"/><Relationship Id="rId131" Type="http://schemas.openxmlformats.org/officeDocument/2006/relationships/ctrlProp" Target="../ctrlProps/ctrlProp416.xml"/><Relationship Id="rId136" Type="http://schemas.openxmlformats.org/officeDocument/2006/relationships/ctrlProp" Target="../ctrlProps/ctrlProp421.xml"/><Relationship Id="rId61" Type="http://schemas.openxmlformats.org/officeDocument/2006/relationships/ctrlProp" Target="../ctrlProps/ctrlProp346.xml"/><Relationship Id="rId82" Type="http://schemas.openxmlformats.org/officeDocument/2006/relationships/ctrlProp" Target="../ctrlProps/ctrlProp367.xml"/><Relationship Id="rId19" Type="http://schemas.openxmlformats.org/officeDocument/2006/relationships/ctrlProp" Target="../ctrlProps/ctrlProp304.xml"/><Relationship Id="rId14" Type="http://schemas.openxmlformats.org/officeDocument/2006/relationships/ctrlProp" Target="../ctrlProps/ctrlProp299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56" Type="http://schemas.openxmlformats.org/officeDocument/2006/relationships/ctrlProp" Target="../ctrlProps/ctrlProp341.xml"/><Relationship Id="rId77" Type="http://schemas.openxmlformats.org/officeDocument/2006/relationships/ctrlProp" Target="../ctrlProps/ctrlProp362.xml"/><Relationship Id="rId100" Type="http://schemas.openxmlformats.org/officeDocument/2006/relationships/ctrlProp" Target="../ctrlProps/ctrlProp385.xml"/><Relationship Id="rId105" Type="http://schemas.openxmlformats.org/officeDocument/2006/relationships/ctrlProp" Target="../ctrlProps/ctrlProp390.xml"/><Relationship Id="rId126" Type="http://schemas.openxmlformats.org/officeDocument/2006/relationships/ctrlProp" Target="../ctrlProps/ctrlProp411.xml"/><Relationship Id="rId8" Type="http://schemas.openxmlformats.org/officeDocument/2006/relationships/ctrlProp" Target="../ctrlProps/ctrlProp293.xml"/><Relationship Id="rId51" Type="http://schemas.openxmlformats.org/officeDocument/2006/relationships/ctrlProp" Target="../ctrlProps/ctrlProp336.xml"/><Relationship Id="rId72" Type="http://schemas.openxmlformats.org/officeDocument/2006/relationships/ctrlProp" Target="../ctrlProps/ctrlProp357.xml"/><Relationship Id="rId93" Type="http://schemas.openxmlformats.org/officeDocument/2006/relationships/ctrlProp" Target="../ctrlProps/ctrlProp378.xml"/><Relationship Id="rId98" Type="http://schemas.openxmlformats.org/officeDocument/2006/relationships/ctrlProp" Target="../ctrlProps/ctrlProp383.xml"/><Relationship Id="rId121" Type="http://schemas.openxmlformats.org/officeDocument/2006/relationships/ctrlProp" Target="../ctrlProps/ctrlProp406.xml"/><Relationship Id="rId142" Type="http://schemas.openxmlformats.org/officeDocument/2006/relationships/ctrlProp" Target="../ctrlProps/ctrlProp427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10.xml"/><Relationship Id="rId46" Type="http://schemas.openxmlformats.org/officeDocument/2006/relationships/ctrlProp" Target="../ctrlProps/ctrlProp331.xml"/><Relationship Id="rId67" Type="http://schemas.openxmlformats.org/officeDocument/2006/relationships/ctrlProp" Target="../ctrlProps/ctrlProp352.xml"/><Relationship Id="rId116" Type="http://schemas.openxmlformats.org/officeDocument/2006/relationships/ctrlProp" Target="../ctrlProps/ctrlProp401.xml"/><Relationship Id="rId137" Type="http://schemas.openxmlformats.org/officeDocument/2006/relationships/ctrlProp" Target="../ctrlProps/ctrlProp422.xml"/><Relationship Id="rId20" Type="http://schemas.openxmlformats.org/officeDocument/2006/relationships/ctrlProp" Target="../ctrlProps/ctrlProp305.xml"/><Relationship Id="rId41" Type="http://schemas.openxmlformats.org/officeDocument/2006/relationships/ctrlProp" Target="../ctrlProps/ctrlProp326.xml"/><Relationship Id="rId62" Type="http://schemas.openxmlformats.org/officeDocument/2006/relationships/ctrlProp" Target="../ctrlProps/ctrlProp347.xml"/><Relationship Id="rId83" Type="http://schemas.openxmlformats.org/officeDocument/2006/relationships/ctrlProp" Target="../ctrlProps/ctrlProp368.xml"/><Relationship Id="rId88" Type="http://schemas.openxmlformats.org/officeDocument/2006/relationships/ctrlProp" Target="../ctrlProps/ctrlProp373.xml"/><Relationship Id="rId111" Type="http://schemas.openxmlformats.org/officeDocument/2006/relationships/ctrlProp" Target="../ctrlProps/ctrlProp396.xml"/><Relationship Id="rId132" Type="http://schemas.openxmlformats.org/officeDocument/2006/relationships/ctrlProp" Target="../ctrlProps/ctrlProp417.xml"/><Relationship Id="rId15" Type="http://schemas.openxmlformats.org/officeDocument/2006/relationships/ctrlProp" Target="../ctrlProps/ctrlProp300.xml"/><Relationship Id="rId36" Type="http://schemas.openxmlformats.org/officeDocument/2006/relationships/ctrlProp" Target="../ctrlProps/ctrlProp321.xml"/><Relationship Id="rId57" Type="http://schemas.openxmlformats.org/officeDocument/2006/relationships/ctrlProp" Target="../ctrlProps/ctrlProp342.xml"/><Relationship Id="rId106" Type="http://schemas.openxmlformats.org/officeDocument/2006/relationships/ctrlProp" Target="../ctrlProps/ctrlProp391.xml"/><Relationship Id="rId127" Type="http://schemas.openxmlformats.org/officeDocument/2006/relationships/ctrlProp" Target="../ctrlProps/ctrlProp412.xml"/><Relationship Id="rId10" Type="http://schemas.openxmlformats.org/officeDocument/2006/relationships/ctrlProp" Target="../ctrlProps/ctrlProp295.xml"/><Relationship Id="rId31" Type="http://schemas.openxmlformats.org/officeDocument/2006/relationships/ctrlProp" Target="../ctrlProps/ctrlProp316.xml"/><Relationship Id="rId52" Type="http://schemas.openxmlformats.org/officeDocument/2006/relationships/ctrlProp" Target="../ctrlProps/ctrlProp337.xml"/><Relationship Id="rId73" Type="http://schemas.openxmlformats.org/officeDocument/2006/relationships/ctrlProp" Target="../ctrlProps/ctrlProp358.xml"/><Relationship Id="rId78" Type="http://schemas.openxmlformats.org/officeDocument/2006/relationships/ctrlProp" Target="../ctrlProps/ctrlProp363.xml"/><Relationship Id="rId94" Type="http://schemas.openxmlformats.org/officeDocument/2006/relationships/ctrlProp" Target="../ctrlProps/ctrlProp379.xml"/><Relationship Id="rId99" Type="http://schemas.openxmlformats.org/officeDocument/2006/relationships/ctrlProp" Target="../ctrlProps/ctrlProp384.xml"/><Relationship Id="rId101" Type="http://schemas.openxmlformats.org/officeDocument/2006/relationships/ctrlProp" Target="../ctrlProps/ctrlProp386.xml"/><Relationship Id="rId122" Type="http://schemas.openxmlformats.org/officeDocument/2006/relationships/ctrlProp" Target="../ctrlProps/ctrlProp407.xml"/><Relationship Id="rId143" Type="http://schemas.openxmlformats.org/officeDocument/2006/relationships/ctrlProp" Target="../ctrlProps/ctrlProp428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26" Type="http://schemas.openxmlformats.org/officeDocument/2006/relationships/ctrlProp" Target="../ctrlProps/ctrlProp311.xml"/><Relationship Id="rId47" Type="http://schemas.openxmlformats.org/officeDocument/2006/relationships/ctrlProp" Target="../ctrlProps/ctrlProp332.xml"/><Relationship Id="rId68" Type="http://schemas.openxmlformats.org/officeDocument/2006/relationships/ctrlProp" Target="../ctrlProps/ctrlProp353.xml"/><Relationship Id="rId89" Type="http://schemas.openxmlformats.org/officeDocument/2006/relationships/ctrlProp" Target="../ctrlProps/ctrlProp374.xml"/><Relationship Id="rId112" Type="http://schemas.openxmlformats.org/officeDocument/2006/relationships/ctrlProp" Target="../ctrlProps/ctrlProp397.xml"/><Relationship Id="rId133" Type="http://schemas.openxmlformats.org/officeDocument/2006/relationships/ctrlProp" Target="../ctrlProps/ctrlProp418.xml"/><Relationship Id="rId16" Type="http://schemas.openxmlformats.org/officeDocument/2006/relationships/ctrlProp" Target="../ctrlProps/ctrlProp30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2.xml"/><Relationship Id="rId21" Type="http://schemas.openxmlformats.org/officeDocument/2006/relationships/ctrlProp" Target="../ctrlProps/ctrlProp446.xml"/><Relationship Id="rId42" Type="http://schemas.openxmlformats.org/officeDocument/2006/relationships/ctrlProp" Target="../ctrlProps/ctrlProp467.xml"/><Relationship Id="rId63" Type="http://schemas.openxmlformats.org/officeDocument/2006/relationships/ctrlProp" Target="../ctrlProps/ctrlProp488.xml"/><Relationship Id="rId84" Type="http://schemas.openxmlformats.org/officeDocument/2006/relationships/ctrlProp" Target="../ctrlProps/ctrlProp509.xml"/><Relationship Id="rId138" Type="http://schemas.openxmlformats.org/officeDocument/2006/relationships/ctrlProp" Target="../ctrlProps/ctrlProp563.xml"/><Relationship Id="rId107" Type="http://schemas.openxmlformats.org/officeDocument/2006/relationships/ctrlProp" Target="../ctrlProps/ctrlProp532.xml"/><Relationship Id="rId11" Type="http://schemas.openxmlformats.org/officeDocument/2006/relationships/ctrlProp" Target="../ctrlProps/ctrlProp436.xml"/><Relationship Id="rId32" Type="http://schemas.openxmlformats.org/officeDocument/2006/relationships/ctrlProp" Target="../ctrlProps/ctrlProp457.xml"/><Relationship Id="rId37" Type="http://schemas.openxmlformats.org/officeDocument/2006/relationships/ctrlProp" Target="../ctrlProps/ctrlProp462.xml"/><Relationship Id="rId53" Type="http://schemas.openxmlformats.org/officeDocument/2006/relationships/ctrlProp" Target="../ctrlProps/ctrlProp478.xml"/><Relationship Id="rId58" Type="http://schemas.openxmlformats.org/officeDocument/2006/relationships/ctrlProp" Target="../ctrlProps/ctrlProp483.xml"/><Relationship Id="rId74" Type="http://schemas.openxmlformats.org/officeDocument/2006/relationships/ctrlProp" Target="../ctrlProps/ctrlProp499.xml"/><Relationship Id="rId79" Type="http://schemas.openxmlformats.org/officeDocument/2006/relationships/ctrlProp" Target="../ctrlProps/ctrlProp504.xml"/><Relationship Id="rId102" Type="http://schemas.openxmlformats.org/officeDocument/2006/relationships/ctrlProp" Target="../ctrlProps/ctrlProp527.xml"/><Relationship Id="rId123" Type="http://schemas.openxmlformats.org/officeDocument/2006/relationships/ctrlProp" Target="../ctrlProps/ctrlProp548.xml"/><Relationship Id="rId128" Type="http://schemas.openxmlformats.org/officeDocument/2006/relationships/ctrlProp" Target="../ctrlProps/ctrlProp553.xml"/><Relationship Id="rId5" Type="http://schemas.openxmlformats.org/officeDocument/2006/relationships/ctrlProp" Target="../ctrlProps/ctrlProp430.xml"/><Relationship Id="rId90" Type="http://schemas.openxmlformats.org/officeDocument/2006/relationships/ctrlProp" Target="../ctrlProps/ctrlProp515.xml"/><Relationship Id="rId95" Type="http://schemas.openxmlformats.org/officeDocument/2006/relationships/ctrlProp" Target="../ctrlProps/ctrlProp520.xml"/><Relationship Id="rId22" Type="http://schemas.openxmlformats.org/officeDocument/2006/relationships/ctrlProp" Target="../ctrlProps/ctrlProp447.xml"/><Relationship Id="rId27" Type="http://schemas.openxmlformats.org/officeDocument/2006/relationships/ctrlProp" Target="../ctrlProps/ctrlProp452.xml"/><Relationship Id="rId43" Type="http://schemas.openxmlformats.org/officeDocument/2006/relationships/ctrlProp" Target="../ctrlProps/ctrlProp468.xml"/><Relationship Id="rId48" Type="http://schemas.openxmlformats.org/officeDocument/2006/relationships/ctrlProp" Target="../ctrlProps/ctrlProp473.xml"/><Relationship Id="rId64" Type="http://schemas.openxmlformats.org/officeDocument/2006/relationships/ctrlProp" Target="../ctrlProps/ctrlProp489.xml"/><Relationship Id="rId69" Type="http://schemas.openxmlformats.org/officeDocument/2006/relationships/ctrlProp" Target="../ctrlProps/ctrlProp494.xml"/><Relationship Id="rId113" Type="http://schemas.openxmlformats.org/officeDocument/2006/relationships/ctrlProp" Target="../ctrlProps/ctrlProp538.xml"/><Relationship Id="rId118" Type="http://schemas.openxmlformats.org/officeDocument/2006/relationships/ctrlProp" Target="../ctrlProps/ctrlProp543.xml"/><Relationship Id="rId134" Type="http://schemas.openxmlformats.org/officeDocument/2006/relationships/ctrlProp" Target="../ctrlProps/ctrlProp559.xml"/><Relationship Id="rId139" Type="http://schemas.openxmlformats.org/officeDocument/2006/relationships/ctrlProp" Target="../ctrlProps/ctrlProp564.xml"/><Relationship Id="rId80" Type="http://schemas.openxmlformats.org/officeDocument/2006/relationships/ctrlProp" Target="../ctrlProps/ctrlProp505.xml"/><Relationship Id="rId85" Type="http://schemas.openxmlformats.org/officeDocument/2006/relationships/ctrlProp" Target="../ctrlProps/ctrlProp510.xml"/><Relationship Id="rId12" Type="http://schemas.openxmlformats.org/officeDocument/2006/relationships/ctrlProp" Target="../ctrlProps/ctrlProp437.xml"/><Relationship Id="rId17" Type="http://schemas.openxmlformats.org/officeDocument/2006/relationships/ctrlProp" Target="../ctrlProps/ctrlProp442.xml"/><Relationship Id="rId33" Type="http://schemas.openxmlformats.org/officeDocument/2006/relationships/ctrlProp" Target="../ctrlProps/ctrlProp458.xml"/><Relationship Id="rId38" Type="http://schemas.openxmlformats.org/officeDocument/2006/relationships/ctrlProp" Target="../ctrlProps/ctrlProp463.xml"/><Relationship Id="rId59" Type="http://schemas.openxmlformats.org/officeDocument/2006/relationships/ctrlProp" Target="../ctrlProps/ctrlProp484.xml"/><Relationship Id="rId103" Type="http://schemas.openxmlformats.org/officeDocument/2006/relationships/ctrlProp" Target="../ctrlProps/ctrlProp528.xml"/><Relationship Id="rId108" Type="http://schemas.openxmlformats.org/officeDocument/2006/relationships/ctrlProp" Target="../ctrlProps/ctrlProp533.xml"/><Relationship Id="rId124" Type="http://schemas.openxmlformats.org/officeDocument/2006/relationships/ctrlProp" Target="../ctrlProps/ctrlProp549.xml"/><Relationship Id="rId129" Type="http://schemas.openxmlformats.org/officeDocument/2006/relationships/ctrlProp" Target="../ctrlProps/ctrlProp554.xml"/><Relationship Id="rId54" Type="http://schemas.openxmlformats.org/officeDocument/2006/relationships/ctrlProp" Target="../ctrlProps/ctrlProp479.xml"/><Relationship Id="rId70" Type="http://schemas.openxmlformats.org/officeDocument/2006/relationships/ctrlProp" Target="../ctrlProps/ctrlProp495.xml"/><Relationship Id="rId75" Type="http://schemas.openxmlformats.org/officeDocument/2006/relationships/ctrlProp" Target="../ctrlProps/ctrlProp500.xml"/><Relationship Id="rId91" Type="http://schemas.openxmlformats.org/officeDocument/2006/relationships/ctrlProp" Target="../ctrlProps/ctrlProp516.xml"/><Relationship Id="rId96" Type="http://schemas.openxmlformats.org/officeDocument/2006/relationships/ctrlProp" Target="../ctrlProps/ctrlProp521.xml"/><Relationship Id="rId140" Type="http://schemas.openxmlformats.org/officeDocument/2006/relationships/ctrlProp" Target="../ctrlProps/ctrlProp56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31.xml"/><Relationship Id="rId23" Type="http://schemas.openxmlformats.org/officeDocument/2006/relationships/ctrlProp" Target="../ctrlProps/ctrlProp448.xml"/><Relationship Id="rId28" Type="http://schemas.openxmlformats.org/officeDocument/2006/relationships/ctrlProp" Target="../ctrlProps/ctrlProp453.xml"/><Relationship Id="rId49" Type="http://schemas.openxmlformats.org/officeDocument/2006/relationships/ctrlProp" Target="../ctrlProps/ctrlProp474.xml"/><Relationship Id="rId114" Type="http://schemas.openxmlformats.org/officeDocument/2006/relationships/ctrlProp" Target="../ctrlProps/ctrlProp539.xml"/><Relationship Id="rId119" Type="http://schemas.openxmlformats.org/officeDocument/2006/relationships/ctrlProp" Target="../ctrlProps/ctrlProp544.xml"/><Relationship Id="rId44" Type="http://schemas.openxmlformats.org/officeDocument/2006/relationships/ctrlProp" Target="../ctrlProps/ctrlProp469.xml"/><Relationship Id="rId60" Type="http://schemas.openxmlformats.org/officeDocument/2006/relationships/ctrlProp" Target="../ctrlProps/ctrlProp485.xml"/><Relationship Id="rId65" Type="http://schemas.openxmlformats.org/officeDocument/2006/relationships/ctrlProp" Target="../ctrlProps/ctrlProp490.xml"/><Relationship Id="rId81" Type="http://schemas.openxmlformats.org/officeDocument/2006/relationships/ctrlProp" Target="../ctrlProps/ctrlProp506.xml"/><Relationship Id="rId86" Type="http://schemas.openxmlformats.org/officeDocument/2006/relationships/ctrlProp" Target="../ctrlProps/ctrlProp511.xml"/><Relationship Id="rId130" Type="http://schemas.openxmlformats.org/officeDocument/2006/relationships/ctrlProp" Target="../ctrlProps/ctrlProp555.xml"/><Relationship Id="rId135" Type="http://schemas.openxmlformats.org/officeDocument/2006/relationships/ctrlProp" Target="../ctrlProps/ctrlProp560.xml"/><Relationship Id="rId13" Type="http://schemas.openxmlformats.org/officeDocument/2006/relationships/ctrlProp" Target="../ctrlProps/ctrlProp438.xml"/><Relationship Id="rId18" Type="http://schemas.openxmlformats.org/officeDocument/2006/relationships/ctrlProp" Target="../ctrlProps/ctrlProp443.xml"/><Relationship Id="rId39" Type="http://schemas.openxmlformats.org/officeDocument/2006/relationships/ctrlProp" Target="../ctrlProps/ctrlProp464.xml"/><Relationship Id="rId109" Type="http://schemas.openxmlformats.org/officeDocument/2006/relationships/ctrlProp" Target="../ctrlProps/ctrlProp534.xml"/><Relationship Id="rId34" Type="http://schemas.openxmlformats.org/officeDocument/2006/relationships/ctrlProp" Target="../ctrlProps/ctrlProp459.xml"/><Relationship Id="rId50" Type="http://schemas.openxmlformats.org/officeDocument/2006/relationships/ctrlProp" Target="../ctrlProps/ctrlProp475.xml"/><Relationship Id="rId55" Type="http://schemas.openxmlformats.org/officeDocument/2006/relationships/ctrlProp" Target="../ctrlProps/ctrlProp480.xml"/><Relationship Id="rId76" Type="http://schemas.openxmlformats.org/officeDocument/2006/relationships/ctrlProp" Target="../ctrlProps/ctrlProp501.xml"/><Relationship Id="rId97" Type="http://schemas.openxmlformats.org/officeDocument/2006/relationships/ctrlProp" Target="../ctrlProps/ctrlProp522.xml"/><Relationship Id="rId104" Type="http://schemas.openxmlformats.org/officeDocument/2006/relationships/ctrlProp" Target="../ctrlProps/ctrlProp529.xml"/><Relationship Id="rId120" Type="http://schemas.openxmlformats.org/officeDocument/2006/relationships/ctrlProp" Target="../ctrlProps/ctrlProp545.xml"/><Relationship Id="rId125" Type="http://schemas.openxmlformats.org/officeDocument/2006/relationships/ctrlProp" Target="../ctrlProps/ctrlProp550.xml"/><Relationship Id="rId141" Type="http://schemas.openxmlformats.org/officeDocument/2006/relationships/ctrlProp" Target="../ctrlProps/ctrlProp566.xml"/><Relationship Id="rId7" Type="http://schemas.openxmlformats.org/officeDocument/2006/relationships/ctrlProp" Target="../ctrlProps/ctrlProp432.xml"/><Relationship Id="rId71" Type="http://schemas.openxmlformats.org/officeDocument/2006/relationships/ctrlProp" Target="../ctrlProps/ctrlProp496.xml"/><Relationship Id="rId92" Type="http://schemas.openxmlformats.org/officeDocument/2006/relationships/ctrlProp" Target="../ctrlProps/ctrlProp51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54.xml"/><Relationship Id="rId24" Type="http://schemas.openxmlformats.org/officeDocument/2006/relationships/ctrlProp" Target="../ctrlProps/ctrlProp449.xml"/><Relationship Id="rId40" Type="http://schemas.openxmlformats.org/officeDocument/2006/relationships/ctrlProp" Target="../ctrlProps/ctrlProp465.xml"/><Relationship Id="rId45" Type="http://schemas.openxmlformats.org/officeDocument/2006/relationships/ctrlProp" Target="../ctrlProps/ctrlProp470.xml"/><Relationship Id="rId66" Type="http://schemas.openxmlformats.org/officeDocument/2006/relationships/ctrlProp" Target="../ctrlProps/ctrlProp491.xml"/><Relationship Id="rId87" Type="http://schemas.openxmlformats.org/officeDocument/2006/relationships/ctrlProp" Target="../ctrlProps/ctrlProp512.xml"/><Relationship Id="rId110" Type="http://schemas.openxmlformats.org/officeDocument/2006/relationships/ctrlProp" Target="../ctrlProps/ctrlProp535.xml"/><Relationship Id="rId115" Type="http://schemas.openxmlformats.org/officeDocument/2006/relationships/ctrlProp" Target="../ctrlProps/ctrlProp540.xml"/><Relationship Id="rId131" Type="http://schemas.openxmlformats.org/officeDocument/2006/relationships/ctrlProp" Target="../ctrlProps/ctrlProp556.xml"/><Relationship Id="rId136" Type="http://schemas.openxmlformats.org/officeDocument/2006/relationships/ctrlProp" Target="../ctrlProps/ctrlProp561.xml"/><Relationship Id="rId61" Type="http://schemas.openxmlformats.org/officeDocument/2006/relationships/ctrlProp" Target="../ctrlProps/ctrlProp486.xml"/><Relationship Id="rId82" Type="http://schemas.openxmlformats.org/officeDocument/2006/relationships/ctrlProp" Target="../ctrlProps/ctrlProp507.xml"/><Relationship Id="rId19" Type="http://schemas.openxmlformats.org/officeDocument/2006/relationships/ctrlProp" Target="../ctrlProps/ctrlProp444.xml"/><Relationship Id="rId14" Type="http://schemas.openxmlformats.org/officeDocument/2006/relationships/ctrlProp" Target="../ctrlProps/ctrlProp439.xml"/><Relationship Id="rId30" Type="http://schemas.openxmlformats.org/officeDocument/2006/relationships/ctrlProp" Target="../ctrlProps/ctrlProp455.xml"/><Relationship Id="rId35" Type="http://schemas.openxmlformats.org/officeDocument/2006/relationships/ctrlProp" Target="../ctrlProps/ctrlProp460.xml"/><Relationship Id="rId56" Type="http://schemas.openxmlformats.org/officeDocument/2006/relationships/ctrlProp" Target="../ctrlProps/ctrlProp481.xml"/><Relationship Id="rId77" Type="http://schemas.openxmlformats.org/officeDocument/2006/relationships/ctrlProp" Target="../ctrlProps/ctrlProp502.xml"/><Relationship Id="rId100" Type="http://schemas.openxmlformats.org/officeDocument/2006/relationships/ctrlProp" Target="../ctrlProps/ctrlProp525.xml"/><Relationship Id="rId105" Type="http://schemas.openxmlformats.org/officeDocument/2006/relationships/ctrlProp" Target="../ctrlProps/ctrlProp530.xml"/><Relationship Id="rId126" Type="http://schemas.openxmlformats.org/officeDocument/2006/relationships/ctrlProp" Target="../ctrlProps/ctrlProp551.xml"/><Relationship Id="rId8" Type="http://schemas.openxmlformats.org/officeDocument/2006/relationships/ctrlProp" Target="../ctrlProps/ctrlProp433.xml"/><Relationship Id="rId51" Type="http://schemas.openxmlformats.org/officeDocument/2006/relationships/ctrlProp" Target="../ctrlProps/ctrlProp476.xml"/><Relationship Id="rId72" Type="http://schemas.openxmlformats.org/officeDocument/2006/relationships/ctrlProp" Target="../ctrlProps/ctrlProp497.xml"/><Relationship Id="rId93" Type="http://schemas.openxmlformats.org/officeDocument/2006/relationships/ctrlProp" Target="../ctrlProps/ctrlProp518.xml"/><Relationship Id="rId98" Type="http://schemas.openxmlformats.org/officeDocument/2006/relationships/ctrlProp" Target="../ctrlProps/ctrlProp523.xml"/><Relationship Id="rId121" Type="http://schemas.openxmlformats.org/officeDocument/2006/relationships/ctrlProp" Target="../ctrlProps/ctrlProp546.xml"/><Relationship Id="rId142" Type="http://schemas.openxmlformats.org/officeDocument/2006/relationships/ctrlProp" Target="../ctrlProps/ctrlProp567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50.xml"/><Relationship Id="rId46" Type="http://schemas.openxmlformats.org/officeDocument/2006/relationships/ctrlProp" Target="../ctrlProps/ctrlProp471.xml"/><Relationship Id="rId67" Type="http://schemas.openxmlformats.org/officeDocument/2006/relationships/ctrlProp" Target="../ctrlProps/ctrlProp492.xml"/><Relationship Id="rId116" Type="http://schemas.openxmlformats.org/officeDocument/2006/relationships/ctrlProp" Target="../ctrlProps/ctrlProp541.xml"/><Relationship Id="rId137" Type="http://schemas.openxmlformats.org/officeDocument/2006/relationships/ctrlProp" Target="../ctrlProps/ctrlProp562.xml"/><Relationship Id="rId20" Type="http://schemas.openxmlformats.org/officeDocument/2006/relationships/ctrlProp" Target="../ctrlProps/ctrlProp445.xml"/><Relationship Id="rId41" Type="http://schemas.openxmlformats.org/officeDocument/2006/relationships/ctrlProp" Target="../ctrlProps/ctrlProp466.xml"/><Relationship Id="rId62" Type="http://schemas.openxmlformats.org/officeDocument/2006/relationships/ctrlProp" Target="../ctrlProps/ctrlProp487.xml"/><Relationship Id="rId83" Type="http://schemas.openxmlformats.org/officeDocument/2006/relationships/ctrlProp" Target="../ctrlProps/ctrlProp508.xml"/><Relationship Id="rId88" Type="http://schemas.openxmlformats.org/officeDocument/2006/relationships/ctrlProp" Target="../ctrlProps/ctrlProp513.xml"/><Relationship Id="rId111" Type="http://schemas.openxmlformats.org/officeDocument/2006/relationships/ctrlProp" Target="../ctrlProps/ctrlProp536.xml"/><Relationship Id="rId132" Type="http://schemas.openxmlformats.org/officeDocument/2006/relationships/ctrlProp" Target="../ctrlProps/ctrlProp557.xml"/><Relationship Id="rId15" Type="http://schemas.openxmlformats.org/officeDocument/2006/relationships/ctrlProp" Target="../ctrlProps/ctrlProp440.xml"/><Relationship Id="rId36" Type="http://schemas.openxmlformats.org/officeDocument/2006/relationships/ctrlProp" Target="../ctrlProps/ctrlProp461.xml"/><Relationship Id="rId57" Type="http://schemas.openxmlformats.org/officeDocument/2006/relationships/ctrlProp" Target="../ctrlProps/ctrlProp482.xml"/><Relationship Id="rId106" Type="http://schemas.openxmlformats.org/officeDocument/2006/relationships/ctrlProp" Target="../ctrlProps/ctrlProp531.xml"/><Relationship Id="rId127" Type="http://schemas.openxmlformats.org/officeDocument/2006/relationships/ctrlProp" Target="../ctrlProps/ctrlProp552.xml"/><Relationship Id="rId10" Type="http://schemas.openxmlformats.org/officeDocument/2006/relationships/ctrlProp" Target="../ctrlProps/ctrlProp435.xml"/><Relationship Id="rId31" Type="http://schemas.openxmlformats.org/officeDocument/2006/relationships/ctrlProp" Target="../ctrlProps/ctrlProp456.xml"/><Relationship Id="rId52" Type="http://schemas.openxmlformats.org/officeDocument/2006/relationships/ctrlProp" Target="../ctrlProps/ctrlProp477.xml"/><Relationship Id="rId73" Type="http://schemas.openxmlformats.org/officeDocument/2006/relationships/ctrlProp" Target="../ctrlProps/ctrlProp498.xml"/><Relationship Id="rId78" Type="http://schemas.openxmlformats.org/officeDocument/2006/relationships/ctrlProp" Target="../ctrlProps/ctrlProp503.xml"/><Relationship Id="rId94" Type="http://schemas.openxmlformats.org/officeDocument/2006/relationships/ctrlProp" Target="../ctrlProps/ctrlProp519.xml"/><Relationship Id="rId99" Type="http://schemas.openxmlformats.org/officeDocument/2006/relationships/ctrlProp" Target="../ctrlProps/ctrlProp524.xml"/><Relationship Id="rId101" Type="http://schemas.openxmlformats.org/officeDocument/2006/relationships/ctrlProp" Target="../ctrlProps/ctrlProp526.xml"/><Relationship Id="rId122" Type="http://schemas.openxmlformats.org/officeDocument/2006/relationships/ctrlProp" Target="../ctrlProps/ctrlProp547.xml"/><Relationship Id="rId143" Type="http://schemas.openxmlformats.org/officeDocument/2006/relationships/ctrlProp" Target="../ctrlProps/ctrlProp568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26" Type="http://schemas.openxmlformats.org/officeDocument/2006/relationships/ctrlProp" Target="../ctrlProps/ctrlProp451.xml"/><Relationship Id="rId47" Type="http://schemas.openxmlformats.org/officeDocument/2006/relationships/ctrlProp" Target="../ctrlProps/ctrlProp472.xml"/><Relationship Id="rId68" Type="http://schemas.openxmlformats.org/officeDocument/2006/relationships/ctrlProp" Target="../ctrlProps/ctrlProp493.xml"/><Relationship Id="rId89" Type="http://schemas.openxmlformats.org/officeDocument/2006/relationships/ctrlProp" Target="../ctrlProps/ctrlProp514.xml"/><Relationship Id="rId112" Type="http://schemas.openxmlformats.org/officeDocument/2006/relationships/ctrlProp" Target="../ctrlProps/ctrlProp537.xml"/><Relationship Id="rId133" Type="http://schemas.openxmlformats.org/officeDocument/2006/relationships/ctrlProp" Target="../ctrlProps/ctrlProp558.xml"/><Relationship Id="rId16" Type="http://schemas.openxmlformats.org/officeDocument/2006/relationships/ctrlProp" Target="../ctrlProps/ctrlProp441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82.xml"/><Relationship Id="rId21" Type="http://schemas.openxmlformats.org/officeDocument/2006/relationships/ctrlProp" Target="../ctrlProps/ctrlProp586.xml"/><Relationship Id="rId42" Type="http://schemas.openxmlformats.org/officeDocument/2006/relationships/ctrlProp" Target="../ctrlProps/ctrlProp607.xml"/><Relationship Id="rId63" Type="http://schemas.openxmlformats.org/officeDocument/2006/relationships/ctrlProp" Target="../ctrlProps/ctrlProp628.xml"/><Relationship Id="rId84" Type="http://schemas.openxmlformats.org/officeDocument/2006/relationships/ctrlProp" Target="../ctrlProps/ctrlProp649.xml"/><Relationship Id="rId138" Type="http://schemas.openxmlformats.org/officeDocument/2006/relationships/ctrlProp" Target="../ctrlProps/ctrlProp703.xml"/><Relationship Id="rId107" Type="http://schemas.openxmlformats.org/officeDocument/2006/relationships/ctrlProp" Target="../ctrlProps/ctrlProp672.xml"/><Relationship Id="rId11" Type="http://schemas.openxmlformats.org/officeDocument/2006/relationships/ctrlProp" Target="../ctrlProps/ctrlProp576.xml"/><Relationship Id="rId32" Type="http://schemas.openxmlformats.org/officeDocument/2006/relationships/ctrlProp" Target="../ctrlProps/ctrlProp597.xml"/><Relationship Id="rId37" Type="http://schemas.openxmlformats.org/officeDocument/2006/relationships/ctrlProp" Target="../ctrlProps/ctrlProp602.xml"/><Relationship Id="rId53" Type="http://schemas.openxmlformats.org/officeDocument/2006/relationships/ctrlProp" Target="../ctrlProps/ctrlProp618.xml"/><Relationship Id="rId58" Type="http://schemas.openxmlformats.org/officeDocument/2006/relationships/ctrlProp" Target="../ctrlProps/ctrlProp623.xml"/><Relationship Id="rId74" Type="http://schemas.openxmlformats.org/officeDocument/2006/relationships/ctrlProp" Target="../ctrlProps/ctrlProp639.xml"/><Relationship Id="rId79" Type="http://schemas.openxmlformats.org/officeDocument/2006/relationships/ctrlProp" Target="../ctrlProps/ctrlProp644.xml"/><Relationship Id="rId102" Type="http://schemas.openxmlformats.org/officeDocument/2006/relationships/ctrlProp" Target="../ctrlProps/ctrlProp667.xml"/><Relationship Id="rId123" Type="http://schemas.openxmlformats.org/officeDocument/2006/relationships/ctrlProp" Target="../ctrlProps/ctrlProp688.xml"/><Relationship Id="rId128" Type="http://schemas.openxmlformats.org/officeDocument/2006/relationships/ctrlProp" Target="../ctrlProps/ctrlProp693.xml"/><Relationship Id="rId5" Type="http://schemas.openxmlformats.org/officeDocument/2006/relationships/ctrlProp" Target="../ctrlProps/ctrlProp570.xml"/><Relationship Id="rId90" Type="http://schemas.openxmlformats.org/officeDocument/2006/relationships/ctrlProp" Target="../ctrlProps/ctrlProp655.xml"/><Relationship Id="rId95" Type="http://schemas.openxmlformats.org/officeDocument/2006/relationships/ctrlProp" Target="../ctrlProps/ctrlProp660.xml"/><Relationship Id="rId22" Type="http://schemas.openxmlformats.org/officeDocument/2006/relationships/ctrlProp" Target="../ctrlProps/ctrlProp587.xml"/><Relationship Id="rId27" Type="http://schemas.openxmlformats.org/officeDocument/2006/relationships/ctrlProp" Target="../ctrlProps/ctrlProp592.xml"/><Relationship Id="rId43" Type="http://schemas.openxmlformats.org/officeDocument/2006/relationships/ctrlProp" Target="../ctrlProps/ctrlProp608.xml"/><Relationship Id="rId48" Type="http://schemas.openxmlformats.org/officeDocument/2006/relationships/ctrlProp" Target="../ctrlProps/ctrlProp613.xml"/><Relationship Id="rId64" Type="http://schemas.openxmlformats.org/officeDocument/2006/relationships/ctrlProp" Target="../ctrlProps/ctrlProp629.xml"/><Relationship Id="rId69" Type="http://schemas.openxmlformats.org/officeDocument/2006/relationships/ctrlProp" Target="../ctrlProps/ctrlProp634.xml"/><Relationship Id="rId113" Type="http://schemas.openxmlformats.org/officeDocument/2006/relationships/ctrlProp" Target="../ctrlProps/ctrlProp678.xml"/><Relationship Id="rId118" Type="http://schemas.openxmlformats.org/officeDocument/2006/relationships/ctrlProp" Target="../ctrlProps/ctrlProp683.xml"/><Relationship Id="rId134" Type="http://schemas.openxmlformats.org/officeDocument/2006/relationships/ctrlProp" Target="../ctrlProps/ctrlProp699.xml"/><Relationship Id="rId139" Type="http://schemas.openxmlformats.org/officeDocument/2006/relationships/ctrlProp" Target="../ctrlProps/ctrlProp704.xml"/><Relationship Id="rId80" Type="http://schemas.openxmlformats.org/officeDocument/2006/relationships/ctrlProp" Target="../ctrlProps/ctrlProp645.xml"/><Relationship Id="rId85" Type="http://schemas.openxmlformats.org/officeDocument/2006/relationships/ctrlProp" Target="../ctrlProps/ctrlProp650.xml"/><Relationship Id="rId12" Type="http://schemas.openxmlformats.org/officeDocument/2006/relationships/ctrlProp" Target="../ctrlProps/ctrlProp577.xml"/><Relationship Id="rId17" Type="http://schemas.openxmlformats.org/officeDocument/2006/relationships/ctrlProp" Target="../ctrlProps/ctrlProp582.xml"/><Relationship Id="rId33" Type="http://schemas.openxmlformats.org/officeDocument/2006/relationships/ctrlProp" Target="../ctrlProps/ctrlProp598.xml"/><Relationship Id="rId38" Type="http://schemas.openxmlformats.org/officeDocument/2006/relationships/ctrlProp" Target="../ctrlProps/ctrlProp603.xml"/><Relationship Id="rId59" Type="http://schemas.openxmlformats.org/officeDocument/2006/relationships/ctrlProp" Target="../ctrlProps/ctrlProp624.xml"/><Relationship Id="rId103" Type="http://schemas.openxmlformats.org/officeDocument/2006/relationships/ctrlProp" Target="../ctrlProps/ctrlProp668.xml"/><Relationship Id="rId108" Type="http://schemas.openxmlformats.org/officeDocument/2006/relationships/ctrlProp" Target="../ctrlProps/ctrlProp673.xml"/><Relationship Id="rId124" Type="http://schemas.openxmlformats.org/officeDocument/2006/relationships/ctrlProp" Target="../ctrlProps/ctrlProp689.xml"/><Relationship Id="rId129" Type="http://schemas.openxmlformats.org/officeDocument/2006/relationships/ctrlProp" Target="../ctrlProps/ctrlProp694.xml"/><Relationship Id="rId54" Type="http://schemas.openxmlformats.org/officeDocument/2006/relationships/ctrlProp" Target="../ctrlProps/ctrlProp619.xml"/><Relationship Id="rId70" Type="http://schemas.openxmlformats.org/officeDocument/2006/relationships/ctrlProp" Target="../ctrlProps/ctrlProp635.xml"/><Relationship Id="rId75" Type="http://schemas.openxmlformats.org/officeDocument/2006/relationships/ctrlProp" Target="../ctrlProps/ctrlProp640.xml"/><Relationship Id="rId91" Type="http://schemas.openxmlformats.org/officeDocument/2006/relationships/ctrlProp" Target="../ctrlProps/ctrlProp656.xml"/><Relationship Id="rId96" Type="http://schemas.openxmlformats.org/officeDocument/2006/relationships/ctrlProp" Target="../ctrlProps/ctrlProp661.xml"/><Relationship Id="rId140" Type="http://schemas.openxmlformats.org/officeDocument/2006/relationships/ctrlProp" Target="../ctrlProps/ctrlProp70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71.xml"/><Relationship Id="rId23" Type="http://schemas.openxmlformats.org/officeDocument/2006/relationships/ctrlProp" Target="../ctrlProps/ctrlProp588.xml"/><Relationship Id="rId28" Type="http://schemas.openxmlformats.org/officeDocument/2006/relationships/ctrlProp" Target="../ctrlProps/ctrlProp593.xml"/><Relationship Id="rId49" Type="http://schemas.openxmlformats.org/officeDocument/2006/relationships/ctrlProp" Target="../ctrlProps/ctrlProp614.xml"/><Relationship Id="rId114" Type="http://schemas.openxmlformats.org/officeDocument/2006/relationships/ctrlProp" Target="../ctrlProps/ctrlProp679.xml"/><Relationship Id="rId119" Type="http://schemas.openxmlformats.org/officeDocument/2006/relationships/ctrlProp" Target="../ctrlProps/ctrlProp684.xml"/><Relationship Id="rId44" Type="http://schemas.openxmlformats.org/officeDocument/2006/relationships/ctrlProp" Target="../ctrlProps/ctrlProp609.xml"/><Relationship Id="rId60" Type="http://schemas.openxmlformats.org/officeDocument/2006/relationships/ctrlProp" Target="../ctrlProps/ctrlProp625.xml"/><Relationship Id="rId65" Type="http://schemas.openxmlformats.org/officeDocument/2006/relationships/ctrlProp" Target="../ctrlProps/ctrlProp630.xml"/><Relationship Id="rId81" Type="http://schemas.openxmlformats.org/officeDocument/2006/relationships/ctrlProp" Target="../ctrlProps/ctrlProp646.xml"/><Relationship Id="rId86" Type="http://schemas.openxmlformats.org/officeDocument/2006/relationships/ctrlProp" Target="../ctrlProps/ctrlProp651.xml"/><Relationship Id="rId130" Type="http://schemas.openxmlformats.org/officeDocument/2006/relationships/ctrlProp" Target="../ctrlProps/ctrlProp695.xml"/><Relationship Id="rId135" Type="http://schemas.openxmlformats.org/officeDocument/2006/relationships/ctrlProp" Target="../ctrlProps/ctrlProp700.xml"/><Relationship Id="rId13" Type="http://schemas.openxmlformats.org/officeDocument/2006/relationships/ctrlProp" Target="../ctrlProps/ctrlProp578.xml"/><Relationship Id="rId18" Type="http://schemas.openxmlformats.org/officeDocument/2006/relationships/ctrlProp" Target="../ctrlProps/ctrlProp583.xml"/><Relationship Id="rId39" Type="http://schemas.openxmlformats.org/officeDocument/2006/relationships/ctrlProp" Target="../ctrlProps/ctrlProp604.xml"/><Relationship Id="rId109" Type="http://schemas.openxmlformats.org/officeDocument/2006/relationships/ctrlProp" Target="../ctrlProps/ctrlProp674.xml"/><Relationship Id="rId34" Type="http://schemas.openxmlformats.org/officeDocument/2006/relationships/ctrlProp" Target="../ctrlProps/ctrlProp599.xml"/><Relationship Id="rId50" Type="http://schemas.openxmlformats.org/officeDocument/2006/relationships/ctrlProp" Target="../ctrlProps/ctrlProp615.xml"/><Relationship Id="rId55" Type="http://schemas.openxmlformats.org/officeDocument/2006/relationships/ctrlProp" Target="../ctrlProps/ctrlProp620.xml"/><Relationship Id="rId76" Type="http://schemas.openxmlformats.org/officeDocument/2006/relationships/ctrlProp" Target="../ctrlProps/ctrlProp641.xml"/><Relationship Id="rId97" Type="http://schemas.openxmlformats.org/officeDocument/2006/relationships/ctrlProp" Target="../ctrlProps/ctrlProp662.xml"/><Relationship Id="rId104" Type="http://schemas.openxmlformats.org/officeDocument/2006/relationships/ctrlProp" Target="../ctrlProps/ctrlProp669.xml"/><Relationship Id="rId120" Type="http://schemas.openxmlformats.org/officeDocument/2006/relationships/ctrlProp" Target="../ctrlProps/ctrlProp685.xml"/><Relationship Id="rId125" Type="http://schemas.openxmlformats.org/officeDocument/2006/relationships/ctrlProp" Target="../ctrlProps/ctrlProp690.xml"/><Relationship Id="rId141" Type="http://schemas.openxmlformats.org/officeDocument/2006/relationships/ctrlProp" Target="../ctrlProps/ctrlProp706.xml"/><Relationship Id="rId7" Type="http://schemas.openxmlformats.org/officeDocument/2006/relationships/ctrlProp" Target="../ctrlProps/ctrlProp572.xml"/><Relationship Id="rId71" Type="http://schemas.openxmlformats.org/officeDocument/2006/relationships/ctrlProp" Target="../ctrlProps/ctrlProp636.xml"/><Relationship Id="rId92" Type="http://schemas.openxmlformats.org/officeDocument/2006/relationships/ctrlProp" Target="../ctrlProps/ctrlProp657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94.xml"/><Relationship Id="rId24" Type="http://schemas.openxmlformats.org/officeDocument/2006/relationships/ctrlProp" Target="../ctrlProps/ctrlProp589.xml"/><Relationship Id="rId40" Type="http://schemas.openxmlformats.org/officeDocument/2006/relationships/ctrlProp" Target="../ctrlProps/ctrlProp605.xml"/><Relationship Id="rId45" Type="http://schemas.openxmlformats.org/officeDocument/2006/relationships/ctrlProp" Target="../ctrlProps/ctrlProp610.xml"/><Relationship Id="rId66" Type="http://schemas.openxmlformats.org/officeDocument/2006/relationships/ctrlProp" Target="../ctrlProps/ctrlProp631.xml"/><Relationship Id="rId87" Type="http://schemas.openxmlformats.org/officeDocument/2006/relationships/ctrlProp" Target="../ctrlProps/ctrlProp652.xml"/><Relationship Id="rId110" Type="http://schemas.openxmlformats.org/officeDocument/2006/relationships/ctrlProp" Target="../ctrlProps/ctrlProp675.xml"/><Relationship Id="rId115" Type="http://schemas.openxmlformats.org/officeDocument/2006/relationships/ctrlProp" Target="../ctrlProps/ctrlProp680.xml"/><Relationship Id="rId131" Type="http://schemas.openxmlformats.org/officeDocument/2006/relationships/ctrlProp" Target="../ctrlProps/ctrlProp696.xml"/><Relationship Id="rId136" Type="http://schemas.openxmlformats.org/officeDocument/2006/relationships/ctrlProp" Target="../ctrlProps/ctrlProp701.xml"/><Relationship Id="rId61" Type="http://schemas.openxmlformats.org/officeDocument/2006/relationships/ctrlProp" Target="../ctrlProps/ctrlProp626.xml"/><Relationship Id="rId82" Type="http://schemas.openxmlformats.org/officeDocument/2006/relationships/ctrlProp" Target="../ctrlProps/ctrlProp647.xml"/><Relationship Id="rId19" Type="http://schemas.openxmlformats.org/officeDocument/2006/relationships/ctrlProp" Target="../ctrlProps/ctrlProp584.xml"/><Relationship Id="rId14" Type="http://schemas.openxmlformats.org/officeDocument/2006/relationships/ctrlProp" Target="../ctrlProps/ctrlProp579.xml"/><Relationship Id="rId30" Type="http://schemas.openxmlformats.org/officeDocument/2006/relationships/ctrlProp" Target="../ctrlProps/ctrlProp595.xml"/><Relationship Id="rId35" Type="http://schemas.openxmlformats.org/officeDocument/2006/relationships/ctrlProp" Target="../ctrlProps/ctrlProp600.xml"/><Relationship Id="rId56" Type="http://schemas.openxmlformats.org/officeDocument/2006/relationships/ctrlProp" Target="../ctrlProps/ctrlProp621.xml"/><Relationship Id="rId77" Type="http://schemas.openxmlformats.org/officeDocument/2006/relationships/ctrlProp" Target="../ctrlProps/ctrlProp642.xml"/><Relationship Id="rId100" Type="http://schemas.openxmlformats.org/officeDocument/2006/relationships/ctrlProp" Target="../ctrlProps/ctrlProp665.xml"/><Relationship Id="rId105" Type="http://schemas.openxmlformats.org/officeDocument/2006/relationships/ctrlProp" Target="../ctrlProps/ctrlProp670.xml"/><Relationship Id="rId126" Type="http://schemas.openxmlformats.org/officeDocument/2006/relationships/ctrlProp" Target="../ctrlProps/ctrlProp691.xml"/><Relationship Id="rId8" Type="http://schemas.openxmlformats.org/officeDocument/2006/relationships/ctrlProp" Target="../ctrlProps/ctrlProp573.xml"/><Relationship Id="rId51" Type="http://schemas.openxmlformats.org/officeDocument/2006/relationships/ctrlProp" Target="../ctrlProps/ctrlProp616.xml"/><Relationship Id="rId72" Type="http://schemas.openxmlformats.org/officeDocument/2006/relationships/ctrlProp" Target="../ctrlProps/ctrlProp637.xml"/><Relationship Id="rId93" Type="http://schemas.openxmlformats.org/officeDocument/2006/relationships/ctrlProp" Target="../ctrlProps/ctrlProp658.xml"/><Relationship Id="rId98" Type="http://schemas.openxmlformats.org/officeDocument/2006/relationships/ctrlProp" Target="../ctrlProps/ctrlProp663.xml"/><Relationship Id="rId121" Type="http://schemas.openxmlformats.org/officeDocument/2006/relationships/ctrlProp" Target="../ctrlProps/ctrlProp686.xml"/><Relationship Id="rId142" Type="http://schemas.openxmlformats.org/officeDocument/2006/relationships/ctrlProp" Target="../ctrlProps/ctrlProp707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90.xml"/><Relationship Id="rId46" Type="http://schemas.openxmlformats.org/officeDocument/2006/relationships/ctrlProp" Target="../ctrlProps/ctrlProp611.xml"/><Relationship Id="rId67" Type="http://schemas.openxmlformats.org/officeDocument/2006/relationships/ctrlProp" Target="../ctrlProps/ctrlProp632.xml"/><Relationship Id="rId116" Type="http://schemas.openxmlformats.org/officeDocument/2006/relationships/ctrlProp" Target="../ctrlProps/ctrlProp681.xml"/><Relationship Id="rId137" Type="http://schemas.openxmlformats.org/officeDocument/2006/relationships/ctrlProp" Target="../ctrlProps/ctrlProp702.xml"/><Relationship Id="rId20" Type="http://schemas.openxmlformats.org/officeDocument/2006/relationships/ctrlProp" Target="../ctrlProps/ctrlProp585.xml"/><Relationship Id="rId41" Type="http://schemas.openxmlformats.org/officeDocument/2006/relationships/ctrlProp" Target="../ctrlProps/ctrlProp606.xml"/><Relationship Id="rId62" Type="http://schemas.openxmlformats.org/officeDocument/2006/relationships/ctrlProp" Target="../ctrlProps/ctrlProp627.xml"/><Relationship Id="rId83" Type="http://schemas.openxmlformats.org/officeDocument/2006/relationships/ctrlProp" Target="../ctrlProps/ctrlProp648.xml"/><Relationship Id="rId88" Type="http://schemas.openxmlformats.org/officeDocument/2006/relationships/ctrlProp" Target="../ctrlProps/ctrlProp653.xml"/><Relationship Id="rId111" Type="http://schemas.openxmlformats.org/officeDocument/2006/relationships/ctrlProp" Target="../ctrlProps/ctrlProp676.xml"/><Relationship Id="rId132" Type="http://schemas.openxmlformats.org/officeDocument/2006/relationships/ctrlProp" Target="../ctrlProps/ctrlProp697.xml"/><Relationship Id="rId15" Type="http://schemas.openxmlformats.org/officeDocument/2006/relationships/ctrlProp" Target="../ctrlProps/ctrlProp580.xml"/><Relationship Id="rId36" Type="http://schemas.openxmlformats.org/officeDocument/2006/relationships/ctrlProp" Target="../ctrlProps/ctrlProp601.xml"/><Relationship Id="rId57" Type="http://schemas.openxmlformats.org/officeDocument/2006/relationships/ctrlProp" Target="../ctrlProps/ctrlProp622.xml"/><Relationship Id="rId106" Type="http://schemas.openxmlformats.org/officeDocument/2006/relationships/ctrlProp" Target="../ctrlProps/ctrlProp671.xml"/><Relationship Id="rId127" Type="http://schemas.openxmlformats.org/officeDocument/2006/relationships/ctrlProp" Target="../ctrlProps/ctrlProp692.xml"/><Relationship Id="rId10" Type="http://schemas.openxmlformats.org/officeDocument/2006/relationships/ctrlProp" Target="../ctrlProps/ctrlProp575.xml"/><Relationship Id="rId31" Type="http://schemas.openxmlformats.org/officeDocument/2006/relationships/ctrlProp" Target="../ctrlProps/ctrlProp596.xml"/><Relationship Id="rId52" Type="http://schemas.openxmlformats.org/officeDocument/2006/relationships/ctrlProp" Target="../ctrlProps/ctrlProp617.xml"/><Relationship Id="rId73" Type="http://schemas.openxmlformats.org/officeDocument/2006/relationships/ctrlProp" Target="../ctrlProps/ctrlProp638.xml"/><Relationship Id="rId78" Type="http://schemas.openxmlformats.org/officeDocument/2006/relationships/ctrlProp" Target="../ctrlProps/ctrlProp643.xml"/><Relationship Id="rId94" Type="http://schemas.openxmlformats.org/officeDocument/2006/relationships/ctrlProp" Target="../ctrlProps/ctrlProp659.xml"/><Relationship Id="rId99" Type="http://schemas.openxmlformats.org/officeDocument/2006/relationships/ctrlProp" Target="../ctrlProps/ctrlProp664.xml"/><Relationship Id="rId101" Type="http://schemas.openxmlformats.org/officeDocument/2006/relationships/ctrlProp" Target="../ctrlProps/ctrlProp666.xml"/><Relationship Id="rId122" Type="http://schemas.openxmlformats.org/officeDocument/2006/relationships/ctrlProp" Target="../ctrlProps/ctrlProp687.xml"/><Relationship Id="rId143" Type="http://schemas.openxmlformats.org/officeDocument/2006/relationships/ctrlProp" Target="../ctrlProps/ctrlProp708.xml"/><Relationship Id="rId4" Type="http://schemas.openxmlformats.org/officeDocument/2006/relationships/ctrlProp" Target="../ctrlProps/ctrlProp569.xml"/><Relationship Id="rId9" Type="http://schemas.openxmlformats.org/officeDocument/2006/relationships/ctrlProp" Target="../ctrlProps/ctrlProp574.xml"/><Relationship Id="rId26" Type="http://schemas.openxmlformats.org/officeDocument/2006/relationships/ctrlProp" Target="../ctrlProps/ctrlProp591.xml"/><Relationship Id="rId47" Type="http://schemas.openxmlformats.org/officeDocument/2006/relationships/ctrlProp" Target="../ctrlProps/ctrlProp612.xml"/><Relationship Id="rId68" Type="http://schemas.openxmlformats.org/officeDocument/2006/relationships/ctrlProp" Target="../ctrlProps/ctrlProp633.xml"/><Relationship Id="rId89" Type="http://schemas.openxmlformats.org/officeDocument/2006/relationships/ctrlProp" Target="../ctrlProps/ctrlProp654.xml"/><Relationship Id="rId112" Type="http://schemas.openxmlformats.org/officeDocument/2006/relationships/ctrlProp" Target="../ctrlProps/ctrlProp677.xml"/><Relationship Id="rId133" Type="http://schemas.openxmlformats.org/officeDocument/2006/relationships/ctrlProp" Target="../ctrlProps/ctrlProp698.xml"/><Relationship Id="rId16" Type="http://schemas.openxmlformats.org/officeDocument/2006/relationships/ctrlProp" Target="../ctrlProps/ctrlProp581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22.xml"/><Relationship Id="rId21" Type="http://schemas.openxmlformats.org/officeDocument/2006/relationships/ctrlProp" Target="../ctrlProps/ctrlProp726.xml"/><Relationship Id="rId42" Type="http://schemas.openxmlformats.org/officeDocument/2006/relationships/ctrlProp" Target="../ctrlProps/ctrlProp747.xml"/><Relationship Id="rId63" Type="http://schemas.openxmlformats.org/officeDocument/2006/relationships/ctrlProp" Target="../ctrlProps/ctrlProp768.xml"/><Relationship Id="rId84" Type="http://schemas.openxmlformats.org/officeDocument/2006/relationships/ctrlProp" Target="../ctrlProps/ctrlProp789.xml"/><Relationship Id="rId138" Type="http://schemas.openxmlformats.org/officeDocument/2006/relationships/ctrlProp" Target="../ctrlProps/ctrlProp843.xml"/><Relationship Id="rId107" Type="http://schemas.openxmlformats.org/officeDocument/2006/relationships/ctrlProp" Target="../ctrlProps/ctrlProp812.xml"/><Relationship Id="rId11" Type="http://schemas.openxmlformats.org/officeDocument/2006/relationships/ctrlProp" Target="../ctrlProps/ctrlProp716.xml"/><Relationship Id="rId32" Type="http://schemas.openxmlformats.org/officeDocument/2006/relationships/ctrlProp" Target="../ctrlProps/ctrlProp737.xml"/><Relationship Id="rId37" Type="http://schemas.openxmlformats.org/officeDocument/2006/relationships/ctrlProp" Target="../ctrlProps/ctrlProp742.xml"/><Relationship Id="rId53" Type="http://schemas.openxmlformats.org/officeDocument/2006/relationships/ctrlProp" Target="../ctrlProps/ctrlProp758.xml"/><Relationship Id="rId58" Type="http://schemas.openxmlformats.org/officeDocument/2006/relationships/ctrlProp" Target="../ctrlProps/ctrlProp763.xml"/><Relationship Id="rId74" Type="http://schemas.openxmlformats.org/officeDocument/2006/relationships/ctrlProp" Target="../ctrlProps/ctrlProp779.xml"/><Relationship Id="rId79" Type="http://schemas.openxmlformats.org/officeDocument/2006/relationships/ctrlProp" Target="../ctrlProps/ctrlProp784.xml"/><Relationship Id="rId102" Type="http://schemas.openxmlformats.org/officeDocument/2006/relationships/ctrlProp" Target="../ctrlProps/ctrlProp807.xml"/><Relationship Id="rId123" Type="http://schemas.openxmlformats.org/officeDocument/2006/relationships/ctrlProp" Target="../ctrlProps/ctrlProp828.xml"/><Relationship Id="rId128" Type="http://schemas.openxmlformats.org/officeDocument/2006/relationships/ctrlProp" Target="../ctrlProps/ctrlProp833.xml"/><Relationship Id="rId5" Type="http://schemas.openxmlformats.org/officeDocument/2006/relationships/ctrlProp" Target="../ctrlProps/ctrlProp710.xml"/><Relationship Id="rId90" Type="http://schemas.openxmlformats.org/officeDocument/2006/relationships/ctrlProp" Target="../ctrlProps/ctrlProp795.xml"/><Relationship Id="rId95" Type="http://schemas.openxmlformats.org/officeDocument/2006/relationships/ctrlProp" Target="../ctrlProps/ctrlProp800.xml"/><Relationship Id="rId22" Type="http://schemas.openxmlformats.org/officeDocument/2006/relationships/ctrlProp" Target="../ctrlProps/ctrlProp727.xml"/><Relationship Id="rId27" Type="http://schemas.openxmlformats.org/officeDocument/2006/relationships/ctrlProp" Target="../ctrlProps/ctrlProp732.xml"/><Relationship Id="rId43" Type="http://schemas.openxmlformats.org/officeDocument/2006/relationships/ctrlProp" Target="../ctrlProps/ctrlProp748.xml"/><Relationship Id="rId48" Type="http://schemas.openxmlformats.org/officeDocument/2006/relationships/ctrlProp" Target="../ctrlProps/ctrlProp753.xml"/><Relationship Id="rId64" Type="http://schemas.openxmlformats.org/officeDocument/2006/relationships/ctrlProp" Target="../ctrlProps/ctrlProp769.xml"/><Relationship Id="rId69" Type="http://schemas.openxmlformats.org/officeDocument/2006/relationships/ctrlProp" Target="../ctrlProps/ctrlProp774.xml"/><Relationship Id="rId113" Type="http://schemas.openxmlformats.org/officeDocument/2006/relationships/ctrlProp" Target="../ctrlProps/ctrlProp818.xml"/><Relationship Id="rId118" Type="http://schemas.openxmlformats.org/officeDocument/2006/relationships/ctrlProp" Target="../ctrlProps/ctrlProp823.xml"/><Relationship Id="rId134" Type="http://schemas.openxmlformats.org/officeDocument/2006/relationships/ctrlProp" Target="../ctrlProps/ctrlProp839.xml"/><Relationship Id="rId139" Type="http://schemas.openxmlformats.org/officeDocument/2006/relationships/ctrlProp" Target="../ctrlProps/ctrlProp844.xml"/><Relationship Id="rId80" Type="http://schemas.openxmlformats.org/officeDocument/2006/relationships/ctrlProp" Target="../ctrlProps/ctrlProp785.xml"/><Relationship Id="rId85" Type="http://schemas.openxmlformats.org/officeDocument/2006/relationships/ctrlProp" Target="../ctrlProps/ctrlProp790.xml"/><Relationship Id="rId12" Type="http://schemas.openxmlformats.org/officeDocument/2006/relationships/ctrlProp" Target="../ctrlProps/ctrlProp717.xml"/><Relationship Id="rId17" Type="http://schemas.openxmlformats.org/officeDocument/2006/relationships/ctrlProp" Target="../ctrlProps/ctrlProp722.xml"/><Relationship Id="rId33" Type="http://schemas.openxmlformats.org/officeDocument/2006/relationships/ctrlProp" Target="../ctrlProps/ctrlProp738.xml"/><Relationship Id="rId38" Type="http://schemas.openxmlformats.org/officeDocument/2006/relationships/ctrlProp" Target="../ctrlProps/ctrlProp743.xml"/><Relationship Id="rId59" Type="http://schemas.openxmlformats.org/officeDocument/2006/relationships/ctrlProp" Target="../ctrlProps/ctrlProp764.xml"/><Relationship Id="rId103" Type="http://schemas.openxmlformats.org/officeDocument/2006/relationships/ctrlProp" Target="../ctrlProps/ctrlProp808.xml"/><Relationship Id="rId108" Type="http://schemas.openxmlformats.org/officeDocument/2006/relationships/ctrlProp" Target="../ctrlProps/ctrlProp813.xml"/><Relationship Id="rId124" Type="http://schemas.openxmlformats.org/officeDocument/2006/relationships/ctrlProp" Target="../ctrlProps/ctrlProp829.xml"/><Relationship Id="rId129" Type="http://schemas.openxmlformats.org/officeDocument/2006/relationships/ctrlProp" Target="../ctrlProps/ctrlProp834.xml"/><Relationship Id="rId54" Type="http://schemas.openxmlformats.org/officeDocument/2006/relationships/ctrlProp" Target="../ctrlProps/ctrlProp759.xml"/><Relationship Id="rId70" Type="http://schemas.openxmlformats.org/officeDocument/2006/relationships/ctrlProp" Target="../ctrlProps/ctrlProp775.xml"/><Relationship Id="rId75" Type="http://schemas.openxmlformats.org/officeDocument/2006/relationships/ctrlProp" Target="../ctrlProps/ctrlProp780.xml"/><Relationship Id="rId91" Type="http://schemas.openxmlformats.org/officeDocument/2006/relationships/ctrlProp" Target="../ctrlProps/ctrlProp796.xml"/><Relationship Id="rId96" Type="http://schemas.openxmlformats.org/officeDocument/2006/relationships/ctrlProp" Target="../ctrlProps/ctrlProp801.xml"/><Relationship Id="rId140" Type="http://schemas.openxmlformats.org/officeDocument/2006/relationships/ctrlProp" Target="../ctrlProps/ctrlProp84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11.xml"/><Relationship Id="rId23" Type="http://schemas.openxmlformats.org/officeDocument/2006/relationships/ctrlProp" Target="../ctrlProps/ctrlProp728.xml"/><Relationship Id="rId28" Type="http://schemas.openxmlformats.org/officeDocument/2006/relationships/ctrlProp" Target="../ctrlProps/ctrlProp733.xml"/><Relationship Id="rId49" Type="http://schemas.openxmlformats.org/officeDocument/2006/relationships/ctrlProp" Target="../ctrlProps/ctrlProp754.xml"/><Relationship Id="rId114" Type="http://schemas.openxmlformats.org/officeDocument/2006/relationships/ctrlProp" Target="../ctrlProps/ctrlProp819.xml"/><Relationship Id="rId119" Type="http://schemas.openxmlformats.org/officeDocument/2006/relationships/ctrlProp" Target="../ctrlProps/ctrlProp824.xml"/><Relationship Id="rId44" Type="http://schemas.openxmlformats.org/officeDocument/2006/relationships/ctrlProp" Target="../ctrlProps/ctrlProp749.xml"/><Relationship Id="rId60" Type="http://schemas.openxmlformats.org/officeDocument/2006/relationships/ctrlProp" Target="../ctrlProps/ctrlProp765.xml"/><Relationship Id="rId65" Type="http://schemas.openxmlformats.org/officeDocument/2006/relationships/ctrlProp" Target="../ctrlProps/ctrlProp770.xml"/><Relationship Id="rId81" Type="http://schemas.openxmlformats.org/officeDocument/2006/relationships/ctrlProp" Target="../ctrlProps/ctrlProp786.xml"/><Relationship Id="rId86" Type="http://schemas.openxmlformats.org/officeDocument/2006/relationships/ctrlProp" Target="../ctrlProps/ctrlProp791.xml"/><Relationship Id="rId130" Type="http://schemas.openxmlformats.org/officeDocument/2006/relationships/ctrlProp" Target="../ctrlProps/ctrlProp835.xml"/><Relationship Id="rId135" Type="http://schemas.openxmlformats.org/officeDocument/2006/relationships/ctrlProp" Target="../ctrlProps/ctrlProp840.xml"/><Relationship Id="rId13" Type="http://schemas.openxmlformats.org/officeDocument/2006/relationships/ctrlProp" Target="../ctrlProps/ctrlProp718.xml"/><Relationship Id="rId18" Type="http://schemas.openxmlformats.org/officeDocument/2006/relationships/ctrlProp" Target="../ctrlProps/ctrlProp723.xml"/><Relationship Id="rId39" Type="http://schemas.openxmlformats.org/officeDocument/2006/relationships/ctrlProp" Target="../ctrlProps/ctrlProp744.xml"/><Relationship Id="rId109" Type="http://schemas.openxmlformats.org/officeDocument/2006/relationships/ctrlProp" Target="../ctrlProps/ctrlProp814.xml"/><Relationship Id="rId34" Type="http://schemas.openxmlformats.org/officeDocument/2006/relationships/ctrlProp" Target="../ctrlProps/ctrlProp739.xml"/><Relationship Id="rId50" Type="http://schemas.openxmlformats.org/officeDocument/2006/relationships/ctrlProp" Target="../ctrlProps/ctrlProp755.xml"/><Relationship Id="rId55" Type="http://schemas.openxmlformats.org/officeDocument/2006/relationships/ctrlProp" Target="../ctrlProps/ctrlProp760.xml"/><Relationship Id="rId76" Type="http://schemas.openxmlformats.org/officeDocument/2006/relationships/ctrlProp" Target="../ctrlProps/ctrlProp781.xml"/><Relationship Id="rId97" Type="http://schemas.openxmlformats.org/officeDocument/2006/relationships/ctrlProp" Target="../ctrlProps/ctrlProp802.xml"/><Relationship Id="rId104" Type="http://schemas.openxmlformats.org/officeDocument/2006/relationships/ctrlProp" Target="../ctrlProps/ctrlProp809.xml"/><Relationship Id="rId120" Type="http://schemas.openxmlformats.org/officeDocument/2006/relationships/ctrlProp" Target="../ctrlProps/ctrlProp825.xml"/><Relationship Id="rId125" Type="http://schemas.openxmlformats.org/officeDocument/2006/relationships/ctrlProp" Target="../ctrlProps/ctrlProp830.xml"/><Relationship Id="rId141" Type="http://schemas.openxmlformats.org/officeDocument/2006/relationships/ctrlProp" Target="../ctrlProps/ctrlProp846.xml"/><Relationship Id="rId7" Type="http://schemas.openxmlformats.org/officeDocument/2006/relationships/ctrlProp" Target="../ctrlProps/ctrlProp712.xml"/><Relationship Id="rId71" Type="http://schemas.openxmlformats.org/officeDocument/2006/relationships/ctrlProp" Target="../ctrlProps/ctrlProp776.xml"/><Relationship Id="rId92" Type="http://schemas.openxmlformats.org/officeDocument/2006/relationships/ctrlProp" Target="../ctrlProps/ctrlProp797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34.xml"/><Relationship Id="rId24" Type="http://schemas.openxmlformats.org/officeDocument/2006/relationships/ctrlProp" Target="../ctrlProps/ctrlProp729.xml"/><Relationship Id="rId40" Type="http://schemas.openxmlformats.org/officeDocument/2006/relationships/ctrlProp" Target="../ctrlProps/ctrlProp745.xml"/><Relationship Id="rId45" Type="http://schemas.openxmlformats.org/officeDocument/2006/relationships/ctrlProp" Target="../ctrlProps/ctrlProp750.xml"/><Relationship Id="rId66" Type="http://schemas.openxmlformats.org/officeDocument/2006/relationships/ctrlProp" Target="../ctrlProps/ctrlProp771.xml"/><Relationship Id="rId87" Type="http://schemas.openxmlformats.org/officeDocument/2006/relationships/ctrlProp" Target="../ctrlProps/ctrlProp792.xml"/><Relationship Id="rId110" Type="http://schemas.openxmlformats.org/officeDocument/2006/relationships/ctrlProp" Target="../ctrlProps/ctrlProp815.xml"/><Relationship Id="rId115" Type="http://schemas.openxmlformats.org/officeDocument/2006/relationships/ctrlProp" Target="../ctrlProps/ctrlProp820.xml"/><Relationship Id="rId131" Type="http://schemas.openxmlformats.org/officeDocument/2006/relationships/ctrlProp" Target="../ctrlProps/ctrlProp836.xml"/><Relationship Id="rId136" Type="http://schemas.openxmlformats.org/officeDocument/2006/relationships/ctrlProp" Target="../ctrlProps/ctrlProp841.xml"/><Relationship Id="rId61" Type="http://schemas.openxmlformats.org/officeDocument/2006/relationships/ctrlProp" Target="../ctrlProps/ctrlProp766.xml"/><Relationship Id="rId82" Type="http://schemas.openxmlformats.org/officeDocument/2006/relationships/ctrlProp" Target="../ctrlProps/ctrlProp787.xml"/><Relationship Id="rId19" Type="http://schemas.openxmlformats.org/officeDocument/2006/relationships/ctrlProp" Target="../ctrlProps/ctrlProp724.xml"/><Relationship Id="rId14" Type="http://schemas.openxmlformats.org/officeDocument/2006/relationships/ctrlProp" Target="../ctrlProps/ctrlProp719.xml"/><Relationship Id="rId30" Type="http://schemas.openxmlformats.org/officeDocument/2006/relationships/ctrlProp" Target="../ctrlProps/ctrlProp735.xml"/><Relationship Id="rId35" Type="http://schemas.openxmlformats.org/officeDocument/2006/relationships/ctrlProp" Target="../ctrlProps/ctrlProp740.xml"/><Relationship Id="rId56" Type="http://schemas.openxmlformats.org/officeDocument/2006/relationships/ctrlProp" Target="../ctrlProps/ctrlProp761.xml"/><Relationship Id="rId77" Type="http://schemas.openxmlformats.org/officeDocument/2006/relationships/ctrlProp" Target="../ctrlProps/ctrlProp782.xml"/><Relationship Id="rId100" Type="http://schemas.openxmlformats.org/officeDocument/2006/relationships/ctrlProp" Target="../ctrlProps/ctrlProp805.xml"/><Relationship Id="rId105" Type="http://schemas.openxmlformats.org/officeDocument/2006/relationships/ctrlProp" Target="../ctrlProps/ctrlProp810.xml"/><Relationship Id="rId126" Type="http://schemas.openxmlformats.org/officeDocument/2006/relationships/ctrlProp" Target="../ctrlProps/ctrlProp831.xml"/><Relationship Id="rId8" Type="http://schemas.openxmlformats.org/officeDocument/2006/relationships/ctrlProp" Target="../ctrlProps/ctrlProp713.xml"/><Relationship Id="rId51" Type="http://schemas.openxmlformats.org/officeDocument/2006/relationships/ctrlProp" Target="../ctrlProps/ctrlProp756.xml"/><Relationship Id="rId72" Type="http://schemas.openxmlformats.org/officeDocument/2006/relationships/ctrlProp" Target="../ctrlProps/ctrlProp777.xml"/><Relationship Id="rId93" Type="http://schemas.openxmlformats.org/officeDocument/2006/relationships/ctrlProp" Target="../ctrlProps/ctrlProp798.xml"/><Relationship Id="rId98" Type="http://schemas.openxmlformats.org/officeDocument/2006/relationships/ctrlProp" Target="../ctrlProps/ctrlProp803.xml"/><Relationship Id="rId121" Type="http://schemas.openxmlformats.org/officeDocument/2006/relationships/ctrlProp" Target="../ctrlProps/ctrlProp826.xml"/><Relationship Id="rId142" Type="http://schemas.openxmlformats.org/officeDocument/2006/relationships/ctrlProp" Target="../ctrlProps/ctrlProp84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30.xml"/><Relationship Id="rId46" Type="http://schemas.openxmlformats.org/officeDocument/2006/relationships/ctrlProp" Target="../ctrlProps/ctrlProp751.xml"/><Relationship Id="rId67" Type="http://schemas.openxmlformats.org/officeDocument/2006/relationships/ctrlProp" Target="../ctrlProps/ctrlProp772.xml"/><Relationship Id="rId116" Type="http://schemas.openxmlformats.org/officeDocument/2006/relationships/ctrlProp" Target="../ctrlProps/ctrlProp821.xml"/><Relationship Id="rId137" Type="http://schemas.openxmlformats.org/officeDocument/2006/relationships/ctrlProp" Target="../ctrlProps/ctrlProp842.xml"/><Relationship Id="rId20" Type="http://schemas.openxmlformats.org/officeDocument/2006/relationships/ctrlProp" Target="../ctrlProps/ctrlProp725.xml"/><Relationship Id="rId41" Type="http://schemas.openxmlformats.org/officeDocument/2006/relationships/ctrlProp" Target="../ctrlProps/ctrlProp746.xml"/><Relationship Id="rId62" Type="http://schemas.openxmlformats.org/officeDocument/2006/relationships/ctrlProp" Target="../ctrlProps/ctrlProp767.xml"/><Relationship Id="rId83" Type="http://schemas.openxmlformats.org/officeDocument/2006/relationships/ctrlProp" Target="../ctrlProps/ctrlProp788.xml"/><Relationship Id="rId88" Type="http://schemas.openxmlformats.org/officeDocument/2006/relationships/ctrlProp" Target="../ctrlProps/ctrlProp793.xml"/><Relationship Id="rId111" Type="http://schemas.openxmlformats.org/officeDocument/2006/relationships/ctrlProp" Target="../ctrlProps/ctrlProp816.xml"/><Relationship Id="rId132" Type="http://schemas.openxmlformats.org/officeDocument/2006/relationships/ctrlProp" Target="../ctrlProps/ctrlProp837.xml"/><Relationship Id="rId15" Type="http://schemas.openxmlformats.org/officeDocument/2006/relationships/ctrlProp" Target="../ctrlProps/ctrlProp720.xml"/><Relationship Id="rId36" Type="http://schemas.openxmlformats.org/officeDocument/2006/relationships/ctrlProp" Target="../ctrlProps/ctrlProp741.xml"/><Relationship Id="rId57" Type="http://schemas.openxmlformats.org/officeDocument/2006/relationships/ctrlProp" Target="../ctrlProps/ctrlProp762.xml"/><Relationship Id="rId106" Type="http://schemas.openxmlformats.org/officeDocument/2006/relationships/ctrlProp" Target="../ctrlProps/ctrlProp811.xml"/><Relationship Id="rId127" Type="http://schemas.openxmlformats.org/officeDocument/2006/relationships/ctrlProp" Target="../ctrlProps/ctrlProp832.xml"/><Relationship Id="rId10" Type="http://schemas.openxmlformats.org/officeDocument/2006/relationships/ctrlProp" Target="../ctrlProps/ctrlProp715.xml"/><Relationship Id="rId31" Type="http://schemas.openxmlformats.org/officeDocument/2006/relationships/ctrlProp" Target="../ctrlProps/ctrlProp736.xml"/><Relationship Id="rId52" Type="http://schemas.openxmlformats.org/officeDocument/2006/relationships/ctrlProp" Target="../ctrlProps/ctrlProp757.xml"/><Relationship Id="rId73" Type="http://schemas.openxmlformats.org/officeDocument/2006/relationships/ctrlProp" Target="../ctrlProps/ctrlProp778.xml"/><Relationship Id="rId78" Type="http://schemas.openxmlformats.org/officeDocument/2006/relationships/ctrlProp" Target="../ctrlProps/ctrlProp783.xml"/><Relationship Id="rId94" Type="http://schemas.openxmlformats.org/officeDocument/2006/relationships/ctrlProp" Target="../ctrlProps/ctrlProp799.xml"/><Relationship Id="rId99" Type="http://schemas.openxmlformats.org/officeDocument/2006/relationships/ctrlProp" Target="../ctrlProps/ctrlProp804.xml"/><Relationship Id="rId101" Type="http://schemas.openxmlformats.org/officeDocument/2006/relationships/ctrlProp" Target="../ctrlProps/ctrlProp806.xml"/><Relationship Id="rId122" Type="http://schemas.openxmlformats.org/officeDocument/2006/relationships/ctrlProp" Target="../ctrlProps/ctrlProp827.xml"/><Relationship Id="rId143" Type="http://schemas.openxmlformats.org/officeDocument/2006/relationships/ctrlProp" Target="../ctrlProps/ctrlProp848.xml"/><Relationship Id="rId4" Type="http://schemas.openxmlformats.org/officeDocument/2006/relationships/ctrlProp" Target="../ctrlProps/ctrlProp709.xml"/><Relationship Id="rId9" Type="http://schemas.openxmlformats.org/officeDocument/2006/relationships/ctrlProp" Target="../ctrlProps/ctrlProp714.xml"/><Relationship Id="rId26" Type="http://schemas.openxmlformats.org/officeDocument/2006/relationships/ctrlProp" Target="../ctrlProps/ctrlProp731.xml"/><Relationship Id="rId47" Type="http://schemas.openxmlformats.org/officeDocument/2006/relationships/ctrlProp" Target="../ctrlProps/ctrlProp752.xml"/><Relationship Id="rId68" Type="http://schemas.openxmlformats.org/officeDocument/2006/relationships/ctrlProp" Target="../ctrlProps/ctrlProp773.xml"/><Relationship Id="rId89" Type="http://schemas.openxmlformats.org/officeDocument/2006/relationships/ctrlProp" Target="../ctrlProps/ctrlProp794.xml"/><Relationship Id="rId112" Type="http://schemas.openxmlformats.org/officeDocument/2006/relationships/ctrlProp" Target="../ctrlProps/ctrlProp817.xml"/><Relationship Id="rId133" Type="http://schemas.openxmlformats.org/officeDocument/2006/relationships/ctrlProp" Target="../ctrlProps/ctrlProp838.xml"/><Relationship Id="rId16" Type="http://schemas.openxmlformats.org/officeDocument/2006/relationships/ctrlProp" Target="../ctrlProps/ctrlProp721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2.xml"/><Relationship Id="rId21" Type="http://schemas.openxmlformats.org/officeDocument/2006/relationships/ctrlProp" Target="../ctrlProps/ctrlProp866.xml"/><Relationship Id="rId42" Type="http://schemas.openxmlformats.org/officeDocument/2006/relationships/ctrlProp" Target="../ctrlProps/ctrlProp887.xml"/><Relationship Id="rId63" Type="http://schemas.openxmlformats.org/officeDocument/2006/relationships/ctrlProp" Target="../ctrlProps/ctrlProp908.xml"/><Relationship Id="rId84" Type="http://schemas.openxmlformats.org/officeDocument/2006/relationships/ctrlProp" Target="../ctrlProps/ctrlProp929.xml"/><Relationship Id="rId138" Type="http://schemas.openxmlformats.org/officeDocument/2006/relationships/ctrlProp" Target="../ctrlProps/ctrlProp983.xml"/><Relationship Id="rId107" Type="http://schemas.openxmlformats.org/officeDocument/2006/relationships/ctrlProp" Target="../ctrlProps/ctrlProp952.xml"/><Relationship Id="rId11" Type="http://schemas.openxmlformats.org/officeDocument/2006/relationships/ctrlProp" Target="../ctrlProps/ctrlProp856.xml"/><Relationship Id="rId32" Type="http://schemas.openxmlformats.org/officeDocument/2006/relationships/ctrlProp" Target="../ctrlProps/ctrlProp877.xml"/><Relationship Id="rId37" Type="http://schemas.openxmlformats.org/officeDocument/2006/relationships/ctrlProp" Target="../ctrlProps/ctrlProp882.xml"/><Relationship Id="rId53" Type="http://schemas.openxmlformats.org/officeDocument/2006/relationships/ctrlProp" Target="../ctrlProps/ctrlProp898.xml"/><Relationship Id="rId58" Type="http://schemas.openxmlformats.org/officeDocument/2006/relationships/ctrlProp" Target="../ctrlProps/ctrlProp903.xml"/><Relationship Id="rId74" Type="http://schemas.openxmlformats.org/officeDocument/2006/relationships/ctrlProp" Target="../ctrlProps/ctrlProp919.xml"/><Relationship Id="rId79" Type="http://schemas.openxmlformats.org/officeDocument/2006/relationships/ctrlProp" Target="../ctrlProps/ctrlProp924.xml"/><Relationship Id="rId102" Type="http://schemas.openxmlformats.org/officeDocument/2006/relationships/ctrlProp" Target="../ctrlProps/ctrlProp947.xml"/><Relationship Id="rId123" Type="http://schemas.openxmlformats.org/officeDocument/2006/relationships/ctrlProp" Target="../ctrlProps/ctrlProp968.xml"/><Relationship Id="rId128" Type="http://schemas.openxmlformats.org/officeDocument/2006/relationships/ctrlProp" Target="../ctrlProps/ctrlProp973.xml"/><Relationship Id="rId5" Type="http://schemas.openxmlformats.org/officeDocument/2006/relationships/ctrlProp" Target="../ctrlProps/ctrlProp850.xml"/><Relationship Id="rId90" Type="http://schemas.openxmlformats.org/officeDocument/2006/relationships/ctrlProp" Target="../ctrlProps/ctrlProp935.xml"/><Relationship Id="rId95" Type="http://schemas.openxmlformats.org/officeDocument/2006/relationships/ctrlProp" Target="../ctrlProps/ctrlProp940.xml"/><Relationship Id="rId22" Type="http://schemas.openxmlformats.org/officeDocument/2006/relationships/ctrlProp" Target="../ctrlProps/ctrlProp867.xml"/><Relationship Id="rId27" Type="http://schemas.openxmlformats.org/officeDocument/2006/relationships/ctrlProp" Target="../ctrlProps/ctrlProp872.xml"/><Relationship Id="rId43" Type="http://schemas.openxmlformats.org/officeDocument/2006/relationships/ctrlProp" Target="../ctrlProps/ctrlProp888.xml"/><Relationship Id="rId48" Type="http://schemas.openxmlformats.org/officeDocument/2006/relationships/ctrlProp" Target="../ctrlProps/ctrlProp893.xml"/><Relationship Id="rId64" Type="http://schemas.openxmlformats.org/officeDocument/2006/relationships/ctrlProp" Target="../ctrlProps/ctrlProp909.xml"/><Relationship Id="rId69" Type="http://schemas.openxmlformats.org/officeDocument/2006/relationships/ctrlProp" Target="../ctrlProps/ctrlProp914.xml"/><Relationship Id="rId113" Type="http://schemas.openxmlformats.org/officeDocument/2006/relationships/ctrlProp" Target="../ctrlProps/ctrlProp958.xml"/><Relationship Id="rId118" Type="http://schemas.openxmlformats.org/officeDocument/2006/relationships/ctrlProp" Target="../ctrlProps/ctrlProp963.xml"/><Relationship Id="rId134" Type="http://schemas.openxmlformats.org/officeDocument/2006/relationships/ctrlProp" Target="../ctrlProps/ctrlProp979.xml"/><Relationship Id="rId139" Type="http://schemas.openxmlformats.org/officeDocument/2006/relationships/ctrlProp" Target="../ctrlProps/ctrlProp984.xml"/><Relationship Id="rId80" Type="http://schemas.openxmlformats.org/officeDocument/2006/relationships/ctrlProp" Target="../ctrlProps/ctrlProp925.xml"/><Relationship Id="rId85" Type="http://schemas.openxmlformats.org/officeDocument/2006/relationships/ctrlProp" Target="../ctrlProps/ctrlProp930.xml"/><Relationship Id="rId12" Type="http://schemas.openxmlformats.org/officeDocument/2006/relationships/ctrlProp" Target="../ctrlProps/ctrlProp857.xml"/><Relationship Id="rId17" Type="http://schemas.openxmlformats.org/officeDocument/2006/relationships/ctrlProp" Target="../ctrlProps/ctrlProp862.xml"/><Relationship Id="rId33" Type="http://schemas.openxmlformats.org/officeDocument/2006/relationships/ctrlProp" Target="../ctrlProps/ctrlProp878.xml"/><Relationship Id="rId38" Type="http://schemas.openxmlformats.org/officeDocument/2006/relationships/ctrlProp" Target="../ctrlProps/ctrlProp883.xml"/><Relationship Id="rId59" Type="http://schemas.openxmlformats.org/officeDocument/2006/relationships/ctrlProp" Target="../ctrlProps/ctrlProp904.xml"/><Relationship Id="rId103" Type="http://schemas.openxmlformats.org/officeDocument/2006/relationships/ctrlProp" Target="../ctrlProps/ctrlProp948.xml"/><Relationship Id="rId108" Type="http://schemas.openxmlformats.org/officeDocument/2006/relationships/ctrlProp" Target="../ctrlProps/ctrlProp953.xml"/><Relationship Id="rId124" Type="http://schemas.openxmlformats.org/officeDocument/2006/relationships/ctrlProp" Target="../ctrlProps/ctrlProp969.xml"/><Relationship Id="rId129" Type="http://schemas.openxmlformats.org/officeDocument/2006/relationships/ctrlProp" Target="../ctrlProps/ctrlProp974.xml"/><Relationship Id="rId54" Type="http://schemas.openxmlformats.org/officeDocument/2006/relationships/ctrlProp" Target="../ctrlProps/ctrlProp899.xml"/><Relationship Id="rId70" Type="http://schemas.openxmlformats.org/officeDocument/2006/relationships/ctrlProp" Target="../ctrlProps/ctrlProp915.xml"/><Relationship Id="rId75" Type="http://schemas.openxmlformats.org/officeDocument/2006/relationships/ctrlProp" Target="../ctrlProps/ctrlProp920.xml"/><Relationship Id="rId91" Type="http://schemas.openxmlformats.org/officeDocument/2006/relationships/ctrlProp" Target="../ctrlProps/ctrlProp936.xml"/><Relationship Id="rId96" Type="http://schemas.openxmlformats.org/officeDocument/2006/relationships/ctrlProp" Target="../ctrlProps/ctrlProp941.xml"/><Relationship Id="rId140" Type="http://schemas.openxmlformats.org/officeDocument/2006/relationships/ctrlProp" Target="../ctrlProps/ctrlProp98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51.xml"/><Relationship Id="rId23" Type="http://schemas.openxmlformats.org/officeDocument/2006/relationships/ctrlProp" Target="../ctrlProps/ctrlProp868.xml"/><Relationship Id="rId28" Type="http://schemas.openxmlformats.org/officeDocument/2006/relationships/ctrlProp" Target="../ctrlProps/ctrlProp873.xml"/><Relationship Id="rId49" Type="http://schemas.openxmlformats.org/officeDocument/2006/relationships/ctrlProp" Target="../ctrlProps/ctrlProp894.xml"/><Relationship Id="rId114" Type="http://schemas.openxmlformats.org/officeDocument/2006/relationships/ctrlProp" Target="../ctrlProps/ctrlProp959.xml"/><Relationship Id="rId119" Type="http://schemas.openxmlformats.org/officeDocument/2006/relationships/ctrlProp" Target="../ctrlProps/ctrlProp964.xml"/><Relationship Id="rId44" Type="http://schemas.openxmlformats.org/officeDocument/2006/relationships/ctrlProp" Target="../ctrlProps/ctrlProp889.xml"/><Relationship Id="rId60" Type="http://schemas.openxmlformats.org/officeDocument/2006/relationships/ctrlProp" Target="../ctrlProps/ctrlProp905.xml"/><Relationship Id="rId65" Type="http://schemas.openxmlformats.org/officeDocument/2006/relationships/ctrlProp" Target="../ctrlProps/ctrlProp910.xml"/><Relationship Id="rId81" Type="http://schemas.openxmlformats.org/officeDocument/2006/relationships/ctrlProp" Target="../ctrlProps/ctrlProp926.xml"/><Relationship Id="rId86" Type="http://schemas.openxmlformats.org/officeDocument/2006/relationships/ctrlProp" Target="../ctrlProps/ctrlProp931.xml"/><Relationship Id="rId130" Type="http://schemas.openxmlformats.org/officeDocument/2006/relationships/ctrlProp" Target="../ctrlProps/ctrlProp975.xml"/><Relationship Id="rId135" Type="http://schemas.openxmlformats.org/officeDocument/2006/relationships/ctrlProp" Target="../ctrlProps/ctrlProp980.xml"/><Relationship Id="rId13" Type="http://schemas.openxmlformats.org/officeDocument/2006/relationships/ctrlProp" Target="../ctrlProps/ctrlProp858.xml"/><Relationship Id="rId18" Type="http://schemas.openxmlformats.org/officeDocument/2006/relationships/ctrlProp" Target="../ctrlProps/ctrlProp863.xml"/><Relationship Id="rId39" Type="http://schemas.openxmlformats.org/officeDocument/2006/relationships/ctrlProp" Target="../ctrlProps/ctrlProp884.xml"/><Relationship Id="rId109" Type="http://schemas.openxmlformats.org/officeDocument/2006/relationships/ctrlProp" Target="../ctrlProps/ctrlProp954.xml"/><Relationship Id="rId34" Type="http://schemas.openxmlformats.org/officeDocument/2006/relationships/ctrlProp" Target="../ctrlProps/ctrlProp879.xml"/><Relationship Id="rId50" Type="http://schemas.openxmlformats.org/officeDocument/2006/relationships/ctrlProp" Target="../ctrlProps/ctrlProp895.xml"/><Relationship Id="rId55" Type="http://schemas.openxmlformats.org/officeDocument/2006/relationships/ctrlProp" Target="../ctrlProps/ctrlProp900.xml"/><Relationship Id="rId76" Type="http://schemas.openxmlformats.org/officeDocument/2006/relationships/ctrlProp" Target="../ctrlProps/ctrlProp921.xml"/><Relationship Id="rId97" Type="http://schemas.openxmlformats.org/officeDocument/2006/relationships/ctrlProp" Target="../ctrlProps/ctrlProp942.xml"/><Relationship Id="rId104" Type="http://schemas.openxmlformats.org/officeDocument/2006/relationships/ctrlProp" Target="../ctrlProps/ctrlProp949.xml"/><Relationship Id="rId120" Type="http://schemas.openxmlformats.org/officeDocument/2006/relationships/ctrlProp" Target="../ctrlProps/ctrlProp965.xml"/><Relationship Id="rId125" Type="http://schemas.openxmlformats.org/officeDocument/2006/relationships/ctrlProp" Target="../ctrlProps/ctrlProp970.xml"/><Relationship Id="rId141" Type="http://schemas.openxmlformats.org/officeDocument/2006/relationships/ctrlProp" Target="../ctrlProps/ctrlProp986.xml"/><Relationship Id="rId7" Type="http://schemas.openxmlformats.org/officeDocument/2006/relationships/ctrlProp" Target="../ctrlProps/ctrlProp852.xml"/><Relationship Id="rId71" Type="http://schemas.openxmlformats.org/officeDocument/2006/relationships/ctrlProp" Target="../ctrlProps/ctrlProp916.xml"/><Relationship Id="rId92" Type="http://schemas.openxmlformats.org/officeDocument/2006/relationships/ctrlProp" Target="../ctrlProps/ctrlProp937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74.xml"/><Relationship Id="rId24" Type="http://schemas.openxmlformats.org/officeDocument/2006/relationships/ctrlProp" Target="../ctrlProps/ctrlProp869.xml"/><Relationship Id="rId40" Type="http://schemas.openxmlformats.org/officeDocument/2006/relationships/ctrlProp" Target="../ctrlProps/ctrlProp885.xml"/><Relationship Id="rId45" Type="http://schemas.openxmlformats.org/officeDocument/2006/relationships/ctrlProp" Target="../ctrlProps/ctrlProp890.xml"/><Relationship Id="rId66" Type="http://schemas.openxmlformats.org/officeDocument/2006/relationships/ctrlProp" Target="../ctrlProps/ctrlProp911.xml"/><Relationship Id="rId87" Type="http://schemas.openxmlformats.org/officeDocument/2006/relationships/ctrlProp" Target="../ctrlProps/ctrlProp932.xml"/><Relationship Id="rId110" Type="http://schemas.openxmlformats.org/officeDocument/2006/relationships/ctrlProp" Target="../ctrlProps/ctrlProp955.xml"/><Relationship Id="rId115" Type="http://schemas.openxmlformats.org/officeDocument/2006/relationships/ctrlProp" Target="../ctrlProps/ctrlProp960.xml"/><Relationship Id="rId131" Type="http://schemas.openxmlformats.org/officeDocument/2006/relationships/ctrlProp" Target="../ctrlProps/ctrlProp976.xml"/><Relationship Id="rId136" Type="http://schemas.openxmlformats.org/officeDocument/2006/relationships/ctrlProp" Target="../ctrlProps/ctrlProp981.xml"/><Relationship Id="rId61" Type="http://schemas.openxmlformats.org/officeDocument/2006/relationships/ctrlProp" Target="../ctrlProps/ctrlProp906.xml"/><Relationship Id="rId82" Type="http://schemas.openxmlformats.org/officeDocument/2006/relationships/ctrlProp" Target="../ctrlProps/ctrlProp927.xml"/><Relationship Id="rId19" Type="http://schemas.openxmlformats.org/officeDocument/2006/relationships/ctrlProp" Target="../ctrlProps/ctrlProp864.xml"/><Relationship Id="rId14" Type="http://schemas.openxmlformats.org/officeDocument/2006/relationships/ctrlProp" Target="../ctrlProps/ctrlProp859.xml"/><Relationship Id="rId30" Type="http://schemas.openxmlformats.org/officeDocument/2006/relationships/ctrlProp" Target="../ctrlProps/ctrlProp875.xml"/><Relationship Id="rId35" Type="http://schemas.openxmlformats.org/officeDocument/2006/relationships/ctrlProp" Target="../ctrlProps/ctrlProp880.xml"/><Relationship Id="rId56" Type="http://schemas.openxmlformats.org/officeDocument/2006/relationships/ctrlProp" Target="../ctrlProps/ctrlProp901.xml"/><Relationship Id="rId77" Type="http://schemas.openxmlformats.org/officeDocument/2006/relationships/ctrlProp" Target="../ctrlProps/ctrlProp922.xml"/><Relationship Id="rId100" Type="http://schemas.openxmlformats.org/officeDocument/2006/relationships/ctrlProp" Target="../ctrlProps/ctrlProp945.xml"/><Relationship Id="rId105" Type="http://schemas.openxmlformats.org/officeDocument/2006/relationships/ctrlProp" Target="../ctrlProps/ctrlProp950.xml"/><Relationship Id="rId126" Type="http://schemas.openxmlformats.org/officeDocument/2006/relationships/ctrlProp" Target="../ctrlProps/ctrlProp971.xml"/><Relationship Id="rId8" Type="http://schemas.openxmlformats.org/officeDocument/2006/relationships/ctrlProp" Target="../ctrlProps/ctrlProp853.xml"/><Relationship Id="rId51" Type="http://schemas.openxmlformats.org/officeDocument/2006/relationships/ctrlProp" Target="../ctrlProps/ctrlProp896.xml"/><Relationship Id="rId72" Type="http://schemas.openxmlformats.org/officeDocument/2006/relationships/ctrlProp" Target="../ctrlProps/ctrlProp917.xml"/><Relationship Id="rId93" Type="http://schemas.openxmlformats.org/officeDocument/2006/relationships/ctrlProp" Target="../ctrlProps/ctrlProp938.xml"/><Relationship Id="rId98" Type="http://schemas.openxmlformats.org/officeDocument/2006/relationships/ctrlProp" Target="../ctrlProps/ctrlProp943.xml"/><Relationship Id="rId121" Type="http://schemas.openxmlformats.org/officeDocument/2006/relationships/ctrlProp" Target="../ctrlProps/ctrlProp966.xml"/><Relationship Id="rId142" Type="http://schemas.openxmlformats.org/officeDocument/2006/relationships/ctrlProp" Target="../ctrlProps/ctrlProp987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70.xml"/><Relationship Id="rId46" Type="http://schemas.openxmlformats.org/officeDocument/2006/relationships/ctrlProp" Target="../ctrlProps/ctrlProp891.xml"/><Relationship Id="rId67" Type="http://schemas.openxmlformats.org/officeDocument/2006/relationships/ctrlProp" Target="../ctrlProps/ctrlProp912.xml"/><Relationship Id="rId116" Type="http://schemas.openxmlformats.org/officeDocument/2006/relationships/ctrlProp" Target="../ctrlProps/ctrlProp961.xml"/><Relationship Id="rId137" Type="http://schemas.openxmlformats.org/officeDocument/2006/relationships/ctrlProp" Target="../ctrlProps/ctrlProp982.xml"/><Relationship Id="rId20" Type="http://schemas.openxmlformats.org/officeDocument/2006/relationships/ctrlProp" Target="../ctrlProps/ctrlProp865.xml"/><Relationship Id="rId41" Type="http://schemas.openxmlformats.org/officeDocument/2006/relationships/ctrlProp" Target="../ctrlProps/ctrlProp886.xml"/><Relationship Id="rId62" Type="http://schemas.openxmlformats.org/officeDocument/2006/relationships/ctrlProp" Target="../ctrlProps/ctrlProp907.xml"/><Relationship Id="rId83" Type="http://schemas.openxmlformats.org/officeDocument/2006/relationships/ctrlProp" Target="../ctrlProps/ctrlProp928.xml"/><Relationship Id="rId88" Type="http://schemas.openxmlformats.org/officeDocument/2006/relationships/ctrlProp" Target="../ctrlProps/ctrlProp933.xml"/><Relationship Id="rId111" Type="http://schemas.openxmlformats.org/officeDocument/2006/relationships/ctrlProp" Target="../ctrlProps/ctrlProp956.xml"/><Relationship Id="rId132" Type="http://schemas.openxmlformats.org/officeDocument/2006/relationships/ctrlProp" Target="../ctrlProps/ctrlProp977.xml"/><Relationship Id="rId15" Type="http://schemas.openxmlformats.org/officeDocument/2006/relationships/ctrlProp" Target="../ctrlProps/ctrlProp860.xml"/><Relationship Id="rId36" Type="http://schemas.openxmlformats.org/officeDocument/2006/relationships/ctrlProp" Target="../ctrlProps/ctrlProp881.xml"/><Relationship Id="rId57" Type="http://schemas.openxmlformats.org/officeDocument/2006/relationships/ctrlProp" Target="../ctrlProps/ctrlProp902.xml"/><Relationship Id="rId106" Type="http://schemas.openxmlformats.org/officeDocument/2006/relationships/ctrlProp" Target="../ctrlProps/ctrlProp951.xml"/><Relationship Id="rId127" Type="http://schemas.openxmlformats.org/officeDocument/2006/relationships/ctrlProp" Target="../ctrlProps/ctrlProp972.xml"/><Relationship Id="rId10" Type="http://schemas.openxmlformats.org/officeDocument/2006/relationships/ctrlProp" Target="../ctrlProps/ctrlProp855.xml"/><Relationship Id="rId31" Type="http://schemas.openxmlformats.org/officeDocument/2006/relationships/ctrlProp" Target="../ctrlProps/ctrlProp876.xml"/><Relationship Id="rId52" Type="http://schemas.openxmlformats.org/officeDocument/2006/relationships/ctrlProp" Target="../ctrlProps/ctrlProp897.xml"/><Relationship Id="rId73" Type="http://schemas.openxmlformats.org/officeDocument/2006/relationships/ctrlProp" Target="../ctrlProps/ctrlProp918.xml"/><Relationship Id="rId78" Type="http://schemas.openxmlformats.org/officeDocument/2006/relationships/ctrlProp" Target="../ctrlProps/ctrlProp923.xml"/><Relationship Id="rId94" Type="http://schemas.openxmlformats.org/officeDocument/2006/relationships/ctrlProp" Target="../ctrlProps/ctrlProp939.xml"/><Relationship Id="rId99" Type="http://schemas.openxmlformats.org/officeDocument/2006/relationships/ctrlProp" Target="../ctrlProps/ctrlProp944.xml"/><Relationship Id="rId101" Type="http://schemas.openxmlformats.org/officeDocument/2006/relationships/ctrlProp" Target="../ctrlProps/ctrlProp946.xml"/><Relationship Id="rId122" Type="http://schemas.openxmlformats.org/officeDocument/2006/relationships/ctrlProp" Target="../ctrlProps/ctrlProp967.xml"/><Relationship Id="rId143" Type="http://schemas.openxmlformats.org/officeDocument/2006/relationships/ctrlProp" Target="../ctrlProps/ctrlProp988.xml"/><Relationship Id="rId4" Type="http://schemas.openxmlformats.org/officeDocument/2006/relationships/ctrlProp" Target="../ctrlProps/ctrlProp849.xml"/><Relationship Id="rId9" Type="http://schemas.openxmlformats.org/officeDocument/2006/relationships/ctrlProp" Target="../ctrlProps/ctrlProp854.xml"/><Relationship Id="rId26" Type="http://schemas.openxmlformats.org/officeDocument/2006/relationships/ctrlProp" Target="../ctrlProps/ctrlProp871.xml"/><Relationship Id="rId47" Type="http://schemas.openxmlformats.org/officeDocument/2006/relationships/ctrlProp" Target="../ctrlProps/ctrlProp892.xml"/><Relationship Id="rId68" Type="http://schemas.openxmlformats.org/officeDocument/2006/relationships/ctrlProp" Target="../ctrlProps/ctrlProp913.xml"/><Relationship Id="rId89" Type="http://schemas.openxmlformats.org/officeDocument/2006/relationships/ctrlProp" Target="../ctrlProps/ctrlProp934.xml"/><Relationship Id="rId112" Type="http://schemas.openxmlformats.org/officeDocument/2006/relationships/ctrlProp" Target="../ctrlProps/ctrlProp957.xml"/><Relationship Id="rId133" Type="http://schemas.openxmlformats.org/officeDocument/2006/relationships/ctrlProp" Target="../ctrlProps/ctrlProp978.xml"/><Relationship Id="rId16" Type="http://schemas.openxmlformats.org/officeDocument/2006/relationships/ctrlProp" Target="../ctrlProps/ctrlProp86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44287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4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4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4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4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4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4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67285000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-3.8730784599999998E-2</v>
      </c>
      <c r="N14" s="192"/>
      <c r="O14" s="193"/>
      <c r="Q14" s="184"/>
      <c r="R14" s="184"/>
      <c r="S14" s="184"/>
    </row>
    <row r="15" spans="1:19" ht="17.25" customHeight="1" thickBot="1">
      <c r="A15" s="209" t="s">
        <v>39</v>
      </c>
      <c r="B15" s="201" t="str">
        <f>TEXT($G$1, "[$-ko-KR]yyyy-mm-dd(ddd) ") &amp; "오전 00:00"</f>
        <v>2021-04-01(목) 오전 00:00</v>
      </c>
      <c r="C15" s="202"/>
      <c r="D15" s="198" t="str">
        <f>TEXT($G$1, "[$-ko-KR]yyyy-mm-dd(ddd) ") &amp; "오후 14:00"</f>
        <v>2021-04-01(목) 오후 14:00</v>
      </c>
      <c r="E15" s="199"/>
      <c r="F15" s="200"/>
      <c r="G15" s="198" t="str">
        <f>TEXT($G$1, "[$-ko-KR]yyyy-mm-dd(ddd) ") &amp; "오후 19:00"</f>
        <v>2021-04-01(목) 오후 19:00</v>
      </c>
      <c r="H15" s="199"/>
      <c r="I15" s="200"/>
      <c r="J15" s="198" t="str">
        <f>TEXT($G$1, "[$-ko-KR]yyyy-mm-dd(ddd) ") &amp; "오후 21:00"</f>
        <v>2021-04-01(목) 오후 21:00</v>
      </c>
      <c r="K15" s="199"/>
      <c r="L15" s="200"/>
      <c r="M15" s="198" t="str">
        <f>TEXT($G$1+1, "[$-ko-KR]yyyy-mm-dd(ddd) ") &amp; "오전 00:00"</f>
        <v>2021-04-02(금) 오전 00:00</v>
      </c>
      <c r="N15" s="199"/>
      <c r="O15" s="200"/>
      <c r="Q15" s="184"/>
      <c r="R15" s="184"/>
      <c r="S15" s="184"/>
    </row>
    <row r="16" spans="1:19" ht="17.25" customHeight="1" thickBot="1">
      <c r="A16" s="20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4"/>
      <c r="R19" s="174"/>
      <c r="S19" s="17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4"/>
      <c r="R20" s="174"/>
      <c r="S20" s="17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4"/>
      <c r="R21" s="174"/>
      <c r="S21" s="17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26" t="s">
        <v>42</v>
      </c>
      <c r="B37" s="172">
        <v>300000</v>
      </c>
      <c r="C37" s="17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1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67285000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-3.8730784599999998E-2</v>
      </c>
      <c r="N41" s="192"/>
      <c r="O41" s="193"/>
      <c r="Q41" s="184"/>
      <c r="R41" s="184"/>
      <c r="S41" s="184"/>
    </row>
    <row r="42" spans="1:19" ht="17.25" customHeight="1" thickBot="1">
      <c r="A42" s="194" t="s">
        <v>55</v>
      </c>
      <c r="B42" s="196" t="str">
        <f>TEXT($G$1, "[$-ko-KR]yyyy-mm-dd(ddd) ") &amp; "오전 00:00"</f>
        <v>2021-04-01(목) 오전 00:00</v>
      </c>
      <c r="C42" s="197"/>
      <c r="D42" s="198" t="str">
        <f>TEXT($G$1, "[$-ko-KR]yyyy-mm-dd(ddd) ") &amp; "오후 14:00"</f>
        <v>2021-04-01(목) 오후 14:00</v>
      </c>
      <c r="E42" s="199"/>
      <c r="F42" s="200"/>
      <c r="G42" s="198" t="str">
        <f>TEXT($G$1, "[$-ko-KR]yyyy-mm-dd(ddd) ") &amp; "오후 19:00"</f>
        <v>2021-04-01(목) 오후 19:00</v>
      </c>
      <c r="H42" s="199"/>
      <c r="I42" s="200"/>
      <c r="J42" s="198" t="str">
        <f>TEXT($G$1, "[$-ko-KR]yyyy-mm-dd(ddd) ") &amp; "오후 21:00"</f>
        <v>2021-04-01(목) 오후 21:00</v>
      </c>
      <c r="K42" s="199"/>
      <c r="L42" s="200"/>
      <c r="M42" s="198" t="str">
        <f>TEXT($G$1+1, "[$-ko-KR]yyyy-mm-dd(ddd) ") &amp; "오전 00:00"</f>
        <v>2021-04-02(금) 오전 00:00</v>
      </c>
      <c r="N42" s="199"/>
      <c r="O42" s="200"/>
      <c r="Q42" s="184"/>
      <c r="R42" s="184"/>
      <c r="S42" s="184"/>
    </row>
    <row r="43" spans="1:19" ht="17.25" customHeight="1" thickBot="1">
      <c r="A43" s="19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4"/>
      <c r="R46" s="174"/>
      <c r="S46" s="17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4"/>
      <c r="R47" s="174"/>
      <c r="S47" s="17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4"/>
      <c r="R48" s="174"/>
      <c r="S48" s="17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4"/>
      <c r="R49" s="174"/>
      <c r="S49" s="17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4"/>
      <c r="R50" s="174"/>
      <c r="S50" s="17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4"/>
      <c r="R51" s="174"/>
      <c r="S51" s="17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5"/>
      <c r="R53" s="176"/>
      <c r="S53" s="17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8"/>
      <c r="R54" s="179"/>
      <c r="S54" s="18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1"/>
      <c r="R55" s="182"/>
      <c r="S55" s="18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4"/>
      <c r="R56" s="174"/>
      <c r="S56" s="17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4"/>
      <c r="R59" s="174"/>
      <c r="S59" s="17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4"/>
      <c r="R60" s="174"/>
      <c r="S60" s="17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4"/>
      <c r="R61" s="174"/>
      <c r="S61" s="17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3"/>
      <c r="R62" s="164"/>
      <c r="S62" s="16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26" t="s">
        <v>301</v>
      </c>
      <c r="B64" s="172">
        <f>$B$37</f>
        <v>300000</v>
      </c>
      <c r="C64" s="17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1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67285000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-3.8730784599999998E-2</v>
      </c>
      <c r="N68" s="192"/>
      <c r="O68" s="193"/>
      <c r="Q68" s="184"/>
      <c r="R68" s="184"/>
      <c r="S68" s="184"/>
    </row>
    <row r="69" spans="1:19" ht="17.25" thickBot="1">
      <c r="A69" s="194" t="s">
        <v>55</v>
      </c>
      <c r="B69" s="196" t="str">
        <f>TEXT($G$1, "[$-ko-KR]yyyy-mm-dd(ddd) ") &amp; "오전 00:00"</f>
        <v>2021-04-01(목) 오전 00:00</v>
      </c>
      <c r="C69" s="197"/>
      <c r="D69" s="198" t="str">
        <f>TEXT($G$1, "[$-ko-KR]yyyy-mm-dd(ddd) ") &amp; "오후 14:00"</f>
        <v>2021-04-01(목) 오후 14:00</v>
      </c>
      <c r="E69" s="199"/>
      <c r="F69" s="200"/>
      <c r="G69" s="198" t="str">
        <f>TEXT($G$1, "[$-ko-KR]yyyy-mm-dd(ddd) ") &amp; "오후 19:00"</f>
        <v>2021-04-01(목) 오후 19:00</v>
      </c>
      <c r="H69" s="199"/>
      <c r="I69" s="200"/>
      <c r="J69" s="198" t="str">
        <f>TEXT($G$1, "[$-ko-KR]yyyy-mm-dd(ddd) ") &amp; "오후 21:00"</f>
        <v>2021-04-01(목) 오후 21:00</v>
      </c>
      <c r="K69" s="199"/>
      <c r="L69" s="200"/>
      <c r="M69" s="198" t="str">
        <f>TEXT($G$1+1, "[$-ko-KR]yyyy-mm-dd(ddd) ") &amp; "오전 00:00"</f>
        <v>2021-04-02(금) 오전 00:00</v>
      </c>
      <c r="N69" s="199"/>
      <c r="O69" s="200"/>
      <c r="Q69" s="184"/>
      <c r="R69" s="184"/>
      <c r="S69" s="184"/>
    </row>
    <row r="70" spans="1:19" ht="17.25" thickBot="1">
      <c r="A70" s="19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4"/>
      <c r="R73" s="174"/>
      <c r="S73" s="17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4"/>
      <c r="R74" s="174"/>
      <c r="S74" s="17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4"/>
      <c r="R75" s="174"/>
      <c r="S75" s="17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4"/>
      <c r="R76" s="174"/>
      <c r="S76" s="17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4"/>
      <c r="R77" s="174"/>
      <c r="S77" s="17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4"/>
      <c r="R78" s="174"/>
      <c r="S78" s="17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5"/>
      <c r="R80" s="176"/>
      <c r="S80" s="17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8"/>
      <c r="R81" s="179"/>
      <c r="S81" s="18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1"/>
      <c r="R82" s="182"/>
      <c r="S82" s="18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4"/>
      <c r="R83" s="174"/>
      <c r="S83" s="17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4"/>
      <c r="R86" s="174"/>
      <c r="S86" s="17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4"/>
      <c r="R87" s="174"/>
      <c r="S87" s="17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4"/>
      <c r="R88" s="174"/>
      <c r="S88" s="17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3"/>
      <c r="R89" s="164"/>
      <c r="S89" s="16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6"/>
      <c r="R90" s="167"/>
      <c r="S90" s="168"/>
    </row>
    <row r="91" spans="1:19" ht="17.25" thickBot="1">
      <c r="A91" s="26" t="s">
        <v>301</v>
      </c>
      <c r="B91" s="172">
        <f>$B$37</f>
        <v>300000</v>
      </c>
      <c r="C91" s="17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1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67285000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-3.8730784599999998E-2</v>
      </c>
      <c r="N95" s="192"/>
      <c r="O95" s="193"/>
      <c r="Q95" s="184"/>
      <c r="R95" s="184"/>
      <c r="S95" s="184"/>
    </row>
    <row r="96" spans="1:19" ht="17.25" thickBot="1">
      <c r="A96" s="194" t="s">
        <v>55</v>
      </c>
      <c r="B96" s="196" t="str">
        <f>TEXT($G$1, "[$-ko-KR]yyyy-mm-dd(ddd) ") &amp; "오전 00:00"</f>
        <v>2021-04-01(목) 오전 00:00</v>
      </c>
      <c r="C96" s="197"/>
      <c r="D96" s="198" t="str">
        <f>TEXT($G$1, "[$-ko-KR]yyyy-mm-dd(ddd) ") &amp; "오후 14:00"</f>
        <v>2021-04-01(목) 오후 14:00</v>
      </c>
      <c r="E96" s="199"/>
      <c r="F96" s="200"/>
      <c r="G96" s="198" t="str">
        <f>TEXT($G$1, "[$-ko-KR]yyyy-mm-dd(ddd) ") &amp; "오후 19:00"</f>
        <v>2021-04-01(목) 오후 19:00</v>
      </c>
      <c r="H96" s="199"/>
      <c r="I96" s="200"/>
      <c r="J96" s="198" t="str">
        <f>TEXT($G$1, "[$-ko-KR]yyyy-mm-dd(ddd) ") &amp; "오후 21:00"</f>
        <v>2021-04-01(목) 오후 21:00</v>
      </c>
      <c r="K96" s="199"/>
      <c r="L96" s="200"/>
      <c r="M96" s="198" t="str">
        <f>TEXT($G$1+1, "[$-ko-KR]yyyy-mm-dd(ddd) ") &amp; "오전 00:00"</f>
        <v>2021-04-02(금) 오전 00:00</v>
      </c>
      <c r="N96" s="199"/>
      <c r="O96" s="200"/>
      <c r="Q96" s="184"/>
      <c r="R96" s="184"/>
      <c r="S96" s="184"/>
    </row>
    <row r="97" spans="1:19" ht="17.25" thickBot="1">
      <c r="A97" s="19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4"/>
      <c r="R100" s="174"/>
      <c r="S100" s="17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4"/>
      <c r="R101" s="174"/>
      <c r="S101" s="17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4"/>
      <c r="R102" s="174"/>
      <c r="S102" s="17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4"/>
      <c r="R103" s="174"/>
      <c r="S103" s="17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4"/>
      <c r="R104" s="174"/>
      <c r="S104" s="17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4"/>
      <c r="R105" s="174"/>
      <c r="S105" s="17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5"/>
      <c r="R107" s="176"/>
      <c r="S107" s="17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8"/>
      <c r="R108" s="179"/>
      <c r="S108" s="18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1"/>
      <c r="R109" s="182"/>
      <c r="S109" s="18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4"/>
      <c r="R110" s="174"/>
      <c r="S110" s="17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4"/>
      <c r="R113" s="174"/>
      <c r="S113" s="17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4"/>
      <c r="R114" s="174"/>
      <c r="S114" s="17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4"/>
      <c r="R115" s="174"/>
      <c r="S115" s="17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3"/>
      <c r="R116" s="164"/>
      <c r="S116" s="16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6"/>
      <c r="R117" s="167"/>
      <c r="S117" s="168"/>
    </row>
    <row r="118" spans="1:19" ht="17.25" thickBot="1">
      <c r="A118" s="26" t="s">
        <v>301</v>
      </c>
      <c r="B118" s="172">
        <f>$B$37</f>
        <v>300000</v>
      </c>
      <c r="C118" s="17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1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67285000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-3.8730784599999998E-2</v>
      </c>
      <c r="N122" s="192"/>
      <c r="O122" s="193"/>
      <c r="Q122" s="184"/>
      <c r="R122" s="184"/>
      <c r="S122" s="184"/>
    </row>
    <row r="123" spans="1:19" ht="17.25" thickBot="1">
      <c r="A123" s="194" t="s">
        <v>55</v>
      </c>
      <c r="B123" s="196" t="str">
        <f>TEXT($G$1, "[$-ko-KR]yyyy-mm-dd(ddd) ") &amp; "오전 00:00"</f>
        <v>2021-04-01(목) 오전 00:00</v>
      </c>
      <c r="C123" s="197"/>
      <c r="D123" s="198" t="str">
        <f>TEXT($G$1, "[$-ko-KR]yyyy-mm-dd(ddd) ") &amp; "오후 14:00"</f>
        <v>2021-04-01(목) 오후 14:00</v>
      </c>
      <c r="E123" s="199"/>
      <c r="F123" s="200"/>
      <c r="G123" s="198" t="str">
        <f>TEXT($G$1, "[$-ko-KR]yyyy-mm-dd(ddd) ") &amp; "오후 19:00"</f>
        <v>2021-04-01(목) 오후 19:00</v>
      </c>
      <c r="H123" s="199"/>
      <c r="I123" s="200"/>
      <c r="J123" s="198" t="str">
        <f>TEXT($G$1, "[$-ko-KR]yyyy-mm-dd(ddd) ") &amp; "오후 21:00"</f>
        <v>2021-04-01(목) 오후 21:00</v>
      </c>
      <c r="K123" s="199"/>
      <c r="L123" s="200"/>
      <c r="M123" s="198" t="str">
        <f>TEXT($G$1+1, "[$-ko-KR]yyyy-mm-dd(ddd) ") &amp; "오전 00:00"</f>
        <v>2021-04-02(금) 오전 00:00</v>
      </c>
      <c r="N123" s="199"/>
      <c r="O123" s="200"/>
      <c r="Q123" s="184"/>
      <c r="R123" s="184"/>
      <c r="S123" s="184"/>
    </row>
    <row r="124" spans="1:19" ht="17.25" thickBot="1">
      <c r="A124" s="19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4"/>
      <c r="R127" s="174"/>
      <c r="S127" s="17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4"/>
      <c r="R128" s="174"/>
      <c r="S128" s="17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4"/>
      <c r="R129" s="174"/>
      <c r="S129" s="17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4"/>
      <c r="R130" s="174"/>
      <c r="S130" s="17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4"/>
      <c r="R131" s="174"/>
      <c r="S131" s="17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4"/>
      <c r="R132" s="174"/>
      <c r="S132" s="17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5"/>
      <c r="R134" s="176"/>
      <c r="S134" s="17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8"/>
      <c r="R135" s="179"/>
      <c r="S135" s="18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1"/>
      <c r="R136" s="182"/>
      <c r="S136" s="18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4"/>
      <c r="R137" s="174"/>
      <c r="S137" s="17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4"/>
      <c r="R140" s="174"/>
      <c r="S140" s="17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4"/>
      <c r="R141" s="174"/>
      <c r="S141" s="17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4"/>
      <c r="R142" s="174"/>
      <c r="S142" s="17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3"/>
      <c r="R143" s="164"/>
      <c r="S143" s="16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26" t="s">
        <v>301</v>
      </c>
      <c r="B145" s="172">
        <f>$B$37</f>
        <v>300000</v>
      </c>
      <c r="C145" s="17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1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67285000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-3.8730784599999998E-2</v>
      </c>
      <c r="N149" s="192"/>
      <c r="O149" s="193"/>
      <c r="Q149" s="184"/>
      <c r="R149" s="184"/>
      <c r="S149" s="184"/>
    </row>
    <row r="150" spans="1:19" ht="17.25" thickBot="1">
      <c r="A150" s="194" t="s">
        <v>55</v>
      </c>
      <c r="B150" s="196" t="str">
        <f>TEXT($G$1, "[$-ko-KR]yyyy-mm-dd(ddd) ") &amp; "오전 00:00"</f>
        <v>2021-04-01(목) 오전 00:00</v>
      </c>
      <c r="C150" s="197"/>
      <c r="D150" s="198" t="str">
        <f>TEXT($G$1, "[$-ko-KR]yyyy-mm-dd(ddd) ") &amp; "오후 14:00"</f>
        <v>2021-04-01(목) 오후 14:00</v>
      </c>
      <c r="E150" s="199"/>
      <c r="F150" s="200"/>
      <c r="G150" s="198" t="str">
        <f>TEXT($G$1, "[$-ko-KR]yyyy-mm-dd(ddd) ") &amp; "오후 19:00"</f>
        <v>2021-04-01(목) 오후 19:00</v>
      </c>
      <c r="H150" s="199"/>
      <c r="I150" s="200"/>
      <c r="J150" s="198" t="str">
        <f>TEXT($G$1, "[$-ko-KR]yyyy-mm-dd(ddd) ") &amp; "오후 21:00"</f>
        <v>2021-04-01(목) 오후 21:00</v>
      </c>
      <c r="K150" s="199"/>
      <c r="L150" s="200"/>
      <c r="M150" s="198" t="str">
        <f>TEXT($G$1+1, "[$-ko-KR]yyyy-mm-dd(ddd) ") &amp; "오전 00:00"</f>
        <v>2021-04-02(금) 오전 00:00</v>
      </c>
      <c r="N150" s="199"/>
      <c r="O150" s="200"/>
      <c r="Q150" s="184"/>
      <c r="R150" s="184"/>
      <c r="S150" s="184"/>
    </row>
    <row r="151" spans="1:19" ht="17.25" thickBot="1">
      <c r="A151" s="19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4"/>
      <c r="R154" s="174"/>
      <c r="S154" s="17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4"/>
      <c r="R155" s="174"/>
      <c r="S155" s="17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4"/>
      <c r="R156" s="174"/>
      <c r="S156" s="17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4"/>
      <c r="R157" s="174"/>
      <c r="S157" s="17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4"/>
      <c r="R158" s="174"/>
      <c r="S158" s="17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4"/>
      <c r="R159" s="174"/>
      <c r="S159" s="17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5"/>
      <c r="R161" s="176"/>
      <c r="S161" s="17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8"/>
      <c r="R162" s="179"/>
      <c r="S162" s="18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1"/>
      <c r="R163" s="182"/>
      <c r="S163" s="18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4"/>
      <c r="R164" s="174"/>
      <c r="S164" s="17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4"/>
      <c r="R167" s="174"/>
      <c r="S167" s="17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4"/>
      <c r="R168" s="174"/>
      <c r="S168" s="17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4"/>
      <c r="R169" s="174"/>
      <c r="S169" s="17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3"/>
      <c r="R170" s="164"/>
      <c r="S170" s="16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6"/>
      <c r="R171" s="167"/>
      <c r="S171" s="168"/>
    </row>
    <row r="172" spans="1:19" ht="17.25" thickBot="1">
      <c r="A172" s="26" t="s">
        <v>301</v>
      </c>
      <c r="B172" s="172">
        <f>$B$37</f>
        <v>300000</v>
      </c>
      <c r="C172" s="17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1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67285000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-3.8730784599999998E-2</v>
      </c>
      <c r="N176" s="192"/>
      <c r="O176" s="193"/>
      <c r="Q176" s="184"/>
      <c r="R176" s="184"/>
      <c r="S176" s="184"/>
    </row>
    <row r="177" spans="1:19" ht="17.25" thickBot="1">
      <c r="A177" s="194" t="s">
        <v>55</v>
      </c>
      <c r="B177" s="196" t="str">
        <f>TEXT($G$1, "[$-ko-KR]yyyy-mm-dd(ddd) ") &amp; "오전 00:00"</f>
        <v>2021-04-01(목) 오전 00:00</v>
      </c>
      <c r="C177" s="197"/>
      <c r="D177" s="198" t="str">
        <f>TEXT($G$1, "[$-ko-KR]yyyy-mm-dd(ddd) ") &amp; "오후 14:00"</f>
        <v>2021-04-01(목) 오후 14:00</v>
      </c>
      <c r="E177" s="199"/>
      <c r="F177" s="200"/>
      <c r="G177" s="198" t="str">
        <f>TEXT($G$1, "[$-ko-KR]yyyy-mm-dd(ddd) ") &amp; "오후 19:00"</f>
        <v>2021-04-01(목) 오후 19:00</v>
      </c>
      <c r="H177" s="199"/>
      <c r="I177" s="200"/>
      <c r="J177" s="198" t="str">
        <f>TEXT($G$1, "[$-ko-KR]yyyy-mm-dd(ddd) ") &amp; "오후 21:00"</f>
        <v>2021-04-01(목) 오후 21:00</v>
      </c>
      <c r="K177" s="199"/>
      <c r="L177" s="200"/>
      <c r="M177" s="198" t="str">
        <f>TEXT($G$1+1, "[$-ko-KR]yyyy-mm-dd(ddd) ") &amp; "오전 00:00"</f>
        <v>2021-04-02(금) 오전 00:00</v>
      </c>
      <c r="N177" s="199"/>
      <c r="O177" s="200"/>
      <c r="Q177" s="184"/>
      <c r="R177" s="184"/>
      <c r="S177" s="184"/>
    </row>
    <row r="178" spans="1:19" ht="17.25" thickBot="1">
      <c r="A178" s="19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4"/>
      <c r="R181" s="174"/>
      <c r="S181" s="17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4"/>
      <c r="R182" s="174"/>
      <c r="S182" s="17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4"/>
      <c r="R183" s="174"/>
      <c r="S183" s="17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4"/>
      <c r="R184" s="174"/>
      <c r="S184" s="17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4"/>
      <c r="R185" s="174"/>
      <c r="S185" s="17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4"/>
      <c r="R186" s="174"/>
      <c r="S186" s="17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5"/>
      <c r="R188" s="176"/>
      <c r="S188" s="17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8"/>
      <c r="R189" s="179"/>
      <c r="S189" s="18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1"/>
      <c r="R190" s="182"/>
      <c r="S190" s="18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4"/>
      <c r="R191" s="174"/>
      <c r="S191" s="17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4"/>
      <c r="R194" s="174"/>
      <c r="S194" s="17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4"/>
      <c r="R195" s="174"/>
      <c r="S195" s="17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4"/>
      <c r="R196" s="174"/>
      <c r="S196" s="17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3"/>
      <c r="R197" s="164"/>
      <c r="S197" s="16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6"/>
      <c r="R198" s="167"/>
      <c r="S198" s="168"/>
    </row>
    <row r="199" spans="1:19" ht="17.25" thickBot="1">
      <c r="A199" s="26" t="s">
        <v>301</v>
      </c>
      <c r="B199" s="172">
        <f>$B$37</f>
        <v>300000</v>
      </c>
      <c r="C199" s="17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69"/>
      <c r="R199" s="170"/>
      <c r="S199" s="1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5" priority="157">
      <formula>AND($N17 &gt; 0, ISNUMBER($N17))</formula>
    </cfRule>
    <cfRule type="expression" dxfId="1414" priority="158">
      <formula>AND($N17 = 0 * ISNUMBER($N17))</formula>
    </cfRule>
    <cfRule type="expression" dxfId="1413" priority="159">
      <formula>AND($N17 &lt; 0, ISNUMBER($N17))</formula>
    </cfRule>
  </conditionalFormatting>
  <conditionalFormatting sqref="A17:F36">
    <cfRule type="expression" dxfId="1412" priority="166">
      <formula>AND($E17 &gt; 0, ISNUMBER($E17))</formula>
    </cfRule>
    <cfRule type="expression" dxfId="1411" priority="167">
      <formula>AND($E17 = 0 * ISNUMBER($E17))</formula>
    </cfRule>
    <cfRule type="expression" dxfId="1410" priority="168">
      <formula>AND($E17 &lt; 0, ISNUMBER($E17))</formula>
    </cfRule>
  </conditionalFormatting>
  <conditionalFormatting sqref="A17:C36 G17:I36">
    <cfRule type="expression" dxfId="1409" priority="163">
      <formula>AND($H17 &gt; 0, ISNUMBER($H17))</formula>
    </cfRule>
    <cfRule type="expression" dxfId="1408" priority="164">
      <formula>AND($H17 = 0 * ISNUMBER($H17))</formula>
    </cfRule>
    <cfRule type="expression" dxfId="1407" priority="165">
      <formula>AND($H17 &lt; 0, ISNUMBER($H17))</formula>
    </cfRule>
  </conditionalFormatting>
  <conditionalFormatting sqref="A17:C36 J17:L36">
    <cfRule type="expression" dxfId="1406" priority="160">
      <formula>AND($K17 &gt; 0, ISNUMBER($K17))</formula>
    </cfRule>
    <cfRule type="expression" dxfId="1405" priority="161">
      <formula>AND($K17 = 0 * ISNUMBER($K17))</formula>
    </cfRule>
    <cfRule type="expression" dxfId="1404" priority="162">
      <formula>AND($K17 &lt; 0, ISNUMBER($K17))</formula>
    </cfRule>
  </conditionalFormatting>
  <conditionalFormatting sqref="D15:F16 E37:F37">
    <cfRule type="expression" dxfId="1403" priority="154">
      <formula>$E$37 &gt; 0</formula>
    </cfRule>
    <cfRule type="expression" dxfId="1402" priority="155">
      <formula>$E$37 = 0</formula>
    </cfRule>
    <cfRule type="expression" dxfId="1401" priority="156">
      <formula>$E$37 &lt; 0</formula>
    </cfRule>
  </conditionalFormatting>
  <conditionalFormatting sqref="G15:I16 H37:I37">
    <cfRule type="expression" dxfId="1400" priority="151">
      <formula>$H$37 &gt; 0</formula>
    </cfRule>
    <cfRule type="expression" dxfId="1399" priority="152">
      <formula>$H$37 = 0</formula>
    </cfRule>
    <cfRule type="expression" dxfId="1398" priority="153">
      <formula>$H$37 &lt; 0</formula>
    </cfRule>
  </conditionalFormatting>
  <conditionalFormatting sqref="J15:L16 K37:L37">
    <cfRule type="expression" dxfId="1397" priority="148">
      <formula>$K$37 &gt; 0</formula>
    </cfRule>
    <cfRule type="expression" dxfId="1396" priority="149">
      <formula>$K$37 = 0</formula>
    </cfRule>
    <cfRule type="expression" dxfId="1395" priority="150">
      <formula>$K$37 &lt; 0</formula>
    </cfRule>
  </conditionalFormatting>
  <conditionalFormatting sqref="M15:O16 N37:O37">
    <cfRule type="expression" dxfId="1394" priority="145">
      <formula>$N$37 &gt; 0</formula>
    </cfRule>
    <cfRule type="expression" dxfId="1393" priority="146">
      <formula>$N$37 = 0</formula>
    </cfRule>
    <cfRule type="expression" dxfId="1392" priority="147">
      <formula>$N$37 &lt; 0</formula>
    </cfRule>
  </conditionalFormatting>
  <conditionalFormatting sqref="A44:C63 M44:O63">
    <cfRule type="expression" dxfId="1391" priority="133">
      <formula>AND($N44 &gt; 0, ISNUMBER($N44))</formula>
    </cfRule>
    <cfRule type="expression" dxfId="1390" priority="134">
      <formula>AND($N44 = 0 * ISNUMBER($N44))</formula>
    </cfRule>
    <cfRule type="expression" dxfId="1389" priority="135">
      <formula>AND($N44 &lt; 0, ISNUMBER($N44))</formula>
    </cfRule>
  </conditionalFormatting>
  <conditionalFormatting sqref="A44:F63">
    <cfRule type="expression" dxfId="1388" priority="142">
      <formula>AND($E44 &gt; 0, ISNUMBER($E44))</formula>
    </cfRule>
    <cfRule type="expression" dxfId="1387" priority="143">
      <formula>AND($E44 = 0 * ISNUMBER($E44))</formula>
    </cfRule>
    <cfRule type="expression" dxfId="1386" priority="144">
      <formula>AND($E44 &lt; 0, ISNUMBER($E44))</formula>
    </cfRule>
  </conditionalFormatting>
  <conditionalFormatting sqref="A44:C63 G44:I63">
    <cfRule type="expression" dxfId="1385" priority="139">
      <formula>AND($H44 &gt; 0, ISNUMBER($H44))</formula>
    </cfRule>
    <cfRule type="expression" dxfId="1384" priority="140">
      <formula>AND($H44 = 0 * ISNUMBER($H44))</formula>
    </cfRule>
    <cfRule type="expression" dxfId="1383" priority="141">
      <formula>AND($H44 &lt; 0, ISNUMBER($H44))</formula>
    </cfRule>
  </conditionalFormatting>
  <conditionalFormatting sqref="A44:C63 J44:L63">
    <cfRule type="expression" dxfId="1382" priority="136">
      <formula>AND($K44 &gt; 0, ISNUMBER($K44))</formula>
    </cfRule>
    <cfRule type="expression" dxfId="1381" priority="137">
      <formula>AND($K44 = 0 * ISNUMBER($K44))</formula>
    </cfRule>
    <cfRule type="expression" dxfId="1380" priority="138">
      <formula>AND($K44 &lt; 0, ISNUMBER($K44))</formula>
    </cfRule>
  </conditionalFormatting>
  <conditionalFormatting sqref="D42:F43 E64:F64">
    <cfRule type="expression" dxfId="1379" priority="130">
      <formula>$E$64 &gt; 0</formula>
    </cfRule>
    <cfRule type="expression" dxfId="1378" priority="131">
      <formula>$E$64 = 0</formula>
    </cfRule>
    <cfRule type="expression" dxfId="1377" priority="132">
      <formula>$E$64 &lt; 0</formula>
    </cfRule>
  </conditionalFormatting>
  <conditionalFormatting sqref="G42:I43 H64:I64">
    <cfRule type="expression" dxfId="1376" priority="127">
      <formula>$H$64 &gt; 0</formula>
    </cfRule>
    <cfRule type="expression" dxfId="1375" priority="128">
      <formula>$H$64 = 0</formula>
    </cfRule>
    <cfRule type="expression" dxfId="1374" priority="129">
      <formula>$H$64 &lt; 0</formula>
    </cfRule>
  </conditionalFormatting>
  <conditionalFormatting sqref="J42:L43 K64:L64">
    <cfRule type="expression" dxfId="1373" priority="124">
      <formula>$K$64 &gt; 0</formula>
    </cfRule>
    <cfRule type="expression" dxfId="1372" priority="125">
      <formula>$K$64 = 0</formula>
    </cfRule>
    <cfRule type="expression" dxfId="1371" priority="126">
      <formula>$K$64 &lt; 0</formula>
    </cfRule>
  </conditionalFormatting>
  <conditionalFormatting sqref="M42:O43 N64:O64">
    <cfRule type="expression" dxfId="1370" priority="121">
      <formula>$N$64 &gt; 0</formula>
    </cfRule>
    <cfRule type="expression" dxfId="1369" priority="122">
      <formula>$N$64 = 0</formula>
    </cfRule>
    <cfRule type="expression" dxfId="1368" priority="123">
      <formula>$N$64 &lt; 0</formula>
    </cfRule>
  </conditionalFormatting>
  <conditionalFormatting sqref="A71:C90 M71:O90">
    <cfRule type="expression" dxfId="1367" priority="109">
      <formula>AND($N71 &gt; 0, ISNUMBER($N71))</formula>
    </cfRule>
    <cfRule type="expression" dxfId="1366" priority="110">
      <formula>AND($N71 = 0 * ISNUMBER($N71))</formula>
    </cfRule>
    <cfRule type="expression" dxfId="1365" priority="111">
      <formula>AND($N71 &lt; 0, ISNUMBER($N71))</formula>
    </cfRule>
  </conditionalFormatting>
  <conditionalFormatting sqref="A71:F90">
    <cfRule type="expression" dxfId="1364" priority="118">
      <formula>AND($E71 &gt; 0, ISNUMBER($E71))</formula>
    </cfRule>
    <cfRule type="expression" dxfId="1363" priority="119">
      <formula>AND($E71 = 0 * ISNUMBER($E71))</formula>
    </cfRule>
    <cfRule type="expression" dxfId="1362" priority="120">
      <formula>AND($E71 &lt; 0, ISNUMBER($E71))</formula>
    </cfRule>
  </conditionalFormatting>
  <conditionalFormatting sqref="A71:C90 G71:I90">
    <cfRule type="expression" dxfId="1361" priority="115">
      <formula>AND($H71 &gt; 0, ISNUMBER($H71))</formula>
    </cfRule>
    <cfRule type="expression" dxfId="1360" priority="116">
      <formula>AND($H71 = 0 * ISNUMBER($H71))</formula>
    </cfRule>
    <cfRule type="expression" dxfId="1359" priority="117">
      <formula>AND($H71 &lt; 0, ISNUMBER($H71))</formula>
    </cfRule>
  </conditionalFormatting>
  <conditionalFormatting sqref="A71:C90 J71:L90">
    <cfRule type="expression" dxfId="1358" priority="112">
      <formula>AND($K71 &gt; 0, ISNUMBER($K71))</formula>
    </cfRule>
    <cfRule type="expression" dxfId="1357" priority="113">
      <formula>AND($K71 = 0 * ISNUMBER($K71))</formula>
    </cfRule>
    <cfRule type="expression" dxfId="1356" priority="114">
      <formula>AND($K71 &lt; 0, ISNUMBER($K71))</formula>
    </cfRule>
  </conditionalFormatting>
  <conditionalFormatting sqref="D69:F70 E91:F91">
    <cfRule type="expression" dxfId="1355" priority="106">
      <formula>$E$91 &gt; 0</formula>
    </cfRule>
    <cfRule type="expression" dxfId="1354" priority="107">
      <formula>$E$91 = 0</formula>
    </cfRule>
    <cfRule type="expression" dxfId="1353" priority="108">
      <formula>$E$91 &lt; 0</formula>
    </cfRule>
  </conditionalFormatting>
  <conditionalFormatting sqref="G69:I70 H91:I91">
    <cfRule type="expression" dxfId="1352" priority="103">
      <formula>$H$91 &gt; 0</formula>
    </cfRule>
    <cfRule type="expression" dxfId="1351" priority="104">
      <formula>$H$91 = 0</formula>
    </cfRule>
    <cfRule type="expression" dxfId="1350" priority="105">
      <formula>$H$91 &lt; 0</formula>
    </cfRule>
  </conditionalFormatting>
  <conditionalFormatting sqref="J69:L70 K91:L91">
    <cfRule type="expression" dxfId="1349" priority="100">
      <formula>$K$91 &gt; 0</formula>
    </cfRule>
    <cfRule type="expression" dxfId="1348" priority="101">
      <formula>$K$91 = 0</formula>
    </cfRule>
    <cfRule type="expression" dxfId="1347" priority="102">
      <formula>$K$91 &lt; 0</formula>
    </cfRule>
  </conditionalFormatting>
  <conditionalFormatting sqref="M69:O70 N91:O91">
    <cfRule type="expression" dxfId="1346" priority="97">
      <formula>$N$91 &gt; 0</formula>
    </cfRule>
    <cfRule type="expression" dxfId="1345" priority="98">
      <formula>$N$91 = 0</formula>
    </cfRule>
    <cfRule type="expression" dxfId="1344" priority="99">
      <formula>$N$91 &lt; 0</formula>
    </cfRule>
  </conditionalFormatting>
  <conditionalFormatting sqref="A98:C117 M98:O117">
    <cfRule type="expression" dxfId="1343" priority="85">
      <formula>AND($N98 &gt; 0, ISNUMBER($N98))</formula>
    </cfRule>
    <cfRule type="expression" dxfId="1342" priority="86">
      <formula>AND($N98 = 0 * ISNUMBER($N98))</formula>
    </cfRule>
    <cfRule type="expression" dxfId="1341" priority="87">
      <formula>AND($N98 &lt; 0, ISNUMBER($N98))</formula>
    </cfRule>
  </conditionalFormatting>
  <conditionalFormatting sqref="A98:F117">
    <cfRule type="expression" dxfId="1340" priority="94">
      <formula>AND($E98 &gt; 0, ISNUMBER($E98))</formula>
    </cfRule>
    <cfRule type="expression" dxfId="1339" priority="95">
      <formula>AND($E98 = 0 * ISNUMBER($E98))</formula>
    </cfRule>
    <cfRule type="expression" dxfId="1338" priority="96">
      <formula>AND($E98 &lt; 0, ISNUMBER($E98))</formula>
    </cfRule>
  </conditionalFormatting>
  <conditionalFormatting sqref="A98:C117 G98:I117">
    <cfRule type="expression" dxfId="1337" priority="91">
      <formula>AND($H98 &gt; 0, ISNUMBER($H98))</formula>
    </cfRule>
    <cfRule type="expression" dxfId="1336" priority="92">
      <formula>AND($H98 = 0 * ISNUMBER($H98))</formula>
    </cfRule>
    <cfRule type="expression" dxfId="1335" priority="93">
      <formula>AND($H98 &lt; 0, ISNUMBER($H98))</formula>
    </cfRule>
  </conditionalFormatting>
  <conditionalFormatting sqref="A98:C117 J98:L117">
    <cfRule type="expression" dxfId="1334" priority="88">
      <formula>AND($K98 &gt; 0, ISNUMBER($K98))</formula>
    </cfRule>
    <cfRule type="expression" dxfId="1333" priority="89">
      <formula>AND($K98 = 0 * ISNUMBER($K98))</formula>
    </cfRule>
    <cfRule type="expression" dxfId="1332" priority="90">
      <formula>AND($K98 &lt; 0, ISNUMBER($K98))</formula>
    </cfRule>
  </conditionalFormatting>
  <conditionalFormatting sqref="D96:F97 E118:F118">
    <cfRule type="expression" dxfId="1331" priority="82">
      <formula>$E$118 &gt; 0</formula>
    </cfRule>
    <cfRule type="expression" dxfId="1330" priority="83">
      <formula>$E$118 = 0</formula>
    </cfRule>
    <cfRule type="expression" dxfId="1329" priority="84">
      <formula>$E$118 &lt; 0</formula>
    </cfRule>
  </conditionalFormatting>
  <conditionalFormatting sqref="G96:I97 H118:I118">
    <cfRule type="expression" dxfId="1328" priority="79">
      <formula>$H$118 &gt; 0</formula>
    </cfRule>
    <cfRule type="expression" dxfId="1327" priority="80">
      <formula>$H$118 = 0</formula>
    </cfRule>
    <cfRule type="expression" dxfId="1326" priority="81">
      <formula>$H$118 &lt; 0</formula>
    </cfRule>
  </conditionalFormatting>
  <conditionalFormatting sqref="J96:L97 K118:L118">
    <cfRule type="expression" dxfId="1325" priority="76">
      <formula>$K$118 &gt; 0</formula>
    </cfRule>
    <cfRule type="expression" dxfId="1324" priority="77">
      <formula>$K$118 = 0</formula>
    </cfRule>
    <cfRule type="expression" dxfId="1323" priority="78">
      <formula>$K$118 &lt; 0</formula>
    </cfRule>
  </conditionalFormatting>
  <conditionalFormatting sqref="M96:O97 N118:O118">
    <cfRule type="expression" dxfId="1322" priority="73">
      <formula>$N$118 &gt; 0</formula>
    </cfRule>
    <cfRule type="expression" dxfId="1321" priority="74">
      <formula>$N$118 = 0</formula>
    </cfRule>
    <cfRule type="expression" dxfId="1320" priority="75">
      <formula>$N$118 &lt; 0</formula>
    </cfRule>
  </conditionalFormatting>
  <conditionalFormatting sqref="A125:C144 M125:O144">
    <cfRule type="expression" dxfId="1319" priority="61">
      <formula>AND($N125 &gt; 0, ISNUMBER($N125))</formula>
    </cfRule>
    <cfRule type="expression" dxfId="1318" priority="62">
      <formula>AND($N125 = 0 * ISNUMBER($N125))</formula>
    </cfRule>
    <cfRule type="expression" dxfId="1317" priority="63">
      <formula>AND($N125 &lt; 0, ISNUMBER($N125))</formula>
    </cfRule>
  </conditionalFormatting>
  <conditionalFormatting sqref="A125:F144">
    <cfRule type="expression" dxfId="1316" priority="70">
      <formula>AND($E125 &gt; 0, ISNUMBER($E125))</formula>
    </cfRule>
    <cfRule type="expression" dxfId="1315" priority="71">
      <formula>AND($E125 = 0 * ISNUMBER($E125))</formula>
    </cfRule>
    <cfRule type="expression" dxfId="1314" priority="72">
      <formula>AND($E125 &lt; 0, ISNUMBER($E125))</formula>
    </cfRule>
  </conditionalFormatting>
  <conditionalFormatting sqref="A125:C144 G125:I144">
    <cfRule type="expression" dxfId="1313" priority="67">
      <formula>AND($H125 &gt; 0, ISNUMBER($H125))</formula>
    </cfRule>
    <cfRule type="expression" dxfId="1312" priority="68">
      <formula>AND($H125 = 0 * ISNUMBER($H125))</formula>
    </cfRule>
    <cfRule type="expression" dxfId="1311" priority="69">
      <formula>AND($H125 &lt; 0, ISNUMBER($H125))</formula>
    </cfRule>
  </conditionalFormatting>
  <conditionalFormatting sqref="A125:C144 J125:L144">
    <cfRule type="expression" dxfId="1310" priority="64">
      <formula>AND($K125 &gt; 0, ISNUMBER($K125))</formula>
    </cfRule>
    <cfRule type="expression" dxfId="1309" priority="65">
      <formula>AND($K125 = 0 * ISNUMBER($K125))</formula>
    </cfRule>
    <cfRule type="expression" dxfId="1308" priority="66">
      <formula>AND($K125 &lt; 0, ISNUMBER($K125))</formula>
    </cfRule>
  </conditionalFormatting>
  <conditionalFormatting sqref="D123:F124 E145:F145">
    <cfRule type="expression" dxfId="1307" priority="58">
      <formula>$E$145 &gt; 0</formula>
    </cfRule>
    <cfRule type="expression" dxfId="1306" priority="59">
      <formula>$E$145 = 0</formula>
    </cfRule>
    <cfRule type="expression" dxfId="1305" priority="60">
      <formula>$E$145 &lt; 0</formula>
    </cfRule>
  </conditionalFormatting>
  <conditionalFormatting sqref="G123:I124 H145:I145">
    <cfRule type="expression" dxfId="1304" priority="55">
      <formula>$H$145 &gt; 0</formula>
    </cfRule>
    <cfRule type="expression" dxfId="1303" priority="56">
      <formula>$H$145 = 0</formula>
    </cfRule>
    <cfRule type="expression" dxfId="1302" priority="57">
      <formula>$H$145 &lt; 0</formula>
    </cfRule>
  </conditionalFormatting>
  <conditionalFormatting sqref="J123:L124 K145:L145">
    <cfRule type="expression" dxfId="1301" priority="52">
      <formula>$K$145 &gt; 0</formula>
    </cfRule>
    <cfRule type="expression" dxfId="1300" priority="53">
      <formula>$K$145 = 0</formula>
    </cfRule>
    <cfRule type="expression" dxfId="1299" priority="54">
      <formula>$K$145 &lt; 0</formula>
    </cfRule>
  </conditionalFormatting>
  <conditionalFormatting sqref="M123:O124 N145:O145">
    <cfRule type="expression" dxfId="1298" priority="49">
      <formula>$N$145 &gt; 0</formula>
    </cfRule>
    <cfRule type="expression" dxfId="1297" priority="50">
      <formula>$N$145 = 0</formula>
    </cfRule>
    <cfRule type="expression" dxfId="1296" priority="51">
      <formula>$N$145 &lt; 0</formula>
    </cfRule>
  </conditionalFormatting>
  <conditionalFormatting sqref="A152:C171 M152:O171">
    <cfRule type="expression" dxfId="1295" priority="37">
      <formula>AND($N152 &gt; 0, ISNUMBER($N152))</formula>
    </cfRule>
    <cfRule type="expression" dxfId="1294" priority="38">
      <formula>AND($N152 = 0 * ISNUMBER($N152))</formula>
    </cfRule>
    <cfRule type="expression" dxfId="1293" priority="39">
      <formula>AND($N152 &lt; 0, ISNUMBER($N152))</formula>
    </cfRule>
  </conditionalFormatting>
  <conditionalFormatting sqref="A152:F171">
    <cfRule type="expression" dxfId="1292" priority="46">
      <formula>AND($E152 &gt; 0, ISNUMBER($E152))</formula>
    </cfRule>
    <cfRule type="expression" dxfId="1291" priority="47">
      <formula>AND($E152 = 0 * ISNUMBER($E152))</formula>
    </cfRule>
    <cfRule type="expression" dxfId="1290" priority="48">
      <formula>AND($E152 &lt; 0, ISNUMBER($E152))</formula>
    </cfRule>
  </conditionalFormatting>
  <conditionalFormatting sqref="A152:C171 G152:I171">
    <cfRule type="expression" dxfId="1289" priority="43">
      <formula>AND($H152 &gt; 0, ISNUMBER($H152))</formula>
    </cfRule>
    <cfRule type="expression" dxfId="1288" priority="44">
      <formula>AND($H152 = 0 * ISNUMBER($H152))</formula>
    </cfRule>
    <cfRule type="expression" dxfId="1287" priority="45">
      <formula>AND($H152 &lt; 0, ISNUMBER($H152))</formula>
    </cfRule>
  </conditionalFormatting>
  <conditionalFormatting sqref="A152:C171 J152:L171">
    <cfRule type="expression" dxfId="1286" priority="40">
      <formula>AND($K152 &gt; 0, ISNUMBER($K152))</formula>
    </cfRule>
    <cfRule type="expression" dxfId="1285" priority="41">
      <formula>AND($K152 = 0 * ISNUMBER($K152))</formula>
    </cfRule>
    <cfRule type="expression" dxfId="1284" priority="42">
      <formula>AND($K152 &lt; 0, ISNUMBER($K152))</formula>
    </cfRule>
  </conditionalFormatting>
  <conditionalFormatting sqref="D150:F151 E172:F172">
    <cfRule type="expression" dxfId="1283" priority="34">
      <formula>$E$172 &gt; 0</formula>
    </cfRule>
    <cfRule type="expression" dxfId="1282" priority="35">
      <formula>$E$172 = 0</formula>
    </cfRule>
    <cfRule type="expression" dxfId="1281" priority="36">
      <formula>$E$172 &lt; 0</formula>
    </cfRule>
  </conditionalFormatting>
  <conditionalFormatting sqref="G150:I151 H172:I172">
    <cfRule type="expression" dxfId="1280" priority="31">
      <formula>$H$172 &gt; 0</formula>
    </cfRule>
    <cfRule type="expression" dxfId="1279" priority="32">
      <formula>$H$172 = 0</formula>
    </cfRule>
    <cfRule type="expression" dxfId="1278" priority="33">
      <formula>$H$172 &lt; 0</formula>
    </cfRule>
  </conditionalFormatting>
  <conditionalFormatting sqref="J150:L151 K172:L172">
    <cfRule type="expression" dxfId="1277" priority="28">
      <formula>$K$172 &gt; 0</formula>
    </cfRule>
    <cfRule type="expression" dxfId="1276" priority="29">
      <formula>$K$172 = 0</formula>
    </cfRule>
    <cfRule type="expression" dxfId="1275" priority="30">
      <formula>$K$172 &lt; 0</formula>
    </cfRule>
  </conditionalFormatting>
  <conditionalFormatting sqref="M150:O151 N172:O172">
    <cfRule type="expression" dxfId="1274" priority="25">
      <formula>$N$172 &gt; 0</formula>
    </cfRule>
    <cfRule type="expression" dxfId="1273" priority="26">
      <formula>$N$172 = 0</formula>
    </cfRule>
    <cfRule type="expression" dxfId="1272" priority="27">
      <formula>$N$172 &lt; 0</formula>
    </cfRule>
  </conditionalFormatting>
  <conditionalFormatting sqref="A179:C198 M179:O198">
    <cfRule type="expression" dxfId="1271" priority="13">
      <formula>AND($N179 &gt; 0, ISNUMBER($N179))</formula>
    </cfRule>
    <cfRule type="expression" dxfId="1270" priority="14">
      <formula>AND($N179 = 0 * ISNUMBER($N179))</formula>
    </cfRule>
    <cfRule type="expression" dxfId="1269" priority="15">
      <formula>AND($N179 &lt; 0, ISNUMBER($N179))</formula>
    </cfRule>
  </conditionalFormatting>
  <conditionalFormatting sqref="A179:F198">
    <cfRule type="expression" dxfId="1268" priority="22">
      <formula>AND($E179 &gt; 0, ISNUMBER($E179))</formula>
    </cfRule>
    <cfRule type="expression" dxfId="1267" priority="23">
      <formula>AND($E179 = 0 * ISNUMBER($E179))</formula>
    </cfRule>
    <cfRule type="expression" dxfId="1266" priority="24">
      <formula>AND($E179 &lt; 0, ISNUMBER($E179))</formula>
    </cfRule>
  </conditionalFormatting>
  <conditionalFormatting sqref="A179:C198 G179:I198">
    <cfRule type="expression" dxfId="1265" priority="19">
      <formula>AND($H179 &gt; 0, ISNUMBER($H179))</formula>
    </cfRule>
    <cfRule type="expression" dxfId="1264" priority="20">
      <formula>AND($H179 = 0 * ISNUMBER($H179))</formula>
    </cfRule>
    <cfRule type="expression" dxfId="1263" priority="21">
      <formula>AND($H179 &lt; 0, ISNUMBER($H179))</formula>
    </cfRule>
  </conditionalFormatting>
  <conditionalFormatting sqref="A179:C198 J179:L198">
    <cfRule type="expression" dxfId="1262" priority="16">
      <formula>AND($K179 &gt; 0, ISNUMBER($K179))</formula>
    </cfRule>
    <cfRule type="expression" dxfId="1261" priority="17">
      <formula>AND($K179 = 0 * ISNUMBER($K179))</formula>
    </cfRule>
    <cfRule type="expression" dxfId="1260" priority="18">
      <formula>AND($K179 &lt; 0, ISNUMBER($K179))</formula>
    </cfRule>
  </conditionalFormatting>
  <conditionalFormatting sqref="D177:F178 E199:F199">
    <cfRule type="expression" dxfId="1259" priority="10">
      <formula>$E$199 &gt; 0</formula>
    </cfRule>
    <cfRule type="expression" dxfId="1258" priority="11">
      <formula>$E$199 = 0</formula>
    </cfRule>
    <cfRule type="expression" dxfId="1257" priority="12">
      <formula>$E$199 &lt; 0</formula>
    </cfRule>
  </conditionalFormatting>
  <conditionalFormatting sqref="G177:I178 H199:I199">
    <cfRule type="expression" dxfId="1256" priority="7">
      <formula>$H$199 &gt; 0</formula>
    </cfRule>
    <cfRule type="expression" dxfId="1255" priority="8">
      <formula>$H$199 = 0</formula>
    </cfRule>
    <cfRule type="expression" dxfId="1254" priority="9">
      <formula>$H$199 &lt; 0</formula>
    </cfRule>
  </conditionalFormatting>
  <conditionalFormatting sqref="J177:L178 K199:L199">
    <cfRule type="expression" dxfId="1253" priority="4">
      <formula>$K$199 &gt; 0</formula>
    </cfRule>
    <cfRule type="expression" dxfId="1252" priority="5">
      <formula>$K$199 = 0</formula>
    </cfRule>
    <cfRule type="expression" dxfId="1251" priority="6">
      <formula>$K$199 &lt; 0</formula>
    </cfRule>
  </conditionalFormatting>
  <conditionalFormatting sqref="M177:O178 N199:O199">
    <cfRule type="expression" dxfId="1250" priority="1">
      <formula>$N$199 &gt; 0</formula>
    </cfRule>
    <cfRule type="expression" dxfId="1249" priority="2">
      <formula>$N$199 = 0</formula>
    </cfRule>
    <cfRule type="expression" dxfId="12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1" sqref="G1:I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44317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20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21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121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121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121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121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121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122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6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67285000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-3.8730784599999998E-2</v>
      </c>
      <c r="N14" s="192"/>
      <c r="O14" s="193"/>
      <c r="Q14" s="184"/>
      <c r="R14" s="184"/>
      <c r="S14" s="184"/>
    </row>
    <row r="15" spans="1:19" ht="17.25" customHeight="1" thickBot="1">
      <c r="A15" s="222" t="s">
        <v>39</v>
      </c>
      <c r="B15" s="223" t="str">
        <f>TEXT($G$1, "[$-ko-KR]yyyy-mm-dd(ddd) ") &amp; "오전 00:00"</f>
        <v>2021-05-01(토) 오전 00:00</v>
      </c>
      <c r="C15" s="224"/>
      <c r="D15" s="198" t="str">
        <f>TEXT($G$1, "[$-ko-KR]yyyy-mm-dd(ddd) ") &amp; "오후 14:00"</f>
        <v>2021-05-01(토) 오후 14:00</v>
      </c>
      <c r="E15" s="199"/>
      <c r="F15" s="200"/>
      <c r="G15" s="198" t="str">
        <f>TEXT($G$1, "[$-ko-KR]yyyy-mm-dd(ddd) ") &amp; "오후 19:00"</f>
        <v>2021-05-01(토) 오후 19:00</v>
      </c>
      <c r="H15" s="199"/>
      <c r="I15" s="200"/>
      <c r="J15" s="198" t="str">
        <f>TEXT($G$1, "[$-ko-KR]yyyy-mm-dd(ddd) ") &amp; "오후 21:00"</f>
        <v>2021-05-01(토) 오후 21:00</v>
      </c>
      <c r="K15" s="199"/>
      <c r="L15" s="200"/>
      <c r="M15" s="198" t="str">
        <f>TEXT($G$1+1, "[$-ko-KR]yyyy-mm-dd(ddd) ") &amp; "오전 00:00"</f>
        <v>2021-05-02(일) 오전 00:00</v>
      </c>
      <c r="N15" s="199"/>
      <c r="O15" s="200"/>
      <c r="Q15" s="184"/>
      <c r="R15" s="184"/>
      <c r="S15" s="184"/>
    </row>
    <row r="16" spans="1:19" ht="17.25" customHeight="1" thickBot="1">
      <c r="A16" s="22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4"/>
      <c r="R19" s="174"/>
      <c r="S19" s="174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4"/>
      <c r="R20" s="174"/>
      <c r="S20" s="174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4"/>
      <c r="R21" s="174"/>
      <c r="S21" s="174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135" t="s">
        <v>42</v>
      </c>
      <c r="B37" s="227">
        <v>300000</v>
      </c>
      <c r="C37" s="22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6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67285000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-3.8730784599999998E-2</v>
      </c>
      <c r="N41" s="192"/>
      <c r="O41" s="193"/>
      <c r="Q41" s="184"/>
      <c r="R41" s="184"/>
      <c r="S41" s="184"/>
    </row>
    <row r="42" spans="1:19" ht="17.25" customHeight="1" thickBot="1">
      <c r="A42" s="229" t="s">
        <v>55</v>
      </c>
      <c r="B42" s="225" t="str">
        <f>TEXT($G$1, "[$-ko-KR]yyyy-mm-dd(ddd) ") &amp; "오전 00:00"</f>
        <v>2021-05-01(토) 오전 00:00</v>
      </c>
      <c r="C42" s="226"/>
      <c r="D42" s="198" t="str">
        <f>TEXT($G$1, "[$-ko-KR]yyyy-mm-dd(ddd) ") &amp; "오후 14:00"</f>
        <v>2021-05-01(토) 오후 14:00</v>
      </c>
      <c r="E42" s="199"/>
      <c r="F42" s="200"/>
      <c r="G42" s="198" t="str">
        <f>TEXT($G$1, "[$-ko-KR]yyyy-mm-dd(ddd) ") &amp; "오후 19:00"</f>
        <v>2021-05-01(토) 오후 19:00</v>
      </c>
      <c r="H42" s="199"/>
      <c r="I42" s="200"/>
      <c r="J42" s="198" t="str">
        <f>TEXT($G$1, "[$-ko-KR]yyyy-mm-dd(ddd) ") &amp; "오후 21:00"</f>
        <v>2021-05-01(토) 오후 21:00</v>
      </c>
      <c r="K42" s="199"/>
      <c r="L42" s="200"/>
      <c r="M42" s="198" t="str">
        <f>TEXT($G$1+1, "[$-ko-KR]yyyy-mm-dd(ddd) ") &amp; "오전 00:00"</f>
        <v>2021-05-02(일) 오전 00:00</v>
      </c>
      <c r="N42" s="199"/>
      <c r="O42" s="200"/>
      <c r="Q42" s="184"/>
      <c r="R42" s="184"/>
      <c r="S42" s="184"/>
    </row>
    <row r="43" spans="1:19" ht="17.25" customHeight="1" thickBot="1">
      <c r="A43" s="23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4"/>
      <c r="R46" s="174"/>
      <c r="S46" s="174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4"/>
      <c r="R47" s="174"/>
      <c r="S47" s="174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4"/>
      <c r="R48" s="174"/>
      <c r="S48" s="174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4"/>
      <c r="R49" s="174"/>
      <c r="S49" s="174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4"/>
      <c r="R50" s="174"/>
      <c r="S50" s="174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4"/>
      <c r="R51" s="174"/>
      <c r="S51" s="174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5"/>
      <c r="R53" s="176"/>
      <c r="S53" s="177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8"/>
      <c r="R54" s="179"/>
      <c r="S54" s="180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1"/>
      <c r="R55" s="182"/>
      <c r="S55" s="183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4"/>
      <c r="R56" s="174"/>
      <c r="S56" s="174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4"/>
      <c r="R59" s="174"/>
      <c r="S59" s="174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4"/>
      <c r="R60" s="174"/>
      <c r="S60" s="174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4"/>
      <c r="R61" s="174"/>
      <c r="S61" s="174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3"/>
      <c r="R62" s="164"/>
      <c r="S62" s="165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135" t="s">
        <v>301</v>
      </c>
      <c r="B64" s="227">
        <f>$B$37</f>
        <v>300000</v>
      </c>
      <c r="C64" s="228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6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67285000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-3.8730784599999998E-2</v>
      </c>
      <c r="N68" s="192"/>
      <c r="O68" s="193"/>
      <c r="Q68" s="184"/>
      <c r="R68" s="184"/>
      <c r="S68" s="184"/>
    </row>
    <row r="69" spans="1:19" ht="17.25" thickBot="1">
      <c r="A69" s="229" t="s">
        <v>55</v>
      </c>
      <c r="B69" s="225" t="str">
        <f>TEXT($G$1, "[$-ko-KR]yyyy-mm-dd(ddd) ") &amp; "오전 00:00"</f>
        <v>2021-05-01(토) 오전 00:00</v>
      </c>
      <c r="C69" s="226"/>
      <c r="D69" s="198" t="str">
        <f>TEXT($G$1, "[$-ko-KR]yyyy-mm-dd(ddd) ") &amp; "오후 14:00"</f>
        <v>2021-05-01(토) 오후 14:00</v>
      </c>
      <c r="E69" s="199"/>
      <c r="F69" s="200"/>
      <c r="G69" s="198" t="str">
        <f>TEXT($G$1, "[$-ko-KR]yyyy-mm-dd(ddd) ") &amp; "오후 19:00"</f>
        <v>2021-05-01(토) 오후 19:00</v>
      </c>
      <c r="H69" s="199"/>
      <c r="I69" s="200"/>
      <c r="J69" s="198" t="str">
        <f>TEXT($G$1, "[$-ko-KR]yyyy-mm-dd(ddd) ") &amp; "오후 21:00"</f>
        <v>2021-05-01(토) 오후 21:00</v>
      </c>
      <c r="K69" s="199"/>
      <c r="L69" s="200"/>
      <c r="M69" s="198" t="str">
        <f>TEXT($G$1+1, "[$-ko-KR]yyyy-mm-dd(ddd) ") &amp; "오전 00:00"</f>
        <v>2021-05-02(일) 오전 00:00</v>
      </c>
      <c r="N69" s="199"/>
      <c r="O69" s="200"/>
      <c r="Q69" s="184"/>
      <c r="R69" s="184"/>
      <c r="S69" s="184"/>
    </row>
    <row r="70" spans="1:19" ht="17.25" thickBot="1">
      <c r="A70" s="23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4"/>
      <c r="R73" s="174"/>
      <c r="S73" s="174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4"/>
      <c r="R74" s="174"/>
      <c r="S74" s="174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4"/>
      <c r="R75" s="174"/>
      <c r="S75" s="174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4"/>
      <c r="R76" s="174"/>
      <c r="S76" s="174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4"/>
      <c r="R77" s="174"/>
      <c r="S77" s="174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4"/>
      <c r="R78" s="174"/>
      <c r="S78" s="174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5"/>
      <c r="R80" s="176"/>
      <c r="S80" s="177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8"/>
      <c r="R81" s="179"/>
      <c r="S81" s="180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1"/>
      <c r="R82" s="182"/>
      <c r="S82" s="183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4"/>
      <c r="R83" s="174"/>
      <c r="S83" s="174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4"/>
      <c r="R86" s="174"/>
      <c r="S86" s="174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4"/>
      <c r="R87" s="174"/>
      <c r="S87" s="174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4"/>
      <c r="R88" s="174"/>
      <c r="S88" s="174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3"/>
      <c r="R89" s="164"/>
      <c r="S89" s="165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6"/>
      <c r="R90" s="167"/>
      <c r="S90" s="168"/>
    </row>
    <row r="91" spans="1:19" ht="17.25" thickBot="1">
      <c r="A91" s="135" t="s">
        <v>301</v>
      </c>
      <c r="B91" s="227">
        <f>$B$37</f>
        <v>300000</v>
      </c>
      <c r="C91" s="228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6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67285000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-3.8730784599999998E-2</v>
      </c>
      <c r="N95" s="192"/>
      <c r="O95" s="193"/>
      <c r="Q95" s="184"/>
      <c r="R95" s="184"/>
      <c r="S95" s="184"/>
    </row>
    <row r="96" spans="1:19" ht="17.25" thickBot="1">
      <c r="A96" s="229" t="s">
        <v>55</v>
      </c>
      <c r="B96" s="225" t="str">
        <f>TEXT($G$1, "[$-ko-KR]yyyy-mm-dd(ddd) ") &amp; "오전 00:00"</f>
        <v>2021-05-01(토) 오전 00:00</v>
      </c>
      <c r="C96" s="226"/>
      <c r="D96" s="198" t="str">
        <f>TEXT($G$1, "[$-ko-KR]yyyy-mm-dd(ddd) ") &amp; "오후 14:00"</f>
        <v>2021-05-01(토) 오후 14:00</v>
      </c>
      <c r="E96" s="199"/>
      <c r="F96" s="200"/>
      <c r="G96" s="198" t="str">
        <f>TEXT($G$1, "[$-ko-KR]yyyy-mm-dd(ddd) ") &amp; "오후 19:00"</f>
        <v>2021-05-01(토) 오후 19:00</v>
      </c>
      <c r="H96" s="199"/>
      <c r="I96" s="200"/>
      <c r="J96" s="198" t="str">
        <f>TEXT($G$1, "[$-ko-KR]yyyy-mm-dd(ddd) ") &amp; "오후 21:00"</f>
        <v>2021-05-01(토) 오후 21:00</v>
      </c>
      <c r="K96" s="199"/>
      <c r="L96" s="200"/>
      <c r="M96" s="198" t="str">
        <f>TEXT($G$1+1, "[$-ko-KR]yyyy-mm-dd(ddd) ") &amp; "오전 00:00"</f>
        <v>2021-05-02(일) 오전 00:00</v>
      </c>
      <c r="N96" s="199"/>
      <c r="O96" s="200"/>
      <c r="Q96" s="184"/>
      <c r="R96" s="184"/>
      <c r="S96" s="184"/>
    </row>
    <row r="97" spans="1:19" ht="17.25" thickBot="1">
      <c r="A97" s="23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4"/>
      <c r="R100" s="174"/>
      <c r="S100" s="174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4"/>
      <c r="R101" s="174"/>
      <c r="S101" s="174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4"/>
      <c r="R102" s="174"/>
      <c r="S102" s="174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4"/>
      <c r="R103" s="174"/>
      <c r="S103" s="174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4"/>
      <c r="R104" s="174"/>
      <c r="S104" s="174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4"/>
      <c r="R105" s="174"/>
      <c r="S105" s="174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5"/>
      <c r="R107" s="176"/>
      <c r="S107" s="177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8"/>
      <c r="R108" s="179"/>
      <c r="S108" s="180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1"/>
      <c r="R109" s="182"/>
      <c r="S109" s="183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4"/>
      <c r="R110" s="174"/>
      <c r="S110" s="174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4"/>
      <c r="R113" s="174"/>
      <c r="S113" s="174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4"/>
      <c r="R114" s="174"/>
      <c r="S114" s="174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4"/>
      <c r="R115" s="174"/>
      <c r="S115" s="174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3"/>
      <c r="R116" s="164"/>
      <c r="S116" s="165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6"/>
      <c r="R117" s="167"/>
      <c r="S117" s="168"/>
    </row>
    <row r="118" spans="1:19" ht="17.25" thickBot="1">
      <c r="A118" s="135" t="s">
        <v>301</v>
      </c>
      <c r="B118" s="227">
        <f>$B$37</f>
        <v>300000</v>
      </c>
      <c r="C118" s="228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6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67285000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-3.8730784599999998E-2</v>
      </c>
      <c r="N122" s="192"/>
      <c r="O122" s="193"/>
      <c r="Q122" s="184"/>
      <c r="R122" s="184"/>
      <c r="S122" s="184"/>
    </row>
    <row r="123" spans="1:19" ht="17.25" thickBot="1">
      <c r="A123" s="229" t="s">
        <v>55</v>
      </c>
      <c r="B123" s="225" t="str">
        <f>TEXT($G$1, "[$-ko-KR]yyyy-mm-dd(ddd) ") &amp; "오전 00:00"</f>
        <v>2021-05-01(토) 오전 00:00</v>
      </c>
      <c r="C123" s="226"/>
      <c r="D123" s="198" t="str">
        <f>TEXT($G$1, "[$-ko-KR]yyyy-mm-dd(ddd) ") &amp; "오후 14:00"</f>
        <v>2021-05-01(토) 오후 14:00</v>
      </c>
      <c r="E123" s="199"/>
      <c r="F123" s="200"/>
      <c r="G123" s="198" t="str">
        <f>TEXT($G$1, "[$-ko-KR]yyyy-mm-dd(ddd) ") &amp; "오후 19:00"</f>
        <v>2021-05-01(토) 오후 19:00</v>
      </c>
      <c r="H123" s="199"/>
      <c r="I123" s="200"/>
      <c r="J123" s="198" t="str">
        <f>TEXT($G$1, "[$-ko-KR]yyyy-mm-dd(ddd) ") &amp; "오후 21:00"</f>
        <v>2021-05-01(토) 오후 21:00</v>
      </c>
      <c r="K123" s="199"/>
      <c r="L123" s="200"/>
      <c r="M123" s="198" t="str">
        <f>TEXT($G$1+1, "[$-ko-KR]yyyy-mm-dd(ddd) ") &amp; "오전 00:00"</f>
        <v>2021-05-02(일) 오전 00:00</v>
      </c>
      <c r="N123" s="199"/>
      <c r="O123" s="200"/>
      <c r="Q123" s="184"/>
      <c r="R123" s="184"/>
      <c r="S123" s="184"/>
    </row>
    <row r="124" spans="1:19" ht="17.25" thickBot="1">
      <c r="A124" s="23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4"/>
      <c r="R127" s="174"/>
      <c r="S127" s="174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4"/>
      <c r="R128" s="174"/>
      <c r="S128" s="174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4"/>
      <c r="R129" s="174"/>
      <c r="S129" s="174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4"/>
      <c r="R130" s="174"/>
      <c r="S130" s="174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4"/>
      <c r="R131" s="174"/>
      <c r="S131" s="174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4"/>
      <c r="R132" s="174"/>
      <c r="S132" s="174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5"/>
      <c r="R134" s="176"/>
      <c r="S134" s="177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8"/>
      <c r="R135" s="179"/>
      <c r="S135" s="180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1"/>
      <c r="R136" s="182"/>
      <c r="S136" s="183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4"/>
      <c r="R137" s="174"/>
      <c r="S137" s="174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4"/>
      <c r="R140" s="174"/>
      <c r="S140" s="174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4"/>
      <c r="R141" s="174"/>
      <c r="S141" s="174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4"/>
      <c r="R142" s="174"/>
      <c r="S142" s="174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3"/>
      <c r="R143" s="164"/>
      <c r="S143" s="165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135" t="s">
        <v>301</v>
      </c>
      <c r="B145" s="227">
        <f>$B$37</f>
        <v>300000</v>
      </c>
      <c r="C145" s="228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6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67285000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-3.8730784599999998E-2</v>
      </c>
      <c r="N149" s="192"/>
      <c r="O149" s="193"/>
      <c r="Q149" s="184"/>
      <c r="R149" s="184"/>
      <c r="S149" s="184"/>
    </row>
    <row r="150" spans="1:19" ht="17.25" thickBot="1">
      <c r="A150" s="229" t="s">
        <v>55</v>
      </c>
      <c r="B150" s="225" t="str">
        <f>TEXT($G$1, "[$-ko-KR]yyyy-mm-dd(ddd) ") &amp; "오전 00:00"</f>
        <v>2021-05-01(토) 오전 00:00</v>
      </c>
      <c r="C150" s="226"/>
      <c r="D150" s="198" t="str">
        <f>TEXT($G$1, "[$-ko-KR]yyyy-mm-dd(ddd) ") &amp; "오후 14:00"</f>
        <v>2021-05-01(토) 오후 14:00</v>
      </c>
      <c r="E150" s="199"/>
      <c r="F150" s="200"/>
      <c r="G150" s="198" t="str">
        <f>TEXT($G$1, "[$-ko-KR]yyyy-mm-dd(ddd) ") &amp; "오후 19:00"</f>
        <v>2021-05-01(토) 오후 19:00</v>
      </c>
      <c r="H150" s="199"/>
      <c r="I150" s="200"/>
      <c r="J150" s="198" t="str">
        <f>TEXT($G$1, "[$-ko-KR]yyyy-mm-dd(ddd) ") &amp; "오후 21:00"</f>
        <v>2021-05-01(토) 오후 21:00</v>
      </c>
      <c r="K150" s="199"/>
      <c r="L150" s="200"/>
      <c r="M150" s="198" t="str">
        <f>TEXT($G$1+1, "[$-ko-KR]yyyy-mm-dd(ddd) ") &amp; "오전 00:00"</f>
        <v>2021-05-02(일) 오전 00:00</v>
      </c>
      <c r="N150" s="199"/>
      <c r="O150" s="200"/>
      <c r="Q150" s="184"/>
      <c r="R150" s="184"/>
      <c r="S150" s="184"/>
    </row>
    <row r="151" spans="1:19" ht="17.25" thickBot="1">
      <c r="A151" s="23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4"/>
      <c r="R154" s="174"/>
      <c r="S154" s="174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4"/>
      <c r="R155" s="174"/>
      <c r="S155" s="174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4"/>
      <c r="R156" s="174"/>
      <c r="S156" s="174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4"/>
      <c r="R157" s="174"/>
      <c r="S157" s="174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4"/>
      <c r="R158" s="174"/>
      <c r="S158" s="174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4"/>
      <c r="R159" s="174"/>
      <c r="S159" s="174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5"/>
      <c r="R161" s="176"/>
      <c r="S161" s="177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8"/>
      <c r="R162" s="179"/>
      <c r="S162" s="180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1"/>
      <c r="R163" s="182"/>
      <c r="S163" s="183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4"/>
      <c r="R164" s="174"/>
      <c r="S164" s="174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4"/>
      <c r="R167" s="174"/>
      <c r="S167" s="174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4"/>
      <c r="R168" s="174"/>
      <c r="S168" s="174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4"/>
      <c r="R169" s="174"/>
      <c r="S169" s="174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3"/>
      <c r="R170" s="164"/>
      <c r="S170" s="165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6"/>
      <c r="R171" s="167"/>
      <c r="S171" s="168"/>
    </row>
    <row r="172" spans="1:19" ht="17.25" thickBot="1">
      <c r="A172" s="135" t="s">
        <v>301</v>
      </c>
      <c r="B172" s="227">
        <f>$B$37</f>
        <v>300000</v>
      </c>
      <c r="C172" s="228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6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67285000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-3.8730784599999998E-2</v>
      </c>
      <c r="N176" s="192"/>
      <c r="O176" s="193"/>
      <c r="Q176" s="184"/>
      <c r="R176" s="184"/>
      <c r="S176" s="184"/>
    </row>
    <row r="177" spans="1:19" ht="17.25" thickBot="1">
      <c r="A177" s="229" t="s">
        <v>55</v>
      </c>
      <c r="B177" s="225" t="str">
        <f>TEXT($G$1, "[$-ko-KR]yyyy-mm-dd(ddd) ") &amp; "오전 00:00"</f>
        <v>2021-05-01(토) 오전 00:00</v>
      </c>
      <c r="C177" s="226"/>
      <c r="D177" s="198" t="str">
        <f>TEXT($G$1, "[$-ko-KR]yyyy-mm-dd(ddd) ") &amp; "오후 14:00"</f>
        <v>2021-05-01(토) 오후 14:00</v>
      </c>
      <c r="E177" s="199"/>
      <c r="F177" s="200"/>
      <c r="G177" s="198" t="str">
        <f>TEXT($G$1, "[$-ko-KR]yyyy-mm-dd(ddd) ") &amp; "오후 19:00"</f>
        <v>2021-05-01(토) 오후 19:00</v>
      </c>
      <c r="H177" s="199"/>
      <c r="I177" s="200"/>
      <c r="J177" s="198" t="str">
        <f>TEXT($G$1, "[$-ko-KR]yyyy-mm-dd(ddd) ") &amp; "오후 21:00"</f>
        <v>2021-05-01(토) 오후 21:00</v>
      </c>
      <c r="K177" s="199"/>
      <c r="L177" s="200"/>
      <c r="M177" s="198" t="str">
        <f>TEXT($G$1+1, "[$-ko-KR]yyyy-mm-dd(ddd) ") &amp; "오전 00:00"</f>
        <v>2021-05-02(일) 오전 00:00</v>
      </c>
      <c r="N177" s="199"/>
      <c r="O177" s="200"/>
      <c r="Q177" s="184"/>
      <c r="R177" s="184"/>
      <c r="S177" s="184"/>
    </row>
    <row r="178" spans="1:19" ht="17.25" thickBot="1">
      <c r="A178" s="23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4"/>
      <c r="R181" s="174"/>
      <c r="S181" s="174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4"/>
      <c r="R182" s="174"/>
      <c r="S182" s="174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4"/>
      <c r="R183" s="174"/>
      <c r="S183" s="174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4"/>
      <c r="R184" s="174"/>
      <c r="S184" s="174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4"/>
      <c r="R185" s="174"/>
      <c r="S185" s="174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4"/>
      <c r="R186" s="174"/>
      <c r="S186" s="174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5"/>
      <c r="R188" s="176"/>
      <c r="S188" s="177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8"/>
      <c r="R189" s="179"/>
      <c r="S189" s="180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1"/>
      <c r="R190" s="182"/>
      <c r="S190" s="183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4"/>
      <c r="R191" s="174"/>
      <c r="S191" s="174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4"/>
      <c r="R194" s="174"/>
      <c r="S194" s="174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4"/>
      <c r="R195" s="174"/>
      <c r="S195" s="174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4"/>
      <c r="R196" s="174"/>
      <c r="S196" s="174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3"/>
      <c r="R197" s="164"/>
      <c r="S197" s="165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6"/>
      <c r="R198" s="167"/>
      <c r="S198" s="168"/>
    </row>
    <row r="199" spans="1:19" ht="17.25" thickBot="1">
      <c r="A199" s="135" t="s">
        <v>301</v>
      </c>
      <c r="B199" s="227">
        <f>$B$37</f>
        <v>300000</v>
      </c>
      <c r="C199" s="228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69"/>
      <c r="R199" s="170"/>
      <c r="S199" s="17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24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4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4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7" priority="289">
      <formula>AND($N17 &gt; 0, ISNUMBER($N17))</formula>
    </cfRule>
    <cfRule type="expression" dxfId="1236" priority="290">
      <formula>AND($N17 = 0 * ISNUMBER($N17))</formula>
    </cfRule>
    <cfRule type="expression" dxfId="1235" priority="291">
      <formula>AND($N17 &lt; 0, ISNUMBER($N17))</formula>
    </cfRule>
  </conditionalFormatting>
  <conditionalFormatting sqref="A17:C36 D17:F36">
    <cfRule type="expression" dxfId="1234" priority="298">
      <formula>AND($E17 &gt; 0, ISNUMBER($E17))</formula>
    </cfRule>
    <cfRule type="expression" dxfId="1233" priority="299">
      <formula>AND($E17 = 0 * ISNUMBER($E17))</formula>
    </cfRule>
    <cfRule type="expression" dxfId="1232" priority="300">
      <formula>AND($E17 &lt; 0, ISNUMBER($E17))</formula>
    </cfRule>
  </conditionalFormatting>
  <conditionalFormatting sqref="A17:C36 G17:I36">
    <cfRule type="expression" dxfId="1231" priority="295">
      <formula>AND($H17 &gt; 0, ISNUMBER($H17))</formula>
    </cfRule>
    <cfRule type="expression" dxfId="1230" priority="296">
      <formula>AND($H17 = 0 * ISNUMBER($H17))</formula>
    </cfRule>
    <cfRule type="expression" dxfId="1229" priority="297">
      <formula>AND($H17 &lt; 0, ISNUMBER($H17))</formula>
    </cfRule>
  </conditionalFormatting>
  <conditionalFormatting sqref="A17:C36 J17:L36">
    <cfRule type="expression" dxfId="1228" priority="292">
      <formula>AND($K17 &gt; 0, ISNUMBER($K17))</formula>
    </cfRule>
    <cfRule type="expression" dxfId="1227" priority="293">
      <formula>AND($K17 = 0 * ISNUMBER($K17))</formula>
    </cfRule>
    <cfRule type="expression" dxfId="1226" priority="294">
      <formula>AND($K17 &lt; 0, ISNUMBER($K17))</formula>
    </cfRule>
  </conditionalFormatting>
  <conditionalFormatting sqref="D15:F16 E37:F37">
    <cfRule type="expression" dxfId="1225" priority="286">
      <formula>$E$37 &gt; 0</formula>
    </cfRule>
    <cfRule type="expression" dxfId="1224" priority="287">
      <formula>$E$37 = 0</formula>
    </cfRule>
    <cfRule type="expression" dxfId="1223" priority="288">
      <formula>$E$37 &lt; 0</formula>
    </cfRule>
  </conditionalFormatting>
  <conditionalFormatting sqref="G15:I16 H37:I37">
    <cfRule type="expression" dxfId="1222" priority="283">
      <formula>$H$37 &gt; 0</formula>
    </cfRule>
    <cfRule type="expression" dxfId="1221" priority="284">
      <formula>$H$37 = 0</formula>
    </cfRule>
    <cfRule type="expression" dxfId="1220" priority="285">
      <formula>$H$37 &lt; 0</formula>
    </cfRule>
  </conditionalFormatting>
  <conditionalFormatting sqref="J15:L16 K37:L37">
    <cfRule type="expression" dxfId="1219" priority="280">
      <formula>$K$37 &gt; 0</formula>
    </cfRule>
    <cfRule type="expression" dxfId="1218" priority="281">
      <formula>$K$37 = 0</formula>
    </cfRule>
    <cfRule type="expression" dxfId="1217" priority="282">
      <formula>$K$37 &lt; 0</formula>
    </cfRule>
  </conditionalFormatting>
  <conditionalFormatting sqref="M15:O16 N37:O37">
    <cfRule type="expression" dxfId="1216" priority="277">
      <formula>$N$37 &gt; 0</formula>
    </cfRule>
    <cfRule type="expression" dxfId="1215" priority="278">
      <formula>$N$37 = 0</formula>
    </cfRule>
    <cfRule type="expression" dxfId="1214" priority="279">
      <formula>$N$37 &lt; 0</formula>
    </cfRule>
  </conditionalFormatting>
  <conditionalFormatting sqref="A44:C63 M44:O63">
    <cfRule type="expression" dxfId="1213" priority="265">
      <formula>AND($N44 &gt; 0, ISNUMBER($N44))</formula>
    </cfRule>
    <cfRule type="expression" dxfId="1212" priority="266">
      <formula>AND($N44 = 0 * ISNUMBER($N44))</formula>
    </cfRule>
    <cfRule type="expression" dxfId="1211" priority="267">
      <formula>AND($N44 &lt; 0, ISNUMBER($N44))</formula>
    </cfRule>
  </conditionalFormatting>
  <conditionalFormatting sqref="A44:F63">
    <cfRule type="expression" dxfId="1210" priority="274">
      <formula>AND($E44 &gt; 0, ISNUMBER($E44))</formula>
    </cfRule>
    <cfRule type="expression" dxfId="1209" priority="275">
      <formula>AND($E44 = 0 * ISNUMBER($E44))</formula>
    </cfRule>
    <cfRule type="expression" dxfId="1208" priority="276">
      <formula>AND($E44 &lt; 0, ISNUMBER($E44))</formula>
    </cfRule>
  </conditionalFormatting>
  <conditionalFormatting sqref="A44:C63 G44:I63">
    <cfRule type="expression" dxfId="1207" priority="271">
      <formula>AND($H44 &gt; 0, ISNUMBER($H44))</formula>
    </cfRule>
    <cfRule type="expression" dxfId="1206" priority="272">
      <formula>AND($H44 = 0 * ISNUMBER($H44))</formula>
    </cfRule>
    <cfRule type="expression" dxfId="1205" priority="273">
      <formula>AND($H44 &lt; 0, ISNUMBER($H44))</formula>
    </cfRule>
  </conditionalFormatting>
  <conditionalFormatting sqref="A44:C63 J44:L63">
    <cfRule type="expression" dxfId="1204" priority="268">
      <formula>AND($K44 &gt; 0, ISNUMBER($K44))</formula>
    </cfRule>
    <cfRule type="expression" dxfId="1203" priority="269">
      <formula>AND($K44 = 0 * ISNUMBER($K44))</formula>
    </cfRule>
    <cfRule type="expression" dxfId="1202" priority="270">
      <formula>AND($K44 &lt; 0, ISNUMBER($K44))</formula>
    </cfRule>
  </conditionalFormatting>
  <conditionalFormatting sqref="D42:F43 E64:F64">
    <cfRule type="expression" dxfId="1201" priority="262">
      <formula>$E$64 &gt; 0</formula>
    </cfRule>
    <cfRule type="expression" dxfId="1200" priority="263">
      <formula>$E$64 = 0</formula>
    </cfRule>
    <cfRule type="expression" dxfId="1199" priority="264">
      <formula>$E$64 &lt; 0</formula>
    </cfRule>
  </conditionalFormatting>
  <conditionalFormatting sqref="G42:I43 H64:I64">
    <cfRule type="expression" dxfId="1198" priority="259">
      <formula>$H$64 &gt; 0</formula>
    </cfRule>
    <cfRule type="expression" dxfId="1197" priority="260">
      <formula>$H$64 = 0</formula>
    </cfRule>
    <cfRule type="expression" dxfId="1196" priority="261">
      <formula>$H$64 &lt; 0</formula>
    </cfRule>
  </conditionalFormatting>
  <conditionalFormatting sqref="J42:L43 K64:L64">
    <cfRule type="expression" dxfId="1195" priority="256">
      <formula>$K$64 &gt; 0</formula>
    </cfRule>
    <cfRule type="expression" dxfId="1194" priority="257">
      <formula>$K$64 = 0</formula>
    </cfRule>
    <cfRule type="expression" dxfId="1193" priority="258">
      <formula>$K$64 &lt; 0</formula>
    </cfRule>
  </conditionalFormatting>
  <conditionalFormatting sqref="M42:O43 N64:O64">
    <cfRule type="expression" dxfId="1192" priority="253">
      <formula>$N$64 &gt; 0</formula>
    </cfRule>
    <cfRule type="expression" dxfId="1191" priority="254">
      <formula>$N$64 = 0</formula>
    </cfRule>
    <cfRule type="expression" dxfId="1190" priority="255">
      <formula>$N$64 &lt; 0</formula>
    </cfRule>
  </conditionalFormatting>
  <conditionalFormatting sqref="A71:C90 M71:O90">
    <cfRule type="expression" dxfId="1189" priority="109">
      <formula>AND($N71 &gt; 0, ISNUMBER($N71))</formula>
    </cfRule>
    <cfRule type="expression" dxfId="1188" priority="110">
      <formula>AND($N71 = 0 * ISNUMBER($N71))</formula>
    </cfRule>
    <cfRule type="expression" dxfId="1187" priority="111">
      <formula>AND($N71 &lt; 0, ISNUMBER($N71))</formula>
    </cfRule>
  </conditionalFormatting>
  <conditionalFormatting sqref="A71:F90">
    <cfRule type="expression" dxfId="1186" priority="118">
      <formula>AND($E71 &gt; 0, ISNUMBER($E71))</formula>
    </cfRule>
    <cfRule type="expression" dxfId="1185" priority="119">
      <formula>AND($E71 = 0 * ISNUMBER($E71))</formula>
    </cfRule>
    <cfRule type="expression" dxfId="1184" priority="120">
      <formula>AND($E71 &lt; 0, ISNUMBER($E71))</formula>
    </cfRule>
  </conditionalFormatting>
  <conditionalFormatting sqref="A71:C90 G71:I90">
    <cfRule type="expression" dxfId="1183" priority="115">
      <formula>AND($H71 &gt; 0, ISNUMBER($H71))</formula>
    </cfRule>
    <cfRule type="expression" dxfId="1182" priority="116">
      <formula>AND($H71 = 0 * ISNUMBER($H71))</formula>
    </cfRule>
    <cfRule type="expression" dxfId="1181" priority="117">
      <formula>AND($H71 &lt; 0, ISNUMBER($H71))</formula>
    </cfRule>
  </conditionalFormatting>
  <conditionalFormatting sqref="A71:C90 J71:L90">
    <cfRule type="expression" dxfId="1180" priority="112">
      <formula>AND($K71 &gt; 0, ISNUMBER($K71))</formula>
    </cfRule>
    <cfRule type="expression" dxfId="1179" priority="113">
      <formula>AND($K71 = 0 * ISNUMBER($K71))</formula>
    </cfRule>
    <cfRule type="expression" dxfId="1178" priority="114">
      <formula>AND($K71 &lt; 0, ISNUMBER($K71))</formula>
    </cfRule>
  </conditionalFormatting>
  <conditionalFormatting sqref="D69:F70 E91:F91">
    <cfRule type="expression" dxfId="1177" priority="106">
      <formula>$E$91 &gt; 0</formula>
    </cfRule>
    <cfRule type="expression" dxfId="1176" priority="107">
      <formula>$E$91 = 0</formula>
    </cfRule>
    <cfRule type="expression" dxfId="1175" priority="108">
      <formula>$E$91 &lt; 0</formula>
    </cfRule>
  </conditionalFormatting>
  <conditionalFormatting sqref="G69:I70 H91:I91">
    <cfRule type="expression" dxfId="1174" priority="103">
      <formula>$H$91 &gt; 0</formula>
    </cfRule>
    <cfRule type="expression" dxfId="1173" priority="104">
      <formula>$H$91 = 0</formula>
    </cfRule>
    <cfRule type="expression" dxfId="1172" priority="105">
      <formula>$H$91 &lt; 0</formula>
    </cfRule>
  </conditionalFormatting>
  <conditionalFormatting sqref="J69:L70 K91:L91">
    <cfRule type="expression" dxfId="1171" priority="100">
      <formula>$K$91 &gt; 0</formula>
    </cfRule>
    <cfRule type="expression" dxfId="1170" priority="101">
      <formula>$K$91 = 0</formula>
    </cfRule>
    <cfRule type="expression" dxfId="1169" priority="102">
      <formula>$K$91 &lt; 0</formula>
    </cfRule>
  </conditionalFormatting>
  <conditionalFormatting sqref="M69:O70 N91:O91">
    <cfRule type="expression" dxfId="1168" priority="97">
      <formula>$N$91 &gt; 0</formula>
    </cfRule>
    <cfRule type="expression" dxfId="1167" priority="98">
      <formula>$N$91 = 0</formula>
    </cfRule>
    <cfRule type="expression" dxfId="1166" priority="99">
      <formula>$N$91 &lt; 0</formula>
    </cfRule>
  </conditionalFormatting>
  <conditionalFormatting sqref="A98:C117 M98:O117">
    <cfRule type="expression" dxfId="1165" priority="85">
      <formula>AND($N98 &gt; 0, ISNUMBER($N98))</formula>
    </cfRule>
    <cfRule type="expression" dxfId="1164" priority="86">
      <formula>AND($N98 = 0 * ISNUMBER($N98))</formula>
    </cfRule>
    <cfRule type="expression" dxfId="1163" priority="87">
      <formula>AND($N98 &lt; 0, ISNUMBER($N98))</formula>
    </cfRule>
  </conditionalFormatting>
  <conditionalFormatting sqref="A98:F117">
    <cfRule type="expression" dxfId="1162" priority="94">
      <formula>AND($E98 &gt; 0, ISNUMBER($E98))</formula>
    </cfRule>
    <cfRule type="expression" dxfId="1161" priority="95">
      <formula>AND($E98 = 0 * ISNUMBER($E98))</formula>
    </cfRule>
    <cfRule type="expression" dxfId="1160" priority="96">
      <formula>AND($E98 &lt; 0, ISNUMBER($E98))</formula>
    </cfRule>
  </conditionalFormatting>
  <conditionalFormatting sqref="A98:C117 G98:I117">
    <cfRule type="expression" dxfId="1159" priority="91">
      <formula>AND($H98 &gt; 0, ISNUMBER($H98))</formula>
    </cfRule>
    <cfRule type="expression" dxfId="1158" priority="92">
      <formula>AND($H98 = 0 * ISNUMBER($H98))</formula>
    </cfRule>
    <cfRule type="expression" dxfId="1157" priority="93">
      <formula>AND($H98 &lt; 0, ISNUMBER($H98))</formula>
    </cfRule>
  </conditionalFormatting>
  <conditionalFormatting sqref="A98:C117 J98:L117">
    <cfRule type="expression" dxfId="1156" priority="88">
      <formula>AND($K98 &gt; 0, ISNUMBER($K98))</formula>
    </cfRule>
    <cfRule type="expression" dxfId="1155" priority="89">
      <formula>AND($K98 = 0 * ISNUMBER($K98))</formula>
    </cfRule>
    <cfRule type="expression" dxfId="1154" priority="90">
      <formula>AND($K98 &lt; 0, ISNUMBER($K98))</formula>
    </cfRule>
  </conditionalFormatting>
  <conditionalFormatting sqref="D96:F97 E118:F118">
    <cfRule type="expression" dxfId="1153" priority="82">
      <formula>$E$118 &gt; 0</formula>
    </cfRule>
    <cfRule type="expression" dxfId="1152" priority="83">
      <formula>$E$118 = 0</formula>
    </cfRule>
    <cfRule type="expression" dxfId="1151" priority="84">
      <formula>$E$118 &lt; 0</formula>
    </cfRule>
  </conditionalFormatting>
  <conditionalFormatting sqref="G96:I97 H118:I118">
    <cfRule type="expression" dxfId="1150" priority="79">
      <formula>$H$118 &gt; 0</formula>
    </cfRule>
    <cfRule type="expression" dxfId="1149" priority="80">
      <formula>$H$118 = 0</formula>
    </cfRule>
    <cfRule type="expression" dxfId="1148" priority="81">
      <formula>$H$118 &lt; 0</formula>
    </cfRule>
  </conditionalFormatting>
  <conditionalFormatting sqref="J96:L97 K118:L118">
    <cfRule type="expression" dxfId="1147" priority="76">
      <formula>$K$118 &gt; 0</formula>
    </cfRule>
    <cfRule type="expression" dxfId="1146" priority="77">
      <formula>$K$118 = 0</formula>
    </cfRule>
    <cfRule type="expression" dxfId="1145" priority="78">
      <formula>$K$118 &lt; 0</formula>
    </cfRule>
  </conditionalFormatting>
  <conditionalFormatting sqref="M96:O97 N118:O118">
    <cfRule type="expression" dxfId="1144" priority="73">
      <formula>$N$118 &gt; 0</formula>
    </cfRule>
    <cfRule type="expression" dxfId="1143" priority="74">
      <formula>$N$118 = 0</formula>
    </cfRule>
    <cfRule type="expression" dxfId="1142" priority="75">
      <formula>$N$118 &lt; 0</formula>
    </cfRule>
  </conditionalFormatting>
  <conditionalFormatting sqref="A125:C144 M125:O144">
    <cfRule type="expression" dxfId="1141" priority="61">
      <formula>AND($N125 &gt; 0, ISNUMBER($N125))</formula>
    </cfRule>
    <cfRule type="expression" dxfId="1140" priority="62">
      <formula>AND($N125 = 0 * ISNUMBER($N125))</formula>
    </cfRule>
    <cfRule type="expression" dxfId="1139" priority="63">
      <formula>AND($N125 &lt; 0, ISNUMBER($N125))</formula>
    </cfRule>
  </conditionalFormatting>
  <conditionalFormatting sqref="A125:F144">
    <cfRule type="expression" dxfId="1138" priority="70">
      <formula>AND($E125 &gt; 0, ISNUMBER($E125))</formula>
    </cfRule>
    <cfRule type="expression" dxfId="1137" priority="71">
      <formula>AND($E125 = 0 * ISNUMBER($E125))</formula>
    </cfRule>
    <cfRule type="expression" dxfId="1136" priority="72">
      <formula>AND($E125 &lt; 0, ISNUMBER($E125))</formula>
    </cfRule>
  </conditionalFormatting>
  <conditionalFormatting sqref="A125:C144 G125:I144">
    <cfRule type="expression" dxfId="1135" priority="67">
      <formula>AND($H125 &gt; 0, ISNUMBER($H125))</formula>
    </cfRule>
    <cfRule type="expression" dxfId="1134" priority="68">
      <formula>AND($H125 = 0 * ISNUMBER($H125))</formula>
    </cfRule>
    <cfRule type="expression" dxfId="1133" priority="69">
      <formula>AND($H125 &lt; 0, ISNUMBER($H125))</formula>
    </cfRule>
  </conditionalFormatting>
  <conditionalFormatting sqref="A125:C144 J125:L144">
    <cfRule type="expression" dxfId="1132" priority="64">
      <formula>AND($K125 &gt; 0, ISNUMBER($K125))</formula>
    </cfRule>
    <cfRule type="expression" dxfId="1131" priority="65">
      <formula>AND($K125 = 0 * ISNUMBER($K125))</formula>
    </cfRule>
    <cfRule type="expression" dxfId="1130" priority="66">
      <formula>AND($K125 &lt; 0, ISNUMBER($K125))</formula>
    </cfRule>
  </conditionalFormatting>
  <conditionalFormatting sqref="D123:F124 E145:F145">
    <cfRule type="expression" dxfId="1129" priority="58">
      <formula>$E$145 &gt; 0</formula>
    </cfRule>
    <cfRule type="expression" dxfId="1128" priority="59">
      <formula>$E$145 = 0</formula>
    </cfRule>
    <cfRule type="expression" dxfId="1127" priority="60">
      <formula>$E$145 &lt; 0</formula>
    </cfRule>
  </conditionalFormatting>
  <conditionalFormatting sqref="G123:I124 H145:I145">
    <cfRule type="expression" dxfId="1126" priority="55">
      <formula>$H$145 &gt; 0</formula>
    </cfRule>
    <cfRule type="expression" dxfId="1125" priority="56">
      <formula>$H$145 = 0</formula>
    </cfRule>
    <cfRule type="expression" dxfId="1124" priority="57">
      <formula>$H$145 &lt; 0</formula>
    </cfRule>
  </conditionalFormatting>
  <conditionalFormatting sqref="J123:L124 K145:L145">
    <cfRule type="expression" dxfId="1123" priority="52">
      <formula>$K$145 &gt; 0</formula>
    </cfRule>
    <cfRule type="expression" dxfId="1122" priority="53">
      <formula>$K$145 = 0</formula>
    </cfRule>
    <cfRule type="expression" dxfId="1121" priority="54">
      <formula>$K$145 &lt; 0</formula>
    </cfRule>
  </conditionalFormatting>
  <conditionalFormatting sqref="M123:O124 N145:O145">
    <cfRule type="expression" dxfId="1120" priority="49">
      <formula>$N$145 &gt; 0</formula>
    </cfRule>
    <cfRule type="expression" dxfId="1119" priority="50">
      <formula>$N$145 = 0</formula>
    </cfRule>
    <cfRule type="expression" dxfId="1118" priority="51">
      <formula>$N$145 &lt; 0</formula>
    </cfRule>
  </conditionalFormatting>
  <conditionalFormatting sqref="A152:C171 M152:O171">
    <cfRule type="expression" dxfId="1117" priority="37">
      <formula>AND($N152 &gt; 0, ISNUMBER($N152))</formula>
    </cfRule>
    <cfRule type="expression" dxfId="1116" priority="38">
      <formula>AND($N152 = 0 * ISNUMBER($N152))</formula>
    </cfRule>
    <cfRule type="expression" dxfId="1115" priority="39">
      <formula>AND($N152 &lt; 0, ISNUMBER($N152))</formula>
    </cfRule>
  </conditionalFormatting>
  <conditionalFormatting sqref="A152:F171">
    <cfRule type="expression" dxfId="1114" priority="46">
      <formula>AND($E152 &gt; 0, ISNUMBER($E152))</formula>
    </cfRule>
    <cfRule type="expression" dxfId="1113" priority="47">
      <formula>AND($E152 = 0 * ISNUMBER($E152))</formula>
    </cfRule>
    <cfRule type="expression" dxfId="1112" priority="48">
      <formula>AND($E152 &lt; 0, ISNUMBER($E152))</formula>
    </cfRule>
  </conditionalFormatting>
  <conditionalFormatting sqref="A152:C171 G152:I171">
    <cfRule type="expression" dxfId="1111" priority="43">
      <formula>AND($H152 &gt; 0, ISNUMBER($H152))</formula>
    </cfRule>
    <cfRule type="expression" dxfId="1110" priority="44">
      <formula>AND($H152 = 0 * ISNUMBER($H152))</formula>
    </cfRule>
    <cfRule type="expression" dxfId="1109" priority="45">
      <formula>AND($H152 &lt; 0, ISNUMBER($H152))</formula>
    </cfRule>
  </conditionalFormatting>
  <conditionalFormatting sqref="A152:C171 J152:L171">
    <cfRule type="expression" dxfId="1108" priority="40">
      <formula>AND($K152 &gt; 0, ISNUMBER($K152))</formula>
    </cfRule>
    <cfRule type="expression" dxfId="1107" priority="41">
      <formula>AND($K152 = 0 * ISNUMBER($K152))</formula>
    </cfRule>
    <cfRule type="expression" dxfId="1106" priority="42">
      <formula>AND($K152 &lt; 0, ISNUMBER($K152))</formula>
    </cfRule>
  </conditionalFormatting>
  <conditionalFormatting sqref="D150:F151 E172:F172">
    <cfRule type="expression" dxfId="1105" priority="34">
      <formula>$E$172 &gt; 0</formula>
    </cfRule>
    <cfRule type="expression" dxfId="1104" priority="35">
      <formula>$E$172 = 0</formula>
    </cfRule>
    <cfRule type="expression" dxfId="1103" priority="36">
      <formula>$E$172 &lt; 0</formula>
    </cfRule>
  </conditionalFormatting>
  <conditionalFormatting sqref="G150:I151 H172:I172">
    <cfRule type="expression" dxfId="1102" priority="31">
      <formula>$H$172 &gt; 0</formula>
    </cfRule>
    <cfRule type="expression" dxfId="1101" priority="32">
      <formula>$H$172 = 0</formula>
    </cfRule>
    <cfRule type="expression" dxfId="1100" priority="33">
      <formula>$H$172 &lt; 0</formula>
    </cfRule>
  </conditionalFormatting>
  <conditionalFormatting sqref="J150:L151 K172:L172">
    <cfRule type="expression" dxfId="1099" priority="28">
      <formula>$K$172 &gt; 0</formula>
    </cfRule>
    <cfRule type="expression" dxfId="1098" priority="29">
      <formula>$K$172 = 0</formula>
    </cfRule>
    <cfRule type="expression" dxfId="1097" priority="30">
      <formula>$K$172 &lt; 0</formula>
    </cfRule>
  </conditionalFormatting>
  <conditionalFormatting sqref="M150:O151 N172:O172">
    <cfRule type="expression" dxfId="1096" priority="25">
      <formula>$N$172 &gt; 0</formula>
    </cfRule>
    <cfRule type="expression" dxfId="1095" priority="26">
      <formula>$N$172 = 0</formula>
    </cfRule>
    <cfRule type="expression" dxfId="1094" priority="27">
      <formula>$N$172 &lt; 0</formula>
    </cfRule>
  </conditionalFormatting>
  <conditionalFormatting sqref="A179:C198 M179:O198">
    <cfRule type="expression" dxfId="1093" priority="13">
      <formula>AND($N179 &gt; 0, ISNUMBER($N179))</formula>
    </cfRule>
    <cfRule type="expression" dxfId="1092" priority="14">
      <formula>AND($N179 = 0 * ISNUMBER($N179))</formula>
    </cfRule>
    <cfRule type="expression" dxfId="1091" priority="15">
      <formula>AND($N179 &lt; 0, ISNUMBER($N179))</formula>
    </cfRule>
  </conditionalFormatting>
  <conditionalFormatting sqref="A179:F198">
    <cfRule type="expression" dxfId="1090" priority="22">
      <formula>AND($E179 &gt; 0, ISNUMBER($E179))</formula>
    </cfRule>
    <cfRule type="expression" dxfId="1089" priority="23">
      <formula>AND($E179 = 0 * ISNUMBER($E179))</formula>
    </cfRule>
    <cfRule type="expression" dxfId="1088" priority="24">
      <formula>AND($E179 &lt; 0, ISNUMBER($E179))</formula>
    </cfRule>
  </conditionalFormatting>
  <conditionalFormatting sqref="A179:C198 G179:I198">
    <cfRule type="expression" dxfId="1087" priority="19">
      <formula>AND($H179 &gt; 0, ISNUMBER($H179))</formula>
    </cfRule>
    <cfRule type="expression" dxfId="1086" priority="20">
      <formula>AND($H179 = 0 * ISNUMBER($H179))</formula>
    </cfRule>
    <cfRule type="expression" dxfId="1085" priority="21">
      <formula>AND($H179 &lt; 0, ISNUMBER($H179))</formula>
    </cfRule>
  </conditionalFormatting>
  <conditionalFormatting sqref="A179:C198 J179:L198">
    <cfRule type="expression" dxfId="1084" priority="16">
      <formula>AND($K179 &gt; 0, ISNUMBER($K179))</formula>
    </cfRule>
    <cfRule type="expression" dxfId="1083" priority="17">
      <formula>AND($K179 = 0 * ISNUMBER($K179))</formula>
    </cfRule>
    <cfRule type="expression" dxfId="1082" priority="18">
      <formula>AND($K179 &lt; 0, ISNUMBER($K179))</formula>
    </cfRule>
  </conditionalFormatting>
  <conditionalFormatting sqref="D177:F178 E199:F199">
    <cfRule type="expression" dxfId="1081" priority="10">
      <formula>$E$199 &gt; 0</formula>
    </cfRule>
    <cfRule type="expression" dxfId="1080" priority="11">
      <formula>$E$199 = 0</formula>
    </cfRule>
    <cfRule type="expression" dxfId="1079" priority="12">
      <formula>$E$199 &lt; 0</formula>
    </cfRule>
  </conditionalFormatting>
  <conditionalFormatting sqref="G177:I178 H199:I199">
    <cfRule type="expression" dxfId="1078" priority="7">
      <formula>$H$199 &gt; 0</formula>
    </cfRule>
    <cfRule type="expression" dxfId="1077" priority="8">
      <formula>$H$199 = 0</formula>
    </cfRule>
    <cfRule type="expression" dxfId="1076" priority="9">
      <formula>$H$199 &lt; 0</formula>
    </cfRule>
  </conditionalFormatting>
  <conditionalFormatting sqref="J177:L178 K199:L199">
    <cfRule type="expression" dxfId="1075" priority="4">
      <formula>$K$199 &gt; 0</formula>
    </cfRule>
    <cfRule type="expression" dxfId="1074" priority="5">
      <formula>$K$199 = 0</formula>
    </cfRule>
    <cfRule type="expression" dxfId="1073" priority="6">
      <formula>$K$199 &lt; 0</formula>
    </cfRule>
  </conditionalFormatting>
  <conditionalFormatting sqref="M177:O178 N199:O199">
    <cfRule type="expression" dxfId="1072" priority="1">
      <formula>$N$199 &gt; 0</formula>
    </cfRule>
    <cfRule type="expression" dxfId="1071" priority="2">
      <formula>$N$199 = 0</formula>
    </cfRule>
    <cfRule type="expression" dxfId="10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0" workbookViewId="0">
      <selection activeCell="H58" sqref="H5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295</v>
      </c>
      <c r="B2" s="11" t="s">
        <v>296</v>
      </c>
      <c r="C2" s="95">
        <v>700</v>
      </c>
      <c r="D2" s="92">
        <v>0.29870129870000001</v>
      </c>
      <c r="E2" s="93">
        <v>15221997909.566694</v>
      </c>
      <c r="F2" s="35"/>
      <c r="G2" s="54"/>
      <c r="H2" s="35"/>
      <c r="I2" s="35"/>
    </row>
    <row r="3" spans="1:18" ht="17.25" thickBot="1">
      <c r="A3" s="40" t="s">
        <v>101</v>
      </c>
      <c r="B3" s="11" t="s">
        <v>102</v>
      </c>
      <c r="C3" s="95">
        <v>75900</v>
      </c>
      <c r="D3" s="92">
        <v>0.19152276300000001</v>
      </c>
      <c r="E3" s="93">
        <v>57800110.600081652</v>
      </c>
      <c r="F3" s="35"/>
      <c r="G3" s="229" t="s">
        <v>290</v>
      </c>
      <c r="H3" s="241" t="s">
        <v>322</v>
      </c>
      <c r="I3" s="241"/>
      <c r="K3" s="185" t="s">
        <v>34</v>
      </c>
      <c r="L3" s="186"/>
      <c r="M3" s="186"/>
      <c r="N3" s="187"/>
      <c r="O3" s="185" t="s">
        <v>292</v>
      </c>
      <c r="P3" s="186"/>
      <c r="Q3" s="186"/>
      <c r="R3" s="187"/>
    </row>
    <row r="4" spans="1:18" ht="17.25" thickBot="1">
      <c r="A4" s="40" t="s">
        <v>93</v>
      </c>
      <c r="B4" s="11" t="s">
        <v>94</v>
      </c>
      <c r="C4" s="95">
        <v>126650</v>
      </c>
      <c r="D4" s="92">
        <v>7.5127334500000004E-2</v>
      </c>
      <c r="E4" s="93">
        <v>4235396.9085976304</v>
      </c>
      <c r="F4" s="35"/>
      <c r="G4" s="230"/>
      <c r="H4" s="242"/>
      <c r="I4" s="242"/>
      <c r="K4" s="222" t="s">
        <v>55</v>
      </c>
      <c r="L4" s="238">
        <f ca="1">NOW()</f>
        <v>44321.102619791665</v>
      </c>
      <c r="M4" s="239"/>
      <c r="N4" s="240"/>
      <c r="O4" s="237" t="s">
        <v>55</v>
      </c>
      <c r="P4" s="238">
        <f ca="1">NOW()</f>
        <v>44321.102619791665</v>
      </c>
      <c r="Q4" s="239"/>
      <c r="R4" s="240"/>
    </row>
    <row r="5" spans="1:18" ht="17.25" thickBot="1">
      <c r="A5" s="40" t="s">
        <v>163</v>
      </c>
      <c r="B5" s="11" t="s">
        <v>164</v>
      </c>
      <c r="C5" s="95">
        <v>43300</v>
      </c>
      <c r="D5" s="92">
        <v>7.1251855500000003E-2</v>
      </c>
      <c r="E5" s="93">
        <v>25601582.347198851</v>
      </c>
      <c r="F5" s="35"/>
      <c r="K5" s="230"/>
      <c r="L5" s="36" t="s">
        <v>58</v>
      </c>
      <c r="M5" s="73" t="s">
        <v>59</v>
      </c>
      <c r="N5" s="69" t="s">
        <v>294</v>
      </c>
      <c r="O5" s="230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265</v>
      </c>
      <c r="B6" s="11" t="s">
        <v>266</v>
      </c>
      <c r="C6" s="95">
        <v>104</v>
      </c>
      <c r="D6" s="92">
        <v>5.6910569100000002E-2</v>
      </c>
      <c r="E6" s="93">
        <v>2042962763.0075088</v>
      </c>
      <c r="F6" s="35"/>
      <c r="G6" s="185" t="s">
        <v>52</v>
      </c>
      <c r="H6" s="186"/>
      <c r="I6" s="187"/>
      <c r="K6" s="55" t="str">
        <f ca="1">IFERROR(OFFSET(INDIRECT($H$3 &amp; "!A17"), 0, 0), "")</f>
        <v>도지코인</v>
      </c>
      <c r="L6" s="38">
        <f t="shared" ref="L6:L24" ca="1" si="0">_xlfn.IFNA(VLOOKUP(K6, $B$2:$E$200, 2, FALSE), "")</f>
        <v>700</v>
      </c>
      <c r="M6" s="76">
        <f t="shared" ref="M6:M25" ca="1" si="1">_xlfn.IFNA(VLOOKUP(K6, $B$2:$E$200, 3, FALSE), "")</f>
        <v>0.29870129870000001</v>
      </c>
      <c r="N6" s="85">
        <f ca="1">_xlfn.IFNA(VLOOKUP(K6, $B$2:$E$200, 4, FALSE), "")</f>
        <v>15221997909.566694</v>
      </c>
      <c r="O6" s="46" t="str">
        <f>INDEX($A$2:$D$200, MATCH(LARGE($D$2:$D$200, 1), $D$2:$D$200, 0), 2)</f>
        <v>도지코인</v>
      </c>
      <c r="P6" s="38">
        <f t="shared" ref="P6:P25" si="2">_xlfn.IFNA(VLOOKUP(O6, $B$2:$D$200, 2, FALSE), "")</f>
        <v>700</v>
      </c>
      <c r="Q6" s="76">
        <f t="shared" ref="Q6:Q25" si="3">_xlfn.IFNA(VLOOKUP(O6, $B$2:$D$200, 3, FALSE), "")</f>
        <v>0.29870129870000001</v>
      </c>
      <c r="R6" s="85">
        <f>_xlfn.IFNA(VLOOKUP(O6, $B$2:$E$200, 4, FALSE), "")</f>
        <v>15221997909.566694</v>
      </c>
    </row>
    <row r="7" spans="1:18">
      <c r="A7" s="40" t="s">
        <v>129</v>
      </c>
      <c r="B7" s="11" t="s">
        <v>130</v>
      </c>
      <c r="C7" s="95">
        <v>375750</v>
      </c>
      <c r="D7" s="92">
        <v>4.0282392E-2</v>
      </c>
      <c r="E7" s="93">
        <v>798291.59581815999</v>
      </c>
      <c r="F7" s="35"/>
      <c r="G7" s="213" t="s">
        <v>36</v>
      </c>
      <c r="H7" s="214"/>
      <c r="I7" s="215"/>
      <c r="K7" s="56" t="str">
        <f ca="1">IFERROR(OFFSET(INDIRECT($H$3 &amp; "!A17"), 1, 0), "")</f>
        <v>이더리움클래식</v>
      </c>
      <c r="L7" s="39">
        <f t="shared" ca="1" si="0"/>
        <v>75900</v>
      </c>
      <c r="M7" s="77">
        <f t="shared" ca="1" si="1"/>
        <v>0.19152276300000001</v>
      </c>
      <c r="N7" s="86">
        <f t="shared" ref="N7:N25" ca="1" si="4">_xlfn.IFNA(VLOOKUP(K7, $B$2:$E$200, 4, FALSE), "")</f>
        <v>57800110.600081652</v>
      </c>
      <c r="O7" s="47" t="str">
        <f>INDEX($A$2:$D$200, MATCH(LARGE($D$2:$D$200, 2), $D$2:$D$200, 0), 2)</f>
        <v>이더리움클래식</v>
      </c>
      <c r="P7" s="39">
        <f t="shared" si="2"/>
        <v>75900</v>
      </c>
      <c r="Q7" s="77">
        <f t="shared" si="3"/>
        <v>0.19152276300000001</v>
      </c>
      <c r="R7" s="86">
        <f t="shared" ref="R7:R25" si="5">_xlfn.IFNA(VLOOKUP(O7, $B$2:$E$200, 4, FALSE), "")</f>
        <v>57800110.600081652</v>
      </c>
    </row>
    <row r="8" spans="1:18" ht="17.25" thickBot="1">
      <c r="A8" s="40" t="s">
        <v>75</v>
      </c>
      <c r="B8" s="11" t="s">
        <v>76</v>
      </c>
      <c r="C8" s="95">
        <v>53500</v>
      </c>
      <c r="D8" s="92">
        <v>3.9642440700000003E-2</v>
      </c>
      <c r="E8" s="93">
        <v>3191315.1065706299</v>
      </c>
      <c r="F8" s="35"/>
      <c r="G8" s="206"/>
      <c r="H8" s="207"/>
      <c r="I8" s="208"/>
      <c r="K8" s="56" t="str">
        <f ca="1">IFERROR(OFFSET(INDIRECT($H$3 &amp; "!A17"), 2, 0), "")</f>
        <v>웨이브</v>
      </c>
      <c r="L8" s="39">
        <f t="shared" ca="1" si="0"/>
        <v>43300</v>
      </c>
      <c r="M8" s="77">
        <f t="shared" ca="1" si="1"/>
        <v>7.1251855500000003E-2</v>
      </c>
      <c r="N8" s="86">
        <f t="shared" ca="1" si="4"/>
        <v>25601582.347198851</v>
      </c>
      <c r="O8" s="47" t="str">
        <f>INDEX($A$2:$D$200, MATCH(LARGE($D$2:$D$200, 3), $D$2:$D$200, 0), 2)</f>
        <v>비트코인골드</v>
      </c>
      <c r="P8" s="39">
        <f t="shared" si="2"/>
        <v>126650</v>
      </c>
      <c r="Q8" s="77">
        <f t="shared" si="3"/>
        <v>7.5127334500000004E-2</v>
      </c>
      <c r="R8" s="86">
        <f t="shared" si="5"/>
        <v>4235396.9085976304</v>
      </c>
    </row>
    <row r="9" spans="1:18" ht="17.25" thickBot="1">
      <c r="A9" s="40" t="s">
        <v>205</v>
      </c>
      <c r="B9" s="11" t="s">
        <v>206</v>
      </c>
      <c r="C9" s="95">
        <v>39420</v>
      </c>
      <c r="D9" s="92">
        <v>2.92428198E-2</v>
      </c>
      <c r="E9" s="93">
        <v>8706337.5403885208</v>
      </c>
      <c r="F9" s="35"/>
      <c r="G9" s="9" t="s">
        <v>38</v>
      </c>
      <c r="H9" s="186" t="s">
        <v>37</v>
      </c>
      <c r="I9" s="187"/>
      <c r="K9" s="56" t="str">
        <f ca="1">IFERROR(OFFSET(INDIRECT($H$3 &amp; "!A17"), 3, 0), "")</f>
        <v>비트코인골드</v>
      </c>
      <c r="L9" s="39">
        <f t="shared" ca="1" si="0"/>
        <v>126650</v>
      </c>
      <c r="M9" s="77">
        <f t="shared" ca="1" si="1"/>
        <v>7.5127334500000004E-2</v>
      </c>
      <c r="N9" s="86">
        <f t="shared" ca="1" si="4"/>
        <v>4235396.9085976304</v>
      </c>
      <c r="O9" s="47" t="str">
        <f>INDEX($A$2:$D$200, MATCH(LARGE($D$2:$D$200, 4), $D$2:$D$200, 0), 2)</f>
        <v>웨이브</v>
      </c>
      <c r="P9" s="39">
        <f t="shared" si="2"/>
        <v>43300</v>
      </c>
      <c r="Q9" s="77">
        <f t="shared" si="3"/>
        <v>7.1251855500000003E-2</v>
      </c>
      <c r="R9" s="86">
        <f t="shared" si="5"/>
        <v>25601582.347198851</v>
      </c>
    </row>
    <row r="10" spans="1:18">
      <c r="A10" s="40" t="s">
        <v>107</v>
      </c>
      <c r="B10" s="11" t="s">
        <v>108</v>
      </c>
      <c r="C10" s="95">
        <v>52840</v>
      </c>
      <c r="D10" s="92">
        <v>8.3969466E-3</v>
      </c>
      <c r="E10" s="93">
        <v>2566254.8845163402</v>
      </c>
      <c r="F10" s="35"/>
      <c r="G10" s="231">
        <f>_xlfn.IFNA(VLOOKUP(G7, $B$2:$D$200, 3, FALSE), "-")</f>
        <v>-3.8730784599999998E-2</v>
      </c>
      <c r="H10" s="233">
        <f>_xlfn.IFNA(VLOOKUP(G7, $B$2:$D$200, 2, FALSE), "-")</f>
        <v>67285000</v>
      </c>
      <c r="I10" s="234"/>
      <c r="K10" s="58" t="str">
        <f ca="1">IFERROR(OFFSET(INDIRECT($H$3 &amp; "!A17"), 4, 0), "")</f>
        <v>플로우</v>
      </c>
      <c r="L10" s="44">
        <f t="shared" ca="1" si="0"/>
        <v>39420</v>
      </c>
      <c r="M10" s="78">
        <f t="shared" ca="1" si="1"/>
        <v>2.92428198E-2</v>
      </c>
      <c r="N10" s="90">
        <f t="shared" ca="1" si="4"/>
        <v>8706337.5403885208</v>
      </c>
      <c r="O10" s="47" t="str">
        <f>INDEX($A$2:$D$200, MATCH(LARGE($D$2:$D$200, 5), $D$2:$D$200, 0), 2)</f>
        <v>에스티피</v>
      </c>
      <c r="P10" s="39">
        <f t="shared" si="2"/>
        <v>104</v>
      </c>
      <c r="Q10" s="77">
        <f t="shared" si="3"/>
        <v>5.6910569100000002E-2</v>
      </c>
      <c r="R10" s="90">
        <f t="shared" si="5"/>
        <v>2042962763.0075088</v>
      </c>
    </row>
    <row r="11" spans="1:18" ht="17.25" thickBot="1">
      <c r="A11" s="40" t="s">
        <v>175</v>
      </c>
      <c r="B11" s="11" t="s">
        <v>176</v>
      </c>
      <c r="C11" s="95">
        <v>2560</v>
      </c>
      <c r="D11" s="92">
        <v>3.9215685999999996E-3</v>
      </c>
      <c r="E11" s="93">
        <v>51797912.93478059</v>
      </c>
      <c r="F11" s="35"/>
      <c r="G11" s="232"/>
      <c r="H11" s="235"/>
      <c r="I11" s="236"/>
      <c r="K11" s="56" t="str">
        <f ca="1">IFERROR(OFFSET(INDIRECT($H$3 &amp; "!A17"), 5, 0), "")</f>
        <v>라이트코인</v>
      </c>
      <c r="L11" s="39">
        <f t="shared" ca="1" si="0"/>
        <v>375750</v>
      </c>
      <c r="M11" s="77">
        <f t="shared" ca="1" si="1"/>
        <v>4.0282392E-2</v>
      </c>
      <c r="N11" s="99">
        <f t="shared" ca="1" si="4"/>
        <v>798291.59581815999</v>
      </c>
      <c r="O11" s="49" t="str">
        <f>INDEX($A$2:$D$200, MATCH(LARGE($D$2:$D$200, 6), $D$2:$D$200, 0), 2)</f>
        <v>라이트코인</v>
      </c>
      <c r="P11" s="45">
        <f t="shared" si="2"/>
        <v>375750</v>
      </c>
      <c r="Q11" s="80">
        <f t="shared" si="3"/>
        <v>4.0282392E-2</v>
      </c>
      <c r="R11" s="99">
        <f t="shared" si="5"/>
        <v>798291.59581815999</v>
      </c>
    </row>
    <row r="12" spans="1:18" ht="17.25" thickBot="1">
      <c r="A12" s="40" t="s">
        <v>275</v>
      </c>
      <c r="B12" s="11" t="s">
        <v>276</v>
      </c>
      <c r="C12" s="95">
        <v>4400</v>
      </c>
      <c r="D12" s="92">
        <v>-2.00445434E-2</v>
      </c>
      <c r="E12" s="93">
        <v>30434705.23678964</v>
      </c>
      <c r="F12" s="35"/>
      <c r="K12" s="56" t="str">
        <f ca="1">IFERROR(OFFSET(INDIRECT($H$3 &amp; "!A17"), 6, 0), "")</f>
        <v>에스티피</v>
      </c>
      <c r="L12" s="39">
        <f t="shared" ca="1" si="0"/>
        <v>104</v>
      </c>
      <c r="M12" s="77">
        <f t="shared" ca="1" si="1"/>
        <v>5.6910569100000002E-2</v>
      </c>
      <c r="N12" s="86">
        <f t="shared" ca="1" si="4"/>
        <v>2042962763.0075088</v>
      </c>
      <c r="O12" s="47" t="str">
        <f>INDEX($A$2:$D$200, MATCH(LARGE($D$2:$D$200, 7), $D$2:$D$200, 0), 2)</f>
        <v>체인링크</v>
      </c>
      <c r="P12" s="39">
        <f t="shared" si="2"/>
        <v>53500</v>
      </c>
      <c r="Q12" s="77">
        <f t="shared" si="3"/>
        <v>3.9642440700000003E-2</v>
      </c>
      <c r="R12" s="86">
        <f t="shared" si="5"/>
        <v>3191315.1065706299</v>
      </c>
    </row>
    <row r="13" spans="1:18" ht="17.25" thickBot="1">
      <c r="A13" s="40" t="s">
        <v>85</v>
      </c>
      <c r="B13" s="11" t="s">
        <v>86</v>
      </c>
      <c r="C13" s="95">
        <v>8095</v>
      </c>
      <c r="D13" s="92">
        <v>-2.9376498800000001E-2</v>
      </c>
      <c r="E13" s="93">
        <v>44601992.461616851</v>
      </c>
      <c r="F13" s="35"/>
      <c r="G13" s="185" t="s">
        <v>70</v>
      </c>
      <c r="H13" s="186"/>
      <c r="I13" s="187"/>
      <c r="K13" s="56" t="str">
        <f ca="1">IFERROR(OFFSET(INDIRECT($H$3 &amp; "!A17"), 7, 0), "")</f>
        <v>체인링크</v>
      </c>
      <c r="L13" s="39">
        <f t="shared" ca="1" si="0"/>
        <v>53500</v>
      </c>
      <c r="M13" s="77">
        <f t="shared" ca="1" si="1"/>
        <v>3.9642440700000003E-2</v>
      </c>
      <c r="N13" s="86">
        <f t="shared" ca="1" si="4"/>
        <v>3191315.1065706299</v>
      </c>
      <c r="O13" s="47" t="str">
        <f>INDEX($A$2:$D$200, MATCH(LARGE($D$2:$D$200, 8), $D$2:$D$200, 0), 2)</f>
        <v>플로우</v>
      </c>
      <c r="P13" s="39">
        <f t="shared" si="2"/>
        <v>39420</v>
      </c>
      <c r="Q13" s="77">
        <f t="shared" si="3"/>
        <v>2.92428198E-2</v>
      </c>
      <c r="R13" s="86">
        <f t="shared" si="5"/>
        <v>8706337.5403885208</v>
      </c>
    </row>
    <row r="14" spans="1:18">
      <c r="A14" s="40" t="s">
        <v>95</v>
      </c>
      <c r="B14" s="11" t="s">
        <v>96</v>
      </c>
      <c r="C14" s="95">
        <v>4089000</v>
      </c>
      <c r="D14" s="92">
        <v>-3.2418362499999999E-2</v>
      </c>
      <c r="E14" s="93">
        <v>521840.24492132</v>
      </c>
      <c r="F14" s="35"/>
      <c r="G14" s="213" t="s">
        <v>36</v>
      </c>
      <c r="H14" s="214"/>
      <c r="I14" s="215"/>
      <c r="K14" s="56" t="str">
        <f ca="1">IFERROR(OFFSET(INDIRECT($H$3 &amp; "!A17"), 8, 0), "")</f>
        <v>비트코인캐시에이비씨</v>
      </c>
      <c r="L14" s="39">
        <f t="shared" ca="1" si="0"/>
        <v>52840</v>
      </c>
      <c r="M14" s="77">
        <f t="shared" ca="1" si="1"/>
        <v>8.3969466E-3</v>
      </c>
      <c r="N14" s="86">
        <f t="shared" ca="1" si="4"/>
        <v>2566254.8845163402</v>
      </c>
      <c r="O14" s="47" t="str">
        <f>INDEX($A$2:$D$200, MATCH(LARGE($D$2:$D$200, 9), $D$2:$D$200, 0), 2)</f>
        <v>비트코인캐시에이비씨</v>
      </c>
      <c r="P14" s="39">
        <f t="shared" si="2"/>
        <v>52840</v>
      </c>
      <c r="Q14" s="77">
        <f t="shared" si="3"/>
        <v>8.3969466E-3</v>
      </c>
      <c r="R14" s="86">
        <f t="shared" si="5"/>
        <v>2566254.8845163402</v>
      </c>
    </row>
    <row r="15" spans="1:18" ht="17.25" thickBot="1">
      <c r="A15" s="40" t="s">
        <v>87</v>
      </c>
      <c r="B15" s="11" t="s">
        <v>88</v>
      </c>
      <c r="C15" s="95">
        <v>621</v>
      </c>
      <c r="D15" s="92">
        <v>-3.5714285700000001E-2</v>
      </c>
      <c r="E15" s="93">
        <v>360156089.74027359</v>
      </c>
      <c r="F15" s="35"/>
      <c r="G15" s="206"/>
      <c r="H15" s="207"/>
      <c r="I15" s="208"/>
      <c r="K15" s="57" t="str">
        <f ca="1">IFERROR(OFFSET(INDIRECT($H$3 &amp; "!A17"), 9, 0), "")</f>
        <v>스택스</v>
      </c>
      <c r="L15" s="37">
        <f t="shared" ca="1" si="0"/>
        <v>2560</v>
      </c>
      <c r="M15" s="79">
        <f t="shared" ca="1" si="1"/>
        <v>3.9215685999999996E-3</v>
      </c>
      <c r="N15" s="87">
        <f t="shared" ca="1" si="4"/>
        <v>51797912.93478059</v>
      </c>
      <c r="O15" s="48" t="str">
        <f>INDEX($A$2:$D$200, MATCH(LARGE($D$2:$D$200, 10), $D$2:$D$200, 0), 2)</f>
        <v>스택스</v>
      </c>
      <c r="P15" s="37">
        <f t="shared" si="2"/>
        <v>2560</v>
      </c>
      <c r="Q15" s="79">
        <f t="shared" si="3"/>
        <v>3.9215685999999996E-3</v>
      </c>
      <c r="R15" s="87">
        <f t="shared" si="5"/>
        <v>51797912.93478059</v>
      </c>
    </row>
    <row r="16" spans="1:18" ht="17.25" thickBot="1">
      <c r="A16" s="40" t="s">
        <v>48</v>
      </c>
      <c r="B16" s="11" t="s">
        <v>49</v>
      </c>
      <c r="C16" s="95">
        <v>67285000</v>
      </c>
      <c r="D16" s="92">
        <v>-3.8730784599999998E-2</v>
      </c>
      <c r="E16" s="93">
        <v>10663.891726379999</v>
      </c>
      <c r="F16" s="35"/>
      <c r="G16" s="9" t="s">
        <v>38</v>
      </c>
      <c r="H16" s="186" t="s">
        <v>37</v>
      </c>
      <c r="I16" s="187"/>
      <c r="K16" s="55" t="str">
        <f ca="1">IFERROR(OFFSET(INDIRECT($H$3 &amp; "!A17"), 10, 0), "")</f>
        <v>메인프레임</v>
      </c>
      <c r="L16" s="38">
        <f t="shared" ca="1" si="0"/>
        <v>22.1</v>
      </c>
      <c r="M16" s="76">
        <f t="shared" ca="1" si="1"/>
        <v>-3.9130434800000002E-2</v>
      </c>
      <c r="N16" s="85">
        <f t="shared" ca="1" si="4"/>
        <v>4779078030.8157892</v>
      </c>
      <c r="O16" s="46" t="str">
        <f>INDEX($A$2:$D$200, MATCH(LARGE($D$2:$D$200, 11), $D$2:$D$200, 0), 2)</f>
        <v>스트라티스</v>
      </c>
      <c r="P16" s="38">
        <f t="shared" si="2"/>
        <v>4400</v>
      </c>
      <c r="Q16" s="76">
        <f t="shared" si="3"/>
        <v>-2.00445434E-2</v>
      </c>
      <c r="R16" s="85">
        <f t="shared" si="5"/>
        <v>30434705.23678964</v>
      </c>
    </row>
    <row r="17" spans="1:18">
      <c r="A17" s="40" t="s">
        <v>219</v>
      </c>
      <c r="B17" s="11" t="s">
        <v>220</v>
      </c>
      <c r="C17" s="95">
        <v>22.1</v>
      </c>
      <c r="D17" s="92">
        <v>-3.9130434800000002E-2</v>
      </c>
      <c r="E17" s="93">
        <v>4779078030.8157892</v>
      </c>
      <c r="F17" s="35"/>
      <c r="G17" s="231">
        <f>_xlfn.IFNA(VLOOKUP(G14, $B$2:$D$200, 3, FALSE), "-")</f>
        <v>-3.8730784599999998E-2</v>
      </c>
      <c r="H17" s="233">
        <f>_xlfn.IFNA(VLOOKUP(G14, $B$2:$D$200, 2, FALSE), "-")</f>
        <v>67285000</v>
      </c>
      <c r="I17" s="234"/>
      <c r="K17" s="56" t="str">
        <f ca="1">IFERROR(OFFSET(INDIRECT($H$3 &amp; "!A17"), 11, 0), "")</f>
        <v>스트라티스</v>
      </c>
      <c r="L17" s="39">
        <f t="shared" ca="1" si="0"/>
        <v>4400</v>
      </c>
      <c r="M17" s="77">
        <f t="shared" ca="1" si="1"/>
        <v>-2.00445434E-2</v>
      </c>
      <c r="N17" s="86">
        <f t="shared" ca="1" si="4"/>
        <v>30434705.23678964</v>
      </c>
      <c r="O17" s="47" t="str">
        <f>INDEX($A$2:$D$200, MATCH(LARGE($D$2:$D$200, 12), $D$2:$D$200, 0), 2)</f>
        <v>이오스</v>
      </c>
      <c r="P17" s="39">
        <f t="shared" si="2"/>
        <v>8095</v>
      </c>
      <c r="Q17" s="77">
        <f t="shared" si="3"/>
        <v>-2.9376498800000001E-2</v>
      </c>
      <c r="R17" s="86">
        <f t="shared" si="5"/>
        <v>44601992.461616851</v>
      </c>
    </row>
    <row r="18" spans="1:18" ht="17.25" thickBot="1">
      <c r="A18" s="40" t="s">
        <v>143</v>
      </c>
      <c r="B18" s="11" t="s">
        <v>144</v>
      </c>
      <c r="C18" s="95">
        <v>11030</v>
      </c>
      <c r="D18" s="92">
        <v>-4.0869565199999999E-2</v>
      </c>
      <c r="E18" s="93">
        <v>18819353.868970461</v>
      </c>
      <c r="F18" s="35"/>
      <c r="G18" s="232"/>
      <c r="H18" s="235"/>
      <c r="I18" s="236"/>
      <c r="K18" s="56" t="str">
        <f ca="1">IFERROR(OFFSET(INDIRECT($H$3 &amp; "!A17"), 12, 0), "")</f>
        <v>오미세고</v>
      </c>
      <c r="L18" s="39">
        <f t="shared" ca="1" si="0"/>
        <v>11030</v>
      </c>
      <c r="M18" s="77">
        <f t="shared" ca="1" si="1"/>
        <v>-4.0869565199999999E-2</v>
      </c>
      <c r="N18" s="86">
        <f t="shared" ca="1" si="4"/>
        <v>18819353.868970461</v>
      </c>
      <c r="O18" s="47" t="str">
        <f>INDEX($A$2:$D$200, MATCH(LARGE($D$2:$D$200, 13), $D$2:$D$200, 0), 2)</f>
        <v>이더리움</v>
      </c>
      <c r="P18" s="39">
        <f t="shared" si="2"/>
        <v>4089000</v>
      </c>
      <c r="Q18" s="77">
        <f t="shared" si="3"/>
        <v>-3.2418362499999999E-2</v>
      </c>
      <c r="R18" s="86">
        <f t="shared" si="5"/>
        <v>521840.24492132</v>
      </c>
    </row>
    <row r="19" spans="1:18" ht="17.25" thickBot="1">
      <c r="A19" s="40" t="s">
        <v>83</v>
      </c>
      <c r="B19" s="11" t="s">
        <v>84</v>
      </c>
      <c r="C19" s="95">
        <v>1600</v>
      </c>
      <c r="D19" s="92">
        <v>-4.19161677E-2</v>
      </c>
      <c r="E19" s="93">
        <v>56532185.047786228</v>
      </c>
      <c r="F19" s="35"/>
      <c r="K19" s="56" t="str">
        <f ca="1">IFERROR(OFFSET(INDIRECT($H$3 &amp; "!A17"), 13, 0), "")</f>
        <v>비트코인에스브이</v>
      </c>
      <c r="L19" s="39">
        <f t="shared" ca="1" si="0"/>
        <v>410400</v>
      </c>
      <c r="M19" s="77">
        <f t="shared" ca="1" si="1"/>
        <v>-8.7594486400000005E-2</v>
      </c>
      <c r="N19" s="86">
        <f t="shared" ca="1" si="4"/>
        <v>159143.39119145999</v>
      </c>
      <c r="O19" s="47" t="str">
        <f>INDEX($A$2:$D$200, MATCH(LARGE($D$2:$D$200, 14), $D$2:$D$200, 0), 2)</f>
        <v>칠리즈</v>
      </c>
      <c r="P19" s="39">
        <f t="shared" si="2"/>
        <v>621</v>
      </c>
      <c r="Q19" s="77">
        <f t="shared" si="3"/>
        <v>-3.5714285700000001E-2</v>
      </c>
      <c r="R19" s="86">
        <f t="shared" si="5"/>
        <v>360156089.74027359</v>
      </c>
    </row>
    <row r="20" spans="1:18" ht="17.25" thickBot="1">
      <c r="A20" s="40" t="s">
        <v>77</v>
      </c>
      <c r="B20" s="11" t="s">
        <v>78</v>
      </c>
      <c r="C20" s="95">
        <v>1193000</v>
      </c>
      <c r="D20" s="92">
        <v>-4.2920176499999997E-2</v>
      </c>
      <c r="E20" s="93">
        <v>266558.88278411998</v>
      </c>
      <c r="F20" s="35"/>
      <c r="G20" s="185" t="s">
        <v>286</v>
      </c>
      <c r="H20" s="186"/>
      <c r="I20" s="187"/>
      <c r="K20" s="58" t="str">
        <f ca="1">IFERROR(OFFSET(INDIRECT($H$3 &amp; "!A17"), 14, 0), "")</f>
        <v>이오스</v>
      </c>
      <c r="L20" s="44">
        <f t="shared" ca="1" si="0"/>
        <v>8095</v>
      </c>
      <c r="M20" s="78">
        <f t="shared" ca="1" si="1"/>
        <v>-2.9376498800000001E-2</v>
      </c>
      <c r="N20" s="90">
        <f t="shared" ca="1" si="4"/>
        <v>44601992.461616851</v>
      </c>
      <c r="O20" s="47" t="str">
        <f>INDEX($A$2:$D$200, MATCH(LARGE($D$2:$D$200, 15), $D$2:$D$200, 0), 2)</f>
        <v>비트코인</v>
      </c>
      <c r="P20" s="39">
        <f t="shared" si="2"/>
        <v>67285000</v>
      </c>
      <c r="Q20" s="77">
        <f t="shared" si="3"/>
        <v>-3.8730784599999998E-2</v>
      </c>
      <c r="R20" s="90">
        <f t="shared" si="5"/>
        <v>10663.891726379999</v>
      </c>
    </row>
    <row r="21" spans="1:18">
      <c r="A21" s="40" t="s">
        <v>73</v>
      </c>
      <c r="B21" s="11" t="s">
        <v>74</v>
      </c>
      <c r="C21" s="95">
        <v>26820</v>
      </c>
      <c r="D21" s="92">
        <v>-4.6569498799999998E-2</v>
      </c>
      <c r="E21" s="93">
        <v>1118426.53240365</v>
      </c>
      <c r="F21" s="35"/>
      <c r="G21" s="213" t="s">
        <v>36</v>
      </c>
      <c r="H21" s="214"/>
      <c r="I21" s="215"/>
      <c r="K21" s="56" t="str">
        <f ca="1">IFERROR(OFFSET(INDIRECT($H$3 &amp; "!A17"), 15, 0), "")</f>
        <v>이더리움</v>
      </c>
      <c r="L21" s="39">
        <f t="shared" ca="1" si="0"/>
        <v>4089000</v>
      </c>
      <c r="M21" s="77">
        <f t="shared" ca="1" si="1"/>
        <v>-3.2418362499999999E-2</v>
      </c>
      <c r="N21" s="99">
        <f t="shared" ca="1" si="4"/>
        <v>521840.24492132</v>
      </c>
      <c r="O21" s="49" t="str">
        <f>INDEX($A$2:$D$200, MATCH(LARGE($D$2:$D$200, 16), $D$2:$D$200, 0), 2)</f>
        <v>메인프레임</v>
      </c>
      <c r="P21" s="45">
        <f t="shared" si="2"/>
        <v>22.1</v>
      </c>
      <c r="Q21" s="80">
        <f t="shared" si="3"/>
        <v>-3.9130434800000002E-2</v>
      </c>
      <c r="R21" s="99">
        <f t="shared" si="5"/>
        <v>4779078030.8157892</v>
      </c>
    </row>
    <row r="22" spans="1:18" ht="17.25" thickBot="1">
      <c r="A22" s="40" t="s">
        <v>137</v>
      </c>
      <c r="B22" s="11" t="s">
        <v>138</v>
      </c>
      <c r="C22" s="95">
        <v>43510</v>
      </c>
      <c r="D22" s="92">
        <v>-4.89617486E-2</v>
      </c>
      <c r="E22" s="93">
        <v>1592431.24540231</v>
      </c>
      <c r="F22" s="35"/>
      <c r="G22" s="206"/>
      <c r="H22" s="207"/>
      <c r="I22" s="208"/>
      <c r="K22" s="56" t="str">
        <f ca="1">IFERROR(OFFSET(INDIRECT($H$3 &amp; "!A17"), 16, 0), "")</f>
        <v>비트코인캐시</v>
      </c>
      <c r="L22" s="39">
        <f t="shared" ca="1" si="0"/>
        <v>1193000</v>
      </c>
      <c r="M22" s="77">
        <f t="shared" ca="1" si="1"/>
        <v>-4.2920176499999997E-2</v>
      </c>
      <c r="N22" s="86">
        <f t="shared" ca="1" si="4"/>
        <v>266558.88278411998</v>
      </c>
      <c r="O22" s="47" t="str">
        <f>INDEX($A$2:$D$200, MATCH(LARGE($D$2:$D$200, 17), $D$2:$D$200, 0), 2)</f>
        <v>오미세고</v>
      </c>
      <c r="P22" s="39">
        <f t="shared" si="2"/>
        <v>11030</v>
      </c>
      <c r="Q22" s="77">
        <f t="shared" si="3"/>
        <v>-4.0869565199999999E-2</v>
      </c>
      <c r="R22" s="86">
        <f t="shared" si="5"/>
        <v>18819353.868970461</v>
      </c>
    </row>
    <row r="23" spans="1:18" ht="17.25" thickBot="1">
      <c r="A23" s="40" t="s">
        <v>241</v>
      </c>
      <c r="B23" s="11" t="s">
        <v>242</v>
      </c>
      <c r="C23" s="95">
        <v>6895</v>
      </c>
      <c r="D23" s="92">
        <v>-5.0275482099999998E-2</v>
      </c>
      <c r="E23" s="93">
        <v>7902564.9621542301</v>
      </c>
      <c r="F23" s="35"/>
      <c r="G23" s="9" t="s">
        <v>38</v>
      </c>
      <c r="H23" s="186" t="s">
        <v>37</v>
      </c>
      <c r="I23" s="187"/>
      <c r="K23" s="56" t="str">
        <f ca="1">IFERROR(OFFSET(INDIRECT($H$3 &amp; "!A17"), 17, 0), "")</f>
        <v>코스모스</v>
      </c>
      <c r="L23" s="39">
        <f t="shared" ca="1" si="0"/>
        <v>26820</v>
      </c>
      <c r="M23" s="77">
        <f t="shared" ca="1" si="1"/>
        <v>-4.6569498799999998E-2</v>
      </c>
      <c r="N23" s="86">
        <f t="shared" ca="1" si="4"/>
        <v>1118426.53240365</v>
      </c>
      <c r="O23" s="47" t="str">
        <f>INDEX($A$2:$D$200, MATCH(LARGE($D$2:$D$200, 18), $D$2:$D$200, 0), 2)</f>
        <v>에이다</v>
      </c>
      <c r="P23" s="39">
        <f t="shared" si="2"/>
        <v>1600</v>
      </c>
      <c r="Q23" s="77">
        <f t="shared" si="3"/>
        <v>-4.19161677E-2</v>
      </c>
      <c r="R23" s="86">
        <f t="shared" si="5"/>
        <v>56532185.047786228</v>
      </c>
    </row>
    <row r="24" spans="1:18">
      <c r="A24" s="40" t="s">
        <v>97</v>
      </c>
      <c r="B24" s="11" t="s">
        <v>98</v>
      </c>
      <c r="C24" s="95">
        <v>6955</v>
      </c>
      <c r="D24" s="92">
        <v>-5.4384772300000002E-2</v>
      </c>
      <c r="E24" s="93">
        <v>6472545.6704161298</v>
      </c>
      <c r="F24" s="35"/>
      <c r="G24" s="231">
        <f>_xlfn.IFNA(VLOOKUP(G21, $B$2:$D$200, 3, FALSE), "-")</f>
        <v>-3.8730784599999998E-2</v>
      </c>
      <c r="H24" s="233">
        <f>_xlfn.IFNA(VLOOKUP(G21, $B$2:$D$200, 2, FALSE), "-")</f>
        <v>67285000</v>
      </c>
      <c r="I24" s="234"/>
      <c r="K24" s="56" t="str">
        <f ca="1">IFERROR(OFFSET(INDIRECT($H$3 &amp; "!A17"), 18, 0), "")</f>
        <v>리스크</v>
      </c>
      <c r="L24" s="39">
        <f t="shared" ca="1" si="0"/>
        <v>6895</v>
      </c>
      <c r="M24" s="77">
        <f t="shared" ca="1" si="1"/>
        <v>-5.0275482099999998E-2</v>
      </c>
      <c r="N24" s="86">
        <f t="shared" ca="1" si="4"/>
        <v>7902564.9621542301</v>
      </c>
      <c r="O24" s="47" t="str">
        <f>INDEX($A$2:$D$200, MATCH(LARGE($D$2:$D$200, 19), $D$2:$D$200, 0), 2)</f>
        <v>비트코인캐시</v>
      </c>
      <c r="P24" s="39">
        <f t="shared" si="2"/>
        <v>1193000</v>
      </c>
      <c r="Q24" s="77">
        <f t="shared" si="3"/>
        <v>-4.2920176499999997E-2</v>
      </c>
      <c r="R24" s="86">
        <f t="shared" si="5"/>
        <v>266558.88278411998</v>
      </c>
    </row>
    <row r="25" spans="1:18" ht="17.25" thickBot="1">
      <c r="A25" s="40" t="s">
        <v>135</v>
      </c>
      <c r="B25" s="11" t="s">
        <v>136</v>
      </c>
      <c r="C25" s="95">
        <v>244</v>
      </c>
      <c r="D25" s="92">
        <v>-5.7915057899999997E-2</v>
      </c>
      <c r="E25" s="93">
        <v>92394657.933236673</v>
      </c>
      <c r="F25" s="35"/>
      <c r="G25" s="232"/>
      <c r="H25" s="235"/>
      <c r="I25" s="236"/>
      <c r="K25" s="57" t="str">
        <f ca="1">IFERROR(OFFSET(INDIRECT($H$3 &amp; "!A17"), 19, 0), "")</f>
        <v>테조스</v>
      </c>
      <c r="L25" s="37">
        <f t="shared" ref="L25" ca="1" si="6">_xlfn.IFNA(VLOOKUP(K25, $B$2:$D$200, 2, FALSE), "")</f>
        <v>6955</v>
      </c>
      <c r="M25" s="79">
        <f t="shared" ca="1" si="1"/>
        <v>-5.4384772300000002E-2</v>
      </c>
      <c r="N25" s="87">
        <f t="shared" ca="1" si="4"/>
        <v>6472545.6704161298</v>
      </c>
      <c r="O25" s="48" t="str">
        <f>INDEX($A$2:$D$200, MATCH(LARGE($D$2:$D$200, 20), $D$2:$D$200, 0), 2)</f>
        <v>코스모스</v>
      </c>
      <c r="P25" s="37">
        <f t="shared" si="2"/>
        <v>26820</v>
      </c>
      <c r="Q25" s="79">
        <f t="shared" si="3"/>
        <v>-4.6569498799999998E-2</v>
      </c>
      <c r="R25" s="87">
        <f t="shared" si="5"/>
        <v>1118426.53240365</v>
      </c>
    </row>
    <row r="26" spans="1:18">
      <c r="A26" s="40" t="s">
        <v>99</v>
      </c>
      <c r="B26" s="11" t="s">
        <v>100</v>
      </c>
      <c r="C26" s="95">
        <v>7.98</v>
      </c>
      <c r="D26" s="92">
        <v>-6.2279671000000002E-2</v>
      </c>
      <c r="E26" s="93">
        <v>60540070390.56205</v>
      </c>
      <c r="F26" s="35"/>
    </row>
    <row r="27" spans="1:18" ht="17.25" thickBot="1">
      <c r="A27" s="40" t="s">
        <v>103</v>
      </c>
      <c r="B27" s="11" t="s">
        <v>104</v>
      </c>
      <c r="C27" s="95">
        <v>2215</v>
      </c>
      <c r="D27" s="92">
        <v>-6.7368421100000006E-2</v>
      </c>
      <c r="E27" s="93">
        <v>21924858.755907241</v>
      </c>
      <c r="F27" s="35"/>
    </row>
    <row r="28" spans="1:18" ht="17.25" thickBot="1">
      <c r="A28" s="40" t="s">
        <v>277</v>
      </c>
      <c r="B28" s="11" t="s">
        <v>278</v>
      </c>
      <c r="C28" s="95">
        <v>151</v>
      </c>
      <c r="D28" s="92">
        <v>-6.7901234599999999E-2</v>
      </c>
      <c r="E28" s="93">
        <v>164945840.8227582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68</v>
      </c>
      <c r="B29" s="11" t="s">
        <v>69</v>
      </c>
      <c r="C29" s="95">
        <v>13330</v>
      </c>
      <c r="D29" s="92">
        <v>-6.9134078200000004E-2</v>
      </c>
      <c r="E29" s="93">
        <v>14951105.301074009</v>
      </c>
      <c r="F29" s="35"/>
      <c r="G29" s="222" t="s">
        <v>55</v>
      </c>
      <c r="H29" s="238">
        <f ca="1">NOW()</f>
        <v>44321.102619791665</v>
      </c>
      <c r="I29" s="239"/>
      <c r="J29" s="240"/>
      <c r="K29" s="237" t="s">
        <v>55</v>
      </c>
      <c r="L29" s="238">
        <f ca="1">NOW()</f>
        <v>44321.102619791665</v>
      </c>
      <c r="M29" s="239"/>
      <c r="N29" s="240"/>
      <c r="O29" s="237" t="s">
        <v>55</v>
      </c>
      <c r="P29" s="238">
        <f ca="1">NOW()</f>
        <v>44321.102619791665</v>
      </c>
      <c r="Q29" s="239"/>
      <c r="R29" s="240"/>
    </row>
    <row r="30" spans="1:18" ht="17.25" thickBot="1">
      <c r="A30" s="40" t="s">
        <v>157</v>
      </c>
      <c r="B30" s="11" t="s">
        <v>158</v>
      </c>
      <c r="C30" s="95">
        <v>10500</v>
      </c>
      <c r="D30" s="92">
        <v>-7.0796460199999994E-2</v>
      </c>
      <c r="E30" s="93">
        <v>10566750.749514069</v>
      </c>
      <c r="F30" s="35"/>
      <c r="G30" s="230"/>
      <c r="H30" s="36" t="s">
        <v>58</v>
      </c>
      <c r="I30" s="73" t="s">
        <v>59</v>
      </c>
      <c r="J30" s="69" t="s">
        <v>294</v>
      </c>
      <c r="K30" s="230"/>
      <c r="L30" s="36" t="s">
        <v>58</v>
      </c>
      <c r="M30" s="73" t="s">
        <v>59</v>
      </c>
      <c r="N30" s="69" t="s">
        <v>294</v>
      </c>
      <c r="O30" s="230"/>
      <c r="P30" s="36" t="s">
        <v>58</v>
      </c>
      <c r="Q30" s="73" t="s">
        <v>59</v>
      </c>
      <c r="R30" s="69" t="s">
        <v>294</v>
      </c>
    </row>
    <row r="31" spans="1:18">
      <c r="A31" s="40" t="s">
        <v>50</v>
      </c>
      <c r="B31" s="11" t="s">
        <v>51</v>
      </c>
      <c r="C31" s="95">
        <v>628</v>
      </c>
      <c r="D31" s="92">
        <v>-7.1005917200000004E-2</v>
      </c>
      <c r="E31" s="93">
        <v>91046313.569642633</v>
      </c>
      <c r="F31" s="35"/>
      <c r="G31" s="55" t="str">
        <f ca="1">IFERROR(OFFSET(INDIRECT($H$3 &amp; "!A98"), 0, 0), "")</f>
        <v>도지코인</v>
      </c>
      <c r="H31" s="38">
        <f t="shared" ref="H31:H50" ca="1" si="7">_xlfn.IFNA(VLOOKUP(G31, $B$2:$D$200, 2, FALSE), "")</f>
        <v>700</v>
      </c>
      <c r="I31" s="76">
        <f t="shared" ref="I31:I50" ca="1" si="8">_xlfn.IFNA(VLOOKUP(G31, $B$2:$D$200, 3, FALSE), "")</f>
        <v>0.29870129870000001</v>
      </c>
      <c r="J31" s="85">
        <f ca="1">_xlfn.IFNA(VLOOKUP(G31, $B$2:$E$200, 4, FALSE), "")</f>
        <v>15221997909.566694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22.1</v>
      </c>
      <c r="M31" s="76">
        <f t="shared" ref="M31:M50" ca="1" si="10">_xlfn.IFNA(VLOOKUP(K31, $B$2:$D$200, 3, FALSE), "")</f>
        <v>-3.9130434800000002E-2</v>
      </c>
      <c r="N31" s="85">
        <f ca="1">_xlfn.IFNA(VLOOKUP(K31, $B$2:$E$200, 4, FALSE), "")</f>
        <v>4779078030.8157892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700</v>
      </c>
      <c r="Q31" s="76">
        <f t="shared" ref="Q31:Q50" ca="1" si="12">_xlfn.IFNA(VLOOKUP(O31, $B$2:$D$200, 3, FALSE), "")</f>
        <v>0.29870129870000001</v>
      </c>
      <c r="R31" s="85">
        <f ca="1">_xlfn.IFNA(VLOOKUP(O31, $B$2:$E$200, 4, FALSE), "")</f>
        <v>15221997909.566694</v>
      </c>
    </row>
    <row r="32" spans="1:18">
      <c r="A32" s="40" t="s">
        <v>147</v>
      </c>
      <c r="B32" s="11" t="s">
        <v>148</v>
      </c>
      <c r="C32" s="95">
        <v>195</v>
      </c>
      <c r="D32" s="92">
        <v>-7.1428571400000002E-2</v>
      </c>
      <c r="E32" s="93">
        <v>303529383.78566056</v>
      </c>
      <c r="F32" s="35"/>
      <c r="G32" s="56" t="str">
        <f ca="1">IFERROR(OFFSET(INDIRECT($H$3 &amp; "!A98"), 1, 0), "")</f>
        <v>이더리움클래식</v>
      </c>
      <c r="H32" s="39">
        <f t="shared" ca="1" si="7"/>
        <v>75900</v>
      </c>
      <c r="I32" s="77">
        <f t="shared" ca="1" si="8"/>
        <v>0.19152276300000001</v>
      </c>
      <c r="J32" s="86">
        <f t="shared" ref="J32:J50" ca="1" si="13">_xlfn.IFNA(VLOOKUP(G32, $B$2:$E$200, 4, FALSE), "")</f>
        <v>57800110.600081652</v>
      </c>
      <c r="K32" s="56" t="str">
        <f ca="1">IFERROR(OFFSET(INDIRECT($H$3 &amp; "!A44"), 1, 0), "")</f>
        <v>캐리프로토콜</v>
      </c>
      <c r="L32" s="39">
        <f t="shared" ca="1" si="9"/>
        <v>21.9</v>
      </c>
      <c r="M32" s="77">
        <f t="shared" ca="1" si="10"/>
        <v>-8.7499999999999994E-2</v>
      </c>
      <c r="N32" s="86">
        <f t="shared" ref="N32:N50" ca="1" si="14">_xlfn.IFNA(VLOOKUP(K32, $B$2:$E$200, 4, FALSE), "")</f>
        <v>2604542927.6079464</v>
      </c>
      <c r="O32" s="56" t="str">
        <f ca="1">IFERROR(OFFSET(INDIRECT($H$3 &amp; "!A71"), 1, 0), "")</f>
        <v>에스티피</v>
      </c>
      <c r="P32" s="39">
        <f t="shared" ca="1" si="11"/>
        <v>104</v>
      </c>
      <c r="Q32" s="77">
        <f t="shared" ca="1" si="12"/>
        <v>5.6910569100000002E-2</v>
      </c>
      <c r="R32" s="86">
        <f t="shared" ref="R32:R50" ca="1" si="15">_xlfn.IFNA(VLOOKUP(O32, $B$2:$E$200, 4, FALSE), "")</f>
        <v>2042962763.0075088</v>
      </c>
    </row>
    <row r="33" spans="1:18">
      <c r="A33" s="40" t="s">
        <v>155</v>
      </c>
      <c r="B33" s="11" t="s">
        <v>156</v>
      </c>
      <c r="C33" s="95">
        <v>150</v>
      </c>
      <c r="D33" s="92">
        <v>-7.4074074099999998E-2</v>
      </c>
      <c r="E33" s="93">
        <v>843762580.66640401</v>
      </c>
      <c r="F33" s="35"/>
      <c r="G33" s="56" t="str">
        <f ca="1">IFERROR(OFFSET(INDIRECT($H$3 &amp; "!A98"), 2, 0), "")</f>
        <v>웨이브</v>
      </c>
      <c r="H33" s="39">
        <f t="shared" ca="1" si="7"/>
        <v>43300</v>
      </c>
      <c r="I33" s="77">
        <f t="shared" ca="1" si="8"/>
        <v>7.1251855500000003E-2</v>
      </c>
      <c r="J33" s="86">
        <f t="shared" ca="1" si="13"/>
        <v>25601582.347198851</v>
      </c>
      <c r="K33" s="56" t="str">
        <f ca="1">IFERROR(OFFSET(INDIRECT($H$3 &amp; "!A44"), 2, 0), "")</f>
        <v>비트토렌트</v>
      </c>
      <c r="L33" s="39">
        <f t="shared" ca="1" si="9"/>
        <v>7.98</v>
      </c>
      <c r="M33" s="77">
        <f t="shared" ca="1" si="10"/>
        <v>-6.2279671000000002E-2</v>
      </c>
      <c r="N33" s="86">
        <f t="shared" ca="1" si="14"/>
        <v>60540070390.56205</v>
      </c>
      <c r="O33" s="56" t="str">
        <f ca="1">IFERROR(OFFSET(INDIRECT($H$3 &amp; "!A71"), 2, 0), "")</f>
        <v>질리카</v>
      </c>
      <c r="P33" s="39">
        <f t="shared" ca="1" si="11"/>
        <v>244</v>
      </c>
      <c r="Q33" s="77">
        <f t="shared" ca="1" si="12"/>
        <v>-5.7915057899999997E-2</v>
      </c>
      <c r="R33" s="86">
        <f t="shared" ca="1" si="15"/>
        <v>92394657.933236673</v>
      </c>
    </row>
    <row r="34" spans="1:18">
      <c r="A34" s="40" t="s">
        <v>56</v>
      </c>
      <c r="B34" s="11" t="s">
        <v>57</v>
      </c>
      <c r="C34" s="95">
        <v>392</v>
      </c>
      <c r="D34" s="92">
        <v>-7.5471698099999998E-2</v>
      </c>
      <c r="E34" s="93">
        <v>167446014.36914906</v>
      </c>
      <c r="F34" s="35"/>
      <c r="G34" s="56" t="str">
        <f ca="1">IFERROR(OFFSET(INDIRECT($H$3 &amp; "!A98"), 3, 0), "")</f>
        <v>비트코인골드</v>
      </c>
      <c r="H34" s="39">
        <f t="shared" ca="1" si="7"/>
        <v>126650</v>
      </c>
      <c r="I34" s="77">
        <f t="shared" ca="1" si="8"/>
        <v>7.5127334500000004E-2</v>
      </c>
      <c r="J34" s="86">
        <f t="shared" ca="1" si="13"/>
        <v>4235396.9085976304</v>
      </c>
      <c r="K34" s="56" t="str">
        <f ca="1">IFERROR(OFFSET(INDIRECT($H$3 &amp; "!A44"), 3, 0), "")</f>
        <v>썬더토큰</v>
      </c>
      <c r="L34" s="39">
        <f t="shared" ca="1" si="9"/>
        <v>20.7</v>
      </c>
      <c r="M34" s="77">
        <f t="shared" ca="1" si="10"/>
        <v>-8.81057269E-2</v>
      </c>
      <c r="N34" s="86">
        <f t="shared" ca="1" si="14"/>
        <v>1221108286.8536246</v>
      </c>
      <c r="O34" s="56" t="str">
        <f ca="1">IFERROR(OFFSET(INDIRECT($H$3 &amp; "!A71"), 3, 0), "")</f>
        <v>칠리즈</v>
      </c>
      <c r="P34" s="39">
        <f t="shared" ca="1" si="11"/>
        <v>621</v>
      </c>
      <c r="Q34" s="77">
        <f t="shared" ca="1" si="12"/>
        <v>-3.5714285700000001E-2</v>
      </c>
      <c r="R34" s="86">
        <f t="shared" ca="1" si="15"/>
        <v>360156089.74027359</v>
      </c>
    </row>
    <row r="35" spans="1:18">
      <c r="A35" s="40" t="s">
        <v>127</v>
      </c>
      <c r="B35" s="11" t="s">
        <v>128</v>
      </c>
      <c r="C35" s="95">
        <v>660</v>
      </c>
      <c r="D35" s="92">
        <v>-7.5630252100000003E-2</v>
      </c>
      <c r="E35" s="93">
        <v>28025973.51633301</v>
      </c>
      <c r="F35" s="35"/>
      <c r="G35" s="58" t="str">
        <f ca="1">IFERROR(OFFSET(INDIRECT($H$3 &amp; "!A98"), 4, 0), "")</f>
        <v>플로우</v>
      </c>
      <c r="H35" s="44">
        <f t="shared" ca="1" si="7"/>
        <v>39420</v>
      </c>
      <c r="I35" s="78">
        <f t="shared" ca="1" si="8"/>
        <v>2.92428198E-2</v>
      </c>
      <c r="J35" s="90">
        <f t="shared" ca="1" si="13"/>
        <v>8706337.5403885208</v>
      </c>
      <c r="K35" s="58" t="str">
        <f ca="1">IFERROR(OFFSET(INDIRECT($H$3 &amp; "!A44"), 4, 0), "")</f>
        <v>아이오에스티</v>
      </c>
      <c r="L35" s="44">
        <f t="shared" ca="1" si="9"/>
        <v>71.7</v>
      </c>
      <c r="M35" s="78">
        <f t="shared" ca="1" si="10"/>
        <v>-9.2405063300000007E-2</v>
      </c>
      <c r="N35" s="90">
        <f t="shared" ca="1" si="14"/>
        <v>238581094.36801672</v>
      </c>
      <c r="O35" s="58" t="str">
        <f ca="1">IFERROR(OFFSET(INDIRECT($H$3 &amp; "!A71"), 4, 0), "")</f>
        <v>샌드박스</v>
      </c>
      <c r="P35" s="44">
        <f t="shared" ca="1" si="11"/>
        <v>739</v>
      </c>
      <c r="Q35" s="78">
        <f t="shared" ca="1" si="12"/>
        <v>-8.0845771100000005E-2</v>
      </c>
      <c r="R35" s="90">
        <f t="shared" ca="1" si="15"/>
        <v>246607444.55625275</v>
      </c>
    </row>
    <row r="36" spans="1:18">
      <c r="A36" s="40" t="s">
        <v>117</v>
      </c>
      <c r="B36" s="11" t="s">
        <v>118</v>
      </c>
      <c r="C36" s="95">
        <v>7190</v>
      </c>
      <c r="D36" s="92">
        <v>-7.5835475599999994E-2</v>
      </c>
      <c r="E36" s="93">
        <v>6244234.8985996898</v>
      </c>
      <c r="F36" s="35"/>
      <c r="G36" s="56" t="str">
        <f ca="1">IFERROR(OFFSET(INDIRECT($H$3 &amp; "!A98"), 5, 0), "")</f>
        <v>라이트코인</v>
      </c>
      <c r="H36" s="39">
        <f t="shared" ca="1" si="7"/>
        <v>375750</v>
      </c>
      <c r="I36" s="77">
        <f t="shared" ca="1" si="8"/>
        <v>4.0282392E-2</v>
      </c>
      <c r="J36" s="99">
        <f t="shared" ca="1" si="13"/>
        <v>798291.59581815999</v>
      </c>
      <c r="K36" s="56" t="str">
        <f ca="1">IFERROR(OFFSET(INDIRECT($H$3 &amp; "!A44"), 5, 0), "")</f>
        <v>퀴즈톡</v>
      </c>
      <c r="L36" s="39">
        <f t="shared" ca="1" si="9"/>
        <v>91</v>
      </c>
      <c r="M36" s="77">
        <f t="shared" ca="1" si="10"/>
        <v>-0.09</v>
      </c>
      <c r="N36" s="99">
        <f t="shared" ca="1" si="14"/>
        <v>336685361.58089197</v>
      </c>
      <c r="O36" s="56" t="str">
        <f ca="1">IFERROR(OFFSET(INDIRECT($H$3 &amp; "!A71"), 5, 0), "")</f>
        <v>스텔라루멘</v>
      </c>
      <c r="P36" s="39">
        <f t="shared" ca="1" si="11"/>
        <v>628</v>
      </c>
      <c r="Q36" s="77">
        <f t="shared" ca="1" si="12"/>
        <v>-7.1005917200000004E-2</v>
      </c>
      <c r="R36" s="99">
        <f t="shared" ca="1" si="15"/>
        <v>91046313.569642633</v>
      </c>
    </row>
    <row r="37" spans="1:18">
      <c r="A37" s="40" t="s">
        <v>62</v>
      </c>
      <c r="B37" s="11" t="s">
        <v>63</v>
      </c>
      <c r="C37" s="95">
        <v>121200</v>
      </c>
      <c r="D37" s="92">
        <v>-7.6571428600000005E-2</v>
      </c>
      <c r="E37" s="93">
        <v>2355828.08906123</v>
      </c>
      <c r="F37" s="35"/>
      <c r="G37" s="56" t="str">
        <f ca="1">IFERROR(OFFSET(INDIRECT($H$3 &amp; "!A98"), 6, 0), "")</f>
        <v>에스티피</v>
      </c>
      <c r="H37" s="39">
        <f t="shared" ca="1" si="7"/>
        <v>104</v>
      </c>
      <c r="I37" s="77">
        <f t="shared" ca="1" si="8"/>
        <v>5.6910569100000002E-2</v>
      </c>
      <c r="J37" s="86">
        <f t="shared" ca="1" si="13"/>
        <v>2042962763.0075088</v>
      </c>
      <c r="K37" s="56" t="str">
        <f ca="1">IFERROR(OFFSET(INDIRECT($H$3 &amp; "!A44"), 6, 0), "")</f>
        <v>쿼크체인</v>
      </c>
      <c r="L37" s="39">
        <f t="shared" ca="1" si="9"/>
        <v>34.700000000000003</v>
      </c>
      <c r="M37" s="77">
        <f t="shared" ca="1" si="10"/>
        <v>-9.6354166699999994E-2</v>
      </c>
      <c r="N37" s="86">
        <f t="shared" ca="1" si="14"/>
        <v>192786178.72453552</v>
      </c>
      <c r="O37" s="56" t="str">
        <f ca="1">IFERROR(OFFSET(INDIRECT($H$3 &amp; "!A71"), 6, 0), "")</f>
        <v>트론</v>
      </c>
      <c r="P37" s="39">
        <f t="shared" ca="1" si="11"/>
        <v>150</v>
      </c>
      <c r="Q37" s="77">
        <f t="shared" ca="1" si="12"/>
        <v>-7.4074074099999998E-2</v>
      </c>
      <c r="R37" s="86">
        <f t="shared" ca="1" si="15"/>
        <v>843762580.66640401</v>
      </c>
    </row>
    <row r="38" spans="1:18">
      <c r="A38" s="40" t="s">
        <v>113</v>
      </c>
      <c r="B38" s="11" t="s">
        <v>114</v>
      </c>
      <c r="C38" s="95">
        <v>12990</v>
      </c>
      <c r="D38" s="92">
        <v>-7.8069552900000005E-2</v>
      </c>
      <c r="E38" s="93">
        <v>1417808.8151106399</v>
      </c>
      <c r="F38" s="35"/>
      <c r="G38" s="56" t="str">
        <f ca="1">IFERROR(OFFSET(INDIRECT($H$3 &amp; "!A98"), 7, 0), "")</f>
        <v>체인링크</v>
      </c>
      <c r="H38" s="39">
        <f t="shared" ca="1" si="7"/>
        <v>53500</v>
      </c>
      <c r="I38" s="77">
        <f t="shared" ca="1" si="8"/>
        <v>3.9642440700000003E-2</v>
      </c>
      <c r="J38" s="86">
        <f t="shared" ca="1" si="13"/>
        <v>3191315.1065706299</v>
      </c>
      <c r="K38" s="56" t="str">
        <f ca="1">IFERROR(OFFSET(INDIRECT($H$3 &amp; "!A44"), 7, 0), "")</f>
        <v>리퍼리움</v>
      </c>
      <c r="L38" s="39">
        <f t="shared" ca="1" si="9"/>
        <v>22.6</v>
      </c>
      <c r="M38" s="77">
        <f t="shared" ca="1" si="10"/>
        <v>-0.1137254902</v>
      </c>
      <c r="N38" s="86">
        <f t="shared" ca="1" si="14"/>
        <v>765475797.13017428</v>
      </c>
      <c r="O38" s="56" t="str">
        <f ca="1">IFERROR(OFFSET(INDIRECT($H$3 &amp; "!A71"), 7, 0), "")</f>
        <v>저스트</v>
      </c>
      <c r="P38" s="39">
        <f t="shared" ca="1" si="11"/>
        <v>151</v>
      </c>
      <c r="Q38" s="77">
        <f t="shared" ca="1" si="12"/>
        <v>-6.7901234599999999E-2</v>
      </c>
      <c r="R38" s="86">
        <f t="shared" ca="1" si="15"/>
        <v>164945840.8227582</v>
      </c>
    </row>
    <row r="39" spans="1:18">
      <c r="A39" s="40" t="s">
        <v>181</v>
      </c>
      <c r="B39" s="11" t="s">
        <v>182</v>
      </c>
      <c r="C39" s="95">
        <v>470</v>
      </c>
      <c r="D39" s="92">
        <v>-7.8431372499999999E-2</v>
      </c>
      <c r="E39" s="93">
        <v>17687926.583379399</v>
      </c>
      <c r="F39" s="35"/>
      <c r="G39" s="56" t="str">
        <f ca="1">IFERROR(OFFSET(INDIRECT($H$3 &amp; "!A98"), 8, 0), "")</f>
        <v>비트코인캐시에이비씨</v>
      </c>
      <c r="H39" s="39">
        <f t="shared" ca="1" si="7"/>
        <v>52840</v>
      </c>
      <c r="I39" s="77">
        <f t="shared" ca="1" si="8"/>
        <v>8.3969466E-3</v>
      </c>
      <c r="J39" s="86">
        <f t="shared" ca="1" si="13"/>
        <v>2566254.8845163402</v>
      </c>
      <c r="K39" s="56" t="str">
        <f ca="1">IFERROR(OFFSET(INDIRECT($H$3 &amp; "!A44"), 8, 0), "")</f>
        <v>트웰브쉽스</v>
      </c>
      <c r="L39" s="39">
        <f t="shared" ca="1" si="9"/>
        <v>25.9</v>
      </c>
      <c r="M39" s="77">
        <f t="shared" ca="1" si="10"/>
        <v>-0.1006944444</v>
      </c>
      <c r="N39" s="86">
        <f t="shared" ca="1" si="14"/>
        <v>412845612.18112922</v>
      </c>
      <c r="O39" s="56" t="str">
        <f ca="1">IFERROR(OFFSET(INDIRECT($H$3 &amp; "!A71"), 8, 0), "")</f>
        <v>시빅</v>
      </c>
      <c r="P39" s="39">
        <f t="shared" ca="1" si="11"/>
        <v>660</v>
      </c>
      <c r="Q39" s="77">
        <f t="shared" ca="1" si="12"/>
        <v>-7.5630252100000003E-2</v>
      </c>
      <c r="R39" s="86">
        <f t="shared" ca="1" si="15"/>
        <v>28025973.51633301</v>
      </c>
    </row>
    <row r="40" spans="1:18" ht="17.25" thickBot="1">
      <c r="A40" s="40" t="s">
        <v>233</v>
      </c>
      <c r="B40" s="11" t="s">
        <v>234</v>
      </c>
      <c r="C40" s="95">
        <v>1410</v>
      </c>
      <c r="D40" s="92">
        <v>-7.8431372499999999E-2</v>
      </c>
      <c r="E40" s="93">
        <v>7199488.5828269701</v>
      </c>
      <c r="F40" s="35"/>
      <c r="G40" s="57" t="str">
        <f ca="1">IFERROR(OFFSET(INDIRECT($H$3 &amp; "!A98"), 9, 0), "")</f>
        <v>스택스</v>
      </c>
      <c r="H40" s="37">
        <f t="shared" ca="1" si="7"/>
        <v>2560</v>
      </c>
      <c r="I40" s="79">
        <f t="shared" ca="1" si="8"/>
        <v>3.9215685999999996E-3</v>
      </c>
      <c r="J40" s="87">
        <f t="shared" ca="1" si="13"/>
        <v>51797912.93478059</v>
      </c>
      <c r="K40" s="57" t="str">
        <f ca="1">IFERROR(OFFSET(INDIRECT($H$3 &amp; "!A44"), 9, 0), "")</f>
        <v>무비블록</v>
      </c>
      <c r="L40" s="37">
        <f t="shared" ca="1" si="9"/>
        <v>18.899999999999999</v>
      </c>
      <c r="M40" s="79">
        <f t="shared" ca="1" si="10"/>
        <v>-0.108490566</v>
      </c>
      <c r="N40" s="87">
        <f t="shared" ca="1" si="14"/>
        <v>1994541887.7362931</v>
      </c>
      <c r="O40" s="57" t="str">
        <f ca="1">IFERROR(OFFSET(INDIRECT($H$3 &amp; "!A71"), 9, 0), "")</f>
        <v>람다</v>
      </c>
      <c r="P40" s="37">
        <f t="shared" ca="1" si="11"/>
        <v>102</v>
      </c>
      <c r="Q40" s="79">
        <f t="shared" ca="1" si="12"/>
        <v>-8.1081081099999994E-2</v>
      </c>
      <c r="R40" s="87">
        <f t="shared" ca="1" si="15"/>
        <v>518011101.90522993</v>
      </c>
    </row>
    <row r="41" spans="1:18">
      <c r="A41" s="40" t="s">
        <v>115</v>
      </c>
      <c r="B41" s="11" t="s">
        <v>116</v>
      </c>
      <c r="C41" s="95">
        <v>739</v>
      </c>
      <c r="D41" s="92">
        <v>-8.0845771100000005E-2</v>
      </c>
      <c r="E41" s="93">
        <v>246607444.55625275</v>
      </c>
      <c r="F41" s="35"/>
      <c r="G41" s="59" t="str">
        <f ca="1">IFERROR(OFFSET(INDIRECT($H$3 &amp; "!A98"), 10, 0), "")</f>
        <v>메인프레임</v>
      </c>
      <c r="H41" s="38">
        <f t="shared" ca="1" si="7"/>
        <v>22.1</v>
      </c>
      <c r="I41" s="76">
        <f t="shared" ca="1" si="8"/>
        <v>-3.9130434800000002E-2</v>
      </c>
      <c r="J41" s="85">
        <f t="shared" ca="1" si="13"/>
        <v>4779078030.8157892</v>
      </c>
      <c r="K41" s="55" t="str">
        <f ca="1">IFERROR(OFFSET(INDIRECT($H$3 &amp; "!A44"), 10, 0), "")</f>
        <v>아하토큰</v>
      </c>
      <c r="L41" s="38">
        <f t="shared" ca="1" si="9"/>
        <v>18.899999999999999</v>
      </c>
      <c r="M41" s="76">
        <f t="shared" ca="1" si="10"/>
        <v>-0.1</v>
      </c>
      <c r="N41" s="85">
        <f t="shared" ca="1" si="14"/>
        <v>558643004.03756082</v>
      </c>
      <c r="O41" s="55" t="str">
        <f ca="1">IFERROR(OFFSET(INDIRECT($H$3 &amp; "!A71"), 10, 0), "")</f>
        <v>앵커</v>
      </c>
      <c r="P41" s="38">
        <f t="shared" ca="1" si="11"/>
        <v>195</v>
      </c>
      <c r="Q41" s="76">
        <f t="shared" ca="1" si="12"/>
        <v>-7.1428571400000002E-2</v>
      </c>
      <c r="R41" s="85">
        <f t="shared" ca="1" si="15"/>
        <v>303529383.78566056</v>
      </c>
    </row>
    <row r="42" spans="1:18">
      <c r="A42" s="40" t="s">
        <v>267</v>
      </c>
      <c r="B42" s="11" t="s">
        <v>268</v>
      </c>
      <c r="C42" s="95">
        <v>102</v>
      </c>
      <c r="D42" s="92">
        <v>-8.1081081099999994E-2</v>
      </c>
      <c r="E42" s="93">
        <v>518011101.90522993</v>
      </c>
      <c r="F42" s="35"/>
      <c r="G42" s="56" t="str">
        <f ca="1">IFERROR(OFFSET(INDIRECT($H$3 &amp; "!A98"), 11, 0), "")</f>
        <v>스트라티스</v>
      </c>
      <c r="H42" s="39">
        <f t="shared" ca="1" si="7"/>
        <v>4400</v>
      </c>
      <c r="I42" s="77">
        <f t="shared" ca="1" si="8"/>
        <v>-2.00445434E-2</v>
      </c>
      <c r="J42" s="86">
        <f t="shared" ca="1" si="13"/>
        <v>30434705.23678964</v>
      </c>
      <c r="K42" s="56" t="str">
        <f ca="1">IFERROR(OFFSET(INDIRECT($H$3 &amp; "!A44"), 11, 0), "")</f>
        <v>엔도르</v>
      </c>
      <c r="L42" s="39">
        <f t="shared" ca="1" si="9"/>
        <v>70.7</v>
      </c>
      <c r="M42" s="77">
        <f t="shared" ca="1" si="10"/>
        <v>-0.10619469030000001</v>
      </c>
      <c r="N42" s="86">
        <f t="shared" ca="1" si="14"/>
        <v>255991337.4361839</v>
      </c>
      <c r="O42" s="56" t="str">
        <f ca="1">IFERROR(OFFSET(INDIRECT($H$3 &amp; "!A71"), 11, 0), "")</f>
        <v>넴</v>
      </c>
      <c r="P42" s="39">
        <f t="shared" ca="1" si="11"/>
        <v>392</v>
      </c>
      <c r="Q42" s="77">
        <f t="shared" ca="1" si="12"/>
        <v>-7.5471698099999998E-2</v>
      </c>
      <c r="R42" s="86">
        <f t="shared" ca="1" si="15"/>
        <v>167446014.36914906</v>
      </c>
    </row>
    <row r="43" spans="1:18">
      <c r="A43" s="40" t="s">
        <v>60</v>
      </c>
      <c r="B43" s="11" t="s">
        <v>61</v>
      </c>
      <c r="C43" s="95">
        <v>1585</v>
      </c>
      <c r="D43" s="92">
        <v>-8.1159420299999993E-2</v>
      </c>
      <c r="E43" s="93">
        <v>45659180.992832452</v>
      </c>
      <c r="F43" s="35"/>
      <c r="G43" s="56" t="str">
        <f ca="1">IFERROR(OFFSET(INDIRECT($H$3 &amp; "!A98"), 12, 0), "")</f>
        <v>오미세고</v>
      </c>
      <c r="H43" s="39">
        <f t="shared" ca="1" si="7"/>
        <v>11030</v>
      </c>
      <c r="I43" s="77">
        <f t="shared" ca="1" si="8"/>
        <v>-4.0869565199999999E-2</v>
      </c>
      <c r="J43" s="86">
        <f t="shared" ca="1" si="13"/>
        <v>18819353.868970461</v>
      </c>
      <c r="K43" s="56" t="str">
        <f ca="1">IFERROR(OFFSET(INDIRECT($H$3 &amp; "!A44"), 12, 0), "")</f>
        <v>옵저버</v>
      </c>
      <c r="L43" s="39">
        <f t="shared" ca="1" si="9"/>
        <v>29.8</v>
      </c>
      <c r="M43" s="77">
        <f t="shared" ca="1" si="10"/>
        <v>-0.10240963860000001</v>
      </c>
      <c r="N43" s="86">
        <f t="shared" ca="1" si="14"/>
        <v>898439352.49582183</v>
      </c>
      <c r="O43" s="56" t="str">
        <f ca="1">IFERROR(OFFSET(INDIRECT($H$3 &amp; "!A71"), 12, 0), "")</f>
        <v>크립토닷컴체인</v>
      </c>
      <c r="P43" s="39">
        <f t="shared" ca="1" si="11"/>
        <v>212</v>
      </c>
      <c r="Q43" s="77">
        <f t="shared" ca="1" si="12"/>
        <v>-8.22510823E-2</v>
      </c>
      <c r="R43" s="86">
        <f t="shared" ca="1" si="15"/>
        <v>128682929.9928432</v>
      </c>
    </row>
    <row r="44" spans="1:18">
      <c r="A44" s="40" t="s">
        <v>131</v>
      </c>
      <c r="B44" s="11" t="s">
        <v>132</v>
      </c>
      <c r="C44" s="95">
        <v>237</v>
      </c>
      <c r="D44" s="92">
        <v>-8.1395348800000003E-2</v>
      </c>
      <c r="E44" s="93">
        <v>1371064690.0065515</v>
      </c>
      <c r="F44" s="35"/>
      <c r="G44" s="56" t="str">
        <f ca="1">IFERROR(OFFSET(INDIRECT($H$3 &amp; "!A98"), 13, 0), "")</f>
        <v>비트코인에스브이</v>
      </c>
      <c r="H44" s="39">
        <f t="shared" ca="1" si="7"/>
        <v>410400</v>
      </c>
      <c r="I44" s="77">
        <f t="shared" ca="1" si="8"/>
        <v>-8.7594486400000005E-2</v>
      </c>
      <c r="J44" s="86">
        <f t="shared" ca="1" si="13"/>
        <v>159143.39119145999</v>
      </c>
      <c r="K44" s="56" t="str">
        <f ca="1">IFERROR(OFFSET(INDIRECT($H$3 &amp; "!A44"), 13, 0), "")</f>
        <v>에브리피디아</v>
      </c>
      <c r="L44" s="39">
        <f t="shared" ca="1" si="9"/>
        <v>25.8</v>
      </c>
      <c r="M44" s="77">
        <f t="shared" ca="1" si="10"/>
        <v>-0.1313131313</v>
      </c>
      <c r="N44" s="86">
        <f t="shared" ca="1" si="14"/>
        <v>956264297.69565618</v>
      </c>
      <c r="O44" s="56" t="str">
        <f ca="1">IFERROR(OFFSET(INDIRECT($H$3 &amp; "!A71"), 13, 0), "")</f>
        <v>이그니스</v>
      </c>
      <c r="P44" s="39">
        <f t="shared" ca="1" si="11"/>
        <v>168</v>
      </c>
      <c r="Q44" s="77">
        <f t="shared" ca="1" si="12"/>
        <v>-8.6956521699999997E-2</v>
      </c>
      <c r="R44" s="86">
        <f t="shared" ca="1" si="15"/>
        <v>81504463.381638467</v>
      </c>
    </row>
    <row r="45" spans="1:18">
      <c r="A45" s="40" t="s">
        <v>119</v>
      </c>
      <c r="B45" s="11" t="s">
        <v>120</v>
      </c>
      <c r="C45" s="95">
        <v>212</v>
      </c>
      <c r="D45" s="92">
        <v>-8.22510823E-2</v>
      </c>
      <c r="E45" s="93">
        <v>128682929.9928432</v>
      </c>
      <c r="F45" s="35"/>
      <c r="G45" s="58" t="str">
        <f ca="1">IFERROR(OFFSET(INDIRECT($H$3 &amp; "!A98"), 14, 0), "")</f>
        <v>이오스</v>
      </c>
      <c r="H45" s="44">
        <f t="shared" ca="1" si="7"/>
        <v>8095</v>
      </c>
      <c r="I45" s="78">
        <f t="shared" ca="1" si="8"/>
        <v>-2.9376498800000001E-2</v>
      </c>
      <c r="J45" s="90">
        <f t="shared" ca="1" si="13"/>
        <v>44601992.461616851</v>
      </c>
      <c r="K45" s="58" t="str">
        <f ca="1">IFERROR(OFFSET(INDIRECT($H$3 &amp; "!A44"), 14, 0), "")</f>
        <v>엠블</v>
      </c>
      <c r="L45" s="44">
        <f t="shared" ca="1" si="9"/>
        <v>29.2</v>
      </c>
      <c r="M45" s="78">
        <f t="shared" ca="1" si="10"/>
        <v>-0.1097560976</v>
      </c>
      <c r="N45" s="90">
        <f t="shared" ca="1" si="14"/>
        <v>1298559220.2585609</v>
      </c>
      <c r="O45" s="58" t="str">
        <f ca="1">IFERROR(OFFSET(INDIRECT($H$3 &amp; "!A71"), 14, 0), "")</f>
        <v>비체인</v>
      </c>
      <c r="P45" s="44">
        <f t="shared" ca="1" si="11"/>
        <v>237</v>
      </c>
      <c r="Q45" s="78">
        <f t="shared" ca="1" si="12"/>
        <v>-8.1395348800000003E-2</v>
      </c>
      <c r="R45" s="90">
        <f t="shared" ca="1" si="15"/>
        <v>1371064690.0065515</v>
      </c>
    </row>
    <row r="46" spans="1:18">
      <c r="A46" s="40" t="s">
        <v>189</v>
      </c>
      <c r="B46" s="11" t="s">
        <v>190</v>
      </c>
      <c r="C46" s="95">
        <v>73510</v>
      </c>
      <c r="D46" s="92">
        <v>-8.2272159799999994E-2</v>
      </c>
      <c r="E46" s="93">
        <v>1291991.6683427601</v>
      </c>
      <c r="F46" s="35"/>
      <c r="G46" s="56" t="str">
        <f ca="1">IFERROR(OFFSET(INDIRECT($H$3 &amp; "!A98"), 15, 0), "")</f>
        <v>이더리움</v>
      </c>
      <c r="H46" s="39">
        <f t="shared" ca="1" si="7"/>
        <v>4089000</v>
      </c>
      <c r="I46" s="77">
        <f t="shared" ca="1" si="8"/>
        <v>-3.2418362499999999E-2</v>
      </c>
      <c r="J46" s="99">
        <f t="shared" ca="1" si="13"/>
        <v>521840.24492132</v>
      </c>
      <c r="K46" s="56" t="str">
        <f ca="1">IFERROR(OFFSET(INDIRECT($H$3 &amp; "!A44"), 15, 0), "")</f>
        <v>시아코인</v>
      </c>
      <c r="L46" s="39">
        <f t="shared" ca="1" si="9"/>
        <v>45</v>
      </c>
      <c r="M46" s="77">
        <f t="shared" ca="1" si="10"/>
        <v>-0.10179640719999999</v>
      </c>
      <c r="N46" s="99">
        <f t="shared" ca="1" si="14"/>
        <v>1346961935.2069495</v>
      </c>
      <c r="O46" s="56" t="str">
        <f ca="1">IFERROR(OFFSET(INDIRECT($H$3 &amp; "!A71"), 15, 0), "")</f>
        <v>아르고</v>
      </c>
      <c r="P46" s="39">
        <f t="shared" ca="1" si="11"/>
        <v>378</v>
      </c>
      <c r="Q46" s="77">
        <f t="shared" ca="1" si="12"/>
        <v>-9.1346153799999996E-2</v>
      </c>
      <c r="R46" s="99">
        <f t="shared" ca="1" si="15"/>
        <v>32522787.672502011</v>
      </c>
    </row>
    <row r="47" spans="1:18">
      <c r="A47" s="40" t="s">
        <v>159</v>
      </c>
      <c r="B47" s="11" t="s">
        <v>160</v>
      </c>
      <c r="C47" s="95">
        <v>2950</v>
      </c>
      <c r="D47" s="92">
        <v>-8.2426127500000002E-2</v>
      </c>
      <c r="E47" s="93">
        <v>6717352.0186042199</v>
      </c>
      <c r="F47" s="35"/>
      <c r="G47" s="56" t="str">
        <f ca="1">IFERROR(OFFSET(INDIRECT($H$3 &amp; "!A98"), 16, 0), "")</f>
        <v>비트코인캐시</v>
      </c>
      <c r="H47" s="39">
        <f t="shared" ca="1" si="7"/>
        <v>1193000</v>
      </c>
      <c r="I47" s="77">
        <f t="shared" ca="1" si="8"/>
        <v>-4.2920176499999997E-2</v>
      </c>
      <c r="J47" s="86">
        <f t="shared" ca="1" si="13"/>
        <v>266558.88278411998</v>
      </c>
      <c r="K47" s="56" t="str">
        <f ca="1">IFERROR(OFFSET(INDIRECT($H$3 &amp; "!A44"), 16, 0), "")</f>
        <v>스톰엑스</v>
      </c>
      <c r="L47" s="39">
        <f t="shared" ca="1" si="9"/>
        <v>61.6</v>
      </c>
      <c r="M47" s="77">
        <f t="shared" ca="1" si="10"/>
        <v>-0.11747850999999999</v>
      </c>
      <c r="N47" s="86">
        <f t="shared" ca="1" si="14"/>
        <v>522697134.45813656</v>
      </c>
      <c r="O47" s="56" t="str">
        <f ca="1">IFERROR(OFFSET(INDIRECT($H$3 &amp; "!A71"), 16, 0), "")</f>
        <v>오브스</v>
      </c>
      <c r="P47" s="39">
        <f t="shared" ca="1" si="11"/>
        <v>148</v>
      </c>
      <c r="Q47" s="77">
        <f t="shared" ca="1" si="12"/>
        <v>-0.103030303</v>
      </c>
      <c r="R47" s="86">
        <f t="shared" ca="1" si="15"/>
        <v>151534246.46487439</v>
      </c>
    </row>
    <row r="48" spans="1:18">
      <c r="A48" s="40" t="s">
        <v>109</v>
      </c>
      <c r="B48" s="11" t="s">
        <v>110</v>
      </c>
      <c r="C48" s="95">
        <v>2770</v>
      </c>
      <c r="D48" s="92">
        <v>-8.2781457000000003E-2</v>
      </c>
      <c r="E48" s="93">
        <v>3649725.1899005701</v>
      </c>
      <c r="F48" s="35"/>
      <c r="G48" s="56" t="str">
        <f ca="1">IFERROR(OFFSET(INDIRECT($H$3 &amp; "!A98"), 17, 0), "")</f>
        <v>코스모스</v>
      </c>
      <c r="H48" s="39">
        <f t="shared" ca="1" si="7"/>
        <v>26820</v>
      </c>
      <c r="I48" s="77">
        <f t="shared" ca="1" si="8"/>
        <v>-4.6569498799999998E-2</v>
      </c>
      <c r="J48" s="86">
        <f t="shared" ca="1" si="13"/>
        <v>1118426.53240365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아인스타이늄</v>
      </c>
      <c r="P48" s="39">
        <f t="shared" ca="1" si="11"/>
        <v>533</v>
      </c>
      <c r="Q48" s="77">
        <f t="shared" ca="1" si="12"/>
        <v>-0.1175496689</v>
      </c>
      <c r="R48" s="86">
        <f t="shared" ca="1" si="15"/>
        <v>89309377.481572717</v>
      </c>
    </row>
    <row r="49" spans="1:18">
      <c r="A49" s="40" t="s">
        <v>255</v>
      </c>
      <c r="B49" s="11" t="s">
        <v>256</v>
      </c>
      <c r="C49" s="95">
        <v>265</v>
      </c>
      <c r="D49" s="92">
        <v>-8.3044982700000006E-2</v>
      </c>
      <c r="E49" s="93">
        <v>104192132.76738364</v>
      </c>
      <c r="F49" s="35"/>
      <c r="G49" s="56" t="str">
        <f ca="1">IFERROR(OFFSET(INDIRECT($H$3 &amp; "!A98"), 18, 0), "")</f>
        <v>리스크</v>
      </c>
      <c r="H49" s="39">
        <f t="shared" ca="1" si="7"/>
        <v>6895</v>
      </c>
      <c r="I49" s="77">
        <f t="shared" ca="1" si="8"/>
        <v>-5.0275482099999998E-2</v>
      </c>
      <c r="J49" s="86">
        <f t="shared" ca="1" si="13"/>
        <v>7902564.9621542301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솔브케어</v>
      </c>
      <c r="P49" s="39">
        <f t="shared" ca="1" si="11"/>
        <v>300</v>
      </c>
      <c r="Q49" s="77">
        <f t="shared" ca="1" si="12"/>
        <v>-0.10179640719999999</v>
      </c>
      <c r="R49" s="86">
        <f t="shared" ca="1" si="15"/>
        <v>29643823.821968179</v>
      </c>
    </row>
    <row r="50" spans="1:18" ht="17.25" thickBot="1">
      <c r="A50" s="40" t="s">
        <v>161</v>
      </c>
      <c r="B50" s="11" t="s">
        <v>162</v>
      </c>
      <c r="C50" s="95">
        <v>2040</v>
      </c>
      <c r="D50" s="92">
        <v>-8.3146067399999996E-2</v>
      </c>
      <c r="E50" s="93">
        <v>18165059.663104471</v>
      </c>
      <c r="F50" s="35"/>
      <c r="G50" s="57" t="str">
        <f ca="1">IFERROR(OFFSET(INDIRECT($H$3 &amp; "!A98"), 19, 0), "")</f>
        <v>테조스</v>
      </c>
      <c r="H50" s="37">
        <f t="shared" ca="1" si="7"/>
        <v>6955</v>
      </c>
      <c r="I50" s="79">
        <f t="shared" ca="1" si="8"/>
        <v>-5.4384772300000002E-2</v>
      </c>
      <c r="J50" s="87">
        <f t="shared" ca="1" si="13"/>
        <v>6472545.6704161298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헌트</v>
      </c>
      <c r="P50" s="37">
        <f t="shared" ca="1" si="11"/>
        <v>409</v>
      </c>
      <c r="Q50" s="79">
        <f t="shared" ca="1" si="12"/>
        <v>-9.9118942700000004E-2</v>
      </c>
      <c r="R50" s="87">
        <f t="shared" ca="1" si="15"/>
        <v>25047211.91708729</v>
      </c>
    </row>
    <row r="51" spans="1:18">
      <c r="A51" s="40" t="s">
        <v>273</v>
      </c>
      <c r="B51" s="11" t="s">
        <v>274</v>
      </c>
      <c r="C51" s="95">
        <v>8730</v>
      </c>
      <c r="D51" s="92">
        <v>-8.3464566899999995E-2</v>
      </c>
      <c r="E51" s="93">
        <v>1019508.71119421</v>
      </c>
      <c r="F51" s="35"/>
    </row>
    <row r="52" spans="1:18" ht="17.25" thickBot="1">
      <c r="A52" s="40" t="s">
        <v>179</v>
      </c>
      <c r="B52" s="11" t="s">
        <v>180</v>
      </c>
      <c r="C52" s="95">
        <v>4755</v>
      </c>
      <c r="D52" s="92">
        <v>-8.3815028900000005E-2</v>
      </c>
      <c r="E52" s="93">
        <v>18020671.950218219</v>
      </c>
      <c r="F52" s="35"/>
    </row>
    <row r="53" spans="1:18" ht="17.25" thickBot="1">
      <c r="A53" s="40" t="s">
        <v>269</v>
      </c>
      <c r="B53" s="11" t="s">
        <v>270</v>
      </c>
      <c r="C53" s="95">
        <v>555</v>
      </c>
      <c r="D53" s="92">
        <v>-8.4158415799999997E-2</v>
      </c>
      <c r="E53" s="93">
        <v>18531001.720059451</v>
      </c>
      <c r="F53" s="35"/>
      <c r="G53" s="185" t="s">
        <v>285</v>
      </c>
      <c r="H53" s="186"/>
      <c r="I53" s="186"/>
      <c r="J53" s="187"/>
      <c r="K53" s="185" t="s">
        <v>288</v>
      </c>
      <c r="L53" s="186"/>
      <c r="M53" s="186"/>
      <c r="N53" s="187"/>
      <c r="O53" s="185" t="s">
        <v>289</v>
      </c>
      <c r="P53" s="186"/>
      <c r="Q53" s="186"/>
      <c r="R53" s="187"/>
    </row>
    <row r="54" spans="1:18" ht="17.25" thickBot="1">
      <c r="A54" s="40" t="s">
        <v>79</v>
      </c>
      <c r="B54" s="11" t="s">
        <v>80</v>
      </c>
      <c r="C54" s="95">
        <v>1450</v>
      </c>
      <c r="D54" s="92">
        <v>-8.5173501600000007E-2</v>
      </c>
      <c r="E54" s="93">
        <v>8325422.0261532301</v>
      </c>
      <c r="F54" s="35"/>
      <c r="G54" s="222" t="s">
        <v>55</v>
      </c>
      <c r="H54" s="238">
        <f ca="1">NOW()</f>
        <v>44321.102619791665</v>
      </c>
      <c r="I54" s="239"/>
      <c r="J54" s="240"/>
      <c r="K54" s="237" t="s">
        <v>55</v>
      </c>
      <c r="L54" s="238">
        <f ca="1">NOW()</f>
        <v>44321.102619791665</v>
      </c>
      <c r="M54" s="239"/>
      <c r="N54" s="240"/>
      <c r="O54" s="237" t="s">
        <v>55</v>
      </c>
      <c r="P54" s="238">
        <f ca="1">NOW()</f>
        <v>44321.102619791665</v>
      </c>
      <c r="Q54" s="239"/>
      <c r="R54" s="240"/>
    </row>
    <row r="55" spans="1:18" ht="17.25" thickBot="1">
      <c r="A55" s="40" t="s">
        <v>177</v>
      </c>
      <c r="B55" s="11" t="s">
        <v>178</v>
      </c>
      <c r="C55" s="95">
        <v>48620</v>
      </c>
      <c r="D55" s="92">
        <v>-8.6948356800000001E-2</v>
      </c>
      <c r="E55" s="93">
        <v>440538.70209030999</v>
      </c>
      <c r="F55" s="35"/>
      <c r="G55" s="230"/>
      <c r="H55" s="36" t="s">
        <v>58</v>
      </c>
      <c r="I55" s="73" t="s">
        <v>59</v>
      </c>
      <c r="J55" s="69" t="s">
        <v>294</v>
      </c>
      <c r="K55" s="230"/>
      <c r="L55" s="36" t="s">
        <v>58</v>
      </c>
      <c r="M55" s="73" t="s">
        <v>59</v>
      </c>
      <c r="N55" s="69" t="s">
        <v>294</v>
      </c>
      <c r="O55" s="230"/>
      <c r="P55" s="36" t="s">
        <v>58</v>
      </c>
      <c r="Q55" s="73" t="s">
        <v>59</v>
      </c>
      <c r="R55" s="69" t="s">
        <v>294</v>
      </c>
    </row>
    <row r="56" spans="1:18">
      <c r="A56" s="40" t="s">
        <v>281</v>
      </c>
      <c r="B56" s="11" t="s">
        <v>282</v>
      </c>
      <c r="C56" s="95">
        <v>168</v>
      </c>
      <c r="D56" s="92">
        <v>-8.6956521699999997E-2</v>
      </c>
      <c r="E56" s="93">
        <v>81504463.381638467</v>
      </c>
      <c r="F56" s="35"/>
      <c r="G56" s="55" t="str">
        <f ca="1">IFERROR(OFFSET(INDIRECT($H$3 &amp; "!A179"), 0, 0), "")</f>
        <v>썸씽</v>
      </c>
      <c r="H56" s="38">
        <f t="shared" ref="H56:H65" ca="1" si="16">_xlfn.IFNA(VLOOKUP(G56, $B$2:$D$200, 2, FALSE), "")</f>
        <v>125</v>
      </c>
      <c r="I56" s="76">
        <f t="shared" ref="I56:I65" ca="1" si="17">_xlfn.IFNA(VLOOKUP(G56, $B$2:$D$200, 3, FALSE), "")</f>
        <v>-0.11347517729999999</v>
      </c>
      <c r="J56" s="85">
        <f ca="1">_xlfn.IFNA(VLOOKUP(G56, $B$2:$E$200, 4, FALSE), "")</f>
        <v>240573738.19639963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22.1</v>
      </c>
      <c r="M56" s="76">
        <f t="shared" ref="M56:M75" ca="1" si="19">_xlfn.IFNA(VLOOKUP(K56, $B$2:$D$200, 3, FALSE), "")</f>
        <v>-3.9130434800000002E-2</v>
      </c>
      <c r="N56" s="85">
        <f ca="1">_xlfn.IFNA(VLOOKUP(K56, $B$2:$E$200, 4, FALSE), "")</f>
        <v>4779078030.8157892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470</v>
      </c>
      <c r="Q56" s="76">
        <f t="shared" ref="Q56:Q75" ca="1" si="21">_xlfn.IFNA(VLOOKUP(O56, $B$2:$D$200, 3, FALSE), "")</f>
        <v>-7.8431372499999999E-2</v>
      </c>
      <c r="R56" s="85">
        <f ca="1">_xlfn.IFNA(VLOOKUP(O56, $B$2:$E$200, 4, FALSE), "")</f>
        <v>17687926.583379399</v>
      </c>
    </row>
    <row r="57" spans="1:18">
      <c r="A57" s="40" t="s">
        <v>173</v>
      </c>
      <c r="B57" s="11" t="s">
        <v>174</v>
      </c>
      <c r="C57" s="95">
        <v>282</v>
      </c>
      <c r="D57" s="92">
        <v>-8.7378640800000004E-2</v>
      </c>
      <c r="E57" s="93">
        <v>82079880.221123725</v>
      </c>
      <c r="F57" s="35"/>
      <c r="G57" s="56" t="str">
        <f ca="1">IFERROR(OFFSET(INDIRECT($H$3 &amp; "!A179"), 1, 0), "")</f>
        <v>가스</v>
      </c>
      <c r="H57" s="39">
        <f t="shared" ca="1" si="16"/>
        <v>18020</v>
      </c>
      <c r="I57" s="77">
        <f t="shared" ca="1" si="17"/>
        <v>-0.10124688279999999</v>
      </c>
      <c r="J57" s="86">
        <f t="shared" ref="J57:J75" ca="1" si="22">_xlfn.IFNA(VLOOKUP(G57, $B$2:$E$200, 4, FALSE), "")</f>
        <v>1639445.69000658</v>
      </c>
      <c r="K57" s="56" t="str">
        <f ca="1">IFERROR(OFFSET(INDIRECT($H$3 &amp; "!A125"), 1, 0), "")</f>
        <v>캐리프로토콜</v>
      </c>
      <c r="L57" s="39">
        <f t="shared" ca="1" si="18"/>
        <v>21.9</v>
      </c>
      <c r="M57" s="77">
        <f t="shared" ca="1" si="19"/>
        <v>-8.7499999999999994E-2</v>
      </c>
      <c r="N57" s="86">
        <f t="shared" ref="N57:N75" ca="1" si="23">_xlfn.IFNA(VLOOKUP(K57, $B$2:$E$200, 4, FALSE), "")</f>
        <v>2604542927.6079464</v>
      </c>
      <c r="O57" s="56" t="str">
        <f ca="1">IFERROR(OFFSET(INDIRECT($H$3 &amp; "!A152"), 1, 0), "")</f>
        <v>보라</v>
      </c>
      <c r="P57" s="39">
        <f t="shared" ca="1" si="20"/>
        <v>282</v>
      </c>
      <c r="Q57" s="77">
        <f t="shared" ca="1" si="21"/>
        <v>-8.7378640800000004E-2</v>
      </c>
      <c r="R57" s="86">
        <f t="shared" ref="R57:R75" ca="1" si="24">_xlfn.IFNA(VLOOKUP(O57, $B$2:$E$200, 4, FALSE), "")</f>
        <v>82079880.221123725</v>
      </c>
    </row>
    <row r="58" spans="1:18">
      <c r="A58" s="40" t="s">
        <v>153</v>
      </c>
      <c r="B58" s="11" t="s">
        <v>154</v>
      </c>
      <c r="C58" s="95">
        <v>21.9</v>
      </c>
      <c r="D58" s="92">
        <v>-8.7499999999999994E-2</v>
      </c>
      <c r="E58" s="93">
        <v>2604542927.6079464</v>
      </c>
      <c r="F58" s="35"/>
      <c r="G58" s="56" t="str">
        <f ca="1">IFERROR(OFFSET(INDIRECT($H$3 &amp; "!A179"), 2, 0), "")</f>
        <v>온톨로지가스</v>
      </c>
      <c r="H58" s="39">
        <f t="shared" ca="1" si="16"/>
        <v>1100</v>
      </c>
      <c r="I58" s="77">
        <f t="shared" ca="1" si="17"/>
        <v>-0.1056910569</v>
      </c>
      <c r="J58" s="86">
        <f t="shared" ca="1" si="22"/>
        <v>8413601.4817091804</v>
      </c>
      <c r="K58" s="56" t="str">
        <f ca="1">IFERROR(OFFSET(INDIRECT($H$3 &amp; "!A125"), 2, 0), "")</f>
        <v>비트토렌트</v>
      </c>
      <c r="L58" s="39">
        <f t="shared" ca="1" si="18"/>
        <v>7.98</v>
      </c>
      <c r="M58" s="77">
        <f t="shared" ca="1" si="19"/>
        <v>-6.2279671000000002E-2</v>
      </c>
      <c r="N58" s="86">
        <f t="shared" ca="1" si="23"/>
        <v>60540070390.56205</v>
      </c>
      <c r="O58" s="56" t="str">
        <f ca="1">IFERROR(OFFSET(INDIRECT($H$3 &amp; "!A152"), 2, 0), "")</f>
        <v>스테이터스네트워크토큰</v>
      </c>
      <c r="P58" s="39">
        <f t="shared" ca="1" si="20"/>
        <v>199</v>
      </c>
      <c r="Q58" s="77">
        <f t="shared" ca="1" si="21"/>
        <v>-0.1036036036</v>
      </c>
      <c r="R58" s="86">
        <f t="shared" ca="1" si="24"/>
        <v>328420396.72941661</v>
      </c>
    </row>
    <row r="59" spans="1:18">
      <c r="A59" s="40" t="s">
        <v>89</v>
      </c>
      <c r="B59" s="11" t="s">
        <v>90</v>
      </c>
      <c r="C59" s="95">
        <v>410400</v>
      </c>
      <c r="D59" s="92">
        <v>-8.7594486400000005E-2</v>
      </c>
      <c r="E59" s="93">
        <v>159143.39119145999</v>
      </c>
      <c r="F59" s="35"/>
      <c r="G59" s="56" t="str">
        <f ca="1">IFERROR(OFFSET(INDIRECT($H$3 &amp; "!A179"), 3, 0), "")</f>
        <v>엘비알와이크레딧</v>
      </c>
      <c r="H59" s="39">
        <f t="shared" ca="1" si="16"/>
        <v>220</v>
      </c>
      <c r="I59" s="77">
        <f t="shared" ca="1" si="17"/>
        <v>-0.1020408163</v>
      </c>
      <c r="J59" s="86">
        <f t="shared" ca="1" si="22"/>
        <v>39409362.242819019</v>
      </c>
      <c r="K59" s="56" t="str">
        <f ca="1">IFERROR(OFFSET(INDIRECT($H$3 &amp; "!A125"), 3, 0), "")</f>
        <v>썬더토큰</v>
      </c>
      <c r="L59" s="39">
        <f t="shared" ca="1" si="18"/>
        <v>20.7</v>
      </c>
      <c r="M59" s="77">
        <f t="shared" ca="1" si="19"/>
        <v>-8.81057269E-2</v>
      </c>
      <c r="N59" s="86">
        <f t="shared" ca="1" si="23"/>
        <v>1221108286.8536246</v>
      </c>
      <c r="O59" s="56" t="str">
        <f ca="1">IFERROR(OFFSET(INDIRECT($H$3 &amp; "!A152"), 3, 0), "")</f>
        <v>픽셀</v>
      </c>
      <c r="P59" s="39">
        <f t="shared" ca="1" si="20"/>
        <v>121</v>
      </c>
      <c r="Q59" s="77">
        <f t="shared" ca="1" si="21"/>
        <v>-0.1037037037</v>
      </c>
      <c r="R59" s="86">
        <f t="shared" ca="1" si="24"/>
        <v>332001374.12270731</v>
      </c>
    </row>
    <row r="60" spans="1:18">
      <c r="A60" s="40" t="s">
        <v>105</v>
      </c>
      <c r="B60" s="11" t="s">
        <v>106</v>
      </c>
      <c r="C60" s="95">
        <v>2130</v>
      </c>
      <c r="D60" s="92">
        <v>-8.7794432500000005E-2</v>
      </c>
      <c r="E60" s="93">
        <v>7541073.8702503499</v>
      </c>
      <c r="F60" s="35"/>
      <c r="G60" s="56" t="str">
        <f ca="1">IFERROR(OFFSET(INDIRECT($H$3 &amp; "!A179"), 4, 0), "")</f>
        <v>룸네트워크</v>
      </c>
      <c r="H60" s="39">
        <f t="shared" ca="1" si="16"/>
        <v>174</v>
      </c>
      <c r="I60" s="77">
        <f t="shared" ca="1" si="17"/>
        <v>-0.112244898</v>
      </c>
      <c r="J60" s="90">
        <f t="shared" ca="1" si="22"/>
        <v>58053887.553617612</v>
      </c>
      <c r="K60" s="58" t="str">
        <f ca="1">IFERROR(OFFSET(INDIRECT($H$3 &amp; "!A125"), 4, 0), "")</f>
        <v>아이오에스티</v>
      </c>
      <c r="L60" s="44">
        <f t="shared" ca="1" si="18"/>
        <v>71.7</v>
      </c>
      <c r="M60" s="78">
        <f t="shared" ca="1" si="19"/>
        <v>-9.2405063300000007E-2</v>
      </c>
      <c r="N60" s="90">
        <f t="shared" ca="1" si="23"/>
        <v>238581094.36801672</v>
      </c>
      <c r="O60" s="58" t="str">
        <f ca="1">IFERROR(OFFSET(INDIRECT($H$3 &amp; "!A152"), 4, 0), "")</f>
        <v>하이브</v>
      </c>
      <c r="P60" s="44">
        <f t="shared" ca="1" si="20"/>
        <v>732</v>
      </c>
      <c r="Q60" s="78">
        <f t="shared" ca="1" si="21"/>
        <v>-0.1007371007</v>
      </c>
      <c r="R60" s="90">
        <f t="shared" ca="1" si="24"/>
        <v>29367023.884654839</v>
      </c>
    </row>
    <row r="61" spans="1:18">
      <c r="A61" s="40" t="s">
        <v>195</v>
      </c>
      <c r="B61" s="11" t="s">
        <v>196</v>
      </c>
      <c r="C61" s="95">
        <v>20.7</v>
      </c>
      <c r="D61" s="92">
        <v>-8.81057269E-2</v>
      </c>
      <c r="E61" s="93">
        <v>1221108286.8536246</v>
      </c>
      <c r="F61" s="35"/>
      <c r="G61" s="60" t="str">
        <f ca="1">IFERROR(OFFSET(INDIRECT($H$3 &amp; "!A179"), 5, 0), "")</f>
        <v>엔도르</v>
      </c>
      <c r="H61" s="45">
        <f t="shared" ca="1" si="16"/>
        <v>70.7</v>
      </c>
      <c r="I61" s="80">
        <f t="shared" ca="1" si="17"/>
        <v>-0.10619469030000001</v>
      </c>
      <c r="J61" s="99">
        <f t="shared" ca="1" si="22"/>
        <v>255991337.4361839</v>
      </c>
      <c r="K61" s="56" t="str">
        <f ca="1">IFERROR(OFFSET(INDIRECT($H$3 &amp; "!A125"), 5, 0), "")</f>
        <v>퀴즈톡</v>
      </c>
      <c r="L61" s="39">
        <f t="shared" ca="1" si="18"/>
        <v>91</v>
      </c>
      <c r="M61" s="77">
        <f t="shared" ca="1" si="19"/>
        <v>-0.09</v>
      </c>
      <c r="N61" s="99">
        <f t="shared" ca="1" si="23"/>
        <v>336685361.58089197</v>
      </c>
      <c r="O61" s="56" t="str">
        <f ca="1">IFERROR(OFFSET(INDIRECT($H$3 &amp; "!A152"), 5, 0), "")</f>
        <v>엘프</v>
      </c>
      <c r="P61" s="39">
        <f t="shared" ca="1" si="20"/>
        <v>504</v>
      </c>
      <c r="Q61" s="77">
        <f t="shared" ca="1" si="21"/>
        <v>-0.109540636</v>
      </c>
      <c r="R61" s="99">
        <f t="shared" ca="1" si="24"/>
        <v>18273237.981368352</v>
      </c>
    </row>
    <row r="62" spans="1:18">
      <c r="A62" s="40" t="s">
        <v>247</v>
      </c>
      <c r="B62" s="11" t="s">
        <v>248</v>
      </c>
      <c r="C62" s="95">
        <v>3220</v>
      </c>
      <c r="D62" s="92">
        <v>-8.9108910900000005E-2</v>
      </c>
      <c r="E62" s="93">
        <v>3994083.3474698998</v>
      </c>
      <c r="F62" s="35"/>
      <c r="G62" s="56" t="str">
        <f ca="1">IFERROR(OFFSET(INDIRECT($H$3 &amp; "!A179"), 6, 0), "")</f>
        <v>옵저버</v>
      </c>
      <c r="H62" s="39">
        <f t="shared" ca="1" si="16"/>
        <v>29.8</v>
      </c>
      <c r="I62" s="77">
        <f t="shared" ca="1" si="17"/>
        <v>-0.10240963860000001</v>
      </c>
      <c r="J62" s="86">
        <f t="shared" ca="1" si="22"/>
        <v>898439352.49582183</v>
      </c>
      <c r="K62" s="56" t="str">
        <f ca="1">IFERROR(OFFSET(INDIRECT($H$3 &amp; "!A125"), 6, 0), "")</f>
        <v>쿼크체인</v>
      </c>
      <c r="L62" s="39">
        <f t="shared" ca="1" si="18"/>
        <v>34.700000000000003</v>
      </c>
      <c r="M62" s="77">
        <f t="shared" ca="1" si="19"/>
        <v>-9.6354166699999994E-2</v>
      </c>
      <c r="N62" s="86">
        <f t="shared" ca="1" si="23"/>
        <v>192786178.72453552</v>
      </c>
      <c r="O62" s="56" t="str">
        <f ca="1">IFERROR(OFFSET(INDIRECT($H$3 &amp; "!A152"), 6, 0), "")</f>
        <v>센티넬프로토콜</v>
      </c>
      <c r="P62" s="39">
        <f t="shared" ca="1" si="20"/>
        <v>180</v>
      </c>
      <c r="Q62" s="77">
        <f t="shared" ca="1" si="21"/>
        <v>-0.1089108911</v>
      </c>
      <c r="R62" s="86">
        <f t="shared" ca="1" si="24"/>
        <v>59411034.180574268</v>
      </c>
    </row>
    <row r="63" spans="1:18">
      <c r="A63" s="40" t="s">
        <v>149</v>
      </c>
      <c r="B63" s="11" t="s">
        <v>150</v>
      </c>
      <c r="C63" s="95">
        <v>6100</v>
      </c>
      <c r="D63" s="92">
        <v>-8.9552238800000003E-2</v>
      </c>
      <c r="E63" s="93">
        <v>23035336.703152038</v>
      </c>
      <c r="F63" s="35"/>
      <c r="G63" s="56" t="str">
        <f ca="1">IFERROR(OFFSET(INDIRECT($H$3 &amp; "!A179"), 7, 0), "")</f>
        <v>에브리피디아</v>
      </c>
      <c r="H63" s="39">
        <f t="shared" ca="1" si="16"/>
        <v>25.8</v>
      </c>
      <c r="I63" s="77">
        <f t="shared" ca="1" si="17"/>
        <v>-0.1313131313</v>
      </c>
      <c r="J63" s="86">
        <f t="shared" ca="1" si="22"/>
        <v>956264297.69565618</v>
      </c>
      <c r="K63" s="56" t="str">
        <f ca="1">IFERROR(OFFSET(INDIRECT($H$3 &amp; "!A125"), 7, 0), "")</f>
        <v>리퍼리움</v>
      </c>
      <c r="L63" s="39">
        <f t="shared" ca="1" si="18"/>
        <v>22.6</v>
      </c>
      <c r="M63" s="77">
        <f t="shared" ca="1" si="19"/>
        <v>-0.1137254902</v>
      </c>
      <c r="N63" s="86">
        <f t="shared" ca="1" si="23"/>
        <v>765475797.13017428</v>
      </c>
      <c r="O63" s="56" t="str">
        <f ca="1">IFERROR(OFFSET(INDIRECT($H$3 &amp; "!A152"), 7, 0), "")</f>
        <v>폴리매쓰</v>
      </c>
      <c r="P63" s="39">
        <f t="shared" ca="1" si="20"/>
        <v>439</v>
      </c>
      <c r="Q63" s="77">
        <f t="shared" ca="1" si="21"/>
        <v>-0.120240481</v>
      </c>
      <c r="R63" s="86">
        <f t="shared" ca="1" si="24"/>
        <v>17685736.797834288</v>
      </c>
    </row>
    <row r="64" spans="1:18">
      <c r="A64" s="40" t="s">
        <v>253</v>
      </c>
      <c r="B64" s="11" t="s">
        <v>254</v>
      </c>
      <c r="C64" s="95">
        <v>91</v>
      </c>
      <c r="D64" s="92">
        <v>-0.09</v>
      </c>
      <c r="E64" s="93">
        <v>336685361.58089197</v>
      </c>
      <c r="F64" s="35"/>
      <c r="G64" s="56" t="str">
        <f ca="1">IFERROR(OFFSET(INDIRECT($H$3 &amp; "!A179"), 8, 0), "")</f>
        <v>모스코인</v>
      </c>
      <c r="H64" s="39">
        <f t="shared" ca="1" si="16"/>
        <v>192</v>
      </c>
      <c r="I64" s="77">
        <f t="shared" ca="1" si="17"/>
        <v>-0.1069767442</v>
      </c>
      <c r="J64" s="86">
        <f t="shared" ca="1" si="22"/>
        <v>69762035.337986186</v>
      </c>
      <c r="K64" s="56" t="str">
        <f ca="1">IFERROR(OFFSET(INDIRECT($H$3 &amp; "!A125"), 8, 0), "")</f>
        <v>트웰브쉽스</v>
      </c>
      <c r="L64" s="39">
        <f t="shared" ca="1" si="18"/>
        <v>25.9</v>
      </c>
      <c r="M64" s="77">
        <f t="shared" ca="1" si="19"/>
        <v>-0.1006944444</v>
      </c>
      <c r="N64" s="86">
        <f t="shared" ca="1" si="23"/>
        <v>412845612.18112922</v>
      </c>
      <c r="O64" s="56" t="str">
        <f ca="1">IFERROR(OFFSET(INDIRECT($H$3 &amp; "!A152"), 8, 0), "")</f>
        <v>마로</v>
      </c>
      <c r="P64" s="39">
        <f t="shared" ca="1" si="20"/>
        <v>500</v>
      </c>
      <c r="Q64" s="77">
        <f t="shared" ca="1" si="21"/>
        <v>-0.10394265229999999</v>
      </c>
      <c r="R64" s="86">
        <f t="shared" ca="1" si="24"/>
        <v>106455642.29793692</v>
      </c>
    </row>
    <row r="65" spans="1:18" ht="17.25" thickBot="1">
      <c r="A65" s="40" t="s">
        <v>279</v>
      </c>
      <c r="B65" s="11" t="s">
        <v>280</v>
      </c>
      <c r="C65" s="95">
        <v>1660</v>
      </c>
      <c r="D65" s="92">
        <v>-9.0410958900000005E-2</v>
      </c>
      <c r="E65" s="93">
        <v>16156014.97121801</v>
      </c>
      <c r="F65" s="35"/>
      <c r="G65" s="57" t="str">
        <f ca="1">IFERROR(OFFSET(INDIRECT($H$3 &amp; "!A179"), 9, 0), "")</f>
        <v>엠블</v>
      </c>
      <c r="H65" s="37">
        <f t="shared" ca="1" si="16"/>
        <v>29.2</v>
      </c>
      <c r="I65" s="79">
        <f t="shared" ca="1" si="17"/>
        <v>-0.1097560976</v>
      </c>
      <c r="J65" s="87">
        <f t="shared" ca="1" si="22"/>
        <v>1298559220.2585609</v>
      </c>
      <c r="K65" s="57" t="str">
        <f ca="1">IFERROR(OFFSET(INDIRECT($H$3 &amp; "!A125"), 9, 0), "")</f>
        <v>무비블록</v>
      </c>
      <c r="L65" s="37">
        <f t="shared" ca="1" si="18"/>
        <v>18.899999999999999</v>
      </c>
      <c r="M65" s="79">
        <f t="shared" ca="1" si="19"/>
        <v>-0.108490566</v>
      </c>
      <c r="N65" s="87">
        <f t="shared" ca="1" si="23"/>
        <v>1994541887.7362931</v>
      </c>
      <c r="O65" s="57" t="str">
        <f ca="1">IFERROR(OFFSET(INDIRECT($H$3 &amp; "!A152"), 9, 0), "")</f>
        <v>플레이댑</v>
      </c>
      <c r="P65" s="37">
        <f t="shared" ca="1" si="20"/>
        <v>516</v>
      </c>
      <c r="Q65" s="79">
        <f t="shared" ca="1" si="21"/>
        <v>-9.3145869899999997E-2</v>
      </c>
      <c r="R65" s="87">
        <f t="shared" ca="1" si="24"/>
        <v>15176704.515469881</v>
      </c>
    </row>
    <row r="66" spans="1:18">
      <c r="A66" s="40" t="s">
        <v>199</v>
      </c>
      <c r="B66" s="11" t="s">
        <v>200</v>
      </c>
      <c r="C66" s="95">
        <v>378</v>
      </c>
      <c r="D66" s="92">
        <v>-9.1346153799999996E-2</v>
      </c>
      <c r="E66" s="93">
        <v>32522787.672502011</v>
      </c>
      <c r="F66" s="35"/>
      <c r="G66" s="56" t="str">
        <f ca="1">IFERROR(OFFSET(INDIRECT($H$3 &amp; "!A179"), 10, 0), "")</f>
        <v>디카르고</v>
      </c>
      <c r="H66" s="38">
        <f t="shared" ref="H66:H75" ca="1" si="25">_xlfn.IFNA(VLOOKUP(G66, $B$2:$D$200, 2, FALSE), "")</f>
        <v>261</v>
      </c>
      <c r="I66" s="76">
        <f t="shared" ref="I66:I75" ca="1" si="26">_xlfn.IFNA(VLOOKUP(G66, $B$2:$D$200, 3, FALSE), "")</f>
        <v>-0.1</v>
      </c>
      <c r="J66" s="85">
        <f t="shared" ca="1" si="22"/>
        <v>122528154.70296901</v>
      </c>
      <c r="K66" s="55" t="str">
        <f ca="1">IFERROR(OFFSET(INDIRECT($H$3 &amp; "!A125"), 10, 0), "")</f>
        <v>아하토큰</v>
      </c>
      <c r="L66" s="38">
        <f t="shared" ca="1" si="18"/>
        <v>18.899999999999999</v>
      </c>
      <c r="M66" s="76">
        <f t="shared" ca="1" si="19"/>
        <v>-0.1</v>
      </c>
      <c r="N66" s="85">
        <f t="shared" ca="1" si="23"/>
        <v>558643004.03756082</v>
      </c>
      <c r="O66" s="55" t="str">
        <f ca="1">IFERROR(OFFSET(INDIRECT($H$3 &amp; "!A152"), 10, 0), "")</f>
        <v>썸씽</v>
      </c>
      <c r="P66" s="38">
        <f t="shared" ca="1" si="20"/>
        <v>125</v>
      </c>
      <c r="Q66" s="76">
        <f t="shared" ca="1" si="21"/>
        <v>-0.11347517729999999</v>
      </c>
      <c r="R66" s="85">
        <f t="shared" ca="1" si="24"/>
        <v>240573738.19639963</v>
      </c>
    </row>
    <row r="67" spans="1:18">
      <c r="A67" s="40" t="s">
        <v>64</v>
      </c>
      <c r="B67" s="11" t="s">
        <v>65</v>
      </c>
      <c r="C67" s="95">
        <v>71.7</v>
      </c>
      <c r="D67" s="92">
        <v>-9.2405063300000007E-2</v>
      </c>
      <c r="E67" s="93">
        <v>238581094.36801672</v>
      </c>
      <c r="F67" s="35"/>
      <c r="G67" s="56" t="str">
        <f ca="1">IFERROR(OFFSET(INDIRECT($H$3 &amp; "!A179"), 11, 0), "")</f>
        <v>시아코인</v>
      </c>
      <c r="H67" s="39">
        <f t="shared" ca="1" si="25"/>
        <v>45</v>
      </c>
      <c r="I67" s="77">
        <f t="shared" ca="1" si="26"/>
        <v>-0.10179640719999999</v>
      </c>
      <c r="J67" s="86">
        <f t="shared" ca="1" si="22"/>
        <v>1346961935.2069495</v>
      </c>
      <c r="K67" s="56" t="str">
        <f ca="1">IFERROR(OFFSET(INDIRECT($H$3 &amp; "!A125"), 11, 0), "")</f>
        <v>엔도르</v>
      </c>
      <c r="L67" s="39">
        <f t="shared" ca="1" si="18"/>
        <v>70.7</v>
      </c>
      <c r="M67" s="77">
        <f t="shared" ca="1" si="19"/>
        <v>-0.10619469030000001</v>
      </c>
      <c r="N67" s="86">
        <f t="shared" ca="1" si="23"/>
        <v>255991337.4361839</v>
      </c>
      <c r="O67" s="56" t="str">
        <f ca="1">IFERROR(OFFSET(INDIRECT($H$3 &amp; "!A152"), 11, 0), "")</f>
        <v>엘비알와이크레딧</v>
      </c>
      <c r="P67" s="39">
        <f t="shared" ca="1" si="20"/>
        <v>220</v>
      </c>
      <c r="Q67" s="77">
        <f t="shared" ca="1" si="21"/>
        <v>-0.1020408163</v>
      </c>
      <c r="R67" s="86">
        <f t="shared" ca="1" si="24"/>
        <v>39409362.242819019</v>
      </c>
    </row>
    <row r="68" spans="1:18">
      <c r="A68" s="40" t="s">
        <v>183</v>
      </c>
      <c r="B68" s="11" t="s">
        <v>184</v>
      </c>
      <c r="C68" s="95">
        <v>2400</v>
      </c>
      <c r="D68" s="92">
        <v>-9.2627599199999994E-2</v>
      </c>
      <c r="E68" s="93">
        <v>2128974.6575704701</v>
      </c>
      <c r="F68" s="35"/>
      <c r="G68" s="56" t="str">
        <f ca="1">IFERROR(OFFSET(INDIRECT($H$3 &amp; "!A179"), 12, 0), "")</f>
        <v>헤데라해시그래프</v>
      </c>
      <c r="H68" s="39">
        <f t="shared" ca="1" si="25"/>
        <v>355</v>
      </c>
      <c r="I68" s="77">
        <f t="shared" ca="1" si="26"/>
        <v>-0.1125</v>
      </c>
      <c r="J68" s="86">
        <f t="shared" ca="1" si="22"/>
        <v>51319138.182002947</v>
      </c>
      <c r="K68" s="56" t="str">
        <f ca="1">IFERROR(OFFSET(INDIRECT($H$3 &amp; "!A125"), 12, 0), "")</f>
        <v>옵저버</v>
      </c>
      <c r="L68" s="39">
        <f t="shared" ca="1" si="18"/>
        <v>29.8</v>
      </c>
      <c r="M68" s="77">
        <f t="shared" ca="1" si="19"/>
        <v>-0.10240963860000001</v>
      </c>
      <c r="N68" s="86">
        <f t="shared" ca="1" si="23"/>
        <v>898439352.49582183</v>
      </c>
      <c r="O68" s="56" t="str">
        <f ca="1">IFERROR(OFFSET(INDIRECT($H$3 &amp; "!A152"), 12, 0), "")</f>
        <v>룸네트워크</v>
      </c>
      <c r="P68" s="39">
        <f t="shared" ca="1" si="20"/>
        <v>174</v>
      </c>
      <c r="Q68" s="77">
        <f t="shared" ca="1" si="21"/>
        <v>-0.112244898</v>
      </c>
      <c r="R68" s="86">
        <f t="shared" ca="1" si="24"/>
        <v>58053887.553617612</v>
      </c>
    </row>
    <row r="69" spans="1:18">
      <c r="A69" s="40" t="s">
        <v>225</v>
      </c>
      <c r="B69" s="11" t="s">
        <v>226</v>
      </c>
      <c r="C69" s="95">
        <v>516</v>
      </c>
      <c r="D69" s="92">
        <v>-9.3145869899999997E-2</v>
      </c>
      <c r="E69" s="93">
        <v>15176704.515469881</v>
      </c>
      <c r="F69" s="35"/>
      <c r="G69" s="56" t="str">
        <f ca="1">IFERROR(OFFSET(INDIRECT($H$3 &amp; "!A179"), 13, 0), "")</f>
        <v>알파쿼크</v>
      </c>
      <c r="H69" s="39">
        <f t="shared" ca="1" si="25"/>
        <v>7100</v>
      </c>
      <c r="I69" s="77">
        <f t="shared" ca="1" si="26"/>
        <v>-0.108040201</v>
      </c>
      <c r="J69" s="86">
        <f t="shared" ca="1" si="22"/>
        <v>2286128.63721014</v>
      </c>
      <c r="K69" s="56" t="str">
        <f ca="1">IFERROR(OFFSET(INDIRECT($H$3 &amp; "!A125"), 13, 0), "")</f>
        <v>에브리피디아</v>
      </c>
      <c r="L69" s="39">
        <f t="shared" ca="1" si="18"/>
        <v>25.8</v>
      </c>
      <c r="M69" s="77">
        <f t="shared" ca="1" si="19"/>
        <v>-0.1313131313</v>
      </c>
      <c r="N69" s="86">
        <f t="shared" ca="1" si="23"/>
        <v>956264297.69565618</v>
      </c>
      <c r="O69" s="56" t="str">
        <f ca="1">IFERROR(OFFSET(INDIRECT($H$3 &amp; "!A152"), 13, 0), "")</f>
        <v>모스코인</v>
      </c>
      <c r="P69" s="39">
        <f t="shared" ca="1" si="20"/>
        <v>192</v>
      </c>
      <c r="Q69" s="77">
        <f t="shared" ca="1" si="21"/>
        <v>-0.1069767442</v>
      </c>
      <c r="R69" s="86">
        <f t="shared" ca="1" si="24"/>
        <v>69762035.337986186</v>
      </c>
    </row>
    <row r="70" spans="1:18">
      <c r="A70" s="40" t="s">
        <v>203</v>
      </c>
      <c r="B70" s="11" t="s">
        <v>204</v>
      </c>
      <c r="C70" s="95">
        <v>9115</v>
      </c>
      <c r="D70" s="92">
        <v>-9.3936381700000002E-2</v>
      </c>
      <c r="E70" s="93">
        <v>47825824.230363578</v>
      </c>
      <c r="F70" s="35"/>
      <c r="G70" s="56" t="str">
        <f ca="1">IFERROR(OFFSET(INDIRECT($H$3 &amp; "!A179"), 14, 0), "")</f>
        <v>펀디엑스</v>
      </c>
      <c r="H70" s="39">
        <f t="shared" ca="1" si="25"/>
        <v>3705</v>
      </c>
      <c r="I70" s="77">
        <f t="shared" ca="1" si="26"/>
        <v>-0.1050724638</v>
      </c>
      <c r="J70" s="90">
        <f t="shared" ca="1" si="22"/>
        <v>14750895.561172931</v>
      </c>
      <c r="K70" s="58" t="str">
        <f ca="1">IFERROR(OFFSET(INDIRECT($H$3 &amp; "!A125"), 14, 0), "")</f>
        <v>엠블</v>
      </c>
      <c r="L70" s="44">
        <f t="shared" ca="1" si="18"/>
        <v>29.2</v>
      </c>
      <c r="M70" s="78">
        <f t="shared" ca="1" si="19"/>
        <v>-0.1097560976</v>
      </c>
      <c r="N70" s="90">
        <f t="shared" ca="1" si="23"/>
        <v>1298559220.2585609</v>
      </c>
      <c r="O70" s="58" t="str">
        <f ca="1">IFERROR(OFFSET(INDIRECT($H$3 &amp; "!A152"), 14, 0), "")</f>
        <v>디카르고</v>
      </c>
      <c r="P70" s="44">
        <f t="shared" ca="1" si="20"/>
        <v>261</v>
      </c>
      <c r="Q70" s="78">
        <f t="shared" ca="1" si="21"/>
        <v>-0.1</v>
      </c>
      <c r="R70" s="90">
        <f t="shared" ca="1" si="24"/>
        <v>122528154.70296901</v>
      </c>
    </row>
    <row r="71" spans="1:18">
      <c r="A71" s="40" t="s">
        <v>81</v>
      </c>
      <c r="B71" s="11" t="s">
        <v>82</v>
      </c>
      <c r="C71" s="95">
        <v>1530</v>
      </c>
      <c r="D71" s="92">
        <v>-9.4674556199999996E-2</v>
      </c>
      <c r="E71" s="93">
        <v>5293096.4190878803</v>
      </c>
      <c r="F71" s="35"/>
      <c r="G71" s="60" t="str">
        <f ca="1">IFERROR(OFFSET(INDIRECT($H$3 &amp; "!A179"), 15, 0), "")</f>
        <v>메타디움</v>
      </c>
      <c r="H71" s="45">
        <f t="shared" ca="1" si="25"/>
        <v>220</v>
      </c>
      <c r="I71" s="80">
        <f t="shared" ca="1" si="26"/>
        <v>-0.1164658635</v>
      </c>
      <c r="J71" s="99">
        <f t="shared" ca="1" si="22"/>
        <v>319360274.28764403</v>
      </c>
      <c r="K71" s="56" t="str">
        <f ca="1">IFERROR(OFFSET(INDIRECT($H$3 &amp; "!A125"), 15, 0), "")</f>
        <v>시아코인</v>
      </c>
      <c r="L71" s="39">
        <f t="shared" ca="1" si="18"/>
        <v>45</v>
      </c>
      <c r="M71" s="77">
        <f t="shared" ca="1" si="19"/>
        <v>-0.10179640719999999</v>
      </c>
      <c r="N71" s="99">
        <f t="shared" ca="1" si="23"/>
        <v>1346961935.2069495</v>
      </c>
      <c r="O71" s="56" t="str">
        <f ca="1">IFERROR(OFFSET(INDIRECT($H$3 &amp; "!A152"), 15, 0), "")</f>
        <v>헤데라해시그래프</v>
      </c>
      <c r="P71" s="39">
        <f t="shared" ca="1" si="20"/>
        <v>355</v>
      </c>
      <c r="Q71" s="77">
        <f t="shared" ca="1" si="21"/>
        <v>-0.1125</v>
      </c>
      <c r="R71" s="99">
        <f t="shared" ca="1" si="24"/>
        <v>51319138.182002947</v>
      </c>
    </row>
    <row r="72" spans="1:18">
      <c r="A72" s="40" t="s">
        <v>66</v>
      </c>
      <c r="B72" s="11" t="s">
        <v>67</v>
      </c>
      <c r="C72" s="95">
        <v>9055</v>
      </c>
      <c r="D72" s="92">
        <v>-9.54045954E-2</v>
      </c>
      <c r="E72" s="93">
        <v>3302472.9402694399</v>
      </c>
      <c r="F72" s="35"/>
      <c r="G72" s="56" t="str">
        <f ca="1">IFERROR(OFFSET(INDIRECT($H$3 &amp; "!A179"), 16, 0), "")</f>
        <v>휴먼스케이프</v>
      </c>
      <c r="H72" s="39">
        <f t="shared" ca="1" si="25"/>
        <v>181</v>
      </c>
      <c r="I72" s="77">
        <f t="shared" ca="1" si="26"/>
        <v>-0.112745098</v>
      </c>
      <c r="J72" s="86">
        <f t="shared" ca="1" si="22"/>
        <v>94111571.536625594</v>
      </c>
      <c r="K72" s="56" t="str">
        <f ca="1">IFERROR(OFFSET(INDIRECT($H$3 &amp; "!A125"), 16, 0), "")</f>
        <v>스톰엑스</v>
      </c>
      <c r="L72" s="39">
        <f t="shared" ca="1" si="18"/>
        <v>61.6</v>
      </c>
      <c r="M72" s="77">
        <f t="shared" ca="1" si="19"/>
        <v>-0.11747850999999999</v>
      </c>
      <c r="N72" s="86">
        <f t="shared" ca="1" si="23"/>
        <v>522697134.45813656</v>
      </c>
      <c r="O72" s="56" t="str">
        <f ca="1">IFERROR(OFFSET(INDIRECT($H$3 &amp; "!A152"), 16, 0), "")</f>
        <v>메타디움</v>
      </c>
      <c r="P72" s="39">
        <f t="shared" ca="1" si="20"/>
        <v>220</v>
      </c>
      <c r="Q72" s="77">
        <f t="shared" ca="1" si="21"/>
        <v>-0.1164658635</v>
      </c>
      <c r="R72" s="86">
        <f t="shared" ca="1" si="24"/>
        <v>319360274.28764403</v>
      </c>
    </row>
    <row r="73" spans="1:18">
      <c r="A73" s="40" t="s">
        <v>141</v>
      </c>
      <c r="B73" s="11" t="s">
        <v>142</v>
      </c>
      <c r="C73" s="95">
        <v>413</v>
      </c>
      <c r="D73" s="92">
        <v>-9.62800875E-2</v>
      </c>
      <c r="E73" s="93">
        <v>47301538.510998897</v>
      </c>
      <c r="F73" s="35"/>
      <c r="G73" s="56" t="str">
        <f ca="1">IFERROR(OFFSET(INDIRECT($H$3 &amp; "!A179"), 17, 0), "")</f>
        <v>피르마체인</v>
      </c>
      <c r="H73" s="39">
        <f t="shared" ca="1" si="25"/>
        <v>202</v>
      </c>
      <c r="I73" s="77">
        <f t="shared" ca="1" si="26"/>
        <v>-9.8214285700000001E-2</v>
      </c>
      <c r="J73" s="86">
        <f t="shared" ca="1" si="22"/>
        <v>63328253.536016703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휴먼스케이프</v>
      </c>
      <c r="P73" s="39">
        <f t="shared" ca="1" si="20"/>
        <v>181</v>
      </c>
      <c r="Q73" s="77">
        <f t="shared" ca="1" si="21"/>
        <v>-0.112745098</v>
      </c>
      <c r="R73" s="86">
        <f t="shared" ca="1" si="24"/>
        <v>94111571.536625594</v>
      </c>
    </row>
    <row r="74" spans="1:18">
      <c r="A74" s="40" t="s">
        <v>71</v>
      </c>
      <c r="B74" s="11" t="s">
        <v>72</v>
      </c>
      <c r="C74" s="95">
        <v>34.700000000000003</v>
      </c>
      <c r="D74" s="92">
        <v>-9.6354166699999994E-2</v>
      </c>
      <c r="E74" s="93">
        <v>192786178.72453552</v>
      </c>
      <c r="F74" s="35"/>
      <c r="G74" s="56" t="str">
        <f ca="1">IFERROR(OFFSET(INDIRECT($H$3 &amp; "!A179"), 18, 0), "")</f>
        <v>스톰엑스</v>
      </c>
      <c r="H74" s="39">
        <f t="shared" ca="1" si="25"/>
        <v>61.6</v>
      </c>
      <c r="I74" s="77">
        <f t="shared" ca="1" si="26"/>
        <v>-0.11747850999999999</v>
      </c>
      <c r="J74" s="86">
        <f t="shared" ca="1" si="22"/>
        <v>522697134.45813656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피르마체인</v>
      </c>
      <c r="P74" s="39">
        <f t="shared" ca="1" si="20"/>
        <v>202</v>
      </c>
      <c r="Q74" s="77">
        <f t="shared" ca="1" si="21"/>
        <v>-9.8214285700000001E-2</v>
      </c>
      <c r="R74" s="86">
        <f t="shared" ca="1" si="24"/>
        <v>63328253.536016703</v>
      </c>
    </row>
    <row r="75" spans="1:18" ht="17.25" thickBot="1">
      <c r="A75" s="40" t="s">
        <v>91</v>
      </c>
      <c r="B75" s="11" t="s">
        <v>92</v>
      </c>
      <c r="C75" s="95">
        <v>1720</v>
      </c>
      <c r="D75" s="92">
        <v>-9.71128609E-2</v>
      </c>
      <c r="E75" s="93">
        <v>1011734373.3272362</v>
      </c>
      <c r="F75" s="35"/>
      <c r="G75" s="57" t="str">
        <f ca="1">IFERROR(OFFSET(INDIRECT($H$3 &amp; "!A179"), 19, 0), "")</f>
        <v>메디블록</v>
      </c>
      <c r="H75" s="37">
        <f t="shared" ca="1" si="25"/>
        <v>156</v>
      </c>
      <c r="I75" s="79">
        <f t="shared" ca="1" si="26"/>
        <v>-0.1186440678</v>
      </c>
      <c r="J75" s="87">
        <f t="shared" ca="1" si="22"/>
        <v>1303101736.7727566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메디블록</v>
      </c>
      <c r="P75" s="37">
        <f t="shared" ca="1" si="20"/>
        <v>156</v>
      </c>
      <c r="Q75" s="79">
        <f t="shared" ca="1" si="21"/>
        <v>-0.1186440678</v>
      </c>
      <c r="R75" s="87">
        <f t="shared" ca="1" si="24"/>
        <v>1303101736.7727566</v>
      </c>
    </row>
    <row r="76" spans="1:18">
      <c r="A76" s="40" t="s">
        <v>209</v>
      </c>
      <c r="B76" s="11" t="s">
        <v>210</v>
      </c>
      <c r="C76" s="95">
        <v>202</v>
      </c>
      <c r="D76" s="92">
        <v>-9.8214285700000001E-2</v>
      </c>
      <c r="E76" s="93">
        <v>63328253.536016703</v>
      </c>
      <c r="F76" s="35"/>
      <c r="G76" s="35"/>
      <c r="H76" s="35"/>
      <c r="I76" s="35"/>
    </row>
    <row r="77" spans="1:18">
      <c r="A77" s="40" t="s">
        <v>245</v>
      </c>
      <c r="B77" s="11" t="s">
        <v>246</v>
      </c>
      <c r="C77" s="95">
        <v>409</v>
      </c>
      <c r="D77" s="92">
        <v>-9.9118942700000004E-2</v>
      </c>
      <c r="E77" s="93">
        <v>25047211.91708729</v>
      </c>
      <c r="F77" s="35"/>
      <c r="G77" s="35"/>
      <c r="H77" s="35"/>
      <c r="I77" s="35"/>
    </row>
    <row r="78" spans="1:18">
      <c r="A78" s="40" t="s">
        <v>111</v>
      </c>
      <c r="B78" s="11" t="s">
        <v>112</v>
      </c>
      <c r="C78" s="95">
        <v>261</v>
      </c>
      <c r="D78" s="92">
        <v>-0.1</v>
      </c>
      <c r="E78" s="93">
        <v>122528154.70296901</v>
      </c>
      <c r="F78" s="35"/>
      <c r="G78" s="35"/>
      <c r="H78" s="35"/>
      <c r="I78" s="35"/>
    </row>
    <row r="79" spans="1:18">
      <c r="A79" s="40" t="s">
        <v>221</v>
      </c>
      <c r="B79" s="11" t="s">
        <v>222</v>
      </c>
      <c r="C79" s="95">
        <v>18.899999999999999</v>
      </c>
      <c r="D79" s="92">
        <v>-0.1</v>
      </c>
      <c r="E79" s="93">
        <v>558643004.03756082</v>
      </c>
      <c r="F79" s="35"/>
      <c r="G79" s="35"/>
      <c r="H79" s="35"/>
      <c r="I79" s="35"/>
    </row>
    <row r="80" spans="1:18">
      <c r="A80" s="40" t="s">
        <v>171</v>
      </c>
      <c r="B80" s="11" t="s">
        <v>172</v>
      </c>
      <c r="C80" s="95">
        <v>25.9</v>
      </c>
      <c r="D80" s="92">
        <v>-0.1006944444</v>
      </c>
      <c r="E80" s="93">
        <v>412845612.18112922</v>
      </c>
      <c r="F80" s="35"/>
      <c r="G80" s="35"/>
      <c r="H80" s="35"/>
      <c r="I80" s="35"/>
    </row>
    <row r="81" spans="1:9">
      <c r="A81" s="40" t="s">
        <v>257</v>
      </c>
      <c r="B81" s="11" t="s">
        <v>258</v>
      </c>
      <c r="C81" s="95">
        <v>732</v>
      </c>
      <c r="D81" s="92">
        <v>-0.1007371007</v>
      </c>
      <c r="E81" s="93">
        <v>29367023.884654839</v>
      </c>
      <c r="F81" s="35"/>
      <c r="G81" s="35"/>
      <c r="H81" s="35"/>
      <c r="I81" s="35"/>
    </row>
    <row r="82" spans="1:9">
      <c r="A82" s="40" t="s">
        <v>145</v>
      </c>
      <c r="B82" s="11" t="s">
        <v>146</v>
      </c>
      <c r="C82" s="95">
        <v>18020</v>
      </c>
      <c r="D82" s="92">
        <v>-0.10124688279999999</v>
      </c>
      <c r="E82" s="93">
        <v>1639445.69000658</v>
      </c>
      <c r="F82" s="35"/>
      <c r="G82" s="35"/>
      <c r="H82" s="35"/>
      <c r="I82" s="35"/>
    </row>
    <row r="83" spans="1:9">
      <c r="A83" s="40" t="s">
        <v>139</v>
      </c>
      <c r="B83" s="11" t="s">
        <v>140</v>
      </c>
      <c r="C83" s="95">
        <v>3765</v>
      </c>
      <c r="D83" s="92">
        <v>-0.1014319809</v>
      </c>
      <c r="E83" s="93">
        <v>4450352.03766507</v>
      </c>
      <c r="F83" s="35"/>
      <c r="G83" s="35"/>
      <c r="H83" s="35"/>
      <c r="I83" s="35"/>
    </row>
    <row r="84" spans="1:9">
      <c r="A84" s="40" t="s">
        <v>151</v>
      </c>
      <c r="B84" s="11" t="s">
        <v>152</v>
      </c>
      <c r="C84" s="95">
        <v>45</v>
      </c>
      <c r="D84" s="92">
        <v>-0.10179640719999999</v>
      </c>
      <c r="E84" s="93">
        <v>1346961935.2069495</v>
      </c>
      <c r="F84" s="35"/>
      <c r="G84" s="35"/>
      <c r="H84" s="35"/>
      <c r="I84" s="35"/>
    </row>
    <row r="85" spans="1:9">
      <c r="A85" s="40" t="s">
        <v>237</v>
      </c>
      <c r="B85" s="11" t="s">
        <v>238</v>
      </c>
      <c r="C85" s="95">
        <v>300</v>
      </c>
      <c r="D85" s="92">
        <v>-0.10179640719999999</v>
      </c>
      <c r="E85" s="93">
        <v>29643823.821968179</v>
      </c>
      <c r="F85" s="35"/>
      <c r="G85" s="35"/>
      <c r="H85" s="35"/>
      <c r="I85" s="35"/>
    </row>
    <row r="86" spans="1:9">
      <c r="A86" s="40" t="s">
        <v>249</v>
      </c>
      <c r="B86" s="11" t="s">
        <v>250</v>
      </c>
      <c r="C86" s="95">
        <v>220</v>
      </c>
      <c r="D86" s="92">
        <v>-0.1020408163</v>
      </c>
      <c r="E86" s="93">
        <v>39409362.242819019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5">
        <v>29.8</v>
      </c>
      <c r="D87" s="92">
        <v>-0.10240963860000001</v>
      </c>
      <c r="E87" s="93">
        <v>898439352.49582183</v>
      </c>
      <c r="F87" s="35"/>
      <c r="G87" s="35"/>
      <c r="H87" s="35"/>
      <c r="I87" s="35"/>
    </row>
    <row r="88" spans="1:9">
      <c r="A88" s="40" t="s">
        <v>133</v>
      </c>
      <c r="B88" s="11" t="s">
        <v>134</v>
      </c>
      <c r="C88" s="95">
        <v>148</v>
      </c>
      <c r="D88" s="92">
        <v>-0.103030303</v>
      </c>
      <c r="E88" s="93">
        <v>151534246.46487439</v>
      </c>
      <c r="F88" s="35"/>
      <c r="G88" s="35"/>
      <c r="H88" s="35"/>
      <c r="I88" s="35"/>
    </row>
    <row r="89" spans="1:9">
      <c r="A89" s="40" t="s">
        <v>167</v>
      </c>
      <c r="B89" s="11" t="s">
        <v>168</v>
      </c>
      <c r="C89" s="95">
        <v>199</v>
      </c>
      <c r="D89" s="92">
        <v>-0.1036036036</v>
      </c>
      <c r="E89" s="93">
        <v>328420396.72941661</v>
      </c>
      <c r="F89" s="35"/>
      <c r="G89" s="35"/>
      <c r="H89" s="35"/>
      <c r="I89" s="35"/>
    </row>
    <row r="90" spans="1:9">
      <c r="A90" s="40" t="s">
        <v>121</v>
      </c>
      <c r="B90" s="11" t="s">
        <v>122</v>
      </c>
      <c r="C90" s="95">
        <v>121</v>
      </c>
      <c r="D90" s="92">
        <v>-0.1037037037</v>
      </c>
      <c r="E90" s="93">
        <v>332001374.12270731</v>
      </c>
      <c r="F90" s="35"/>
      <c r="G90" s="35"/>
      <c r="H90" s="35"/>
      <c r="I90" s="35"/>
    </row>
    <row r="91" spans="1:9">
      <c r="A91" s="40" t="s">
        <v>165</v>
      </c>
      <c r="B91" s="11" t="s">
        <v>166</v>
      </c>
      <c r="C91" s="95">
        <v>2285</v>
      </c>
      <c r="D91" s="92">
        <v>-0.1039215686</v>
      </c>
      <c r="E91" s="93">
        <v>6077451.4044878501</v>
      </c>
      <c r="F91" s="35"/>
      <c r="G91" s="35"/>
      <c r="H91" s="35"/>
      <c r="I91" s="35"/>
    </row>
    <row r="92" spans="1:9">
      <c r="A92" s="40" t="s">
        <v>207</v>
      </c>
      <c r="B92" s="11" t="s">
        <v>208</v>
      </c>
      <c r="C92" s="95">
        <v>500</v>
      </c>
      <c r="D92" s="92">
        <v>-0.10394265229999999</v>
      </c>
      <c r="E92" s="93">
        <v>106455642.29793692</v>
      </c>
      <c r="F92" s="35"/>
      <c r="G92" s="35"/>
      <c r="H92" s="35"/>
      <c r="I92" s="35"/>
    </row>
    <row r="93" spans="1:9">
      <c r="A93" s="40" t="s">
        <v>187</v>
      </c>
      <c r="B93" s="11" t="s">
        <v>188</v>
      </c>
      <c r="C93" s="95">
        <v>17320</v>
      </c>
      <c r="D93" s="92">
        <v>-0.1039834454</v>
      </c>
      <c r="E93" s="93">
        <v>10031857.42375494</v>
      </c>
      <c r="F93" s="35"/>
      <c r="G93" s="35"/>
      <c r="H93" s="35"/>
      <c r="I93" s="35"/>
    </row>
    <row r="94" spans="1:9">
      <c r="A94" s="40" t="s">
        <v>243</v>
      </c>
      <c r="B94" s="11" t="s">
        <v>244</v>
      </c>
      <c r="C94" s="95">
        <v>3705</v>
      </c>
      <c r="D94" s="92">
        <v>-0.1050724638</v>
      </c>
      <c r="E94" s="93">
        <v>14750895.561172931</v>
      </c>
      <c r="F94" s="35"/>
      <c r="G94" s="35"/>
      <c r="H94" s="35"/>
      <c r="I94" s="35"/>
    </row>
    <row r="95" spans="1:9">
      <c r="A95" s="40" t="s">
        <v>283</v>
      </c>
      <c r="B95" s="11" t="s">
        <v>284</v>
      </c>
      <c r="C95" s="95">
        <v>433</v>
      </c>
      <c r="D95" s="92">
        <v>-0.1053719008</v>
      </c>
      <c r="E95" s="93">
        <v>98442691.891814217</v>
      </c>
      <c r="F95" s="35"/>
      <c r="G95" s="35"/>
      <c r="H95" s="35"/>
      <c r="I95" s="35"/>
    </row>
    <row r="96" spans="1:9">
      <c r="A96" s="40" t="s">
        <v>191</v>
      </c>
      <c r="B96" s="11" t="s">
        <v>192</v>
      </c>
      <c r="C96" s="95">
        <v>1100</v>
      </c>
      <c r="D96" s="92">
        <v>-0.1056910569</v>
      </c>
      <c r="E96" s="93">
        <v>8413601.4817091804</v>
      </c>
      <c r="F96" s="35"/>
      <c r="G96" s="35"/>
      <c r="H96" s="35"/>
      <c r="I96" s="35"/>
    </row>
    <row r="97" spans="1:9">
      <c r="A97" s="40" t="s">
        <v>193</v>
      </c>
      <c r="B97" s="11" t="s">
        <v>194</v>
      </c>
      <c r="C97" s="95">
        <v>14620</v>
      </c>
      <c r="D97" s="92">
        <v>-0.10581039759999999</v>
      </c>
      <c r="E97" s="93">
        <v>2483744.9742148202</v>
      </c>
      <c r="F97" s="35"/>
      <c r="G97" s="35"/>
      <c r="H97" s="35"/>
      <c r="I97" s="35"/>
    </row>
    <row r="98" spans="1:9">
      <c r="A98" s="40" t="s">
        <v>235</v>
      </c>
      <c r="B98" s="11" t="s">
        <v>236</v>
      </c>
      <c r="C98" s="95">
        <v>70.7</v>
      </c>
      <c r="D98" s="92">
        <v>-0.10619469030000001</v>
      </c>
      <c r="E98" s="93">
        <v>255991337.4361839</v>
      </c>
      <c r="F98" s="35"/>
      <c r="G98" s="35"/>
      <c r="H98" s="35"/>
      <c r="I98" s="35"/>
    </row>
    <row r="99" spans="1:9">
      <c r="A99" s="40" t="s">
        <v>239</v>
      </c>
      <c r="B99" s="11" t="s">
        <v>240</v>
      </c>
      <c r="C99" s="95">
        <v>192</v>
      </c>
      <c r="D99" s="92">
        <v>-0.1069767442</v>
      </c>
      <c r="E99" s="93">
        <v>69762035.337986186</v>
      </c>
      <c r="F99" s="35"/>
      <c r="G99" s="35"/>
      <c r="H99" s="35"/>
      <c r="I99" s="35"/>
    </row>
    <row r="100" spans="1:9">
      <c r="A100" s="40" t="s">
        <v>123</v>
      </c>
      <c r="B100" s="11" t="s">
        <v>124</v>
      </c>
      <c r="C100" s="95">
        <v>7100</v>
      </c>
      <c r="D100" s="92">
        <v>-0.108040201</v>
      </c>
      <c r="E100" s="93">
        <v>2286128.63721014</v>
      </c>
      <c r="F100" s="35"/>
      <c r="G100" s="35"/>
      <c r="H100" s="35"/>
      <c r="I100" s="35"/>
    </row>
    <row r="101" spans="1:9">
      <c r="A101" s="40" t="s">
        <v>227</v>
      </c>
      <c r="B101" s="11" t="s">
        <v>228</v>
      </c>
      <c r="C101" s="95">
        <v>18.899999999999999</v>
      </c>
      <c r="D101" s="92">
        <v>-0.108490566</v>
      </c>
      <c r="E101" s="93">
        <v>1994541887.7362931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5">
        <v>180</v>
      </c>
      <c r="D102" s="92">
        <v>-0.1089108911</v>
      </c>
      <c r="E102" s="93">
        <v>59411034.180574268</v>
      </c>
      <c r="F102" s="35"/>
      <c r="G102" s="35"/>
      <c r="H102" s="35"/>
      <c r="I102" s="35"/>
    </row>
    <row r="103" spans="1:9">
      <c r="A103" s="40" t="s">
        <v>169</v>
      </c>
      <c r="B103" s="11" t="s">
        <v>170</v>
      </c>
      <c r="C103" s="95">
        <v>504</v>
      </c>
      <c r="D103" s="92">
        <v>-0.109540636</v>
      </c>
      <c r="E103" s="93">
        <v>18273237.981368352</v>
      </c>
      <c r="F103" s="35"/>
      <c r="G103" s="35"/>
      <c r="H103" s="35"/>
      <c r="I103" s="35"/>
    </row>
    <row r="104" spans="1:9">
      <c r="A104" s="40" t="s">
        <v>197</v>
      </c>
      <c r="B104" s="11" t="s">
        <v>198</v>
      </c>
      <c r="C104" s="95">
        <v>29.2</v>
      </c>
      <c r="D104" s="92">
        <v>-0.1097560976</v>
      </c>
      <c r="E104" s="93">
        <v>1298559220.2585609</v>
      </c>
      <c r="F104" s="35"/>
      <c r="G104" s="35"/>
      <c r="H104" s="35"/>
      <c r="I104" s="35"/>
    </row>
    <row r="105" spans="1:9">
      <c r="A105" s="40" t="s">
        <v>223</v>
      </c>
      <c r="B105" s="11" t="s">
        <v>224</v>
      </c>
      <c r="C105" s="95">
        <v>2050</v>
      </c>
      <c r="D105" s="92">
        <v>-0.1106290672</v>
      </c>
      <c r="E105" s="93">
        <v>28091718.529529341</v>
      </c>
      <c r="F105" s="35"/>
      <c r="G105" s="35"/>
      <c r="H105" s="35"/>
      <c r="I105" s="35"/>
    </row>
    <row r="106" spans="1:9">
      <c r="A106" s="40" t="s">
        <v>263</v>
      </c>
      <c r="B106" s="11" t="s">
        <v>264</v>
      </c>
      <c r="C106" s="95">
        <v>174</v>
      </c>
      <c r="D106" s="92">
        <v>-0.112244898</v>
      </c>
      <c r="E106" s="93">
        <v>58053887.553617612</v>
      </c>
      <c r="F106" s="35"/>
      <c r="G106" s="35"/>
      <c r="H106" s="35"/>
      <c r="I106" s="35"/>
    </row>
    <row r="107" spans="1:9">
      <c r="A107" s="40" t="s">
        <v>53</v>
      </c>
      <c r="B107" s="11" t="s">
        <v>54</v>
      </c>
      <c r="C107" s="95">
        <v>355</v>
      </c>
      <c r="D107" s="92">
        <v>-0.1125</v>
      </c>
      <c r="E107" s="93">
        <v>51319138.182002947</v>
      </c>
      <c r="F107" s="35"/>
      <c r="G107" s="35"/>
      <c r="H107" s="35"/>
      <c r="I107" s="35"/>
    </row>
    <row r="108" spans="1:9">
      <c r="A108" s="40" t="s">
        <v>229</v>
      </c>
      <c r="B108" s="11" t="s">
        <v>230</v>
      </c>
      <c r="C108" s="95">
        <v>181</v>
      </c>
      <c r="D108" s="92">
        <v>-0.112745098</v>
      </c>
      <c r="E108" s="93">
        <v>94111571.536625594</v>
      </c>
      <c r="F108" s="35"/>
      <c r="G108" s="35"/>
      <c r="H108" s="35"/>
      <c r="I108" s="35"/>
    </row>
    <row r="109" spans="1:9">
      <c r="A109" s="40" t="s">
        <v>259</v>
      </c>
      <c r="B109" s="11" t="s">
        <v>260</v>
      </c>
      <c r="C109" s="95">
        <v>125</v>
      </c>
      <c r="D109" s="92">
        <v>-0.11347517729999999</v>
      </c>
      <c r="E109" s="41">
        <v>240573738.19639963</v>
      </c>
    </row>
    <row r="110" spans="1:9">
      <c r="A110" s="40" t="s">
        <v>213</v>
      </c>
      <c r="B110" s="11" t="s">
        <v>214</v>
      </c>
      <c r="C110" s="95">
        <v>22.6</v>
      </c>
      <c r="D110" s="92">
        <v>-0.1137254902</v>
      </c>
      <c r="E110" s="41">
        <v>765475797.13017428</v>
      </c>
    </row>
    <row r="111" spans="1:9">
      <c r="A111" s="40" t="s">
        <v>201</v>
      </c>
      <c r="B111" s="11" t="s">
        <v>202</v>
      </c>
      <c r="C111" s="95">
        <v>220</v>
      </c>
      <c r="D111" s="92">
        <v>-0.1164658635</v>
      </c>
      <c r="E111" s="41">
        <v>319360274.28764403</v>
      </c>
    </row>
    <row r="112" spans="1:9">
      <c r="A112" s="40" t="s">
        <v>261</v>
      </c>
      <c r="B112" s="11" t="s">
        <v>262</v>
      </c>
      <c r="C112" s="95">
        <v>1020</v>
      </c>
      <c r="D112" s="92">
        <v>-0.1168831169</v>
      </c>
      <c r="E112" s="41">
        <v>26764184.699226689</v>
      </c>
    </row>
    <row r="113" spans="1:5">
      <c r="A113" s="40" t="s">
        <v>125</v>
      </c>
      <c r="B113" s="11" t="s">
        <v>126</v>
      </c>
      <c r="C113" s="95">
        <v>61.6</v>
      </c>
      <c r="D113" s="92">
        <v>-0.11747850999999999</v>
      </c>
      <c r="E113" s="41">
        <v>522697134.45813656</v>
      </c>
    </row>
    <row r="114" spans="1:5">
      <c r="A114" s="40" t="s">
        <v>251</v>
      </c>
      <c r="B114" s="11" t="s">
        <v>252</v>
      </c>
      <c r="C114" s="95">
        <v>533</v>
      </c>
      <c r="D114" s="92">
        <v>-0.1175496689</v>
      </c>
      <c r="E114" s="41">
        <v>89309377.481572717</v>
      </c>
    </row>
    <row r="115" spans="1:5">
      <c r="A115" s="40" t="s">
        <v>211</v>
      </c>
      <c r="B115" s="11" t="s">
        <v>212</v>
      </c>
      <c r="C115" s="95">
        <v>156</v>
      </c>
      <c r="D115" s="92">
        <v>-0.1186440678</v>
      </c>
      <c r="E115" s="41">
        <v>1303101736.7727566</v>
      </c>
    </row>
    <row r="116" spans="1:5">
      <c r="A116" s="40" t="s">
        <v>215</v>
      </c>
      <c r="B116" s="11" t="s">
        <v>216</v>
      </c>
      <c r="C116" s="95">
        <v>439</v>
      </c>
      <c r="D116" s="92">
        <v>-0.120240481</v>
      </c>
      <c r="E116" s="41">
        <v>17685736.797834288</v>
      </c>
    </row>
    <row r="117" spans="1:5">
      <c r="A117" s="40" t="s">
        <v>271</v>
      </c>
      <c r="B117" s="11" t="s">
        <v>272</v>
      </c>
      <c r="C117" s="95">
        <v>2285</v>
      </c>
      <c r="D117" s="92">
        <v>-0.1278625954</v>
      </c>
      <c r="E117" s="41">
        <v>4671538.1074992903</v>
      </c>
    </row>
    <row r="118" spans="1:5">
      <c r="A118" s="40" t="s">
        <v>185</v>
      </c>
      <c r="B118" s="11" t="s">
        <v>186</v>
      </c>
      <c r="C118" s="95">
        <v>25.8</v>
      </c>
      <c r="D118" s="92">
        <v>-0.1313131313</v>
      </c>
      <c r="E118" s="41">
        <v>956264297.69565618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A94" workbookViewId="0">
      <selection activeCell="G63" sqref="G63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295</v>
      </c>
      <c r="B2" s="11" t="s">
        <v>296</v>
      </c>
      <c r="C2" s="95">
        <v>700</v>
      </c>
      <c r="D2" s="92">
        <v>0.29870129870000001</v>
      </c>
      <c r="E2" s="93">
        <v>15221997909.566694</v>
      </c>
      <c r="F2" s="35"/>
      <c r="G2" s="54"/>
      <c r="H2" s="35"/>
      <c r="I2" s="35"/>
    </row>
    <row r="3" spans="1:18" ht="17.25" thickBot="1">
      <c r="A3" s="40" t="s">
        <v>101</v>
      </c>
      <c r="B3" s="11" t="s">
        <v>102</v>
      </c>
      <c r="C3" s="95">
        <v>75900</v>
      </c>
      <c r="D3" s="92">
        <v>0.19152276300000001</v>
      </c>
      <c r="E3" s="93">
        <v>57800110.600081652</v>
      </c>
      <c r="F3" s="35"/>
      <c r="G3" s="229" t="s">
        <v>290</v>
      </c>
      <c r="H3" s="241" t="s">
        <v>322</v>
      </c>
      <c r="I3" s="241"/>
      <c r="K3" s="185" t="s">
        <v>34</v>
      </c>
      <c r="L3" s="186"/>
      <c r="M3" s="186"/>
      <c r="N3" s="187"/>
      <c r="O3" s="185" t="s">
        <v>291</v>
      </c>
      <c r="P3" s="186"/>
      <c r="Q3" s="186"/>
      <c r="R3" s="187"/>
    </row>
    <row r="4" spans="1:18" ht="17.25" thickBot="1">
      <c r="A4" s="40" t="s">
        <v>93</v>
      </c>
      <c r="B4" s="11" t="s">
        <v>94</v>
      </c>
      <c r="C4" s="95">
        <v>126650</v>
      </c>
      <c r="D4" s="92">
        <v>7.5127334500000004E-2</v>
      </c>
      <c r="E4" s="93">
        <v>4235396.9085976304</v>
      </c>
      <c r="F4" s="35"/>
      <c r="G4" s="230"/>
      <c r="H4" s="242"/>
      <c r="I4" s="242"/>
      <c r="K4" s="222" t="s">
        <v>55</v>
      </c>
      <c r="L4" s="238">
        <f ca="1">NOW()</f>
        <v>44321.102619791665</v>
      </c>
      <c r="M4" s="239"/>
      <c r="N4" s="240"/>
      <c r="O4" s="237" t="s">
        <v>55</v>
      </c>
      <c r="P4" s="238">
        <f ca="1">NOW()</f>
        <v>44321.102619791665</v>
      </c>
      <c r="Q4" s="239"/>
      <c r="R4" s="240"/>
    </row>
    <row r="5" spans="1:18" ht="17.25" thickBot="1">
      <c r="A5" s="40" t="s">
        <v>163</v>
      </c>
      <c r="B5" s="11" t="s">
        <v>164</v>
      </c>
      <c r="C5" s="95">
        <v>43300</v>
      </c>
      <c r="D5" s="92">
        <v>7.1251855500000003E-2</v>
      </c>
      <c r="E5" s="93">
        <v>25601582.347198851</v>
      </c>
      <c r="F5" s="35"/>
      <c r="K5" s="230"/>
      <c r="L5" s="51" t="s">
        <v>58</v>
      </c>
      <c r="M5" s="73" t="s">
        <v>59</v>
      </c>
      <c r="N5" s="69" t="s">
        <v>294</v>
      </c>
      <c r="O5" s="208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265</v>
      </c>
      <c r="B6" s="11" t="s">
        <v>266</v>
      </c>
      <c r="C6" s="95">
        <v>104</v>
      </c>
      <c r="D6" s="92">
        <v>5.6910569100000002E-2</v>
      </c>
      <c r="E6" s="93">
        <v>2042962763.0075088</v>
      </c>
      <c r="F6" s="35"/>
      <c r="G6" s="185" t="s">
        <v>52</v>
      </c>
      <c r="H6" s="186"/>
      <c r="I6" s="187"/>
      <c r="K6" s="55" t="str">
        <f ca="1">IFERROR(OFFSET(INDIRECT($H$3 &amp; "!A17"), 0, 0), "")</f>
        <v>도지코인</v>
      </c>
      <c r="L6" s="38">
        <f t="shared" ref="L6:L25" ca="1" si="0">_xlfn.IFNA(VLOOKUP(K6, $B$2:$D$200, 2, FALSE), "")</f>
        <v>700</v>
      </c>
      <c r="M6" s="76">
        <f t="shared" ref="M6:M25" ca="1" si="1">_xlfn.IFNA(VLOOKUP(K6, $B$2:$D$200, 3, FALSE), "")</f>
        <v>0.29870129870000001</v>
      </c>
      <c r="N6" s="85">
        <f ca="1">_xlfn.IFNA(VLOOKUP(K6, $B$2:$E$200, 4, FALSE), "")</f>
        <v>15221997909.566694</v>
      </c>
      <c r="O6" s="72" t="s">
        <v>296</v>
      </c>
      <c r="P6" s="38">
        <f t="shared" ref="P6:P25" si="2">_xlfn.IFNA(VLOOKUP(O6, $B$2:$D$200, 2, FALSE), "")</f>
        <v>700</v>
      </c>
      <c r="Q6" s="76">
        <f t="shared" ref="Q6:Q25" si="3">_xlfn.IFNA(VLOOKUP(O6, $B$2:$D$200, 3, FALSE), "")</f>
        <v>0.29870129870000001</v>
      </c>
      <c r="R6" s="85">
        <f>_xlfn.IFNA(VLOOKUP(O6, $B$2:$E$200, 4, FALSE), "")</f>
        <v>15221997909.566694</v>
      </c>
    </row>
    <row r="7" spans="1:18">
      <c r="A7" s="40" t="s">
        <v>129</v>
      </c>
      <c r="B7" s="11" t="s">
        <v>130</v>
      </c>
      <c r="C7" s="95">
        <v>375750</v>
      </c>
      <c r="D7" s="92">
        <v>4.0282392E-2</v>
      </c>
      <c r="E7" s="93">
        <v>798291.59581815999</v>
      </c>
      <c r="F7" s="35"/>
      <c r="G7" s="213" t="s">
        <v>36</v>
      </c>
      <c r="H7" s="214"/>
      <c r="I7" s="215"/>
      <c r="K7" s="56" t="str">
        <f ca="1">IFERROR(OFFSET(INDIRECT($H$3 &amp; "!A17"), 1, 0), "")</f>
        <v>이더리움클래식</v>
      </c>
      <c r="L7" s="39">
        <f t="shared" ca="1" si="0"/>
        <v>75900</v>
      </c>
      <c r="M7" s="77">
        <f t="shared" ca="1" si="1"/>
        <v>0.19152276300000001</v>
      </c>
      <c r="N7" s="86">
        <f t="shared" ref="N7:N25" ca="1" si="4">_xlfn.IFNA(VLOOKUP(K7, $B$2:$E$200, 4, FALSE), "")</f>
        <v>57800110.600081652</v>
      </c>
      <c r="O7" s="88" t="s">
        <v>102</v>
      </c>
      <c r="P7" s="39">
        <f t="shared" si="2"/>
        <v>75900</v>
      </c>
      <c r="Q7" s="77">
        <f t="shared" si="3"/>
        <v>0.19152276300000001</v>
      </c>
      <c r="R7" s="86">
        <f t="shared" ref="R7:R25" si="5">_xlfn.IFNA(VLOOKUP(O7, $B$2:$E$200, 4, FALSE), "")</f>
        <v>57800110.600081652</v>
      </c>
    </row>
    <row r="8" spans="1:18" ht="17.25" thickBot="1">
      <c r="A8" s="40" t="s">
        <v>75</v>
      </c>
      <c r="B8" s="11" t="s">
        <v>76</v>
      </c>
      <c r="C8" s="95">
        <v>53500</v>
      </c>
      <c r="D8" s="92">
        <v>3.9642440700000003E-2</v>
      </c>
      <c r="E8" s="93">
        <v>3191315.1065706299</v>
      </c>
      <c r="F8" s="35"/>
      <c r="G8" s="206"/>
      <c r="H8" s="207"/>
      <c r="I8" s="208"/>
      <c r="K8" s="56" t="str">
        <f ca="1">IFERROR(OFFSET(INDIRECT($H$3 &amp; "!A17"), 2, 0), "")</f>
        <v>웨이브</v>
      </c>
      <c r="L8" s="39">
        <f t="shared" ca="1" si="0"/>
        <v>43300</v>
      </c>
      <c r="M8" s="77">
        <f t="shared" ca="1" si="1"/>
        <v>7.1251855500000003E-2</v>
      </c>
      <c r="N8" s="86">
        <f t="shared" ca="1" si="4"/>
        <v>25601582.347198851</v>
      </c>
      <c r="O8" s="88" t="s">
        <v>94</v>
      </c>
      <c r="P8" s="39">
        <f t="shared" si="2"/>
        <v>126650</v>
      </c>
      <c r="Q8" s="77">
        <f t="shared" si="3"/>
        <v>7.5127334500000004E-2</v>
      </c>
      <c r="R8" s="86">
        <f t="shared" si="5"/>
        <v>4235396.9085976304</v>
      </c>
    </row>
    <row r="9" spans="1:18" ht="17.25" thickBot="1">
      <c r="A9" s="40" t="s">
        <v>205</v>
      </c>
      <c r="B9" s="11" t="s">
        <v>206</v>
      </c>
      <c r="C9" s="95">
        <v>39420</v>
      </c>
      <c r="D9" s="92">
        <v>2.92428198E-2</v>
      </c>
      <c r="E9" s="93">
        <v>8706337.5403885208</v>
      </c>
      <c r="F9" s="35"/>
      <c r="G9" s="50" t="s">
        <v>38</v>
      </c>
      <c r="H9" s="186" t="s">
        <v>37</v>
      </c>
      <c r="I9" s="187"/>
      <c r="K9" s="56" t="str">
        <f ca="1">IFERROR(OFFSET(INDIRECT($H$3 &amp; "!A17"), 3, 0), "")</f>
        <v>비트코인골드</v>
      </c>
      <c r="L9" s="39">
        <f t="shared" ca="1" si="0"/>
        <v>126650</v>
      </c>
      <c r="M9" s="77">
        <f t="shared" ca="1" si="1"/>
        <v>7.5127334500000004E-2</v>
      </c>
      <c r="N9" s="86">
        <f t="shared" ca="1" si="4"/>
        <v>4235396.9085976304</v>
      </c>
      <c r="O9" s="88" t="s">
        <v>164</v>
      </c>
      <c r="P9" s="39">
        <f t="shared" si="2"/>
        <v>43300</v>
      </c>
      <c r="Q9" s="77">
        <f t="shared" si="3"/>
        <v>7.1251855500000003E-2</v>
      </c>
      <c r="R9" s="86">
        <f t="shared" si="5"/>
        <v>25601582.347198851</v>
      </c>
    </row>
    <row r="10" spans="1:18">
      <c r="A10" s="40" t="s">
        <v>107</v>
      </c>
      <c r="B10" s="11" t="s">
        <v>108</v>
      </c>
      <c r="C10" s="95">
        <v>52840</v>
      </c>
      <c r="D10" s="92">
        <v>8.3969466E-3</v>
      </c>
      <c r="E10" s="93">
        <v>2566254.8845163402</v>
      </c>
      <c r="F10" s="35"/>
      <c r="G10" s="231">
        <f>_xlfn.IFNA(VLOOKUP(G7, $B$2:$D$200, 3, FALSE), "-")</f>
        <v>-3.8730784599999998E-2</v>
      </c>
      <c r="H10" s="233">
        <f>_xlfn.IFNA(VLOOKUP(G7, $B$2:$D$200, 2, FALSE), "-")</f>
        <v>67285000</v>
      </c>
      <c r="I10" s="234"/>
      <c r="K10" s="58" t="str">
        <f ca="1">IFERROR(OFFSET(INDIRECT($H$3 &amp; "!A17"), 4, 0), "")</f>
        <v>플로우</v>
      </c>
      <c r="L10" s="44">
        <f t="shared" ca="1" si="0"/>
        <v>39420</v>
      </c>
      <c r="M10" s="78">
        <f t="shared" ca="1" si="1"/>
        <v>2.92428198E-2</v>
      </c>
      <c r="N10" s="90">
        <f t="shared" ca="1" si="4"/>
        <v>8706337.5403885208</v>
      </c>
      <c r="O10" s="88" t="s">
        <v>266</v>
      </c>
      <c r="P10" s="39">
        <f t="shared" si="2"/>
        <v>104</v>
      </c>
      <c r="Q10" s="77">
        <f t="shared" si="3"/>
        <v>5.6910569100000002E-2</v>
      </c>
      <c r="R10" s="90">
        <f t="shared" si="5"/>
        <v>2042962763.0075088</v>
      </c>
    </row>
    <row r="11" spans="1:18" ht="17.25" thickBot="1">
      <c r="A11" s="40" t="s">
        <v>175</v>
      </c>
      <c r="B11" s="11" t="s">
        <v>176</v>
      </c>
      <c r="C11" s="95">
        <v>2560</v>
      </c>
      <c r="D11" s="92">
        <v>3.9215685999999996E-3</v>
      </c>
      <c r="E11" s="93">
        <v>51797912.93478059</v>
      </c>
      <c r="F11" s="35"/>
      <c r="G11" s="232"/>
      <c r="H11" s="235"/>
      <c r="I11" s="236"/>
      <c r="K11" s="56" t="str">
        <f ca="1">IFERROR(OFFSET(INDIRECT($H$3 &amp; "!A17"), 5, 0), "")</f>
        <v>라이트코인</v>
      </c>
      <c r="L11" s="39">
        <f t="shared" ca="1" si="0"/>
        <v>375750</v>
      </c>
      <c r="M11" s="77">
        <f t="shared" ca="1" si="1"/>
        <v>4.0282392E-2</v>
      </c>
      <c r="N11" s="99">
        <f t="shared" ca="1" si="4"/>
        <v>798291.59581815999</v>
      </c>
      <c r="O11" s="89" t="s">
        <v>130</v>
      </c>
      <c r="P11" s="45">
        <f t="shared" si="2"/>
        <v>375750</v>
      </c>
      <c r="Q11" s="80">
        <f t="shared" si="3"/>
        <v>4.0282392E-2</v>
      </c>
      <c r="R11" s="99">
        <f t="shared" si="5"/>
        <v>798291.59581815999</v>
      </c>
    </row>
    <row r="12" spans="1:18" ht="17.25" thickBot="1">
      <c r="A12" s="40" t="s">
        <v>275</v>
      </c>
      <c r="B12" s="11" t="s">
        <v>276</v>
      </c>
      <c r="C12" s="95">
        <v>4400</v>
      </c>
      <c r="D12" s="92">
        <v>-2.00445434E-2</v>
      </c>
      <c r="E12" s="93">
        <v>30434705.23678964</v>
      </c>
      <c r="F12" s="35"/>
      <c r="K12" s="56" t="str">
        <f ca="1">IFERROR(OFFSET(INDIRECT($H$3 &amp; "!A17"), 6, 0), "")</f>
        <v>에스티피</v>
      </c>
      <c r="L12" s="39">
        <f t="shared" ca="1" si="0"/>
        <v>104</v>
      </c>
      <c r="M12" s="77">
        <f t="shared" ca="1" si="1"/>
        <v>5.6910569100000002E-2</v>
      </c>
      <c r="N12" s="86">
        <f t="shared" ca="1" si="4"/>
        <v>2042962763.0075088</v>
      </c>
      <c r="O12" s="88" t="s">
        <v>76</v>
      </c>
      <c r="P12" s="39">
        <f t="shared" si="2"/>
        <v>53500</v>
      </c>
      <c r="Q12" s="77">
        <f t="shared" si="3"/>
        <v>3.9642440700000003E-2</v>
      </c>
      <c r="R12" s="86">
        <f t="shared" si="5"/>
        <v>3191315.1065706299</v>
      </c>
    </row>
    <row r="13" spans="1:18" ht="17.25" thickBot="1">
      <c r="A13" s="40" t="s">
        <v>85</v>
      </c>
      <c r="B13" s="11" t="s">
        <v>86</v>
      </c>
      <c r="C13" s="95">
        <v>8095</v>
      </c>
      <c r="D13" s="92">
        <v>-2.9376498800000001E-2</v>
      </c>
      <c r="E13" s="93">
        <v>44601992.461616851</v>
      </c>
      <c r="F13" s="35"/>
      <c r="G13" s="185" t="s">
        <v>70</v>
      </c>
      <c r="H13" s="186"/>
      <c r="I13" s="187"/>
      <c r="K13" s="56" t="str">
        <f ca="1">IFERROR(OFFSET(INDIRECT($H$3 &amp; "!A17"), 7, 0), "")</f>
        <v>체인링크</v>
      </c>
      <c r="L13" s="39">
        <f t="shared" ca="1" si="0"/>
        <v>53500</v>
      </c>
      <c r="M13" s="77">
        <f t="shared" ca="1" si="1"/>
        <v>3.9642440700000003E-2</v>
      </c>
      <c r="N13" s="86">
        <f t="shared" ca="1" si="4"/>
        <v>3191315.1065706299</v>
      </c>
      <c r="O13" s="88" t="s">
        <v>206</v>
      </c>
      <c r="P13" s="39">
        <f t="shared" si="2"/>
        <v>39420</v>
      </c>
      <c r="Q13" s="77">
        <f t="shared" si="3"/>
        <v>2.92428198E-2</v>
      </c>
      <c r="R13" s="86">
        <f t="shared" si="5"/>
        <v>8706337.5403885208</v>
      </c>
    </row>
    <row r="14" spans="1:18">
      <c r="A14" s="40" t="s">
        <v>95</v>
      </c>
      <c r="B14" s="11" t="s">
        <v>96</v>
      </c>
      <c r="C14" s="95">
        <v>4089000</v>
      </c>
      <c r="D14" s="92">
        <v>-3.2418362499999999E-2</v>
      </c>
      <c r="E14" s="93">
        <v>521840.24492132</v>
      </c>
      <c r="F14" s="35"/>
      <c r="G14" s="213" t="s">
        <v>36</v>
      </c>
      <c r="H14" s="214"/>
      <c r="I14" s="215"/>
      <c r="K14" s="56" t="str">
        <f ca="1">IFERROR(OFFSET(INDIRECT($H$3 &amp; "!A17"), 8, 0), "")</f>
        <v>비트코인캐시에이비씨</v>
      </c>
      <c r="L14" s="39">
        <f t="shared" ca="1" si="0"/>
        <v>52840</v>
      </c>
      <c r="M14" s="77">
        <f t="shared" ca="1" si="1"/>
        <v>8.3969466E-3</v>
      </c>
      <c r="N14" s="86">
        <f t="shared" ca="1" si="4"/>
        <v>2566254.8845163402</v>
      </c>
      <c r="O14" s="88" t="s">
        <v>108</v>
      </c>
      <c r="P14" s="39">
        <f t="shared" si="2"/>
        <v>52840</v>
      </c>
      <c r="Q14" s="77">
        <f t="shared" si="3"/>
        <v>8.3969466E-3</v>
      </c>
      <c r="R14" s="86">
        <f t="shared" si="5"/>
        <v>2566254.8845163402</v>
      </c>
    </row>
    <row r="15" spans="1:18" ht="17.25" thickBot="1">
      <c r="A15" s="40" t="s">
        <v>87</v>
      </c>
      <c r="B15" s="11" t="s">
        <v>88</v>
      </c>
      <c r="C15" s="95">
        <v>621</v>
      </c>
      <c r="D15" s="92">
        <v>-3.5714285700000001E-2</v>
      </c>
      <c r="E15" s="93">
        <v>360156089.74027359</v>
      </c>
      <c r="F15" s="35"/>
      <c r="G15" s="206"/>
      <c r="H15" s="207"/>
      <c r="I15" s="208"/>
      <c r="K15" s="57" t="str">
        <f ca="1">IFERROR(OFFSET(INDIRECT($H$3 &amp; "!A17"), 9, 0), "")</f>
        <v>스택스</v>
      </c>
      <c r="L15" s="37">
        <f t="shared" ca="1" si="0"/>
        <v>2560</v>
      </c>
      <c r="M15" s="79">
        <f t="shared" ca="1" si="1"/>
        <v>3.9215685999999996E-3</v>
      </c>
      <c r="N15" s="87">
        <f t="shared" ca="1" si="4"/>
        <v>51797912.93478059</v>
      </c>
      <c r="O15" s="74" t="s">
        <v>176</v>
      </c>
      <c r="P15" s="37">
        <f t="shared" si="2"/>
        <v>2560</v>
      </c>
      <c r="Q15" s="79">
        <f t="shared" si="3"/>
        <v>3.9215685999999996E-3</v>
      </c>
      <c r="R15" s="87">
        <f t="shared" si="5"/>
        <v>51797912.93478059</v>
      </c>
    </row>
    <row r="16" spans="1:18" ht="17.25" thickBot="1">
      <c r="A16" s="40" t="s">
        <v>48</v>
      </c>
      <c r="B16" s="11" t="s">
        <v>49</v>
      </c>
      <c r="C16" s="95">
        <v>67285000</v>
      </c>
      <c r="D16" s="92">
        <v>-3.8730784599999998E-2</v>
      </c>
      <c r="E16" s="93">
        <v>10663.891726379999</v>
      </c>
      <c r="F16" s="35"/>
      <c r="G16" s="50" t="s">
        <v>38</v>
      </c>
      <c r="H16" s="186" t="s">
        <v>37</v>
      </c>
      <c r="I16" s="187"/>
      <c r="K16" s="55" t="str">
        <f ca="1">IFERROR(OFFSET(INDIRECT($H$3 &amp; "!A17"), 10, 0), "")</f>
        <v>메인프레임</v>
      </c>
      <c r="L16" s="38">
        <f t="shared" ca="1" si="0"/>
        <v>22.1</v>
      </c>
      <c r="M16" s="76">
        <f t="shared" ca="1" si="1"/>
        <v>-3.9130434800000002E-2</v>
      </c>
      <c r="N16" s="85">
        <f t="shared" ca="1" si="4"/>
        <v>4779078030.8157892</v>
      </c>
      <c r="O16" s="72" t="s">
        <v>276</v>
      </c>
      <c r="P16" s="38">
        <f t="shared" si="2"/>
        <v>4400</v>
      </c>
      <c r="Q16" s="76">
        <f t="shared" si="3"/>
        <v>-2.00445434E-2</v>
      </c>
      <c r="R16" s="85">
        <f t="shared" si="5"/>
        <v>30434705.23678964</v>
      </c>
    </row>
    <row r="17" spans="1:18">
      <c r="A17" s="40" t="s">
        <v>219</v>
      </c>
      <c r="B17" s="11" t="s">
        <v>220</v>
      </c>
      <c r="C17" s="95">
        <v>22.1</v>
      </c>
      <c r="D17" s="92">
        <v>-3.9130434800000002E-2</v>
      </c>
      <c r="E17" s="93">
        <v>4779078030.8157892</v>
      </c>
      <c r="F17" s="35"/>
      <c r="G17" s="231">
        <f>_xlfn.IFNA(VLOOKUP(G14, $B$2:$D$200, 3, FALSE), "-")</f>
        <v>-3.8730784599999998E-2</v>
      </c>
      <c r="H17" s="233">
        <f>_xlfn.IFNA(VLOOKUP(G14, $B$2:$D$200, 2, FALSE), "-")</f>
        <v>67285000</v>
      </c>
      <c r="I17" s="234"/>
      <c r="K17" s="56" t="str">
        <f ca="1">IFERROR(OFFSET(INDIRECT($H$3 &amp; "!A17"), 11, 0), "")</f>
        <v>스트라티스</v>
      </c>
      <c r="L17" s="39">
        <f t="shared" ca="1" si="0"/>
        <v>4400</v>
      </c>
      <c r="M17" s="77">
        <f t="shared" ca="1" si="1"/>
        <v>-2.00445434E-2</v>
      </c>
      <c r="N17" s="86">
        <f t="shared" ca="1" si="4"/>
        <v>30434705.23678964</v>
      </c>
      <c r="O17" s="88" t="s">
        <v>86</v>
      </c>
      <c r="P17" s="39">
        <f t="shared" si="2"/>
        <v>8095</v>
      </c>
      <c r="Q17" s="77">
        <f t="shared" si="3"/>
        <v>-2.9376498800000001E-2</v>
      </c>
      <c r="R17" s="86">
        <f t="shared" si="5"/>
        <v>44601992.461616851</v>
      </c>
    </row>
    <row r="18" spans="1:18" ht="17.25" thickBot="1">
      <c r="A18" s="40" t="s">
        <v>143</v>
      </c>
      <c r="B18" s="11" t="s">
        <v>144</v>
      </c>
      <c r="C18" s="95">
        <v>11030</v>
      </c>
      <c r="D18" s="92">
        <v>-4.0869565199999999E-2</v>
      </c>
      <c r="E18" s="93">
        <v>18819353.868970461</v>
      </c>
      <c r="F18" s="35"/>
      <c r="G18" s="232"/>
      <c r="H18" s="235"/>
      <c r="I18" s="236"/>
      <c r="K18" s="56" t="str">
        <f ca="1">IFERROR(OFFSET(INDIRECT($H$3 &amp; "!A17"), 12, 0), "")</f>
        <v>오미세고</v>
      </c>
      <c r="L18" s="39">
        <f t="shared" ca="1" si="0"/>
        <v>11030</v>
      </c>
      <c r="M18" s="77">
        <f t="shared" ca="1" si="1"/>
        <v>-4.0869565199999999E-2</v>
      </c>
      <c r="N18" s="86">
        <f t="shared" ca="1" si="4"/>
        <v>18819353.868970461</v>
      </c>
      <c r="O18" s="88" t="s">
        <v>96</v>
      </c>
      <c r="P18" s="39">
        <f t="shared" si="2"/>
        <v>4089000</v>
      </c>
      <c r="Q18" s="77">
        <f t="shared" si="3"/>
        <v>-3.2418362499999999E-2</v>
      </c>
      <c r="R18" s="86">
        <f t="shared" si="5"/>
        <v>521840.24492132</v>
      </c>
    </row>
    <row r="19" spans="1:18" ht="17.25" thickBot="1">
      <c r="A19" s="40" t="s">
        <v>83</v>
      </c>
      <c r="B19" s="11" t="s">
        <v>84</v>
      </c>
      <c r="C19" s="95">
        <v>1600</v>
      </c>
      <c r="D19" s="92">
        <v>-4.19161677E-2</v>
      </c>
      <c r="E19" s="93">
        <v>56532185.047786228</v>
      </c>
      <c r="F19" s="35"/>
      <c r="K19" s="56" t="str">
        <f ca="1">IFERROR(OFFSET(INDIRECT($H$3 &amp; "!A17"), 13, 0), "")</f>
        <v>비트코인에스브이</v>
      </c>
      <c r="L19" s="39">
        <f t="shared" ca="1" si="0"/>
        <v>410400</v>
      </c>
      <c r="M19" s="77">
        <f t="shared" ca="1" si="1"/>
        <v>-8.7594486400000005E-2</v>
      </c>
      <c r="N19" s="86">
        <f t="shared" ca="1" si="4"/>
        <v>159143.39119145999</v>
      </c>
      <c r="O19" s="88" t="s">
        <v>88</v>
      </c>
      <c r="P19" s="39">
        <f t="shared" si="2"/>
        <v>621</v>
      </c>
      <c r="Q19" s="77">
        <f t="shared" si="3"/>
        <v>-3.5714285700000001E-2</v>
      </c>
      <c r="R19" s="86">
        <f t="shared" si="5"/>
        <v>360156089.74027359</v>
      </c>
    </row>
    <row r="20" spans="1:18" ht="17.25" thickBot="1">
      <c r="A20" s="40" t="s">
        <v>77</v>
      </c>
      <c r="B20" s="11" t="s">
        <v>78</v>
      </c>
      <c r="C20" s="95">
        <v>1193000</v>
      </c>
      <c r="D20" s="92">
        <v>-4.2920176499999997E-2</v>
      </c>
      <c r="E20" s="93">
        <v>266558.88278411998</v>
      </c>
      <c r="F20" s="35"/>
      <c r="G20" s="185" t="s">
        <v>286</v>
      </c>
      <c r="H20" s="186"/>
      <c r="I20" s="187"/>
      <c r="K20" s="58" t="str">
        <f ca="1">IFERROR(OFFSET(INDIRECT($H$3 &amp; "!A17"), 14, 0), "")</f>
        <v>이오스</v>
      </c>
      <c r="L20" s="44">
        <f t="shared" ca="1" si="0"/>
        <v>8095</v>
      </c>
      <c r="M20" s="78">
        <f t="shared" ca="1" si="1"/>
        <v>-2.9376498800000001E-2</v>
      </c>
      <c r="N20" s="90">
        <f t="shared" ca="1" si="4"/>
        <v>44601992.461616851</v>
      </c>
      <c r="O20" s="88" t="s">
        <v>49</v>
      </c>
      <c r="P20" s="39">
        <f t="shared" si="2"/>
        <v>67285000</v>
      </c>
      <c r="Q20" s="77">
        <f t="shared" si="3"/>
        <v>-3.8730784599999998E-2</v>
      </c>
      <c r="R20" s="90">
        <f t="shared" si="5"/>
        <v>10663.891726379999</v>
      </c>
    </row>
    <row r="21" spans="1:18">
      <c r="A21" s="40" t="s">
        <v>73</v>
      </c>
      <c r="B21" s="11" t="s">
        <v>74</v>
      </c>
      <c r="C21" s="95">
        <v>26820</v>
      </c>
      <c r="D21" s="92">
        <v>-4.6569498799999998E-2</v>
      </c>
      <c r="E21" s="93">
        <v>1118426.53240365</v>
      </c>
      <c r="F21" s="35"/>
      <c r="G21" s="213" t="s">
        <v>36</v>
      </c>
      <c r="H21" s="214"/>
      <c r="I21" s="215"/>
      <c r="K21" s="56" t="str">
        <f ca="1">IFERROR(OFFSET(INDIRECT($H$3 &amp; "!A17"), 15, 0), "")</f>
        <v>이더리움</v>
      </c>
      <c r="L21" s="39">
        <f t="shared" ca="1" si="0"/>
        <v>4089000</v>
      </c>
      <c r="M21" s="77">
        <f t="shared" ca="1" si="1"/>
        <v>-3.2418362499999999E-2</v>
      </c>
      <c r="N21" s="99">
        <f t="shared" ca="1" si="4"/>
        <v>521840.24492132</v>
      </c>
      <c r="O21" s="89" t="s">
        <v>220</v>
      </c>
      <c r="P21" s="45">
        <f t="shared" si="2"/>
        <v>22.1</v>
      </c>
      <c r="Q21" s="80">
        <f t="shared" si="3"/>
        <v>-3.9130434800000002E-2</v>
      </c>
      <c r="R21" s="99">
        <f t="shared" si="5"/>
        <v>4779078030.8157892</v>
      </c>
    </row>
    <row r="22" spans="1:18" ht="17.25" thickBot="1">
      <c r="A22" s="40" t="s">
        <v>137</v>
      </c>
      <c r="B22" s="11" t="s">
        <v>138</v>
      </c>
      <c r="C22" s="95">
        <v>43510</v>
      </c>
      <c r="D22" s="92">
        <v>-4.89617486E-2</v>
      </c>
      <c r="E22" s="93">
        <v>1592431.24540231</v>
      </c>
      <c r="F22" s="35"/>
      <c r="G22" s="206"/>
      <c r="H22" s="207"/>
      <c r="I22" s="208"/>
      <c r="K22" s="56" t="str">
        <f ca="1">IFERROR(OFFSET(INDIRECT($H$3 &amp; "!A17"), 16, 0), "")</f>
        <v>비트코인캐시</v>
      </c>
      <c r="L22" s="39">
        <f t="shared" ca="1" si="0"/>
        <v>1193000</v>
      </c>
      <c r="M22" s="77">
        <f t="shared" ca="1" si="1"/>
        <v>-4.2920176499999997E-2</v>
      </c>
      <c r="N22" s="86">
        <f t="shared" ca="1" si="4"/>
        <v>266558.88278411998</v>
      </c>
      <c r="O22" s="88" t="s">
        <v>144</v>
      </c>
      <c r="P22" s="39">
        <f t="shared" si="2"/>
        <v>11030</v>
      </c>
      <c r="Q22" s="77">
        <f t="shared" si="3"/>
        <v>-4.0869565199999999E-2</v>
      </c>
      <c r="R22" s="86">
        <f t="shared" si="5"/>
        <v>18819353.868970461</v>
      </c>
    </row>
    <row r="23" spans="1:18" ht="17.25" thickBot="1">
      <c r="A23" s="40" t="s">
        <v>241</v>
      </c>
      <c r="B23" s="11" t="s">
        <v>242</v>
      </c>
      <c r="C23" s="95">
        <v>6895</v>
      </c>
      <c r="D23" s="92">
        <v>-5.0275482099999998E-2</v>
      </c>
      <c r="E23" s="93">
        <v>7902564.9621542301</v>
      </c>
      <c r="F23" s="35"/>
      <c r="G23" s="50" t="s">
        <v>38</v>
      </c>
      <c r="H23" s="186" t="s">
        <v>37</v>
      </c>
      <c r="I23" s="187"/>
      <c r="K23" s="56" t="str">
        <f ca="1">IFERROR(OFFSET(INDIRECT($H$3 &amp; "!A17"), 17, 0), "")</f>
        <v>코스모스</v>
      </c>
      <c r="L23" s="39">
        <f t="shared" ca="1" si="0"/>
        <v>26820</v>
      </c>
      <c r="M23" s="77">
        <f t="shared" ca="1" si="1"/>
        <v>-4.6569498799999998E-2</v>
      </c>
      <c r="N23" s="86">
        <f t="shared" ca="1" si="4"/>
        <v>1118426.53240365</v>
      </c>
      <c r="O23" s="88" t="s">
        <v>84</v>
      </c>
      <c r="P23" s="39">
        <f t="shared" si="2"/>
        <v>1600</v>
      </c>
      <c r="Q23" s="77">
        <f t="shared" si="3"/>
        <v>-4.19161677E-2</v>
      </c>
      <c r="R23" s="86">
        <f t="shared" si="5"/>
        <v>56532185.047786228</v>
      </c>
    </row>
    <row r="24" spans="1:18">
      <c r="A24" s="40" t="s">
        <v>97</v>
      </c>
      <c r="B24" s="11" t="s">
        <v>98</v>
      </c>
      <c r="C24" s="95">
        <v>6955</v>
      </c>
      <c r="D24" s="92">
        <v>-5.4384772300000002E-2</v>
      </c>
      <c r="E24" s="93">
        <v>6472545.6704161298</v>
      </c>
      <c r="F24" s="35"/>
      <c r="G24" s="231">
        <f>_xlfn.IFNA(VLOOKUP(G21, $B$2:$D$200, 3, FALSE), "-")</f>
        <v>-3.8730784599999998E-2</v>
      </c>
      <c r="H24" s="233">
        <f>_xlfn.IFNA(VLOOKUP(G21, $B$2:$D$200, 2, FALSE), "-")</f>
        <v>67285000</v>
      </c>
      <c r="I24" s="234"/>
      <c r="K24" s="56" t="str">
        <f ca="1">IFERROR(OFFSET(INDIRECT($H$3 &amp; "!A17"), 18, 0), "")</f>
        <v>리스크</v>
      </c>
      <c r="L24" s="39">
        <f t="shared" ca="1" si="0"/>
        <v>6895</v>
      </c>
      <c r="M24" s="77">
        <f t="shared" ca="1" si="1"/>
        <v>-5.0275482099999998E-2</v>
      </c>
      <c r="N24" s="86">
        <f t="shared" ca="1" si="4"/>
        <v>7902564.9621542301</v>
      </c>
      <c r="O24" s="88" t="s">
        <v>78</v>
      </c>
      <c r="P24" s="39">
        <f t="shared" si="2"/>
        <v>1193000</v>
      </c>
      <c r="Q24" s="77">
        <f t="shared" si="3"/>
        <v>-4.2920176499999997E-2</v>
      </c>
      <c r="R24" s="86">
        <f t="shared" si="5"/>
        <v>266558.88278411998</v>
      </c>
    </row>
    <row r="25" spans="1:18" ht="17.25" thickBot="1">
      <c r="A25" s="40" t="s">
        <v>135</v>
      </c>
      <c r="B25" s="11" t="s">
        <v>136</v>
      </c>
      <c r="C25" s="95">
        <v>244</v>
      </c>
      <c r="D25" s="92">
        <v>-5.7915057899999997E-2</v>
      </c>
      <c r="E25" s="93">
        <v>92394657.933236673</v>
      </c>
      <c r="F25" s="35"/>
      <c r="G25" s="232"/>
      <c r="H25" s="235"/>
      <c r="I25" s="236"/>
      <c r="K25" s="57" t="str">
        <f ca="1">IFERROR(OFFSET(INDIRECT($H$3 &amp; "!A17"), 19, 0), "")</f>
        <v>테조스</v>
      </c>
      <c r="L25" s="37">
        <f t="shared" ca="1" si="0"/>
        <v>6955</v>
      </c>
      <c r="M25" s="79">
        <f t="shared" ca="1" si="1"/>
        <v>-5.4384772300000002E-2</v>
      </c>
      <c r="N25" s="87">
        <f t="shared" ca="1" si="4"/>
        <v>6472545.6704161298</v>
      </c>
      <c r="O25" s="74" t="s">
        <v>74</v>
      </c>
      <c r="P25" s="37">
        <f t="shared" si="2"/>
        <v>26820</v>
      </c>
      <c r="Q25" s="79">
        <f t="shared" si="3"/>
        <v>-4.6569498799999998E-2</v>
      </c>
      <c r="R25" s="87">
        <f t="shared" si="5"/>
        <v>1118426.53240365</v>
      </c>
    </row>
    <row r="26" spans="1:18">
      <c r="A26" s="40" t="s">
        <v>99</v>
      </c>
      <c r="B26" s="11" t="s">
        <v>100</v>
      </c>
      <c r="C26" s="95">
        <v>7.98</v>
      </c>
      <c r="D26" s="92">
        <v>-6.2279671000000002E-2</v>
      </c>
      <c r="E26" s="93">
        <v>60540070390.56205</v>
      </c>
      <c r="F26" s="35"/>
    </row>
    <row r="27" spans="1:18" ht="17.25" thickBot="1">
      <c r="A27" s="40" t="s">
        <v>103</v>
      </c>
      <c r="B27" s="11" t="s">
        <v>104</v>
      </c>
      <c r="C27" s="95">
        <v>2215</v>
      </c>
      <c r="D27" s="92">
        <v>-6.7368421100000006E-2</v>
      </c>
      <c r="E27" s="93">
        <v>21924858.755907241</v>
      </c>
      <c r="F27" s="35"/>
    </row>
    <row r="28" spans="1:18" ht="17.25" thickBot="1">
      <c r="A28" s="40" t="s">
        <v>277</v>
      </c>
      <c r="B28" s="11" t="s">
        <v>278</v>
      </c>
      <c r="C28" s="95">
        <v>151</v>
      </c>
      <c r="D28" s="92">
        <v>-6.7901234599999999E-2</v>
      </c>
      <c r="E28" s="93">
        <v>164945840.8227582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68</v>
      </c>
      <c r="B29" s="11" t="s">
        <v>69</v>
      </c>
      <c r="C29" s="95">
        <v>13330</v>
      </c>
      <c r="D29" s="92">
        <v>-6.9134078200000004E-2</v>
      </c>
      <c r="E29" s="93">
        <v>14951105.301074009</v>
      </c>
      <c r="F29" s="35"/>
      <c r="G29" s="222" t="s">
        <v>55</v>
      </c>
      <c r="H29" s="238">
        <f ca="1">NOW()</f>
        <v>44321.102619791665</v>
      </c>
      <c r="I29" s="239"/>
      <c r="J29" s="240"/>
      <c r="K29" s="237" t="s">
        <v>55</v>
      </c>
      <c r="L29" s="238">
        <f ca="1">NOW()</f>
        <v>44321.102619791665</v>
      </c>
      <c r="M29" s="239"/>
      <c r="N29" s="240"/>
      <c r="O29" s="237" t="s">
        <v>55</v>
      </c>
      <c r="P29" s="238">
        <f ca="1">NOW()</f>
        <v>44321.102619791665</v>
      </c>
      <c r="Q29" s="239"/>
      <c r="R29" s="240"/>
    </row>
    <row r="30" spans="1:18" ht="17.25" thickBot="1">
      <c r="A30" s="40" t="s">
        <v>157</v>
      </c>
      <c r="B30" s="11" t="s">
        <v>158</v>
      </c>
      <c r="C30" s="95">
        <v>10500</v>
      </c>
      <c r="D30" s="92">
        <v>-7.0796460199999994E-2</v>
      </c>
      <c r="E30" s="93">
        <v>10566750.749514069</v>
      </c>
      <c r="F30" s="35"/>
      <c r="G30" s="230"/>
      <c r="H30" s="51" t="s">
        <v>58</v>
      </c>
      <c r="I30" s="73" t="s">
        <v>59</v>
      </c>
      <c r="J30" s="69" t="s">
        <v>294</v>
      </c>
      <c r="K30" s="208"/>
      <c r="L30" s="51" t="s">
        <v>58</v>
      </c>
      <c r="M30" s="73" t="s">
        <v>59</v>
      </c>
      <c r="N30" s="91" t="s">
        <v>294</v>
      </c>
      <c r="O30" s="208"/>
      <c r="P30" s="51" t="s">
        <v>58</v>
      </c>
      <c r="Q30" s="73" t="s">
        <v>59</v>
      </c>
      <c r="R30" s="91" t="s">
        <v>294</v>
      </c>
    </row>
    <row r="31" spans="1:18">
      <c r="A31" s="40" t="s">
        <v>50</v>
      </c>
      <c r="B31" s="11" t="s">
        <v>51</v>
      </c>
      <c r="C31" s="95">
        <v>628</v>
      </c>
      <c r="D31" s="92">
        <v>-7.1005917200000004E-2</v>
      </c>
      <c r="E31" s="93">
        <v>91046313.569642633</v>
      </c>
      <c r="F31" s="35"/>
      <c r="G31" s="52" t="s">
        <v>296</v>
      </c>
      <c r="H31" s="38">
        <f t="shared" ref="H31:H50" si="6">_xlfn.IFNA(VLOOKUP(G31, $B$2:$D$200, 2, FALSE), "")</f>
        <v>700</v>
      </c>
      <c r="I31" s="76">
        <f t="shared" ref="I31:I50" si="7">_xlfn.IFNA(VLOOKUP(G31, $B$2:$D$200, 3, FALSE), "")</f>
        <v>0.29870129870000001</v>
      </c>
      <c r="J31" s="85">
        <f>_xlfn.IFNA(VLOOKUP(G31, $B$2:$E$200, 4, FALSE), "")</f>
        <v>15221997909.566694</v>
      </c>
      <c r="K31" s="81" t="s">
        <v>220</v>
      </c>
      <c r="L31" s="38">
        <f t="shared" ref="L31:L50" si="8">_xlfn.IFNA(VLOOKUP(K31, $B$2:$D$200, 2, FALSE), "")</f>
        <v>22.1</v>
      </c>
      <c r="M31" s="76">
        <f t="shared" ref="M31:M50" si="9">_xlfn.IFNA(VLOOKUP(K31, $B$2:$D$200, 3, FALSE), "")</f>
        <v>-3.9130434800000002E-2</v>
      </c>
      <c r="N31" s="85">
        <f>_xlfn.IFNA(VLOOKUP(K31, $B$2:$E$200, 4, FALSE), "")</f>
        <v>4779078030.8157892</v>
      </c>
      <c r="O31" s="81" t="s">
        <v>296</v>
      </c>
      <c r="P31" s="38">
        <f t="shared" ref="P31:P50" si="10">_xlfn.IFNA(VLOOKUP(O31, $B$2:$D$200, 2, FALSE), "")</f>
        <v>700</v>
      </c>
      <c r="Q31" s="76">
        <f t="shared" ref="Q31:Q50" si="11">_xlfn.IFNA(VLOOKUP(O31, $B$2:$D$200, 3, FALSE), "")</f>
        <v>0.29870129870000001</v>
      </c>
      <c r="R31" s="85">
        <f>_xlfn.IFNA(VLOOKUP(O31, $B$2:$E$200, 4, FALSE), "")</f>
        <v>15221997909.566694</v>
      </c>
    </row>
    <row r="32" spans="1:18">
      <c r="A32" s="40" t="s">
        <v>147</v>
      </c>
      <c r="B32" s="11" t="s">
        <v>148</v>
      </c>
      <c r="C32" s="95">
        <v>195</v>
      </c>
      <c r="D32" s="92">
        <v>-7.1428571400000002E-2</v>
      </c>
      <c r="E32" s="93">
        <v>303529383.78566056</v>
      </c>
      <c r="F32" s="35"/>
      <c r="G32" s="47" t="s">
        <v>102</v>
      </c>
      <c r="H32" s="39">
        <f t="shared" si="6"/>
        <v>75900</v>
      </c>
      <c r="I32" s="77">
        <f t="shared" si="7"/>
        <v>0.19152276300000001</v>
      </c>
      <c r="J32" s="86">
        <f t="shared" ref="J32:J50" si="12">_xlfn.IFNA(VLOOKUP(G32, $B$2:$E$200, 4, FALSE), "")</f>
        <v>57800110.600081652</v>
      </c>
      <c r="K32" s="82" t="s">
        <v>100</v>
      </c>
      <c r="L32" s="39">
        <f t="shared" si="8"/>
        <v>7.98</v>
      </c>
      <c r="M32" s="77">
        <f t="shared" si="9"/>
        <v>-6.2279671000000002E-2</v>
      </c>
      <c r="N32" s="86">
        <f t="shared" ref="N32:N50" si="13">_xlfn.IFNA(VLOOKUP(K32, $B$2:$E$200, 4, FALSE), "")</f>
        <v>60540070390.56205</v>
      </c>
      <c r="O32" s="82" t="s">
        <v>266</v>
      </c>
      <c r="P32" s="39">
        <f t="shared" si="10"/>
        <v>104</v>
      </c>
      <c r="Q32" s="77">
        <f t="shared" si="11"/>
        <v>5.6910569100000002E-2</v>
      </c>
      <c r="R32" s="86">
        <f t="shared" ref="R32:R50" si="14">_xlfn.IFNA(VLOOKUP(O32, $B$2:$E$200, 4, FALSE), "")</f>
        <v>2042962763.0075088</v>
      </c>
    </row>
    <row r="33" spans="1:18">
      <c r="A33" s="40" t="s">
        <v>155</v>
      </c>
      <c r="B33" s="11" t="s">
        <v>156</v>
      </c>
      <c r="C33" s="95">
        <v>150</v>
      </c>
      <c r="D33" s="92">
        <v>-7.4074074099999998E-2</v>
      </c>
      <c r="E33" s="93">
        <v>843762580.66640401</v>
      </c>
      <c r="F33" s="35"/>
      <c r="G33" s="47" t="s">
        <v>94</v>
      </c>
      <c r="H33" s="39">
        <f t="shared" si="6"/>
        <v>126650</v>
      </c>
      <c r="I33" s="77">
        <f t="shared" si="7"/>
        <v>7.5127334500000004E-2</v>
      </c>
      <c r="J33" s="86">
        <f t="shared" si="12"/>
        <v>4235396.9085976304</v>
      </c>
      <c r="K33" s="82" t="s">
        <v>154</v>
      </c>
      <c r="L33" s="39">
        <f t="shared" si="8"/>
        <v>21.9</v>
      </c>
      <c r="M33" s="77">
        <f t="shared" si="9"/>
        <v>-8.7499999999999994E-2</v>
      </c>
      <c r="N33" s="86">
        <f t="shared" si="13"/>
        <v>2604542927.6079464</v>
      </c>
      <c r="O33" s="82" t="s">
        <v>88</v>
      </c>
      <c r="P33" s="39">
        <f t="shared" si="10"/>
        <v>621</v>
      </c>
      <c r="Q33" s="77">
        <f t="shared" si="11"/>
        <v>-3.5714285700000001E-2</v>
      </c>
      <c r="R33" s="86">
        <f t="shared" si="14"/>
        <v>360156089.74027359</v>
      </c>
    </row>
    <row r="34" spans="1:18">
      <c r="A34" s="40" t="s">
        <v>56</v>
      </c>
      <c r="B34" s="11" t="s">
        <v>57</v>
      </c>
      <c r="C34" s="95">
        <v>392</v>
      </c>
      <c r="D34" s="92">
        <v>-7.5471698099999998E-2</v>
      </c>
      <c r="E34" s="93">
        <v>167446014.36914906</v>
      </c>
      <c r="F34" s="35"/>
      <c r="G34" s="47" t="s">
        <v>164</v>
      </c>
      <c r="H34" s="39">
        <f t="shared" si="6"/>
        <v>43300</v>
      </c>
      <c r="I34" s="77">
        <f t="shared" si="7"/>
        <v>7.1251855500000003E-2</v>
      </c>
      <c r="J34" s="86">
        <f t="shared" si="12"/>
        <v>25601582.347198851</v>
      </c>
      <c r="K34" s="82" t="s">
        <v>196</v>
      </c>
      <c r="L34" s="39">
        <f t="shared" si="8"/>
        <v>20.7</v>
      </c>
      <c r="M34" s="77">
        <f t="shared" si="9"/>
        <v>-8.81057269E-2</v>
      </c>
      <c r="N34" s="86">
        <f t="shared" si="13"/>
        <v>1221108286.8536246</v>
      </c>
      <c r="O34" s="82" t="s">
        <v>136</v>
      </c>
      <c r="P34" s="39">
        <f t="shared" si="10"/>
        <v>244</v>
      </c>
      <c r="Q34" s="77">
        <f t="shared" si="11"/>
        <v>-5.7915057899999997E-2</v>
      </c>
      <c r="R34" s="86">
        <f t="shared" si="14"/>
        <v>92394657.933236673</v>
      </c>
    </row>
    <row r="35" spans="1:18">
      <c r="A35" s="40" t="s">
        <v>127</v>
      </c>
      <c r="B35" s="11" t="s">
        <v>128</v>
      </c>
      <c r="C35" s="95">
        <v>660</v>
      </c>
      <c r="D35" s="92">
        <v>-7.5630252100000003E-2</v>
      </c>
      <c r="E35" s="93">
        <v>28025973.51633301</v>
      </c>
      <c r="F35" s="35"/>
      <c r="G35" s="47" t="s">
        <v>266</v>
      </c>
      <c r="H35" s="44">
        <f t="shared" si="6"/>
        <v>104</v>
      </c>
      <c r="I35" s="78">
        <f t="shared" si="7"/>
        <v>5.6910569100000002E-2</v>
      </c>
      <c r="J35" s="90">
        <f t="shared" si="12"/>
        <v>2042962763.0075088</v>
      </c>
      <c r="K35" s="83" t="s">
        <v>254</v>
      </c>
      <c r="L35" s="44">
        <f t="shared" si="8"/>
        <v>91</v>
      </c>
      <c r="M35" s="78">
        <f t="shared" si="9"/>
        <v>-0.09</v>
      </c>
      <c r="N35" s="90">
        <f t="shared" si="13"/>
        <v>336685361.58089197</v>
      </c>
      <c r="O35" s="83" t="s">
        <v>278</v>
      </c>
      <c r="P35" s="44">
        <f t="shared" si="10"/>
        <v>151</v>
      </c>
      <c r="Q35" s="78">
        <f t="shared" si="11"/>
        <v>-6.7901234599999999E-2</v>
      </c>
      <c r="R35" s="90">
        <f t="shared" si="14"/>
        <v>164945840.8227582</v>
      </c>
    </row>
    <row r="36" spans="1:18">
      <c r="A36" s="40" t="s">
        <v>117</v>
      </c>
      <c r="B36" s="11" t="s">
        <v>118</v>
      </c>
      <c r="C36" s="95">
        <v>7190</v>
      </c>
      <c r="D36" s="92">
        <v>-7.5835475599999994E-2</v>
      </c>
      <c r="E36" s="93">
        <v>6244234.8985996898</v>
      </c>
      <c r="F36" s="35"/>
      <c r="G36" s="49" t="s">
        <v>130</v>
      </c>
      <c r="H36" s="39">
        <f t="shared" si="6"/>
        <v>375750</v>
      </c>
      <c r="I36" s="77">
        <f t="shared" si="7"/>
        <v>4.0282392E-2</v>
      </c>
      <c r="J36" s="99">
        <f t="shared" si="12"/>
        <v>798291.59581815999</v>
      </c>
      <c r="K36" s="82" t="s">
        <v>65</v>
      </c>
      <c r="L36" s="39">
        <f t="shared" si="8"/>
        <v>71.7</v>
      </c>
      <c r="M36" s="77">
        <f t="shared" si="9"/>
        <v>-9.2405063300000007E-2</v>
      </c>
      <c r="N36" s="99">
        <f t="shared" si="13"/>
        <v>238581094.36801672</v>
      </c>
      <c r="O36" s="82" t="s">
        <v>51</v>
      </c>
      <c r="P36" s="39">
        <f t="shared" si="10"/>
        <v>628</v>
      </c>
      <c r="Q36" s="77">
        <f t="shared" si="11"/>
        <v>-7.1005917200000004E-2</v>
      </c>
      <c r="R36" s="99">
        <f t="shared" si="14"/>
        <v>91046313.569642633</v>
      </c>
    </row>
    <row r="37" spans="1:18">
      <c r="A37" s="40" t="s">
        <v>62</v>
      </c>
      <c r="B37" s="11" t="s">
        <v>63</v>
      </c>
      <c r="C37" s="95">
        <v>121200</v>
      </c>
      <c r="D37" s="92">
        <v>-7.6571428600000005E-2</v>
      </c>
      <c r="E37" s="93">
        <v>2355828.08906123</v>
      </c>
      <c r="F37" s="35"/>
      <c r="G37" s="47" t="s">
        <v>76</v>
      </c>
      <c r="H37" s="39">
        <f t="shared" si="6"/>
        <v>53500</v>
      </c>
      <c r="I37" s="77">
        <f t="shared" si="7"/>
        <v>3.9642440700000003E-2</v>
      </c>
      <c r="J37" s="86">
        <f t="shared" si="12"/>
        <v>3191315.1065706299</v>
      </c>
      <c r="K37" s="82" t="s">
        <v>72</v>
      </c>
      <c r="L37" s="39">
        <f t="shared" si="8"/>
        <v>34.700000000000003</v>
      </c>
      <c r="M37" s="77">
        <f t="shared" si="9"/>
        <v>-9.6354166699999994E-2</v>
      </c>
      <c r="N37" s="86">
        <f t="shared" si="13"/>
        <v>192786178.72453552</v>
      </c>
      <c r="O37" s="82" t="s">
        <v>148</v>
      </c>
      <c r="P37" s="39">
        <f t="shared" si="10"/>
        <v>195</v>
      </c>
      <c r="Q37" s="77">
        <f t="shared" si="11"/>
        <v>-7.1428571400000002E-2</v>
      </c>
      <c r="R37" s="86">
        <f t="shared" si="14"/>
        <v>303529383.78566056</v>
      </c>
    </row>
    <row r="38" spans="1:18">
      <c r="A38" s="40" t="s">
        <v>113</v>
      </c>
      <c r="B38" s="11" t="s">
        <v>114</v>
      </c>
      <c r="C38" s="95">
        <v>12990</v>
      </c>
      <c r="D38" s="92">
        <v>-7.8069552900000005E-2</v>
      </c>
      <c r="E38" s="93">
        <v>1417808.8151106399</v>
      </c>
      <c r="F38" s="35"/>
      <c r="G38" s="47" t="s">
        <v>206</v>
      </c>
      <c r="H38" s="39">
        <f t="shared" si="6"/>
        <v>39420</v>
      </c>
      <c r="I38" s="77">
        <f t="shared" si="7"/>
        <v>2.92428198E-2</v>
      </c>
      <c r="J38" s="86">
        <f t="shared" si="12"/>
        <v>8706337.5403885208</v>
      </c>
      <c r="K38" s="82" t="s">
        <v>222</v>
      </c>
      <c r="L38" s="39">
        <f t="shared" si="8"/>
        <v>18.899999999999999</v>
      </c>
      <c r="M38" s="77">
        <f t="shared" si="9"/>
        <v>-0.1</v>
      </c>
      <c r="N38" s="86">
        <f t="shared" si="13"/>
        <v>558643004.03756082</v>
      </c>
      <c r="O38" s="82" t="s">
        <v>156</v>
      </c>
      <c r="P38" s="39">
        <f t="shared" si="10"/>
        <v>150</v>
      </c>
      <c r="Q38" s="77">
        <f t="shared" si="11"/>
        <v>-7.4074074099999998E-2</v>
      </c>
      <c r="R38" s="86">
        <f t="shared" si="14"/>
        <v>843762580.66640401</v>
      </c>
    </row>
    <row r="39" spans="1:18">
      <c r="A39" s="40" t="s">
        <v>181</v>
      </c>
      <c r="B39" s="11" t="s">
        <v>182</v>
      </c>
      <c r="C39" s="95">
        <v>470</v>
      </c>
      <c r="D39" s="92">
        <v>-7.8431372499999999E-2</v>
      </c>
      <c r="E39" s="93">
        <v>17687926.583379399</v>
      </c>
      <c r="F39" s="35"/>
      <c r="G39" s="47" t="s">
        <v>108</v>
      </c>
      <c r="H39" s="39">
        <f t="shared" si="6"/>
        <v>52840</v>
      </c>
      <c r="I39" s="77">
        <f t="shared" si="7"/>
        <v>8.3969466E-3</v>
      </c>
      <c r="J39" s="86">
        <f t="shared" si="12"/>
        <v>2566254.8845163402</v>
      </c>
      <c r="K39" s="82" t="s">
        <v>172</v>
      </c>
      <c r="L39" s="39">
        <f t="shared" si="8"/>
        <v>25.9</v>
      </c>
      <c r="M39" s="77">
        <f t="shared" si="9"/>
        <v>-0.1006944444</v>
      </c>
      <c r="N39" s="86">
        <f t="shared" si="13"/>
        <v>412845612.18112922</v>
      </c>
      <c r="O39" s="82" t="s">
        <v>57</v>
      </c>
      <c r="P39" s="39">
        <f t="shared" si="10"/>
        <v>392</v>
      </c>
      <c r="Q39" s="77">
        <f t="shared" si="11"/>
        <v>-7.5471698099999998E-2</v>
      </c>
      <c r="R39" s="86">
        <f t="shared" si="14"/>
        <v>167446014.36914906</v>
      </c>
    </row>
    <row r="40" spans="1:18" ht="17.25" thickBot="1">
      <c r="A40" s="40" t="s">
        <v>233</v>
      </c>
      <c r="B40" s="11" t="s">
        <v>234</v>
      </c>
      <c r="C40" s="95">
        <v>1410</v>
      </c>
      <c r="D40" s="92">
        <v>-7.8431372499999999E-2</v>
      </c>
      <c r="E40" s="93">
        <v>7199488.5828269701</v>
      </c>
      <c r="F40" s="35"/>
      <c r="G40" s="53" t="s">
        <v>176</v>
      </c>
      <c r="H40" s="37">
        <f t="shared" si="6"/>
        <v>2560</v>
      </c>
      <c r="I40" s="79">
        <f t="shared" si="7"/>
        <v>3.9215685999999996E-3</v>
      </c>
      <c r="J40" s="87">
        <f t="shared" si="12"/>
        <v>51797912.93478059</v>
      </c>
      <c r="K40" s="84" t="s">
        <v>152</v>
      </c>
      <c r="L40" s="37">
        <f t="shared" si="8"/>
        <v>45</v>
      </c>
      <c r="M40" s="79">
        <f t="shared" si="9"/>
        <v>-0.10179640719999999</v>
      </c>
      <c r="N40" s="87">
        <f t="shared" si="13"/>
        <v>1346961935.2069495</v>
      </c>
      <c r="O40" s="84" t="s">
        <v>128</v>
      </c>
      <c r="P40" s="37">
        <f t="shared" si="10"/>
        <v>660</v>
      </c>
      <c r="Q40" s="79">
        <f t="shared" si="11"/>
        <v>-7.5630252100000003E-2</v>
      </c>
      <c r="R40" s="87">
        <f t="shared" si="14"/>
        <v>28025973.51633301</v>
      </c>
    </row>
    <row r="41" spans="1:18">
      <c r="A41" s="40" t="s">
        <v>115</v>
      </c>
      <c r="B41" s="11" t="s">
        <v>116</v>
      </c>
      <c r="C41" s="95">
        <v>739</v>
      </c>
      <c r="D41" s="92">
        <v>-8.0845771100000005E-2</v>
      </c>
      <c r="E41" s="93">
        <v>246607444.55625275</v>
      </c>
      <c r="F41" s="35"/>
      <c r="G41" s="52" t="s">
        <v>276</v>
      </c>
      <c r="H41" s="38">
        <f t="shared" si="6"/>
        <v>4400</v>
      </c>
      <c r="I41" s="76">
        <f t="shared" si="7"/>
        <v>-2.00445434E-2</v>
      </c>
      <c r="J41" s="85">
        <f t="shared" si="12"/>
        <v>30434705.23678964</v>
      </c>
      <c r="K41" s="81" t="s">
        <v>218</v>
      </c>
      <c r="L41" s="38">
        <f t="shared" si="8"/>
        <v>29.8</v>
      </c>
      <c r="M41" s="76">
        <f t="shared" si="9"/>
        <v>-0.10240963860000001</v>
      </c>
      <c r="N41" s="85">
        <f t="shared" si="13"/>
        <v>898439352.49582183</v>
      </c>
      <c r="O41" s="81" t="s">
        <v>182</v>
      </c>
      <c r="P41" s="38">
        <f t="shared" si="10"/>
        <v>470</v>
      </c>
      <c r="Q41" s="76">
        <f t="shared" si="11"/>
        <v>-7.8431372499999999E-2</v>
      </c>
      <c r="R41" s="85">
        <f t="shared" si="14"/>
        <v>17687926.583379399</v>
      </c>
    </row>
    <row r="42" spans="1:18">
      <c r="A42" s="40" t="s">
        <v>267</v>
      </c>
      <c r="B42" s="11" t="s">
        <v>268</v>
      </c>
      <c r="C42" s="95">
        <v>102</v>
      </c>
      <c r="D42" s="92">
        <v>-8.1081081099999994E-2</v>
      </c>
      <c r="E42" s="93">
        <v>518011101.90522993</v>
      </c>
      <c r="F42" s="35"/>
      <c r="G42" s="47" t="s">
        <v>86</v>
      </c>
      <c r="H42" s="39">
        <f t="shared" si="6"/>
        <v>8095</v>
      </c>
      <c r="I42" s="77">
        <f t="shared" si="7"/>
        <v>-2.9376498800000001E-2</v>
      </c>
      <c r="J42" s="86">
        <f t="shared" si="12"/>
        <v>44601992.461616851</v>
      </c>
      <c r="K42" s="82" t="s">
        <v>236</v>
      </c>
      <c r="L42" s="39">
        <f t="shared" si="8"/>
        <v>70.7</v>
      </c>
      <c r="M42" s="77">
        <f t="shared" si="9"/>
        <v>-0.10619469030000001</v>
      </c>
      <c r="N42" s="86">
        <f t="shared" si="13"/>
        <v>255991337.4361839</v>
      </c>
      <c r="O42" s="82" t="s">
        <v>116</v>
      </c>
      <c r="P42" s="39">
        <f t="shared" si="10"/>
        <v>739</v>
      </c>
      <c r="Q42" s="77">
        <f t="shared" si="11"/>
        <v>-8.0845771100000005E-2</v>
      </c>
      <c r="R42" s="86">
        <f t="shared" si="14"/>
        <v>246607444.55625275</v>
      </c>
    </row>
    <row r="43" spans="1:18">
      <c r="A43" s="40" t="s">
        <v>60</v>
      </c>
      <c r="B43" s="11" t="s">
        <v>61</v>
      </c>
      <c r="C43" s="95">
        <v>1585</v>
      </c>
      <c r="D43" s="92">
        <v>-8.1159420299999993E-2</v>
      </c>
      <c r="E43" s="93">
        <v>45659180.992832452</v>
      </c>
      <c r="F43" s="35"/>
      <c r="G43" s="47" t="s">
        <v>96</v>
      </c>
      <c r="H43" s="39">
        <f t="shared" si="6"/>
        <v>4089000</v>
      </c>
      <c r="I43" s="77">
        <f t="shared" si="7"/>
        <v>-3.2418362499999999E-2</v>
      </c>
      <c r="J43" s="86">
        <f t="shared" si="12"/>
        <v>521840.24492132</v>
      </c>
      <c r="K43" s="82" t="s">
        <v>228</v>
      </c>
      <c r="L43" s="39">
        <f t="shared" si="8"/>
        <v>18.899999999999999</v>
      </c>
      <c r="M43" s="77">
        <f t="shared" si="9"/>
        <v>-0.108490566</v>
      </c>
      <c r="N43" s="86">
        <f t="shared" si="13"/>
        <v>1994541887.7362931</v>
      </c>
      <c r="O43" s="82" t="s">
        <v>268</v>
      </c>
      <c r="P43" s="39">
        <f t="shared" si="10"/>
        <v>102</v>
      </c>
      <c r="Q43" s="77">
        <f t="shared" si="11"/>
        <v>-8.1081081099999994E-2</v>
      </c>
      <c r="R43" s="86">
        <f t="shared" si="14"/>
        <v>518011101.90522993</v>
      </c>
    </row>
    <row r="44" spans="1:18">
      <c r="A44" s="40" t="s">
        <v>131</v>
      </c>
      <c r="B44" s="11" t="s">
        <v>132</v>
      </c>
      <c r="C44" s="95">
        <v>237</v>
      </c>
      <c r="D44" s="92">
        <v>-8.1395348800000003E-2</v>
      </c>
      <c r="E44" s="93">
        <v>1371064690.0065515</v>
      </c>
      <c r="F44" s="35"/>
      <c r="G44" s="47" t="s">
        <v>88</v>
      </c>
      <c r="H44" s="39">
        <f t="shared" si="6"/>
        <v>621</v>
      </c>
      <c r="I44" s="77">
        <f t="shared" si="7"/>
        <v>-3.5714285700000001E-2</v>
      </c>
      <c r="J44" s="86">
        <f t="shared" si="12"/>
        <v>360156089.74027359</v>
      </c>
      <c r="K44" s="82" t="s">
        <v>198</v>
      </c>
      <c r="L44" s="39">
        <f t="shared" si="8"/>
        <v>29.2</v>
      </c>
      <c r="M44" s="77">
        <f t="shared" si="9"/>
        <v>-0.1097560976</v>
      </c>
      <c r="N44" s="86">
        <f t="shared" si="13"/>
        <v>1298559220.2585609</v>
      </c>
      <c r="O44" s="82" t="s">
        <v>132</v>
      </c>
      <c r="P44" s="39">
        <f t="shared" si="10"/>
        <v>237</v>
      </c>
      <c r="Q44" s="77">
        <f t="shared" si="11"/>
        <v>-8.1395348800000003E-2</v>
      </c>
      <c r="R44" s="86">
        <f t="shared" si="14"/>
        <v>1371064690.0065515</v>
      </c>
    </row>
    <row r="45" spans="1:18">
      <c r="A45" s="40" t="s">
        <v>119</v>
      </c>
      <c r="B45" s="11" t="s">
        <v>120</v>
      </c>
      <c r="C45" s="95">
        <v>212</v>
      </c>
      <c r="D45" s="92">
        <v>-8.22510823E-2</v>
      </c>
      <c r="E45" s="93">
        <v>128682929.9928432</v>
      </c>
      <c r="F45" s="35"/>
      <c r="G45" s="47" t="s">
        <v>49</v>
      </c>
      <c r="H45" s="44">
        <f t="shared" si="6"/>
        <v>67285000</v>
      </c>
      <c r="I45" s="78">
        <f t="shared" si="7"/>
        <v>-3.8730784599999998E-2</v>
      </c>
      <c r="J45" s="90">
        <f t="shared" si="12"/>
        <v>10663.891726379999</v>
      </c>
      <c r="K45" s="83" t="s">
        <v>214</v>
      </c>
      <c r="L45" s="44">
        <f t="shared" si="8"/>
        <v>22.6</v>
      </c>
      <c r="M45" s="78">
        <f t="shared" si="9"/>
        <v>-0.1137254902</v>
      </c>
      <c r="N45" s="90">
        <f t="shared" si="13"/>
        <v>765475797.13017428</v>
      </c>
      <c r="O45" s="83" t="s">
        <v>120</v>
      </c>
      <c r="P45" s="44">
        <f t="shared" si="10"/>
        <v>212</v>
      </c>
      <c r="Q45" s="78">
        <f t="shared" si="11"/>
        <v>-8.22510823E-2</v>
      </c>
      <c r="R45" s="90">
        <f t="shared" si="14"/>
        <v>128682929.9928432</v>
      </c>
    </row>
    <row r="46" spans="1:18">
      <c r="A46" s="40" t="s">
        <v>189</v>
      </c>
      <c r="B46" s="11" t="s">
        <v>190</v>
      </c>
      <c r="C46" s="95">
        <v>73510</v>
      </c>
      <c r="D46" s="92">
        <v>-8.2272159799999994E-2</v>
      </c>
      <c r="E46" s="93">
        <v>1291991.6683427601</v>
      </c>
      <c r="F46" s="35"/>
      <c r="G46" s="49" t="s">
        <v>220</v>
      </c>
      <c r="H46" s="39">
        <f t="shared" si="6"/>
        <v>22.1</v>
      </c>
      <c r="I46" s="77">
        <f t="shared" si="7"/>
        <v>-3.9130434800000002E-2</v>
      </c>
      <c r="J46" s="99">
        <f t="shared" si="12"/>
        <v>4779078030.8157892</v>
      </c>
      <c r="K46" s="82" t="s">
        <v>126</v>
      </c>
      <c r="L46" s="39">
        <f t="shared" si="8"/>
        <v>61.6</v>
      </c>
      <c r="M46" s="77">
        <f t="shared" si="9"/>
        <v>-0.11747850999999999</v>
      </c>
      <c r="N46" s="99">
        <f t="shared" si="13"/>
        <v>522697134.45813656</v>
      </c>
      <c r="O46" s="82" t="s">
        <v>256</v>
      </c>
      <c r="P46" s="39">
        <f t="shared" si="10"/>
        <v>265</v>
      </c>
      <c r="Q46" s="77">
        <f t="shared" si="11"/>
        <v>-8.3044982700000006E-2</v>
      </c>
      <c r="R46" s="99">
        <f t="shared" si="14"/>
        <v>104192132.76738364</v>
      </c>
    </row>
    <row r="47" spans="1:18">
      <c r="A47" s="40" t="s">
        <v>159</v>
      </c>
      <c r="B47" s="11" t="s">
        <v>160</v>
      </c>
      <c r="C47" s="95">
        <v>2950</v>
      </c>
      <c r="D47" s="92">
        <v>-8.2426127500000002E-2</v>
      </c>
      <c r="E47" s="93">
        <v>6717352.0186042199</v>
      </c>
      <c r="F47" s="35"/>
      <c r="G47" s="47" t="s">
        <v>144</v>
      </c>
      <c r="H47" s="39">
        <f t="shared" si="6"/>
        <v>11030</v>
      </c>
      <c r="I47" s="77">
        <f t="shared" si="7"/>
        <v>-4.0869565199999999E-2</v>
      </c>
      <c r="J47" s="86">
        <f t="shared" si="12"/>
        <v>18819353.868970461</v>
      </c>
      <c r="K47" s="82" t="s">
        <v>186</v>
      </c>
      <c r="L47" s="39">
        <f t="shared" si="8"/>
        <v>25.8</v>
      </c>
      <c r="M47" s="77">
        <f t="shared" si="9"/>
        <v>-0.1313131313</v>
      </c>
      <c r="N47" s="86">
        <f t="shared" si="13"/>
        <v>956264297.69565618</v>
      </c>
      <c r="O47" s="82" t="s">
        <v>270</v>
      </c>
      <c r="P47" s="39">
        <f t="shared" si="10"/>
        <v>555</v>
      </c>
      <c r="Q47" s="77">
        <f t="shared" si="11"/>
        <v>-8.4158415799999997E-2</v>
      </c>
      <c r="R47" s="86">
        <f t="shared" si="14"/>
        <v>18531001.720059451</v>
      </c>
    </row>
    <row r="48" spans="1:18">
      <c r="A48" s="40" t="s">
        <v>109</v>
      </c>
      <c r="B48" s="11" t="s">
        <v>110</v>
      </c>
      <c r="C48" s="95">
        <v>2770</v>
      </c>
      <c r="D48" s="92">
        <v>-8.2781457000000003E-2</v>
      </c>
      <c r="E48" s="93">
        <v>3649725.1899005701</v>
      </c>
      <c r="F48" s="35"/>
      <c r="G48" s="47" t="s">
        <v>84</v>
      </c>
      <c r="H48" s="39">
        <f t="shared" si="6"/>
        <v>1600</v>
      </c>
      <c r="I48" s="77">
        <f t="shared" si="7"/>
        <v>-4.19161677E-2</v>
      </c>
      <c r="J48" s="86">
        <f t="shared" si="12"/>
        <v>56532185.047786228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282</v>
      </c>
      <c r="P48" s="39">
        <f t="shared" si="10"/>
        <v>168</v>
      </c>
      <c r="Q48" s="77">
        <f t="shared" si="11"/>
        <v>-8.6956521699999997E-2</v>
      </c>
      <c r="R48" s="86">
        <f t="shared" si="14"/>
        <v>81504463.381638467</v>
      </c>
    </row>
    <row r="49" spans="1:18">
      <c r="A49" s="40" t="s">
        <v>255</v>
      </c>
      <c r="B49" s="11" t="s">
        <v>256</v>
      </c>
      <c r="C49" s="95">
        <v>265</v>
      </c>
      <c r="D49" s="92">
        <v>-8.3044982700000006E-2</v>
      </c>
      <c r="E49" s="93">
        <v>104192132.76738364</v>
      </c>
      <c r="F49" s="35"/>
      <c r="G49" s="47" t="s">
        <v>78</v>
      </c>
      <c r="H49" s="39">
        <f t="shared" si="6"/>
        <v>1193000</v>
      </c>
      <c r="I49" s="77">
        <f t="shared" si="7"/>
        <v>-4.2920176499999997E-2</v>
      </c>
      <c r="J49" s="86">
        <f t="shared" si="12"/>
        <v>266558.88278411998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174</v>
      </c>
      <c r="P49" s="39">
        <f t="shared" si="10"/>
        <v>282</v>
      </c>
      <c r="Q49" s="77">
        <f t="shared" si="11"/>
        <v>-8.7378640800000004E-2</v>
      </c>
      <c r="R49" s="86">
        <f t="shared" si="14"/>
        <v>82079880.221123725</v>
      </c>
    </row>
    <row r="50" spans="1:18" ht="17.25" thickBot="1">
      <c r="A50" s="40" t="s">
        <v>161</v>
      </c>
      <c r="B50" s="11" t="s">
        <v>162</v>
      </c>
      <c r="C50" s="95">
        <v>2040</v>
      </c>
      <c r="D50" s="92">
        <v>-8.3146067399999996E-2</v>
      </c>
      <c r="E50" s="93">
        <v>18165059.663104471</v>
      </c>
      <c r="F50" s="35"/>
      <c r="G50" s="53" t="s">
        <v>74</v>
      </c>
      <c r="H50" s="37">
        <f t="shared" si="6"/>
        <v>26820</v>
      </c>
      <c r="I50" s="79">
        <f t="shared" si="7"/>
        <v>-4.6569498799999998E-2</v>
      </c>
      <c r="J50" s="87">
        <f t="shared" si="12"/>
        <v>1118426.53240365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200</v>
      </c>
      <c r="P50" s="37">
        <f t="shared" si="10"/>
        <v>378</v>
      </c>
      <c r="Q50" s="79">
        <f t="shared" si="11"/>
        <v>-9.1346153799999996E-2</v>
      </c>
      <c r="R50" s="87">
        <f t="shared" si="14"/>
        <v>32522787.672502011</v>
      </c>
    </row>
    <row r="51" spans="1:18">
      <c r="A51" s="40" t="s">
        <v>273</v>
      </c>
      <c r="B51" s="11" t="s">
        <v>274</v>
      </c>
      <c r="C51" s="95">
        <v>8730</v>
      </c>
      <c r="D51" s="92">
        <v>-8.3464566899999995E-2</v>
      </c>
      <c r="E51" s="93">
        <v>1019508.71119421</v>
      </c>
      <c r="F51" s="35"/>
    </row>
    <row r="52" spans="1:18" ht="17.25" thickBot="1">
      <c r="A52" s="40" t="s">
        <v>179</v>
      </c>
      <c r="B52" s="11" t="s">
        <v>180</v>
      </c>
      <c r="C52" s="95">
        <v>4755</v>
      </c>
      <c r="D52" s="92">
        <v>-8.3815028900000005E-2</v>
      </c>
      <c r="E52" s="93">
        <v>18020671.950218219</v>
      </c>
      <c r="F52" s="35"/>
    </row>
    <row r="53" spans="1:18" ht="17.25" thickBot="1">
      <c r="A53" s="40" t="s">
        <v>269</v>
      </c>
      <c r="B53" s="11" t="s">
        <v>270</v>
      </c>
      <c r="C53" s="95">
        <v>555</v>
      </c>
      <c r="D53" s="92">
        <v>-8.4158415799999997E-2</v>
      </c>
      <c r="E53" s="93">
        <v>18531001.720059451</v>
      </c>
      <c r="F53" s="35"/>
      <c r="G53" s="185" t="s">
        <v>285</v>
      </c>
      <c r="H53" s="186"/>
      <c r="I53" s="186"/>
      <c r="J53" s="187"/>
      <c r="K53" s="185" t="s">
        <v>288</v>
      </c>
      <c r="L53" s="186"/>
      <c r="M53" s="186"/>
      <c r="N53" s="187"/>
      <c r="O53" s="185" t="s">
        <v>289</v>
      </c>
      <c r="P53" s="186"/>
      <c r="Q53" s="186"/>
      <c r="R53" s="187"/>
    </row>
    <row r="54" spans="1:18" ht="17.25" thickBot="1">
      <c r="A54" s="40" t="s">
        <v>79</v>
      </c>
      <c r="B54" s="11" t="s">
        <v>80</v>
      </c>
      <c r="C54" s="95">
        <v>1450</v>
      </c>
      <c r="D54" s="92">
        <v>-8.5173501600000007E-2</v>
      </c>
      <c r="E54" s="93">
        <v>8325422.0261532301</v>
      </c>
      <c r="F54" s="35"/>
      <c r="G54" s="222" t="s">
        <v>55</v>
      </c>
      <c r="H54" s="238">
        <f ca="1">NOW()</f>
        <v>44321.102619791665</v>
      </c>
      <c r="I54" s="239"/>
      <c r="J54" s="240"/>
      <c r="K54" s="237" t="s">
        <v>55</v>
      </c>
      <c r="L54" s="238">
        <f ca="1">NOW()</f>
        <v>44321.102619791665</v>
      </c>
      <c r="M54" s="239"/>
      <c r="N54" s="240"/>
      <c r="O54" s="237" t="s">
        <v>55</v>
      </c>
      <c r="P54" s="238">
        <f ca="1">NOW()</f>
        <v>44321.102619791665</v>
      </c>
      <c r="Q54" s="239"/>
      <c r="R54" s="240"/>
    </row>
    <row r="55" spans="1:18" ht="17.25" thickBot="1">
      <c r="A55" s="40" t="s">
        <v>177</v>
      </c>
      <c r="B55" s="11" t="s">
        <v>178</v>
      </c>
      <c r="C55" s="95">
        <v>48620</v>
      </c>
      <c r="D55" s="92">
        <v>-8.6948356800000001E-2</v>
      </c>
      <c r="E55" s="93">
        <v>440538.70209030999</v>
      </c>
      <c r="F55" s="35"/>
      <c r="G55" s="230"/>
      <c r="H55" s="51" t="s">
        <v>58</v>
      </c>
      <c r="I55" s="73" t="s">
        <v>59</v>
      </c>
      <c r="J55" s="69" t="s">
        <v>294</v>
      </c>
      <c r="K55" s="208"/>
      <c r="L55" s="51" t="s">
        <v>58</v>
      </c>
      <c r="M55" s="73" t="s">
        <v>59</v>
      </c>
      <c r="N55" s="69" t="s">
        <v>294</v>
      </c>
      <c r="O55" s="208"/>
      <c r="P55" s="51" t="s">
        <v>58</v>
      </c>
      <c r="Q55" s="73" t="s">
        <v>59</v>
      </c>
      <c r="R55" s="69" t="s">
        <v>294</v>
      </c>
    </row>
    <row r="56" spans="1:18">
      <c r="A56" s="40" t="s">
        <v>281</v>
      </c>
      <c r="B56" s="11" t="s">
        <v>282</v>
      </c>
      <c r="C56" s="95">
        <v>168</v>
      </c>
      <c r="D56" s="92">
        <v>-8.6956521699999997E-2</v>
      </c>
      <c r="E56" s="93">
        <v>81504463.381638467</v>
      </c>
      <c r="F56" s="35"/>
      <c r="G56" s="55" t="s">
        <v>240</v>
      </c>
      <c r="H56" s="38">
        <f t="shared" ref="H56:H75" si="15">_xlfn.IFNA(VLOOKUP(G56, $B$2:$D$200, 2, FALSE), "")</f>
        <v>192</v>
      </c>
      <c r="I56" s="76">
        <f t="shared" ref="I56:I65" si="16">_xlfn.IFNA(VLOOKUP(G56, $B$2:$D$200, 3, FALSE), "")</f>
        <v>-0.1069767442</v>
      </c>
      <c r="J56" s="85">
        <f>_xlfn.IFNA(VLOOKUP(G56, $B$2:$E$200, 4, FALSE), "")</f>
        <v>69762035.337986186</v>
      </c>
      <c r="K56" s="81" t="s">
        <v>220</v>
      </c>
      <c r="L56" s="38">
        <f t="shared" ref="L56:L75" si="17">_xlfn.IFNA(VLOOKUP(K56, $B$2:$D$200, 2, FALSE), "")</f>
        <v>22.1</v>
      </c>
      <c r="M56" s="76">
        <f t="shared" ref="M56:M75" si="18">_xlfn.IFNA(VLOOKUP(K56, $B$2:$D$200, 3, FALSE), "")</f>
        <v>-3.9130434800000002E-2</v>
      </c>
      <c r="N56" s="85">
        <f>_xlfn.IFNA(VLOOKUP(K56, $B$2:$E$200, 4, FALSE), "")</f>
        <v>4779078030.8157892</v>
      </c>
      <c r="O56" s="81" t="s">
        <v>112</v>
      </c>
      <c r="P56" s="38">
        <f t="shared" ref="P56:P75" si="19">_xlfn.IFNA(VLOOKUP(O56, $B$2:$D$200, 2, FALSE), "")</f>
        <v>261</v>
      </c>
      <c r="Q56" s="76">
        <f t="shared" ref="Q56:Q75" si="20">_xlfn.IFNA(VLOOKUP(O56, $B$2:$D$200, 3, FALSE), "")</f>
        <v>-0.1</v>
      </c>
      <c r="R56" s="85">
        <f>_xlfn.IFNA(VLOOKUP(O56, $B$2:$E$200, 4, FALSE), "")</f>
        <v>122528154.70296901</v>
      </c>
    </row>
    <row r="57" spans="1:18">
      <c r="A57" s="40" t="s">
        <v>173</v>
      </c>
      <c r="B57" s="11" t="s">
        <v>174</v>
      </c>
      <c r="C57" s="95">
        <v>282</v>
      </c>
      <c r="D57" s="92">
        <v>-8.7378640800000004E-2</v>
      </c>
      <c r="E57" s="93">
        <v>82079880.221123725</v>
      </c>
      <c r="F57" s="35"/>
      <c r="G57" s="56" t="s">
        <v>124</v>
      </c>
      <c r="H57" s="39">
        <f t="shared" si="15"/>
        <v>7100</v>
      </c>
      <c r="I57" s="77">
        <f t="shared" si="16"/>
        <v>-0.108040201</v>
      </c>
      <c r="J57" s="86">
        <f t="shared" ref="J57:J75" si="21">_xlfn.IFNA(VLOOKUP(G57, $B$2:$E$200, 4, FALSE), "")</f>
        <v>2286128.63721014</v>
      </c>
      <c r="K57" s="82" t="s">
        <v>100</v>
      </c>
      <c r="L57" s="39">
        <f t="shared" si="17"/>
        <v>7.98</v>
      </c>
      <c r="M57" s="77">
        <f t="shared" si="18"/>
        <v>-6.2279671000000002E-2</v>
      </c>
      <c r="N57" s="86">
        <f t="shared" ref="N57:N75" si="22">_xlfn.IFNA(VLOOKUP(K57, $B$2:$E$200, 4, FALSE), "")</f>
        <v>60540070390.56205</v>
      </c>
      <c r="O57" s="82" t="s">
        <v>258</v>
      </c>
      <c r="P57" s="39">
        <f t="shared" si="19"/>
        <v>732</v>
      </c>
      <c r="Q57" s="77">
        <f t="shared" si="20"/>
        <v>-0.1007371007</v>
      </c>
      <c r="R57" s="86">
        <f t="shared" ref="R57:R75" si="23">_xlfn.IFNA(VLOOKUP(O57, $B$2:$E$200, 4, FALSE), "")</f>
        <v>29367023.884654839</v>
      </c>
    </row>
    <row r="58" spans="1:18">
      <c r="A58" s="40" t="s">
        <v>153</v>
      </c>
      <c r="B58" s="11" t="s">
        <v>154</v>
      </c>
      <c r="C58" s="95">
        <v>21.9</v>
      </c>
      <c r="D58" s="92">
        <v>-8.7499999999999994E-2</v>
      </c>
      <c r="E58" s="93">
        <v>2604542927.6079464</v>
      </c>
      <c r="F58" s="35"/>
      <c r="G58" s="56" t="s">
        <v>228</v>
      </c>
      <c r="H58" s="39">
        <f t="shared" si="15"/>
        <v>18.899999999999999</v>
      </c>
      <c r="I58" s="77">
        <f t="shared" si="16"/>
        <v>-0.108490566</v>
      </c>
      <c r="J58" s="86">
        <f t="shared" si="21"/>
        <v>1994541887.7362931</v>
      </c>
      <c r="K58" s="82" t="s">
        <v>154</v>
      </c>
      <c r="L58" s="39">
        <f t="shared" si="17"/>
        <v>21.9</v>
      </c>
      <c r="M58" s="77">
        <f t="shared" si="18"/>
        <v>-8.7499999999999994E-2</v>
      </c>
      <c r="N58" s="86">
        <f t="shared" si="22"/>
        <v>2604542927.6079464</v>
      </c>
      <c r="O58" s="82" t="s">
        <v>238</v>
      </c>
      <c r="P58" s="39">
        <f t="shared" si="19"/>
        <v>300</v>
      </c>
      <c r="Q58" s="77">
        <f t="shared" si="20"/>
        <v>-0.10179640719999999</v>
      </c>
      <c r="R58" s="86">
        <f t="shared" si="23"/>
        <v>29643823.821968179</v>
      </c>
    </row>
    <row r="59" spans="1:18">
      <c r="A59" s="40" t="s">
        <v>89</v>
      </c>
      <c r="B59" s="11" t="s">
        <v>90</v>
      </c>
      <c r="C59" s="95">
        <v>410400</v>
      </c>
      <c r="D59" s="92">
        <v>-8.7594486400000005E-2</v>
      </c>
      <c r="E59" s="93">
        <v>159143.39119145999</v>
      </c>
      <c r="F59" s="35"/>
      <c r="G59" s="56" t="s">
        <v>232</v>
      </c>
      <c r="H59" s="39">
        <f t="shared" si="15"/>
        <v>180</v>
      </c>
      <c r="I59" s="77">
        <f t="shared" si="16"/>
        <v>-0.1089108911</v>
      </c>
      <c r="J59" s="86">
        <f t="shared" si="21"/>
        <v>59411034.180574268</v>
      </c>
      <c r="K59" s="82" t="s">
        <v>196</v>
      </c>
      <c r="L59" s="39">
        <f t="shared" si="17"/>
        <v>20.7</v>
      </c>
      <c r="M59" s="77">
        <f t="shared" si="18"/>
        <v>-8.81057269E-2</v>
      </c>
      <c r="N59" s="86">
        <f t="shared" si="22"/>
        <v>1221108286.8536246</v>
      </c>
      <c r="O59" s="82" t="s">
        <v>250</v>
      </c>
      <c r="P59" s="39">
        <f t="shared" si="19"/>
        <v>220</v>
      </c>
      <c r="Q59" s="77">
        <f t="shared" si="20"/>
        <v>-0.1020408163</v>
      </c>
      <c r="R59" s="86">
        <f t="shared" si="23"/>
        <v>39409362.242819019</v>
      </c>
    </row>
    <row r="60" spans="1:18">
      <c r="A60" s="40" t="s">
        <v>105</v>
      </c>
      <c r="B60" s="11" t="s">
        <v>106</v>
      </c>
      <c r="C60" s="95">
        <v>2130</v>
      </c>
      <c r="D60" s="92">
        <v>-8.7794432500000005E-2</v>
      </c>
      <c r="E60" s="93">
        <v>7541073.8702503499</v>
      </c>
      <c r="F60" s="35"/>
      <c r="G60" s="56" t="s">
        <v>170</v>
      </c>
      <c r="H60" s="39">
        <f t="shared" si="15"/>
        <v>504</v>
      </c>
      <c r="I60" s="77">
        <f t="shared" si="16"/>
        <v>-0.109540636</v>
      </c>
      <c r="J60" s="90">
        <f t="shared" si="21"/>
        <v>18273237.981368352</v>
      </c>
      <c r="K60" s="83" t="s">
        <v>254</v>
      </c>
      <c r="L60" s="44">
        <f t="shared" si="17"/>
        <v>91</v>
      </c>
      <c r="M60" s="78">
        <f t="shared" si="18"/>
        <v>-0.09</v>
      </c>
      <c r="N60" s="90">
        <f t="shared" si="22"/>
        <v>336685361.58089197</v>
      </c>
      <c r="O60" s="83" t="s">
        <v>134</v>
      </c>
      <c r="P60" s="44">
        <f t="shared" si="19"/>
        <v>148</v>
      </c>
      <c r="Q60" s="78">
        <f t="shared" si="20"/>
        <v>-0.103030303</v>
      </c>
      <c r="R60" s="90">
        <f t="shared" si="23"/>
        <v>151534246.46487439</v>
      </c>
    </row>
    <row r="61" spans="1:18">
      <c r="A61" s="40" t="s">
        <v>195</v>
      </c>
      <c r="B61" s="11" t="s">
        <v>196</v>
      </c>
      <c r="C61" s="95">
        <v>20.7</v>
      </c>
      <c r="D61" s="92">
        <v>-8.81057269E-2</v>
      </c>
      <c r="E61" s="93">
        <v>1221108286.8536246</v>
      </c>
      <c r="F61" s="35"/>
      <c r="G61" s="60" t="s">
        <v>198</v>
      </c>
      <c r="H61" s="45">
        <f t="shared" si="15"/>
        <v>29.2</v>
      </c>
      <c r="I61" s="80">
        <f t="shared" si="16"/>
        <v>-0.1097560976</v>
      </c>
      <c r="J61" s="99">
        <f t="shared" si="21"/>
        <v>1298559220.2585609</v>
      </c>
      <c r="K61" s="82" t="s">
        <v>65</v>
      </c>
      <c r="L61" s="39">
        <f t="shared" si="17"/>
        <v>71.7</v>
      </c>
      <c r="M61" s="77">
        <f t="shared" si="18"/>
        <v>-9.2405063300000007E-2</v>
      </c>
      <c r="N61" s="99">
        <f t="shared" si="22"/>
        <v>238581094.36801672</v>
      </c>
      <c r="O61" s="82" t="s">
        <v>168</v>
      </c>
      <c r="P61" s="39">
        <f t="shared" si="19"/>
        <v>199</v>
      </c>
      <c r="Q61" s="77">
        <f t="shared" si="20"/>
        <v>-0.1036036036</v>
      </c>
      <c r="R61" s="99">
        <f t="shared" si="23"/>
        <v>328420396.72941661</v>
      </c>
    </row>
    <row r="62" spans="1:18">
      <c r="A62" s="40" t="s">
        <v>247</v>
      </c>
      <c r="B62" s="11" t="s">
        <v>248</v>
      </c>
      <c r="C62" s="95">
        <v>3220</v>
      </c>
      <c r="D62" s="92">
        <v>-8.9108910900000005E-2</v>
      </c>
      <c r="E62" s="93">
        <v>3994083.3474698998</v>
      </c>
      <c r="F62" s="35"/>
      <c r="G62" s="56" t="s">
        <v>224</v>
      </c>
      <c r="H62" s="39">
        <f t="shared" si="15"/>
        <v>2050</v>
      </c>
      <c r="I62" s="77">
        <f t="shared" si="16"/>
        <v>-0.1106290672</v>
      </c>
      <c r="J62" s="86">
        <f t="shared" si="21"/>
        <v>28091718.529529341</v>
      </c>
      <c r="K62" s="82" t="s">
        <v>72</v>
      </c>
      <c r="L62" s="39">
        <f t="shared" si="17"/>
        <v>34.700000000000003</v>
      </c>
      <c r="M62" s="77">
        <f t="shared" si="18"/>
        <v>-9.6354166699999994E-2</v>
      </c>
      <c r="N62" s="86">
        <f t="shared" si="22"/>
        <v>192786178.72453552</v>
      </c>
      <c r="O62" s="82" t="s">
        <v>122</v>
      </c>
      <c r="P62" s="39">
        <f t="shared" si="19"/>
        <v>121</v>
      </c>
      <c r="Q62" s="77">
        <f t="shared" si="20"/>
        <v>-0.1037037037</v>
      </c>
      <c r="R62" s="86">
        <f t="shared" si="23"/>
        <v>332001374.12270731</v>
      </c>
    </row>
    <row r="63" spans="1:18">
      <c r="A63" s="40" t="s">
        <v>149</v>
      </c>
      <c r="B63" s="11" t="s">
        <v>150</v>
      </c>
      <c r="C63" s="95">
        <v>6100</v>
      </c>
      <c r="D63" s="92">
        <v>-8.9552238800000003E-2</v>
      </c>
      <c r="E63" s="93">
        <v>23035336.703152038</v>
      </c>
      <c r="F63" s="35"/>
      <c r="G63" s="56" t="s">
        <v>264</v>
      </c>
      <c r="H63" s="39">
        <f t="shared" si="15"/>
        <v>174</v>
      </c>
      <c r="I63" s="77">
        <f t="shared" si="16"/>
        <v>-0.112244898</v>
      </c>
      <c r="J63" s="86">
        <f t="shared" si="21"/>
        <v>58053887.553617612</v>
      </c>
      <c r="K63" s="82" t="s">
        <v>222</v>
      </c>
      <c r="L63" s="39">
        <f t="shared" si="17"/>
        <v>18.899999999999999</v>
      </c>
      <c r="M63" s="77">
        <f t="shared" si="18"/>
        <v>-0.1</v>
      </c>
      <c r="N63" s="86">
        <f t="shared" si="22"/>
        <v>558643004.03756082</v>
      </c>
      <c r="O63" s="82" t="s">
        <v>208</v>
      </c>
      <c r="P63" s="39">
        <f t="shared" si="19"/>
        <v>500</v>
      </c>
      <c r="Q63" s="77">
        <f t="shared" si="20"/>
        <v>-0.10394265229999999</v>
      </c>
      <c r="R63" s="86">
        <f t="shared" si="23"/>
        <v>106455642.29793692</v>
      </c>
    </row>
    <row r="64" spans="1:18">
      <c r="A64" s="40" t="s">
        <v>253</v>
      </c>
      <c r="B64" s="11" t="s">
        <v>254</v>
      </c>
      <c r="C64" s="95">
        <v>91</v>
      </c>
      <c r="D64" s="92">
        <v>-0.09</v>
      </c>
      <c r="E64" s="93">
        <v>336685361.58089197</v>
      </c>
      <c r="F64" s="35"/>
      <c r="G64" s="56" t="s">
        <v>54</v>
      </c>
      <c r="H64" s="39">
        <f t="shared" si="15"/>
        <v>355</v>
      </c>
      <c r="I64" s="77">
        <f t="shared" si="16"/>
        <v>-0.1125</v>
      </c>
      <c r="J64" s="86">
        <f t="shared" si="21"/>
        <v>51319138.182002947</v>
      </c>
      <c r="K64" s="82" t="s">
        <v>172</v>
      </c>
      <c r="L64" s="39">
        <f t="shared" si="17"/>
        <v>25.9</v>
      </c>
      <c r="M64" s="77">
        <f t="shared" si="18"/>
        <v>-0.1006944444</v>
      </c>
      <c r="N64" s="86">
        <f t="shared" si="22"/>
        <v>412845612.18112922</v>
      </c>
      <c r="O64" s="82" t="s">
        <v>284</v>
      </c>
      <c r="P64" s="39">
        <f t="shared" si="19"/>
        <v>433</v>
      </c>
      <c r="Q64" s="77">
        <f t="shared" si="20"/>
        <v>-0.1053719008</v>
      </c>
      <c r="R64" s="86">
        <f t="shared" si="23"/>
        <v>98442691.891814217</v>
      </c>
    </row>
    <row r="65" spans="1:18" ht="17.25" thickBot="1">
      <c r="A65" s="40" t="s">
        <v>279</v>
      </c>
      <c r="B65" s="11" t="s">
        <v>280</v>
      </c>
      <c r="C65" s="95">
        <v>1660</v>
      </c>
      <c r="D65" s="92">
        <v>-9.0410958900000005E-2</v>
      </c>
      <c r="E65" s="93">
        <v>16156014.97121801</v>
      </c>
      <c r="F65" s="35"/>
      <c r="G65" s="57" t="s">
        <v>230</v>
      </c>
      <c r="H65" s="37">
        <f t="shared" si="15"/>
        <v>181</v>
      </c>
      <c r="I65" s="79">
        <f t="shared" si="16"/>
        <v>-0.112745098</v>
      </c>
      <c r="J65" s="87">
        <f t="shared" si="21"/>
        <v>94111571.536625594</v>
      </c>
      <c r="K65" s="84" t="s">
        <v>152</v>
      </c>
      <c r="L65" s="37">
        <f t="shared" si="17"/>
        <v>45</v>
      </c>
      <c r="M65" s="79">
        <f t="shared" si="18"/>
        <v>-0.10179640719999999</v>
      </c>
      <c r="N65" s="87">
        <f t="shared" si="22"/>
        <v>1346961935.2069495</v>
      </c>
      <c r="O65" s="84" t="s">
        <v>240</v>
      </c>
      <c r="P65" s="37">
        <f t="shared" si="19"/>
        <v>192</v>
      </c>
      <c r="Q65" s="79">
        <f t="shared" si="20"/>
        <v>-0.1069767442</v>
      </c>
      <c r="R65" s="87">
        <f t="shared" si="23"/>
        <v>69762035.337986186</v>
      </c>
    </row>
    <row r="66" spans="1:18">
      <c r="A66" s="40" t="s">
        <v>199</v>
      </c>
      <c r="B66" s="11" t="s">
        <v>200</v>
      </c>
      <c r="C66" s="95">
        <v>378</v>
      </c>
      <c r="D66" s="92">
        <v>-9.1346153799999996E-2</v>
      </c>
      <c r="E66" s="93">
        <v>32522787.672502011</v>
      </c>
      <c r="F66" s="35"/>
      <c r="G66" s="56" t="s">
        <v>260</v>
      </c>
      <c r="H66" s="38">
        <f t="shared" si="15"/>
        <v>125</v>
      </c>
      <c r="I66" s="76">
        <f t="shared" ref="I66:I75" si="24">_xlfn.IFNA(VLOOKUP(G66, $B$2:$D$200, 3, FALSE), "")</f>
        <v>-0.11347517729999999</v>
      </c>
      <c r="J66" s="85">
        <f t="shared" si="21"/>
        <v>240573738.19639963</v>
      </c>
      <c r="K66" s="81" t="s">
        <v>218</v>
      </c>
      <c r="L66" s="38">
        <f t="shared" si="17"/>
        <v>29.8</v>
      </c>
      <c r="M66" s="76">
        <f t="shared" si="18"/>
        <v>-0.10240963860000001</v>
      </c>
      <c r="N66" s="85">
        <f t="shared" si="22"/>
        <v>898439352.49582183</v>
      </c>
      <c r="O66" s="81" t="s">
        <v>232</v>
      </c>
      <c r="P66" s="38">
        <f t="shared" si="19"/>
        <v>180</v>
      </c>
      <c r="Q66" s="76">
        <f t="shared" si="20"/>
        <v>-0.1089108911</v>
      </c>
      <c r="R66" s="85">
        <f t="shared" si="23"/>
        <v>59411034.180574268</v>
      </c>
    </row>
    <row r="67" spans="1:18">
      <c r="A67" s="40" t="s">
        <v>64</v>
      </c>
      <c r="B67" s="11" t="s">
        <v>65</v>
      </c>
      <c r="C67" s="95">
        <v>71.7</v>
      </c>
      <c r="D67" s="92">
        <v>-9.2405063300000007E-2</v>
      </c>
      <c r="E67" s="93">
        <v>238581094.36801672</v>
      </c>
      <c r="F67" s="35"/>
      <c r="G67" s="56" t="s">
        <v>214</v>
      </c>
      <c r="H67" s="39">
        <f t="shared" si="15"/>
        <v>22.6</v>
      </c>
      <c r="I67" s="77">
        <f t="shared" si="24"/>
        <v>-0.1137254902</v>
      </c>
      <c r="J67" s="86">
        <f t="shared" si="21"/>
        <v>765475797.13017428</v>
      </c>
      <c r="K67" s="82" t="s">
        <v>236</v>
      </c>
      <c r="L67" s="39">
        <f t="shared" si="17"/>
        <v>70.7</v>
      </c>
      <c r="M67" s="77">
        <f t="shared" si="18"/>
        <v>-0.10619469030000001</v>
      </c>
      <c r="N67" s="86">
        <f t="shared" si="22"/>
        <v>255991337.4361839</v>
      </c>
      <c r="O67" s="82" t="s">
        <v>170</v>
      </c>
      <c r="P67" s="39">
        <f t="shared" si="19"/>
        <v>504</v>
      </c>
      <c r="Q67" s="77">
        <f t="shared" si="20"/>
        <v>-0.109540636</v>
      </c>
      <c r="R67" s="86">
        <f t="shared" si="23"/>
        <v>18273237.981368352</v>
      </c>
    </row>
    <row r="68" spans="1:18">
      <c r="A68" s="40" t="s">
        <v>183</v>
      </c>
      <c r="B68" s="11" t="s">
        <v>184</v>
      </c>
      <c r="C68" s="95">
        <v>2400</v>
      </c>
      <c r="D68" s="92">
        <v>-9.2627599199999994E-2</v>
      </c>
      <c r="E68" s="93">
        <v>2128974.6575704701</v>
      </c>
      <c r="F68" s="35"/>
      <c r="G68" s="56" t="s">
        <v>202</v>
      </c>
      <c r="H68" s="39">
        <f t="shared" si="15"/>
        <v>220</v>
      </c>
      <c r="I68" s="77">
        <f t="shared" si="24"/>
        <v>-0.1164658635</v>
      </c>
      <c r="J68" s="86">
        <f t="shared" si="21"/>
        <v>319360274.28764403</v>
      </c>
      <c r="K68" s="82" t="s">
        <v>228</v>
      </c>
      <c r="L68" s="39">
        <f t="shared" si="17"/>
        <v>18.899999999999999</v>
      </c>
      <c r="M68" s="77">
        <f t="shared" si="18"/>
        <v>-0.108490566</v>
      </c>
      <c r="N68" s="86">
        <f t="shared" si="22"/>
        <v>1994541887.7362931</v>
      </c>
      <c r="O68" s="82" t="s">
        <v>264</v>
      </c>
      <c r="P68" s="39">
        <f t="shared" si="19"/>
        <v>174</v>
      </c>
      <c r="Q68" s="77">
        <f t="shared" si="20"/>
        <v>-0.112244898</v>
      </c>
      <c r="R68" s="86">
        <f t="shared" si="23"/>
        <v>58053887.553617612</v>
      </c>
    </row>
    <row r="69" spans="1:18">
      <c r="A69" s="40" t="s">
        <v>225</v>
      </c>
      <c r="B69" s="11" t="s">
        <v>226</v>
      </c>
      <c r="C69" s="95">
        <v>516</v>
      </c>
      <c r="D69" s="92">
        <v>-9.3145869899999997E-2</v>
      </c>
      <c r="E69" s="93">
        <v>15176704.515469881</v>
      </c>
      <c r="F69" s="35"/>
      <c r="G69" s="56" t="s">
        <v>262</v>
      </c>
      <c r="H69" s="39">
        <f t="shared" si="15"/>
        <v>1020</v>
      </c>
      <c r="I69" s="77">
        <f t="shared" si="24"/>
        <v>-0.1168831169</v>
      </c>
      <c r="J69" s="86">
        <f t="shared" si="21"/>
        <v>26764184.699226689</v>
      </c>
      <c r="K69" s="82" t="s">
        <v>198</v>
      </c>
      <c r="L69" s="39">
        <f t="shared" si="17"/>
        <v>29.2</v>
      </c>
      <c r="M69" s="77">
        <f t="shared" si="18"/>
        <v>-0.1097560976</v>
      </c>
      <c r="N69" s="86">
        <f t="shared" si="22"/>
        <v>1298559220.2585609</v>
      </c>
      <c r="O69" s="82" t="s">
        <v>54</v>
      </c>
      <c r="P69" s="39">
        <f t="shared" si="19"/>
        <v>355</v>
      </c>
      <c r="Q69" s="77">
        <f t="shared" si="20"/>
        <v>-0.1125</v>
      </c>
      <c r="R69" s="86">
        <f t="shared" si="23"/>
        <v>51319138.182002947</v>
      </c>
    </row>
    <row r="70" spans="1:18">
      <c r="A70" s="40" t="s">
        <v>203</v>
      </c>
      <c r="B70" s="11" t="s">
        <v>204</v>
      </c>
      <c r="C70" s="95">
        <v>9115</v>
      </c>
      <c r="D70" s="92">
        <v>-9.3936381700000002E-2</v>
      </c>
      <c r="E70" s="93">
        <v>47825824.230363578</v>
      </c>
      <c r="F70" s="35"/>
      <c r="G70" s="56" t="s">
        <v>126</v>
      </c>
      <c r="H70" s="39">
        <f t="shared" si="15"/>
        <v>61.6</v>
      </c>
      <c r="I70" s="77">
        <f t="shared" si="24"/>
        <v>-0.11747850999999999</v>
      </c>
      <c r="J70" s="90">
        <f t="shared" si="21"/>
        <v>522697134.45813656</v>
      </c>
      <c r="K70" s="83" t="s">
        <v>214</v>
      </c>
      <c r="L70" s="44">
        <f t="shared" si="17"/>
        <v>22.6</v>
      </c>
      <c r="M70" s="78">
        <f t="shared" si="18"/>
        <v>-0.1137254902</v>
      </c>
      <c r="N70" s="90">
        <f t="shared" si="22"/>
        <v>765475797.13017428</v>
      </c>
      <c r="O70" s="83" t="s">
        <v>230</v>
      </c>
      <c r="P70" s="44">
        <f t="shared" si="19"/>
        <v>181</v>
      </c>
      <c r="Q70" s="78">
        <f t="shared" si="20"/>
        <v>-0.112745098</v>
      </c>
      <c r="R70" s="90">
        <f t="shared" si="23"/>
        <v>94111571.536625594</v>
      </c>
    </row>
    <row r="71" spans="1:18">
      <c r="A71" s="40" t="s">
        <v>81</v>
      </c>
      <c r="B71" s="11" t="s">
        <v>82</v>
      </c>
      <c r="C71" s="95">
        <v>1530</v>
      </c>
      <c r="D71" s="92">
        <v>-9.4674556199999996E-2</v>
      </c>
      <c r="E71" s="93">
        <v>5293096.4190878803</v>
      </c>
      <c r="F71" s="35"/>
      <c r="G71" s="60" t="s">
        <v>252</v>
      </c>
      <c r="H71" s="45">
        <f t="shared" si="15"/>
        <v>533</v>
      </c>
      <c r="I71" s="80">
        <f t="shared" si="24"/>
        <v>-0.1175496689</v>
      </c>
      <c r="J71" s="99">
        <f t="shared" si="21"/>
        <v>89309377.481572717</v>
      </c>
      <c r="K71" s="82" t="s">
        <v>126</v>
      </c>
      <c r="L71" s="39">
        <f t="shared" si="17"/>
        <v>61.6</v>
      </c>
      <c r="M71" s="77">
        <f t="shared" si="18"/>
        <v>-0.11747850999999999</v>
      </c>
      <c r="N71" s="99">
        <f t="shared" si="22"/>
        <v>522697134.45813656</v>
      </c>
      <c r="O71" s="82" t="s">
        <v>260</v>
      </c>
      <c r="P71" s="39">
        <f t="shared" si="19"/>
        <v>125</v>
      </c>
      <c r="Q71" s="77">
        <f t="shared" si="20"/>
        <v>-0.11347517729999999</v>
      </c>
      <c r="R71" s="99">
        <f t="shared" si="23"/>
        <v>240573738.19639963</v>
      </c>
    </row>
    <row r="72" spans="1:18">
      <c r="A72" s="40" t="s">
        <v>66</v>
      </c>
      <c r="B72" s="11" t="s">
        <v>67</v>
      </c>
      <c r="C72" s="95">
        <v>9055</v>
      </c>
      <c r="D72" s="92">
        <v>-9.54045954E-2</v>
      </c>
      <c r="E72" s="93">
        <v>3302472.9402694399</v>
      </c>
      <c r="F72" s="35"/>
      <c r="G72" s="56" t="s">
        <v>212</v>
      </c>
      <c r="H72" s="39">
        <f t="shared" si="15"/>
        <v>156</v>
      </c>
      <c r="I72" s="77">
        <f t="shared" si="24"/>
        <v>-0.1186440678</v>
      </c>
      <c r="J72" s="86">
        <f t="shared" si="21"/>
        <v>1303101736.7727566</v>
      </c>
      <c r="K72" s="82" t="s">
        <v>186</v>
      </c>
      <c r="L72" s="39">
        <f t="shared" si="17"/>
        <v>25.8</v>
      </c>
      <c r="M72" s="77">
        <f t="shared" si="18"/>
        <v>-0.1313131313</v>
      </c>
      <c r="N72" s="86">
        <f t="shared" si="22"/>
        <v>956264297.69565618</v>
      </c>
      <c r="O72" s="82" t="s">
        <v>202</v>
      </c>
      <c r="P72" s="39">
        <f t="shared" si="19"/>
        <v>220</v>
      </c>
      <c r="Q72" s="77">
        <f t="shared" si="20"/>
        <v>-0.1164658635</v>
      </c>
      <c r="R72" s="86">
        <f t="shared" si="23"/>
        <v>319360274.28764403</v>
      </c>
    </row>
    <row r="73" spans="1:18">
      <c r="A73" s="40" t="s">
        <v>141</v>
      </c>
      <c r="B73" s="11" t="s">
        <v>142</v>
      </c>
      <c r="C73" s="95">
        <v>413</v>
      </c>
      <c r="D73" s="92">
        <v>-9.62800875E-2</v>
      </c>
      <c r="E73" s="93">
        <v>47301538.510998897</v>
      </c>
      <c r="F73" s="35"/>
      <c r="G73" s="56" t="s">
        <v>216</v>
      </c>
      <c r="H73" s="39">
        <f t="shared" si="15"/>
        <v>439</v>
      </c>
      <c r="I73" s="77">
        <f t="shared" si="24"/>
        <v>-0.120240481</v>
      </c>
      <c r="J73" s="86">
        <f t="shared" si="21"/>
        <v>17685736.797834288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252</v>
      </c>
      <c r="P73" s="39">
        <f t="shared" si="19"/>
        <v>533</v>
      </c>
      <c r="Q73" s="77">
        <f t="shared" si="20"/>
        <v>-0.1175496689</v>
      </c>
      <c r="R73" s="86">
        <f t="shared" si="23"/>
        <v>89309377.481572717</v>
      </c>
    </row>
    <row r="74" spans="1:18">
      <c r="A74" s="40" t="s">
        <v>71</v>
      </c>
      <c r="B74" s="11" t="s">
        <v>72</v>
      </c>
      <c r="C74" s="95">
        <v>34.700000000000003</v>
      </c>
      <c r="D74" s="92">
        <v>-9.6354166699999994E-2</v>
      </c>
      <c r="E74" s="93">
        <v>192786178.72453552</v>
      </c>
      <c r="F74" s="35"/>
      <c r="G74" s="56" t="s">
        <v>272</v>
      </c>
      <c r="H74" s="39">
        <f t="shared" si="15"/>
        <v>2285</v>
      </c>
      <c r="I74" s="77">
        <f t="shared" si="24"/>
        <v>-0.1278625954</v>
      </c>
      <c r="J74" s="86">
        <f t="shared" si="21"/>
        <v>4671538.1074992903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212</v>
      </c>
      <c r="P74" s="39">
        <f t="shared" si="19"/>
        <v>156</v>
      </c>
      <c r="Q74" s="77">
        <f t="shared" si="20"/>
        <v>-0.1186440678</v>
      </c>
      <c r="R74" s="86">
        <f t="shared" si="23"/>
        <v>1303101736.7727566</v>
      </c>
    </row>
    <row r="75" spans="1:18" ht="17.25" thickBot="1">
      <c r="A75" s="40" t="s">
        <v>91</v>
      </c>
      <c r="B75" s="11" t="s">
        <v>92</v>
      </c>
      <c r="C75" s="95">
        <v>1720</v>
      </c>
      <c r="D75" s="92">
        <v>-9.71128609E-2</v>
      </c>
      <c r="E75" s="93">
        <v>1011734373.3272362</v>
      </c>
      <c r="F75" s="35"/>
      <c r="G75" s="57" t="s">
        <v>186</v>
      </c>
      <c r="H75" s="37">
        <f t="shared" si="15"/>
        <v>25.8</v>
      </c>
      <c r="I75" s="79">
        <f t="shared" si="24"/>
        <v>-0.1313131313</v>
      </c>
      <c r="J75" s="87">
        <f t="shared" si="21"/>
        <v>956264297.69565618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216</v>
      </c>
      <c r="P75" s="37">
        <f t="shared" si="19"/>
        <v>439</v>
      </c>
      <c r="Q75" s="79">
        <f t="shared" si="20"/>
        <v>-0.120240481</v>
      </c>
      <c r="R75" s="87">
        <f t="shared" si="23"/>
        <v>17685736.797834288</v>
      </c>
    </row>
    <row r="76" spans="1:18">
      <c r="A76" s="40" t="s">
        <v>209</v>
      </c>
      <c r="B76" s="11" t="s">
        <v>210</v>
      </c>
      <c r="C76" s="95">
        <v>202</v>
      </c>
      <c r="D76" s="92">
        <v>-9.8214285700000001E-2</v>
      </c>
      <c r="E76" s="93">
        <v>63328253.536016703</v>
      </c>
      <c r="F76" s="35"/>
      <c r="G76" s="35"/>
      <c r="H76" s="35"/>
      <c r="I76" s="35"/>
    </row>
    <row r="77" spans="1:18">
      <c r="A77" s="40" t="s">
        <v>245</v>
      </c>
      <c r="B77" s="11" t="s">
        <v>246</v>
      </c>
      <c r="C77" s="95">
        <v>409</v>
      </c>
      <c r="D77" s="92">
        <v>-9.9118942700000004E-2</v>
      </c>
      <c r="E77" s="93">
        <v>25047211.91708729</v>
      </c>
      <c r="F77" s="35"/>
      <c r="G77" s="35"/>
      <c r="H77" s="35"/>
      <c r="I77" s="35"/>
    </row>
    <row r="78" spans="1:18">
      <c r="A78" s="40" t="s">
        <v>111</v>
      </c>
      <c r="B78" s="11" t="s">
        <v>112</v>
      </c>
      <c r="C78" s="95">
        <v>261</v>
      </c>
      <c r="D78" s="92">
        <v>-0.1</v>
      </c>
      <c r="E78" s="93">
        <v>122528154.70296901</v>
      </c>
      <c r="F78" s="35"/>
      <c r="G78" s="35"/>
      <c r="H78" s="35"/>
      <c r="I78" s="35"/>
    </row>
    <row r="79" spans="1:18">
      <c r="A79" s="40" t="s">
        <v>221</v>
      </c>
      <c r="B79" s="11" t="s">
        <v>222</v>
      </c>
      <c r="C79" s="95">
        <v>18.899999999999999</v>
      </c>
      <c r="D79" s="92">
        <v>-0.1</v>
      </c>
      <c r="E79" s="93">
        <v>558643004.03756082</v>
      </c>
      <c r="F79" s="35"/>
      <c r="G79" s="35"/>
      <c r="H79" s="35"/>
      <c r="I79" s="35"/>
    </row>
    <row r="80" spans="1:18">
      <c r="A80" s="40" t="s">
        <v>171</v>
      </c>
      <c r="B80" s="11" t="s">
        <v>172</v>
      </c>
      <c r="C80" s="95">
        <v>25.9</v>
      </c>
      <c r="D80" s="92">
        <v>-0.1006944444</v>
      </c>
      <c r="E80" s="93">
        <v>412845612.18112922</v>
      </c>
      <c r="F80" s="35"/>
      <c r="G80" s="35"/>
      <c r="H80" s="35"/>
      <c r="I80" s="35"/>
    </row>
    <row r="81" spans="1:9">
      <c r="A81" s="40" t="s">
        <v>257</v>
      </c>
      <c r="B81" s="11" t="s">
        <v>258</v>
      </c>
      <c r="C81" s="95">
        <v>732</v>
      </c>
      <c r="D81" s="92">
        <v>-0.1007371007</v>
      </c>
      <c r="E81" s="93">
        <v>29367023.884654839</v>
      </c>
      <c r="F81" s="35"/>
      <c r="G81" s="35"/>
      <c r="H81" s="35"/>
      <c r="I81" s="35"/>
    </row>
    <row r="82" spans="1:9">
      <c r="A82" s="40" t="s">
        <v>145</v>
      </c>
      <c r="B82" s="11" t="s">
        <v>146</v>
      </c>
      <c r="C82" s="95">
        <v>18020</v>
      </c>
      <c r="D82" s="92">
        <v>-0.10124688279999999</v>
      </c>
      <c r="E82" s="93">
        <v>1639445.69000658</v>
      </c>
      <c r="F82" s="35"/>
      <c r="G82" s="35"/>
      <c r="H82" s="35"/>
      <c r="I82" s="35"/>
    </row>
    <row r="83" spans="1:9">
      <c r="A83" s="40" t="s">
        <v>139</v>
      </c>
      <c r="B83" s="11" t="s">
        <v>140</v>
      </c>
      <c r="C83" s="95">
        <v>3765</v>
      </c>
      <c r="D83" s="92">
        <v>-0.1014319809</v>
      </c>
      <c r="E83" s="93">
        <v>4450352.03766507</v>
      </c>
      <c r="F83" s="35"/>
      <c r="G83" s="35"/>
      <c r="H83" s="35"/>
      <c r="I83" s="35"/>
    </row>
    <row r="84" spans="1:9">
      <c r="A84" s="40" t="s">
        <v>151</v>
      </c>
      <c r="B84" s="11" t="s">
        <v>152</v>
      </c>
      <c r="C84" s="95">
        <v>45</v>
      </c>
      <c r="D84" s="92">
        <v>-0.10179640719999999</v>
      </c>
      <c r="E84" s="93">
        <v>1346961935.2069495</v>
      </c>
      <c r="F84" s="35"/>
      <c r="G84" s="35"/>
      <c r="H84" s="35"/>
      <c r="I84" s="35"/>
    </row>
    <row r="85" spans="1:9">
      <c r="A85" s="40" t="s">
        <v>237</v>
      </c>
      <c r="B85" s="11" t="s">
        <v>238</v>
      </c>
      <c r="C85" s="95">
        <v>300</v>
      </c>
      <c r="D85" s="92">
        <v>-0.10179640719999999</v>
      </c>
      <c r="E85" s="93">
        <v>29643823.821968179</v>
      </c>
      <c r="F85" s="35"/>
      <c r="G85" s="35"/>
      <c r="H85" s="35"/>
      <c r="I85" s="35"/>
    </row>
    <row r="86" spans="1:9">
      <c r="A86" s="40" t="s">
        <v>249</v>
      </c>
      <c r="B86" s="11" t="s">
        <v>250</v>
      </c>
      <c r="C86" s="95">
        <v>220</v>
      </c>
      <c r="D86" s="92">
        <v>-0.1020408163</v>
      </c>
      <c r="E86" s="93">
        <v>39409362.242819019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5">
        <v>29.8</v>
      </c>
      <c r="D87" s="92">
        <v>-0.10240963860000001</v>
      </c>
      <c r="E87" s="93">
        <v>898439352.49582183</v>
      </c>
      <c r="F87" s="35"/>
      <c r="G87" s="35"/>
      <c r="H87" s="35"/>
      <c r="I87" s="35"/>
    </row>
    <row r="88" spans="1:9">
      <c r="A88" s="40" t="s">
        <v>133</v>
      </c>
      <c r="B88" s="11" t="s">
        <v>134</v>
      </c>
      <c r="C88" s="95">
        <v>148</v>
      </c>
      <c r="D88" s="92">
        <v>-0.103030303</v>
      </c>
      <c r="E88" s="93">
        <v>151534246.46487439</v>
      </c>
      <c r="F88" s="35"/>
      <c r="G88" s="35"/>
      <c r="H88" s="35"/>
      <c r="I88" s="35"/>
    </row>
    <row r="89" spans="1:9">
      <c r="A89" s="40" t="s">
        <v>167</v>
      </c>
      <c r="B89" s="11" t="s">
        <v>168</v>
      </c>
      <c r="C89" s="95">
        <v>199</v>
      </c>
      <c r="D89" s="92">
        <v>-0.1036036036</v>
      </c>
      <c r="E89" s="93">
        <v>328420396.72941661</v>
      </c>
      <c r="F89" s="35"/>
      <c r="G89" s="35"/>
      <c r="H89" s="35"/>
      <c r="I89" s="35"/>
    </row>
    <row r="90" spans="1:9">
      <c r="A90" s="40" t="s">
        <v>121</v>
      </c>
      <c r="B90" s="11" t="s">
        <v>122</v>
      </c>
      <c r="C90" s="95">
        <v>121</v>
      </c>
      <c r="D90" s="92">
        <v>-0.1037037037</v>
      </c>
      <c r="E90" s="93">
        <v>332001374.12270731</v>
      </c>
      <c r="F90" s="35"/>
      <c r="G90" s="35"/>
      <c r="H90" s="35"/>
      <c r="I90" s="35"/>
    </row>
    <row r="91" spans="1:9">
      <c r="A91" s="40" t="s">
        <v>165</v>
      </c>
      <c r="B91" s="11" t="s">
        <v>166</v>
      </c>
      <c r="C91" s="95">
        <v>2285</v>
      </c>
      <c r="D91" s="92">
        <v>-0.1039215686</v>
      </c>
      <c r="E91" s="93">
        <v>6077451.4044878501</v>
      </c>
      <c r="F91" s="35"/>
      <c r="G91" s="35"/>
      <c r="H91" s="35"/>
      <c r="I91" s="35"/>
    </row>
    <row r="92" spans="1:9">
      <c r="A92" s="40" t="s">
        <v>207</v>
      </c>
      <c r="B92" s="11" t="s">
        <v>208</v>
      </c>
      <c r="C92" s="95">
        <v>500</v>
      </c>
      <c r="D92" s="92">
        <v>-0.10394265229999999</v>
      </c>
      <c r="E92" s="93">
        <v>106455642.29793692</v>
      </c>
      <c r="F92" s="35"/>
      <c r="G92" s="35"/>
      <c r="H92" s="35"/>
      <c r="I92" s="35"/>
    </row>
    <row r="93" spans="1:9">
      <c r="A93" s="40" t="s">
        <v>187</v>
      </c>
      <c r="B93" s="11" t="s">
        <v>188</v>
      </c>
      <c r="C93" s="95">
        <v>17320</v>
      </c>
      <c r="D93" s="92">
        <v>-0.1039834454</v>
      </c>
      <c r="E93" s="93">
        <v>10031857.42375494</v>
      </c>
      <c r="F93" s="35"/>
      <c r="G93" s="35"/>
      <c r="H93" s="35"/>
      <c r="I93" s="35"/>
    </row>
    <row r="94" spans="1:9">
      <c r="A94" s="40" t="s">
        <v>243</v>
      </c>
      <c r="B94" s="11" t="s">
        <v>244</v>
      </c>
      <c r="C94" s="95">
        <v>3705</v>
      </c>
      <c r="D94" s="92">
        <v>-0.1050724638</v>
      </c>
      <c r="E94" s="93">
        <v>14750895.561172931</v>
      </c>
      <c r="F94" s="35"/>
      <c r="G94" s="35"/>
      <c r="H94" s="35"/>
      <c r="I94" s="35"/>
    </row>
    <row r="95" spans="1:9">
      <c r="A95" s="40" t="s">
        <v>283</v>
      </c>
      <c r="B95" s="11" t="s">
        <v>284</v>
      </c>
      <c r="C95" s="95">
        <v>433</v>
      </c>
      <c r="D95" s="92">
        <v>-0.1053719008</v>
      </c>
      <c r="E95" s="93">
        <v>98442691.891814217</v>
      </c>
      <c r="F95" s="35"/>
      <c r="G95" s="35"/>
      <c r="H95" s="35"/>
      <c r="I95" s="35"/>
    </row>
    <row r="96" spans="1:9">
      <c r="A96" s="40" t="s">
        <v>191</v>
      </c>
      <c r="B96" s="11" t="s">
        <v>192</v>
      </c>
      <c r="C96" s="95">
        <v>1100</v>
      </c>
      <c r="D96" s="92">
        <v>-0.1056910569</v>
      </c>
      <c r="E96" s="93">
        <v>8413601.4817091804</v>
      </c>
      <c r="F96" s="35"/>
      <c r="G96" s="35"/>
      <c r="H96" s="35"/>
      <c r="I96" s="35"/>
    </row>
    <row r="97" spans="1:9">
      <c r="A97" s="40" t="s">
        <v>193</v>
      </c>
      <c r="B97" s="11" t="s">
        <v>194</v>
      </c>
      <c r="C97" s="95">
        <v>14620</v>
      </c>
      <c r="D97" s="92">
        <v>-0.10581039759999999</v>
      </c>
      <c r="E97" s="93">
        <v>2483744.9742148202</v>
      </c>
      <c r="F97" s="35"/>
      <c r="G97" s="35"/>
      <c r="H97" s="35"/>
      <c r="I97" s="35"/>
    </row>
    <row r="98" spans="1:9">
      <c r="A98" s="40" t="s">
        <v>235</v>
      </c>
      <c r="B98" s="11" t="s">
        <v>236</v>
      </c>
      <c r="C98" s="95">
        <v>70.7</v>
      </c>
      <c r="D98" s="92">
        <v>-0.10619469030000001</v>
      </c>
      <c r="E98" s="93">
        <v>255991337.4361839</v>
      </c>
      <c r="F98" s="35"/>
      <c r="G98" s="35"/>
      <c r="H98" s="35"/>
      <c r="I98" s="35"/>
    </row>
    <row r="99" spans="1:9">
      <c r="A99" s="40" t="s">
        <v>239</v>
      </c>
      <c r="B99" s="11" t="s">
        <v>240</v>
      </c>
      <c r="C99" s="95">
        <v>192</v>
      </c>
      <c r="D99" s="92">
        <v>-0.1069767442</v>
      </c>
      <c r="E99" s="93">
        <v>69762035.337986186</v>
      </c>
      <c r="F99" s="35"/>
      <c r="G99" s="35"/>
      <c r="H99" s="35"/>
      <c r="I99" s="35"/>
    </row>
    <row r="100" spans="1:9">
      <c r="A100" s="40" t="s">
        <v>123</v>
      </c>
      <c r="B100" s="11" t="s">
        <v>124</v>
      </c>
      <c r="C100" s="95">
        <v>7100</v>
      </c>
      <c r="D100" s="92">
        <v>-0.108040201</v>
      </c>
      <c r="E100" s="93">
        <v>2286128.63721014</v>
      </c>
      <c r="F100" s="35"/>
      <c r="G100" s="35"/>
      <c r="H100" s="35"/>
      <c r="I100" s="35"/>
    </row>
    <row r="101" spans="1:9">
      <c r="A101" s="40" t="s">
        <v>227</v>
      </c>
      <c r="B101" s="11" t="s">
        <v>228</v>
      </c>
      <c r="C101" s="95">
        <v>18.899999999999999</v>
      </c>
      <c r="D101" s="92">
        <v>-0.108490566</v>
      </c>
      <c r="E101" s="93">
        <v>1994541887.7362931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5">
        <v>180</v>
      </c>
      <c r="D102" s="92">
        <v>-0.1089108911</v>
      </c>
      <c r="E102" s="93">
        <v>59411034.180574268</v>
      </c>
      <c r="F102" s="35"/>
      <c r="G102" s="35"/>
      <c r="H102" s="35"/>
      <c r="I102" s="35"/>
    </row>
    <row r="103" spans="1:9">
      <c r="A103" s="40" t="s">
        <v>169</v>
      </c>
      <c r="B103" s="11" t="s">
        <v>170</v>
      </c>
      <c r="C103" s="95">
        <v>504</v>
      </c>
      <c r="D103" s="92">
        <v>-0.109540636</v>
      </c>
      <c r="E103" s="93">
        <v>18273237.981368352</v>
      </c>
      <c r="F103" s="35"/>
      <c r="G103" s="35"/>
      <c r="H103" s="35"/>
      <c r="I103" s="35"/>
    </row>
    <row r="104" spans="1:9">
      <c r="A104" s="40" t="s">
        <v>197</v>
      </c>
      <c r="B104" s="11" t="s">
        <v>198</v>
      </c>
      <c r="C104" s="95">
        <v>29.2</v>
      </c>
      <c r="D104" s="92">
        <v>-0.1097560976</v>
      </c>
      <c r="E104" s="93">
        <v>1298559220.2585609</v>
      </c>
      <c r="F104" s="35"/>
      <c r="G104" s="35"/>
      <c r="H104" s="35"/>
      <c r="I104" s="35"/>
    </row>
    <row r="105" spans="1:9">
      <c r="A105" s="40" t="s">
        <v>223</v>
      </c>
      <c r="B105" s="11" t="s">
        <v>224</v>
      </c>
      <c r="C105" s="95">
        <v>2050</v>
      </c>
      <c r="D105" s="92">
        <v>-0.1106290672</v>
      </c>
      <c r="E105" s="93">
        <v>28091718.529529341</v>
      </c>
      <c r="F105" s="35"/>
      <c r="G105" s="35"/>
      <c r="H105" s="35"/>
      <c r="I105" s="35"/>
    </row>
    <row r="106" spans="1:9">
      <c r="A106" s="40" t="s">
        <v>263</v>
      </c>
      <c r="B106" s="11" t="s">
        <v>264</v>
      </c>
      <c r="C106" s="95">
        <v>174</v>
      </c>
      <c r="D106" s="92">
        <v>-0.112244898</v>
      </c>
      <c r="E106" s="93">
        <v>58053887.553617612</v>
      </c>
      <c r="F106" s="35"/>
      <c r="G106" s="35"/>
      <c r="H106" s="35"/>
      <c r="I106" s="35"/>
    </row>
    <row r="107" spans="1:9">
      <c r="A107" s="40" t="s">
        <v>53</v>
      </c>
      <c r="B107" s="11" t="s">
        <v>54</v>
      </c>
      <c r="C107" s="95">
        <v>355</v>
      </c>
      <c r="D107" s="92">
        <v>-0.1125</v>
      </c>
      <c r="E107" s="93">
        <v>51319138.182002947</v>
      </c>
      <c r="F107" s="35"/>
      <c r="G107" s="35"/>
      <c r="H107" s="35"/>
      <c r="I107" s="35"/>
    </row>
    <row r="108" spans="1:9">
      <c r="A108" s="40" t="s">
        <v>229</v>
      </c>
      <c r="B108" s="11" t="s">
        <v>230</v>
      </c>
      <c r="C108" s="95">
        <v>181</v>
      </c>
      <c r="D108" s="92">
        <v>-0.112745098</v>
      </c>
      <c r="E108" s="93">
        <v>94111571.536625594</v>
      </c>
      <c r="F108" s="35"/>
      <c r="G108" s="35"/>
      <c r="H108" s="35"/>
      <c r="I108" s="35"/>
    </row>
    <row r="109" spans="1:9">
      <c r="A109" s="40" t="s">
        <v>259</v>
      </c>
      <c r="B109" s="11" t="s">
        <v>260</v>
      </c>
      <c r="C109" s="95">
        <v>125</v>
      </c>
      <c r="D109" s="92">
        <v>-0.11347517729999999</v>
      </c>
      <c r="E109" s="41">
        <v>240573738.19639963</v>
      </c>
    </row>
    <row r="110" spans="1:9">
      <c r="A110" s="40" t="s">
        <v>213</v>
      </c>
      <c r="B110" s="11" t="s">
        <v>214</v>
      </c>
      <c r="C110" s="95">
        <v>22.6</v>
      </c>
      <c r="D110" s="92">
        <v>-0.1137254902</v>
      </c>
      <c r="E110" s="41">
        <v>765475797.13017428</v>
      </c>
    </row>
    <row r="111" spans="1:9">
      <c r="A111" s="40" t="s">
        <v>201</v>
      </c>
      <c r="B111" s="11" t="s">
        <v>202</v>
      </c>
      <c r="C111" s="95">
        <v>220</v>
      </c>
      <c r="D111" s="92">
        <v>-0.1164658635</v>
      </c>
      <c r="E111" s="41">
        <v>319360274.28764403</v>
      </c>
    </row>
    <row r="112" spans="1:9">
      <c r="A112" s="40" t="s">
        <v>261</v>
      </c>
      <c r="B112" s="11" t="s">
        <v>262</v>
      </c>
      <c r="C112" s="95">
        <v>1020</v>
      </c>
      <c r="D112" s="92">
        <v>-0.1168831169</v>
      </c>
      <c r="E112" s="41">
        <v>26764184.699226689</v>
      </c>
    </row>
    <row r="113" spans="1:5">
      <c r="A113" s="40" t="s">
        <v>125</v>
      </c>
      <c r="B113" s="11" t="s">
        <v>126</v>
      </c>
      <c r="C113" s="95">
        <v>61.6</v>
      </c>
      <c r="D113" s="92">
        <v>-0.11747850999999999</v>
      </c>
      <c r="E113" s="41">
        <v>522697134.45813656</v>
      </c>
    </row>
    <row r="114" spans="1:5">
      <c r="A114" s="40" t="s">
        <v>251</v>
      </c>
      <c r="B114" s="11" t="s">
        <v>252</v>
      </c>
      <c r="C114" s="95">
        <v>533</v>
      </c>
      <c r="D114" s="92">
        <v>-0.1175496689</v>
      </c>
      <c r="E114" s="41">
        <v>89309377.481572717</v>
      </c>
    </row>
    <row r="115" spans="1:5">
      <c r="A115" s="40" t="s">
        <v>211</v>
      </c>
      <c r="B115" s="11" t="s">
        <v>212</v>
      </c>
      <c r="C115" s="95">
        <v>156</v>
      </c>
      <c r="D115" s="92">
        <v>-0.1186440678</v>
      </c>
      <c r="E115" s="41">
        <v>1303101736.7727566</v>
      </c>
    </row>
    <row r="116" spans="1:5">
      <c r="A116" s="40" t="s">
        <v>215</v>
      </c>
      <c r="B116" s="11" t="s">
        <v>216</v>
      </c>
      <c r="C116" s="95">
        <v>439</v>
      </c>
      <c r="D116" s="92">
        <v>-0.120240481</v>
      </c>
      <c r="E116" s="41">
        <v>17685736.797834288</v>
      </c>
    </row>
    <row r="117" spans="1:5">
      <c r="A117" s="40" t="s">
        <v>271</v>
      </c>
      <c r="B117" s="11" t="s">
        <v>272</v>
      </c>
      <c r="C117" s="95">
        <v>2285</v>
      </c>
      <c r="D117" s="92">
        <v>-0.1278625954</v>
      </c>
      <c r="E117" s="41">
        <v>4671538.1074992903</v>
      </c>
    </row>
    <row r="118" spans="1:5">
      <c r="A118" s="40" t="s">
        <v>185</v>
      </c>
      <c r="B118" s="11" t="s">
        <v>186</v>
      </c>
      <c r="C118" s="95">
        <v>25.8</v>
      </c>
      <c r="D118" s="92">
        <v>-0.1313131313</v>
      </c>
      <c r="E118" s="41">
        <v>956264297.69565618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77"/>
  <sheetViews>
    <sheetView tabSelected="1" topLeftCell="A136" workbookViewId="0">
      <selection activeCell="J156" sqref="J156"/>
    </sheetView>
  </sheetViews>
  <sheetFormatPr defaultRowHeight="16.5"/>
  <cols>
    <col min="1" max="1" width="9" style="125"/>
    <col min="2" max="2" width="11.875" style="125" bestFit="1" customWidth="1"/>
    <col min="3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375" style="125" bestFit="1" customWidth="1"/>
    <col min="10" max="10" width="16.25" style="125" bestFit="1" customWidth="1"/>
    <col min="11" max="11" width="9" style="125"/>
    <col min="12" max="12" width="14.375" style="125" bestFit="1" customWidth="1"/>
    <col min="13" max="13" width="16.25" style="125" bestFit="1" customWidth="1"/>
    <col min="14" max="14" width="9" style="125"/>
    <col min="15" max="15" width="15.25" style="125" bestFit="1" customWidth="1"/>
    <col min="16" max="16384" width="9" style="125"/>
  </cols>
  <sheetData>
    <row r="1" spans="1:15" ht="17.25" thickBot="1">
      <c r="A1" s="185" t="s">
        <v>0</v>
      </c>
      <c r="B1" s="186"/>
      <c r="C1" s="186"/>
      <c r="D1" s="186"/>
      <c r="E1" s="186"/>
      <c r="F1" s="187"/>
      <c r="G1" s="216" t="str">
        <f>TEXT(투자전략!$G$1, "[$-ko-KR]yyyy년 mm월") &amp; " 총결산"</f>
        <v>2021년 05월 총결산</v>
      </c>
      <c r="H1" s="217"/>
      <c r="I1" s="218"/>
      <c r="J1" s="185" t="s">
        <v>1</v>
      </c>
      <c r="K1" s="186"/>
      <c r="L1" s="186"/>
      <c r="M1" s="186"/>
      <c r="N1" s="186"/>
      <c r="O1" s="187"/>
    </row>
    <row r="2" spans="1:15">
      <c r="A2" s="1" t="s">
        <v>3</v>
      </c>
      <c r="B2" s="219" t="s">
        <v>4</v>
      </c>
      <c r="C2" s="220"/>
      <c r="D2" s="220"/>
      <c r="E2" s="220"/>
      <c r="F2" s="221"/>
      <c r="G2" s="213" t="s">
        <v>321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</row>
    <row r="3" spans="1:15" ht="17.25" thickBot="1">
      <c r="A3" s="4" t="s">
        <v>7</v>
      </c>
      <c r="B3" s="210" t="s">
        <v>8</v>
      </c>
      <c r="C3" s="211"/>
      <c r="D3" s="211"/>
      <c r="E3" s="211"/>
      <c r="F3" s="212"/>
      <c r="G3" s="206" t="str">
        <f ca="1" xml:space="preserve"> TEXT($F$49, "#,##0") &amp; " KRW (" &amp; TEXT($E$49, "0.00%)")</f>
        <v>-95,609 KRW (-5.31%)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</row>
    <row r="4" spans="1:15">
      <c r="A4" s="4" t="s">
        <v>11</v>
      </c>
      <c r="B4" s="210" t="s">
        <v>12</v>
      </c>
      <c r="C4" s="211"/>
      <c r="D4" s="211"/>
      <c r="E4" s="211"/>
      <c r="F4" s="212"/>
      <c r="G4" s="213" t="s">
        <v>310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</row>
    <row r="5" spans="1:15" ht="17.25" thickBot="1">
      <c r="A5" s="4" t="s">
        <v>15</v>
      </c>
      <c r="B5" s="210" t="s">
        <v>16</v>
      </c>
      <c r="C5" s="211"/>
      <c r="D5" s="211"/>
      <c r="E5" s="211"/>
      <c r="F5" s="212"/>
      <c r="G5" s="206" t="str">
        <f ca="1" xml:space="preserve"> TEXT($F$49, "#,##0") &amp; " KRW (" &amp; TEXT($E$49, "0.00%)")</f>
        <v>-95,609 KRW (-5.31%)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5">
      <c r="A6" s="4" t="s">
        <v>18</v>
      </c>
      <c r="B6" s="210" t="s">
        <v>19</v>
      </c>
      <c r="C6" s="211"/>
      <c r="D6" s="211"/>
      <c r="E6" s="211"/>
      <c r="F6" s="212"/>
      <c r="G6" s="213" t="s">
        <v>311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5" ht="17.25" thickBot="1">
      <c r="A7" s="4" t="s">
        <v>21</v>
      </c>
      <c r="B7" s="210" t="s">
        <v>22</v>
      </c>
      <c r="C7" s="211"/>
      <c r="D7" s="211"/>
      <c r="E7" s="211"/>
      <c r="F7" s="212"/>
      <c r="G7" s="206" t="str">
        <f ca="1" xml:space="preserve"> TEXT($I$49, "#,##0") &amp; " KRW (" &amp; TEXT($H$49, "0.00%)")</f>
        <v>22,982 KRW (1.28%)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5">
      <c r="A8" s="4" t="s">
        <v>24</v>
      </c>
      <c r="B8" s="210" t="s">
        <v>25</v>
      </c>
      <c r="C8" s="211"/>
      <c r="D8" s="211"/>
      <c r="E8" s="211"/>
      <c r="F8" s="212"/>
      <c r="G8" s="213" t="s">
        <v>312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</row>
    <row r="9" spans="1:15" ht="17.25" thickBot="1">
      <c r="A9" s="4" t="s">
        <v>28</v>
      </c>
      <c r="B9" s="210"/>
      <c r="C9" s="211"/>
      <c r="D9" s="211"/>
      <c r="E9" s="211"/>
      <c r="F9" s="212"/>
      <c r="G9" s="206" t="str">
        <f ca="1" xml:space="preserve"> TEXT($L$49, "#,##0") &amp; " KRW (" &amp; TEXT($K$49, "0.00%)")</f>
        <v>43,670 KRW (2.43%)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</row>
    <row r="10" spans="1:15">
      <c r="A10" s="4" t="s">
        <v>30</v>
      </c>
      <c r="B10" s="210"/>
      <c r="C10" s="211"/>
      <c r="D10" s="211"/>
      <c r="E10" s="211"/>
      <c r="F10" s="212"/>
      <c r="G10" s="213" t="s">
        <v>313</v>
      </c>
      <c r="H10" s="214"/>
      <c r="I10" s="215"/>
      <c r="J10" s="4" t="s">
        <v>30</v>
      </c>
      <c r="K10" s="210"/>
      <c r="L10" s="211"/>
      <c r="M10" s="211"/>
      <c r="N10" s="211"/>
      <c r="O10" s="212"/>
    </row>
    <row r="11" spans="1:15" ht="17.25" thickBot="1">
      <c r="A11" s="7" t="s">
        <v>32</v>
      </c>
      <c r="B11" s="203"/>
      <c r="C11" s="204"/>
      <c r="D11" s="204"/>
      <c r="E11" s="204"/>
      <c r="F11" s="205"/>
      <c r="G11" s="206" t="str">
        <f ca="1" xml:space="preserve"> TEXT($O$49, "#,##0") &amp; " KRW (" &amp; TEXT($N$49, "0.00%)")</f>
        <v>-11,167 KRW (-0.62%)</v>
      </c>
      <c r="H11" s="207"/>
      <c r="I11" s="208"/>
      <c r="J11" s="7" t="s">
        <v>32</v>
      </c>
      <c r="K11" s="203"/>
      <c r="L11" s="204"/>
      <c r="M11" s="204"/>
      <c r="N11" s="204"/>
      <c r="O11" s="205"/>
    </row>
    <row r="13" spans="1:15" ht="17.25" thickBot="1"/>
    <row r="14" spans="1:15" ht="17.25" thickBot="1">
      <c r="A14" s="185" t="str">
        <f>TEXT(투자전략!$G$1, "[$-ko-KR]yyyy년 mm월 ") &amp; "실거래 월말결산"</f>
        <v>2021년 05월 실거래 월말결산</v>
      </c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7"/>
    </row>
    <row r="15" spans="1:15" ht="17.25" thickBot="1">
      <c r="A15" s="229" t="s">
        <v>320</v>
      </c>
      <c r="B15" s="206" t="s">
        <v>318</v>
      </c>
      <c r="C15" s="208"/>
      <c r="D15" s="206" t="s">
        <v>310</v>
      </c>
      <c r="E15" s="207"/>
      <c r="F15" s="208"/>
      <c r="G15" s="206" t="s">
        <v>311</v>
      </c>
      <c r="H15" s="207"/>
      <c r="I15" s="208"/>
      <c r="J15" s="206" t="s">
        <v>312</v>
      </c>
      <c r="K15" s="207"/>
      <c r="L15" s="208"/>
      <c r="M15" s="206" t="s">
        <v>313</v>
      </c>
      <c r="N15" s="207"/>
      <c r="O15" s="208"/>
    </row>
    <row r="16" spans="1:15" ht="17.25" thickBot="1">
      <c r="A16" s="222"/>
      <c r="B16" s="149" t="s">
        <v>308</v>
      </c>
      <c r="C16" s="149" t="s">
        <v>42</v>
      </c>
      <c r="D16" s="124" t="s">
        <v>309</v>
      </c>
      <c r="E16" s="136" t="s">
        <v>40</v>
      </c>
      <c r="F16" s="152" t="s">
        <v>41</v>
      </c>
      <c r="G16" s="124" t="s">
        <v>309</v>
      </c>
      <c r="H16" s="136" t="s">
        <v>40</v>
      </c>
      <c r="I16" s="152" t="s">
        <v>41</v>
      </c>
      <c r="J16" s="124" t="s">
        <v>309</v>
      </c>
      <c r="K16" s="136" t="s">
        <v>40</v>
      </c>
      <c r="L16" s="152" t="s">
        <v>41</v>
      </c>
      <c r="M16" s="124" t="s">
        <v>309</v>
      </c>
      <c r="N16" s="136" t="s">
        <v>40</v>
      </c>
      <c r="O16" s="152" t="s">
        <v>41</v>
      </c>
    </row>
    <row r="17" spans="1:15">
      <c r="A17" s="149">
        <v>1</v>
      </c>
      <c r="B17" s="149" t="str">
        <f>TEXT(투자전략!$G$1+0, "[$-ko-KR]yyyy.mm.dd")</f>
        <v>2021.05.01</v>
      </c>
      <c r="C17" s="137">
        <f ca="1">IFERROR(COUNTA(INDIRECT($B17&amp;"!A17:A36")) * INDIRECT($B17&amp;"!B37"), "")</f>
        <v>1500000</v>
      </c>
      <c r="D17" s="145">
        <f ca="1">IFERROR($C17 * (1 + E17), "")</f>
        <v>1537148.5592487582</v>
      </c>
      <c r="E17" s="76">
        <f ca="1">IFERROR(INDIRECT($B17&amp;"!E37"), "")</f>
        <v>2.4765706165838879E-2</v>
      </c>
      <c r="F17" s="144">
        <f ca="1">IFERROR(INDIRECT($B17&amp;"!F37"), "")</f>
        <v>37148.55924875832</v>
      </c>
      <c r="G17" s="145">
        <f ca="1">IFERROR($C17 * (1 + H17), "")</f>
        <v>1524358.7407947064</v>
      </c>
      <c r="H17" s="76">
        <f ca="1">IFERROR(INDIRECT($B17&amp;"!H37"), "")</f>
        <v>1.6239160529804193E-2</v>
      </c>
      <c r="I17" s="144">
        <f ca="1">IFERROR(INDIRECT($B17&amp;"!I37"), "")</f>
        <v>24358.740794706289</v>
      </c>
      <c r="J17" s="145">
        <f ca="1">IFERROR($C17 * (1 + K17), "")</f>
        <v>1541059.6578824846</v>
      </c>
      <c r="K17" s="76">
        <f ca="1">IFERROR(INDIRECT($B17&amp;"!K37"), "")</f>
        <v>2.7373105254989795E-2</v>
      </c>
      <c r="L17" s="144">
        <f ca="1">IFERROR(INDIRECT($B17&amp;"!L37"), "")</f>
        <v>41059.657882484695</v>
      </c>
      <c r="M17" s="145">
        <f ca="1">IFERROR($C17 * (1 + N17), "")</f>
        <v>1525524.8993430813</v>
      </c>
      <c r="N17" s="76">
        <f ca="1">IFERROR(INDIRECT($B17&amp;"!N37"), "")</f>
        <v>1.7016599562054108E-2</v>
      </c>
      <c r="O17" s="144">
        <f ca="1">IFERROR(INDIRECT($B17&amp;"!O37"), "")</f>
        <v>25524.899343081161</v>
      </c>
    </row>
    <row r="18" spans="1:15">
      <c r="A18" s="151">
        <v>2</v>
      </c>
      <c r="B18" s="151" t="str">
        <f>TEXT(투자전략!$G$1+1, "[$-ko-KR]yyyy.mm.dd")</f>
        <v>2021.05.02</v>
      </c>
      <c r="C18" s="138">
        <f t="shared" ref="C18:C47" ca="1" si="0">IFERROR(COUNTA(INDIRECT($B18&amp;"!A17:A36")) * INDIRECT($B18&amp;"!B37"), "")</f>
        <v>1500000</v>
      </c>
      <c r="D18" s="142">
        <f t="shared" ref="D18:D47" ca="1" si="1">IFERROR($C18 * (1 + E18), "")</f>
        <v>1477868.831183566</v>
      </c>
      <c r="E18" s="77">
        <f t="shared" ref="E18:E47" ca="1" si="2">IFERROR(INDIRECT($B18&amp;"!E37"), "")</f>
        <v>-1.4754112544289216E-2</v>
      </c>
      <c r="F18" s="140">
        <f t="shared" ref="F18:F47" ca="1" si="3">IFERROR(INDIRECT($B18&amp;"!F37"), "")</f>
        <v>-22131.168816433827</v>
      </c>
      <c r="G18" s="142">
        <f t="shared" ref="G18:G47" ca="1" si="4">IFERROR($C18 * (1 + H18), "")</f>
        <v>1481878.8005359648</v>
      </c>
      <c r="H18" s="77">
        <f t="shared" ref="H18:H47" ca="1" si="5">IFERROR(INDIRECT($B18&amp;"!H37"), "")</f>
        <v>-1.2080799642690102E-2</v>
      </c>
      <c r="I18" s="140">
        <f t="shared" ref="I18:I47" ca="1" si="6">IFERROR(INDIRECT($B18&amp;"!I37"), "")</f>
        <v>-18121.199464035148</v>
      </c>
      <c r="J18" s="142">
        <f t="shared" ref="J18:J47" ca="1" si="7">IFERROR($C18 * (1 + K18), "")</f>
        <v>1490013.0381251995</v>
      </c>
      <c r="K18" s="77">
        <f t="shared" ref="K18:K47" ca="1" si="8">IFERROR(INDIRECT($B18&amp;"!K37"), "")</f>
        <v>-6.6579745832004086E-3</v>
      </c>
      <c r="L18" s="140">
        <f t="shared" ref="L18:L47" ca="1" si="9">IFERROR(INDIRECT($B18&amp;"!L37"), "")</f>
        <v>-9986.9618748006123</v>
      </c>
      <c r="M18" s="142">
        <f t="shared" ref="M18:M47" ca="1" si="10">IFERROR($C18 * (1 + N18), "")</f>
        <v>1505154.0441810088</v>
      </c>
      <c r="N18" s="77">
        <f t="shared" ref="N18:N47" ca="1" si="11">IFERROR(INDIRECT($B18&amp;"!N37"), "")</f>
        <v>3.4360294540058622E-3</v>
      </c>
      <c r="O18" s="140">
        <f t="shared" ref="O18:O47" ca="1" si="12">IFERROR(INDIRECT($B18&amp;"!O37"), "")</f>
        <v>5154.0441810087932</v>
      </c>
    </row>
    <row r="19" spans="1:15">
      <c r="A19" s="151">
        <v>3</v>
      </c>
      <c r="B19" s="151" t="str">
        <f>TEXT(투자전략!$G$1+2, "[$-ko-KR]yyyy.mm.dd")</f>
        <v>2021.05.03</v>
      </c>
      <c r="C19" s="138">
        <f t="shared" ca="1" si="0"/>
        <v>1500000</v>
      </c>
      <c r="D19" s="142">
        <f t="shared" ca="1" si="1"/>
        <v>1523347.3977118272</v>
      </c>
      <c r="E19" s="77">
        <f t="shared" ca="1" si="2"/>
        <v>1.5564931807884787E-2</v>
      </c>
      <c r="F19" s="140">
        <f t="shared" ca="1" si="3"/>
        <v>23347.397711827187</v>
      </c>
      <c r="G19" s="142">
        <f t="shared" ca="1" si="4"/>
        <v>1560142.7557216759</v>
      </c>
      <c r="H19" s="77">
        <f t="shared" ca="1" si="5"/>
        <v>4.0095170481117118E-2</v>
      </c>
      <c r="I19" s="140">
        <f t="shared" ca="1" si="6"/>
        <v>60142.755721675669</v>
      </c>
      <c r="J19" s="142">
        <f t="shared" ca="1" si="7"/>
        <v>1568682.2171573569</v>
      </c>
      <c r="K19" s="77">
        <f t="shared" ca="1" si="8"/>
        <v>4.5788144771571407E-2</v>
      </c>
      <c r="L19" s="140">
        <f t="shared" ca="1" si="9"/>
        <v>68682.217157357096</v>
      </c>
      <c r="M19" s="142">
        <f t="shared" ca="1" si="10"/>
        <v>1559667.7728955552</v>
      </c>
      <c r="N19" s="77">
        <f t="shared" ca="1" si="11"/>
        <v>3.9778515263703573E-2</v>
      </c>
      <c r="O19" s="140">
        <f t="shared" ca="1" si="12"/>
        <v>59667.772895555361</v>
      </c>
    </row>
    <row r="20" spans="1:15">
      <c r="A20" s="151">
        <v>4</v>
      </c>
      <c r="B20" s="151" t="str">
        <f>TEXT(투자전략!$G$1+3, "[$-ko-KR]yyyy.mm.dd")</f>
        <v>2021.05.04</v>
      </c>
      <c r="C20" s="138">
        <f t="shared" ca="1" si="0"/>
        <v>1500000</v>
      </c>
      <c r="D20" s="142">
        <f t="shared" ca="1" si="1"/>
        <v>1447221.3062181717</v>
      </c>
      <c r="E20" s="77">
        <f t="shared" ca="1" si="2"/>
        <v>-3.5185795854552129E-2</v>
      </c>
      <c r="F20" s="140">
        <f t="shared" ca="1" si="3"/>
        <v>-52778.693781828188</v>
      </c>
      <c r="G20" s="142">
        <f t="shared" ca="1" si="4"/>
        <v>1456602.1520214851</v>
      </c>
      <c r="H20" s="77">
        <f t="shared" ca="1" si="5"/>
        <v>-2.8931898652343191E-2</v>
      </c>
      <c r="I20" s="140">
        <f t="shared" ca="1" si="6"/>
        <v>-43397.847978514787</v>
      </c>
      <c r="J20" s="142">
        <f t="shared" ca="1" si="7"/>
        <v>1443915.4672803837</v>
      </c>
      <c r="K20" s="77">
        <f t="shared" ca="1" si="8"/>
        <v>-3.7389688479744207E-2</v>
      </c>
      <c r="L20" s="140">
        <f t="shared" ca="1" si="9"/>
        <v>-56084.532719616313</v>
      </c>
      <c r="M20" s="142">
        <f t="shared" ca="1" si="10"/>
        <v>1398486.0165930653</v>
      </c>
      <c r="N20" s="77">
        <f t="shared" ca="1" si="11"/>
        <v>-6.7675988937956469E-2</v>
      </c>
      <c r="O20" s="140">
        <f t="shared" ca="1" si="12"/>
        <v>-101513.98340693471</v>
      </c>
    </row>
    <row r="21" spans="1:15">
      <c r="A21" s="151">
        <v>5</v>
      </c>
      <c r="B21" s="151" t="str">
        <f>TEXT(투자전략!$G$1+4, "[$-ko-KR]yyyy.mm.dd")</f>
        <v>2021.05.05</v>
      </c>
      <c r="C21" s="138">
        <f t="shared" ca="1" si="0"/>
        <v>3000000</v>
      </c>
      <c r="D21" s="142">
        <f t="shared" ca="1" si="1"/>
        <v>2918805.0044788723</v>
      </c>
      <c r="E21" s="77">
        <f t="shared" ca="1" si="2"/>
        <v>-2.7064998507042561E-2</v>
      </c>
      <c r="F21" s="140">
        <f t="shared" ca="1" si="3"/>
        <v>-81194.995521127697</v>
      </c>
      <c r="G21" s="142">
        <f t="shared" ca="1" si="4"/>
        <v>3000000</v>
      </c>
      <c r="H21" s="77">
        <f t="shared" ca="1" si="5"/>
        <v>0</v>
      </c>
      <c r="I21" s="140">
        <f t="shared" ca="1" si="6"/>
        <v>0</v>
      </c>
      <c r="J21" s="142">
        <f t="shared" ca="1" si="7"/>
        <v>3000000</v>
      </c>
      <c r="K21" s="77">
        <f t="shared" ca="1" si="8"/>
        <v>0</v>
      </c>
      <c r="L21" s="140">
        <f t="shared" ca="1" si="9"/>
        <v>0</v>
      </c>
      <c r="M21" s="142">
        <f t="shared" ca="1" si="10"/>
        <v>3000000</v>
      </c>
      <c r="N21" s="77">
        <f t="shared" ca="1" si="11"/>
        <v>0</v>
      </c>
      <c r="O21" s="140">
        <f t="shared" ca="1" si="12"/>
        <v>0</v>
      </c>
    </row>
    <row r="22" spans="1:15">
      <c r="A22" s="151">
        <v>6</v>
      </c>
      <c r="B22" s="151" t="str">
        <f>TEXT(투자전략!$G$1+5, "[$-ko-KR]yyyy.mm.dd")</f>
        <v>2021.05.06</v>
      </c>
      <c r="C22" s="138" t="str">
        <f t="shared" ca="1" si="0"/>
        <v/>
      </c>
      <c r="D22" s="142" t="str">
        <f t="shared" ca="1" si="1"/>
        <v/>
      </c>
      <c r="E22" s="77" t="str">
        <f t="shared" ca="1" si="2"/>
        <v/>
      </c>
      <c r="F22" s="140" t="str">
        <f t="shared" ca="1" si="3"/>
        <v/>
      </c>
      <c r="G22" s="142" t="str">
        <f t="shared" ca="1" si="4"/>
        <v/>
      </c>
      <c r="H22" s="77" t="str">
        <f t="shared" ca="1" si="5"/>
        <v/>
      </c>
      <c r="I22" s="140" t="str">
        <f t="shared" ca="1" si="6"/>
        <v/>
      </c>
      <c r="J22" s="142" t="str">
        <f t="shared" ca="1" si="7"/>
        <v/>
      </c>
      <c r="K22" s="77" t="str">
        <f t="shared" ca="1" si="8"/>
        <v/>
      </c>
      <c r="L22" s="140" t="str">
        <f t="shared" ca="1" si="9"/>
        <v/>
      </c>
      <c r="M22" s="142" t="str">
        <f t="shared" ca="1" si="10"/>
        <v/>
      </c>
      <c r="N22" s="77" t="str">
        <f t="shared" ca="1" si="11"/>
        <v/>
      </c>
      <c r="O22" s="140" t="str">
        <f t="shared" ca="1" si="12"/>
        <v/>
      </c>
    </row>
    <row r="23" spans="1:15" ht="17.25" thickBot="1">
      <c r="A23" s="150">
        <v>7</v>
      </c>
      <c r="B23" s="150" t="str">
        <f>TEXT(투자전략!$G$1+6, "[$-ko-KR]yyyy.mm.dd")</f>
        <v>2021.05.07</v>
      </c>
      <c r="C23" s="139" t="str">
        <f t="shared" ca="1" si="0"/>
        <v/>
      </c>
      <c r="D23" s="143" t="str">
        <f t="shared" ca="1" si="1"/>
        <v/>
      </c>
      <c r="E23" s="79" t="str">
        <f t="shared" ca="1" si="2"/>
        <v/>
      </c>
      <c r="F23" s="141" t="str">
        <f t="shared" ca="1" si="3"/>
        <v/>
      </c>
      <c r="G23" s="143" t="str">
        <f t="shared" ca="1" si="4"/>
        <v/>
      </c>
      <c r="H23" s="79" t="str">
        <f t="shared" ca="1" si="5"/>
        <v/>
      </c>
      <c r="I23" s="141" t="str">
        <f t="shared" ca="1" si="6"/>
        <v/>
      </c>
      <c r="J23" s="143" t="str">
        <f t="shared" ca="1" si="7"/>
        <v/>
      </c>
      <c r="K23" s="79" t="str">
        <f t="shared" ca="1" si="8"/>
        <v/>
      </c>
      <c r="L23" s="141" t="str">
        <f t="shared" ca="1" si="9"/>
        <v/>
      </c>
      <c r="M23" s="143" t="str">
        <f t="shared" ca="1" si="10"/>
        <v/>
      </c>
      <c r="N23" s="79" t="str">
        <f t="shared" ca="1" si="11"/>
        <v/>
      </c>
      <c r="O23" s="141" t="str">
        <f t="shared" ca="1" si="12"/>
        <v/>
      </c>
    </row>
    <row r="24" spans="1:15">
      <c r="A24" s="149">
        <v>8</v>
      </c>
      <c r="B24" s="149" t="str">
        <f>TEXT(투자전략!$G$1+7, "[$-ko-KR]yyyy.mm.dd")</f>
        <v>2021.05.08</v>
      </c>
      <c r="C24" s="137" t="str">
        <f t="shared" ca="1" si="0"/>
        <v/>
      </c>
      <c r="D24" s="145" t="str">
        <f t="shared" ca="1" si="1"/>
        <v/>
      </c>
      <c r="E24" s="76" t="str">
        <f t="shared" ca="1" si="2"/>
        <v/>
      </c>
      <c r="F24" s="144" t="str">
        <f t="shared" ca="1" si="3"/>
        <v/>
      </c>
      <c r="G24" s="145" t="str">
        <f t="shared" ca="1" si="4"/>
        <v/>
      </c>
      <c r="H24" s="76" t="str">
        <f t="shared" ca="1" si="5"/>
        <v/>
      </c>
      <c r="I24" s="144" t="str">
        <f t="shared" ca="1" si="6"/>
        <v/>
      </c>
      <c r="J24" s="145" t="str">
        <f t="shared" ca="1" si="7"/>
        <v/>
      </c>
      <c r="K24" s="76" t="str">
        <f t="shared" ca="1" si="8"/>
        <v/>
      </c>
      <c r="L24" s="144" t="str">
        <f t="shared" ca="1" si="9"/>
        <v/>
      </c>
      <c r="M24" s="145" t="str">
        <f t="shared" ca="1" si="10"/>
        <v/>
      </c>
      <c r="N24" s="76" t="str">
        <f t="shared" ca="1" si="11"/>
        <v/>
      </c>
      <c r="O24" s="144" t="str">
        <f t="shared" ca="1" si="12"/>
        <v/>
      </c>
    </row>
    <row r="25" spans="1:15">
      <c r="A25" s="151">
        <v>9</v>
      </c>
      <c r="B25" s="151" t="str">
        <f>TEXT(투자전략!$G$1+8, "[$-ko-KR]yyyy.mm.dd")</f>
        <v>2021.05.09</v>
      </c>
      <c r="C25" s="138" t="str">
        <f t="shared" ca="1" si="0"/>
        <v/>
      </c>
      <c r="D25" s="142" t="str">
        <f t="shared" ca="1" si="1"/>
        <v/>
      </c>
      <c r="E25" s="77" t="str">
        <f t="shared" ca="1" si="2"/>
        <v/>
      </c>
      <c r="F25" s="140" t="str">
        <f t="shared" ca="1" si="3"/>
        <v/>
      </c>
      <c r="G25" s="142" t="str">
        <f t="shared" ca="1" si="4"/>
        <v/>
      </c>
      <c r="H25" s="77" t="str">
        <f t="shared" ca="1" si="5"/>
        <v/>
      </c>
      <c r="I25" s="140" t="str">
        <f t="shared" ca="1" si="6"/>
        <v/>
      </c>
      <c r="J25" s="142" t="str">
        <f t="shared" ca="1" si="7"/>
        <v/>
      </c>
      <c r="K25" s="77" t="str">
        <f t="shared" ca="1" si="8"/>
        <v/>
      </c>
      <c r="L25" s="140" t="str">
        <f t="shared" ca="1" si="9"/>
        <v/>
      </c>
      <c r="M25" s="142" t="str">
        <f t="shared" ca="1" si="10"/>
        <v/>
      </c>
      <c r="N25" s="77" t="str">
        <f t="shared" ca="1" si="11"/>
        <v/>
      </c>
      <c r="O25" s="140" t="str">
        <f t="shared" ca="1" si="12"/>
        <v/>
      </c>
    </row>
    <row r="26" spans="1:15">
      <c r="A26" s="151">
        <v>10</v>
      </c>
      <c r="B26" s="151" t="str">
        <f>TEXT(투자전략!$G$1+9, "[$-ko-KR]yyyy.mm.dd")</f>
        <v>2021.05.10</v>
      </c>
      <c r="C26" s="138" t="str">
        <f t="shared" ca="1" si="0"/>
        <v/>
      </c>
      <c r="D26" s="142" t="str">
        <f t="shared" ca="1" si="1"/>
        <v/>
      </c>
      <c r="E26" s="77" t="str">
        <f t="shared" ca="1" si="2"/>
        <v/>
      </c>
      <c r="F26" s="140" t="str">
        <f t="shared" ca="1" si="3"/>
        <v/>
      </c>
      <c r="G26" s="142" t="str">
        <f t="shared" ca="1" si="4"/>
        <v/>
      </c>
      <c r="H26" s="77" t="str">
        <f t="shared" ca="1" si="5"/>
        <v/>
      </c>
      <c r="I26" s="140" t="str">
        <f t="shared" ca="1" si="6"/>
        <v/>
      </c>
      <c r="J26" s="142" t="str">
        <f t="shared" ca="1" si="7"/>
        <v/>
      </c>
      <c r="K26" s="77" t="str">
        <f t="shared" ca="1" si="8"/>
        <v/>
      </c>
      <c r="L26" s="140" t="str">
        <f t="shared" ca="1" si="9"/>
        <v/>
      </c>
      <c r="M26" s="142" t="str">
        <f t="shared" ca="1" si="10"/>
        <v/>
      </c>
      <c r="N26" s="77" t="str">
        <f t="shared" ca="1" si="11"/>
        <v/>
      </c>
      <c r="O26" s="140" t="str">
        <f t="shared" ca="1" si="12"/>
        <v/>
      </c>
    </row>
    <row r="27" spans="1:15">
      <c r="A27" s="151">
        <v>11</v>
      </c>
      <c r="B27" s="151" t="str">
        <f>TEXT(투자전략!$G$1+10, "[$-ko-KR]yyyy.mm.dd")</f>
        <v>2021.05.11</v>
      </c>
      <c r="C27" s="138" t="str">
        <f t="shared" ca="1" si="0"/>
        <v/>
      </c>
      <c r="D27" s="142" t="str">
        <f t="shared" ca="1" si="1"/>
        <v/>
      </c>
      <c r="E27" s="77" t="str">
        <f t="shared" ca="1" si="2"/>
        <v/>
      </c>
      <c r="F27" s="140" t="str">
        <f t="shared" ca="1" si="3"/>
        <v/>
      </c>
      <c r="G27" s="142" t="str">
        <f t="shared" ca="1" si="4"/>
        <v/>
      </c>
      <c r="H27" s="77" t="str">
        <f t="shared" ca="1" si="5"/>
        <v/>
      </c>
      <c r="I27" s="140" t="str">
        <f t="shared" ca="1" si="6"/>
        <v/>
      </c>
      <c r="J27" s="142" t="str">
        <f t="shared" ca="1" si="7"/>
        <v/>
      </c>
      <c r="K27" s="77" t="str">
        <f t="shared" ca="1" si="8"/>
        <v/>
      </c>
      <c r="L27" s="140" t="str">
        <f t="shared" ca="1" si="9"/>
        <v/>
      </c>
      <c r="M27" s="142" t="str">
        <f t="shared" ca="1" si="10"/>
        <v/>
      </c>
      <c r="N27" s="77" t="str">
        <f t="shared" ca="1" si="11"/>
        <v/>
      </c>
      <c r="O27" s="140" t="str">
        <f t="shared" ca="1" si="12"/>
        <v/>
      </c>
    </row>
    <row r="28" spans="1:15">
      <c r="A28" s="151">
        <v>12</v>
      </c>
      <c r="B28" s="151" t="str">
        <f>TEXT(투자전략!$G$1+11, "[$-ko-KR]yyyy.mm.dd")</f>
        <v>2021.05.12</v>
      </c>
      <c r="C28" s="138" t="str">
        <f t="shared" ca="1" si="0"/>
        <v/>
      </c>
      <c r="D28" s="142" t="str">
        <f t="shared" ca="1" si="1"/>
        <v/>
      </c>
      <c r="E28" s="77" t="str">
        <f t="shared" ca="1" si="2"/>
        <v/>
      </c>
      <c r="F28" s="140" t="str">
        <f t="shared" ca="1" si="3"/>
        <v/>
      </c>
      <c r="G28" s="142" t="str">
        <f t="shared" ca="1" si="4"/>
        <v/>
      </c>
      <c r="H28" s="77" t="str">
        <f t="shared" ca="1" si="5"/>
        <v/>
      </c>
      <c r="I28" s="140" t="str">
        <f t="shared" ca="1" si="6"/>
        <v/>
      </c>
      <c r="J28" s="142" t="str">
        <f t="shared" ca="1" si="7"/>
        <v/>
      </c>
      <c r="K28" s="77" t="str">
        <f t="shared" ca="1" si="8"/>
        <v/>
      </c>
      <c r="L28" s="140" t="str">
        <f t="shared" ca="1" si="9"/>
        <v/>
      </c>
      <c r="M28" s="142" t="str">
        <f t="shared" ca="1" si="10"/>
        <v/>
      </c>
      <c r="N28" s="77" t="str">
        <f t="shared" ca="1" si="11"/>
        <v/>
      </c>
      <c r="O28" s="140" t="str">
        <f t="shared" ca="1" si="12"/>
        <v/>
      </c>
    </row>
    <row r="29" spans="1:15">
      <c r="A29" s="151">
        <v>13</v>
      </c>
      <c r="B29" s="151" t="str">
        <f>TEXT(투자전략!$G$1+12, "[$-ko-KR]yyyy.mm.dd")</f>
        <v>2021.05.13</v>
      </c>
      <c r="C29" s="138" t="str">
        <f t="shared" ca="1" si="0"/>
        <v/>
      </c>
      <c r="D29" s="142" t="str">
        <f t="shared" ca="1" si="1"/>
        <v/>
      </c>
      <c r="E29" s="77" t="str">
        <f t="shared" ca="1" si="2"/>
        <v/>
      </c>
      <c r="F29" s="140" t="str">
        <f t="shared" ca="1" si="3"/>
        <v/>
      </c>
      <c r="G29" s="142" t="str">
        <f t="shared" ca="1" si="4"/>
        <v/>
      </c>
      <c r="H29" s="77" t="str">
        <f t="shared" ca="1" si="5"/>
        <v/>
      </c>
      <c r="I29" s="140" t="str">
        <f t="shared" ca="1" si="6"/>
        <v/>
      </c>
      <c r="J29" s="142" t="str">
        <f t="shared" ca="1" si="7"/>
        <v/>
      </c>
      <c r="K29" s="77" t="str">
        <f t="shared" ca="1" si="8"/>
        <v/>
      </c>
      <c r="L29" s="140" t="str">
        <f t="shared" ca="1" si="9"/>
        <v/>
      </c>
      <c r="M29" s="142" t="str">
        <f t="shared" ca="1" si="10"/>
        <v/>
      </c>
      <c r="N29" s="77" t="str">
        <f t="shared" ca="1" si="11"/>
        <v/>
      </c>
      <c r="O29" s="140" t="str">
        <f t="shared" ca="1" si="12"/>
        <v/>
      </c>
    </row>
    <row r="30" spans="1:15" ht="17.25" thickBot="1">
      <c r="A30" s="150">
        <v>14</v>
      </c>
      <c r="B30" s="150" t="str">
        <f>TEXT(투자전략!$G$1+13, "[$-ko-KR]yyyy.mm.dd")</f>
        <v>2021.05.14</v>
      </c>
      <c r="C30" s="139" t="str">
        <f t="shared" ca="1" si="0"/>
        <v/>
      </c>
      <c r="D30" s="143" t="str">
        <f t="shared" ca="1" si="1"/>
        <v/>
      </c>
      <c r="E30" s="79" t="str">
        <f t="shared" ca="1" si="2"/>
        <v/>
      </c>
      <c r="F30" s="141" t="str">
        <f t="shared" ca="1" si="3"/>
        <v/>
      </c>
      <c r="G30" s="143" t="str">
        <f t="shared" ca="1" si="4"/>
        <v/>
      </c>
      <c r="H30" s="79" t="str">
        <f t="shared" ca="1" si="5"/>
        <v/>
      </c>
      <c r="I30" s="141" t="str">
        <f t="shared" ca="1" si="6"/>
        <v/>
      </c>
      <c r="J30" s="143" t="str">
        <f t="shared" ca="1" si="7"/>
        <v/>
      </c>
      <c r="K30" s="79" t="str">
        <f t="shared" ca="1" si="8"/>
        <v/>
      </c>
      <c r="L30" s="141" t="str">
        <f t="shared" ca="1" si="9"/>
        <v/>
      </c>
      <c r="M30" s="143" t="str">
        <f t="shared" ca="1" si="10"/>
        <v/>
      </c>
      <c r="N30" s="79" t="str">
        <f t="shared" ca="1" si="11"/>
        <v/>
      </c>
      <c r="O30" s="141" t="str">
        <f t="shared" ca="1" si="12"/>
        <v/>
      </c>
    </row>
    <row r="31" spans="1:15">
      <c r="A31" s="149">
        <v>15</v>
      </c>
      <c r="B31" s="149" t="str">
        <f>TEXT(투자전략!$G$1+14, "[$-ko-KR]yyyy.mm.dd")</f>
        <v>2021.05.15</v>
      </c>
      <c r="C31" s="137" t="str">
        <f t="shared" ca="1" si="0"/>
        <v/>
      </c>
      <c r="D31" s="145" t="str">
        <f t="shared" ca="1" si="1"/>
        <v/>
      </c>
      <c r="E31" s="76" t="str">
        <f t="shared" ca="1" si="2"/>
        <v/>
      </c>
      <c r="F31" s="144" t="str">
        <f t="shared" ca="1" si="3"/>
        <v/>
      </c>
      <c r="G31" s="145" t="str">
        <f t="shared" ca="1" si="4"/>
        <v/>
      </c>
      <c r="H31" s="76" t="str">
        <f t="shared" ca="1" si="5"/>
        <v/>
      </c>
      <c r="I31" s="144" t="str">
        <f t="shared" ca="1" si="6"/>
        <v/>
      </c>
      <c r="J31" s="145" t="str">
        <f t="shared" ca="1" si="7"/>
        <v/>
      </c>
      <c r="K31" s="76" t="str">
        <f t="shared" ca="1" si="8"/>
        <v/>
      </c>
      <c r="L31" s="144" t="str">
        <f t="shared" ca="1" si="9"/>
        <v/>
      </c>
      <c r="M31" s="145" t="str">
        <f t="shared" ca="1" si="10"/>
        <v/>
      </c>
      <c r="N31" s="76" t="str">
        <f t="shared" ca="1" si="11"/>
        <v/>
      </c>
      <c r="O31" s="144" t="str">
        <f t="shared" ca="1" si="12"/>
        <v/>
      </c>
    </row>
    <row r="32" spans="1:15">
      <c r="A32" s="151">
        <v>16</v>
      </c>
      <c r="B32" s="151" t="str">
        <f>TEXT(투자전략!$G$1+15, "[$-ko-KR]yyyy.mm.dd")</f>
        <v>2021.05.16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>
      <c r="A33" s="151">
        <v>17</v>
      </c>
      <c r="B33" s="151" t="str">
        <f>TEXT(투자전략!$G$1+16, "[$-ko-KR]yyyy.mm.dd")</f>
        <v>2021.05.17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>
      <c r="A34" s="151">
        <v>18</v>
      </c>
      <c r="B34" s="151" t="str">
        <f>TEXT(투자전략!$G$1+17, "[$-ko-KR]yyyy.mm.dd")</f>
        <v>2021.05.18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>
      <c r="A35" s="151">
        <v>19</v>
      </c>
      <c r="B35" s="151" t="str">
        <f>TEXT(투자전략!$G$1+18, "[$-ko-KR]yyyy.mm.dd")</f>
        <v>2021.05.19</v>
      </c>
      <c r="C35" s="138" t="str">
        <f t="shared" ca="1" si="0"/>
        <v/>
      </c>
      <c r="D35" s="142" t="str">
        <f t="shared" ca="1" si="1"/>
        <v/>
      </c>
      <c r="E35" s="77" t="str">
        <f t="shared" ca="1" si="2"/>
        <v/>
      </c>
      <c r="F35" s="140" t="str">
        <f t="shared" ca="1" si="3"/>
        <v/>
      </c>
      <c r="G35" s="142" t="str">
        <f t="shared" ca="1" si="4"/>
        <v/>
      </c>
      <c r="H35" s="77" t="str">
        <f t="shared" ca="1" si="5"/>
        <v/>
      </c>
      <c r="I35" s="140" t="str">
        <f t="shared" ca="1" si="6"/>
        <v/>
      </c>
      <c r="J35" s="142" t="str">
        <f t="shared" ca="1" si="7"/>
        <v/>
      </c>
      <c r="K35" s="77" t="str">
        <f t="shared" ca="1" si="8"/>
        <v/>
      </c>
      <c r="L35" s="140" t="str">
        <f t="shared" ca="1" si="9"/>
        <v/>
      </c>
      <c r="M35" s="142" t="str">
        <f t="shared" ca="1" si="10"/>
        <v/>
      </c>
      <c r="N35" s="77" t="str">
        <f t="shared" ca="1" si="11"/>
        <v/>
      </c>
      <c r="O35" s="140" t="str">
        <f t="shared" ca="1" si="12"/>
        <v/>
      </c>
    </row>
    <row r="36" spans="1:15">
      <c r="A36" s="151">
        <v>20</v>
      </c>
      <c r="B36" s="151" t="str">
        <f>TEXT(투자전략!$G$1+19, "[$-ko-KR]yyyy.mm.dd")</f>
        <v>2021.05.20</v>
      </c>
      <c r="C36" s="138" t="str">
        <f t="shared" ca="1" si="0"/>
        <v/>
      </c>
      <c r="D36" s="142" t="str">
        <f t="shared" ca="1" si="1"/>
        <v/>
      </c>
      <c r="E36" s="77" t="str">
        <f t="shared" ca="1" si="2"/>
        <v/>
      </c>
      <c r="F36" s="140" t="str">
        <f t="shared" ca="1" si="3"/>
        <v/>
      </c>
      <c r="G36" s="142" t="str">
        <f t="shared" ca="1" si="4"/>
        <v/>
      </c>
      <c r="H36" s="77" t="str">
        <f t="shared" ca="1" si="5"/>
        <v/>
      </c>
      <c r="I36" s="140" t="str">
        <f t="shared" ca="1" si="6"/>
        <v/>
      </c>
      <c r="J36" s="142" t="str">
        <f t="shared" ca="1" si="7"/>
        <v/>
      </c>
      <c r="K36" s="77" t="str">
        <f t="shared" ca="1" si="8"/>
        <v/>
      </c>
      <c r="L36" s="140" t="str">
        <f t="shared" ca="1" si="9"/>
        <v/>
      </c>
      <c r="M36" s="142" t="str">
        <f t="shared" ca="1" si="10"/>
        <v/>
      </c>
      <c r="N36" s="77" t="str">
        <f t="shared" ca="1" si="11"/>
        <v/>
      </c>
      <c r="O36" s="140" t="str">
        <f t="shared" ca="1" si="12"/>
        <v/>
      </c>
    </row>
    <row r="37" spans="1:15" ht="17.25" thickBot="1">
      <c r="A37" s="150">
        <v>21</v>
      </c>
      <c r="B37" s="150" t="str">
        <f>TEXT(투자전략!$G$1+20, "[$-ko-KR]yyyy.mm.dd")</f>
        <v>2021.05.21</v>
      </c>
      <c r="C37" s="139" t="str">
        <f t="shared" ca="1" si="0"/>
        <v/>
      </c>
      <c r="D37" s="143" t="str">
        <f t="shared" ca="1" si="1"/>
        <v/>
      </c>
      <c r="E37" s="79" t="str">
        <f t="shared" ca="1" si="2"/>
        <v/>
      </c>
      <c r="F37" s="141" t="str">
        <f t="shared" ca="1" si="3"/>
        <v/>
      </c>
      <c r="G37" s="143" t="str">
        <f t="shared" ca="1" si="4"/>
        <v/>
      </c>
      <c r="H37" s="79" t="str">
        <f t="shared" ca="1" si="5"/>
        <v/>
      </c>
      <c r="I37" s="141" t="str">
        <f t="shared" ca="1" si="6"/>
        <v/>
      </c>
      <c r="J37" s="143" t="str">
        <f t="shared" ca="1" si="7"/>
        <v/>
      </c>
      <c r="K37" s="79" t="str">
        <f t="shared" ca="1" si="8"/>
        <v/>
      </c>
      <c r="L37" s="141" t="str">
        <f t="shared" ca="1" si="9"/>
        <v/>
      </c>
      <c r="M37" s="143" t="str">
        <f t="shared" ca="1" si="10"/>
        <v/>
      </c>
      <c r="N37" s="79" t="str">
        <f t="shared" ca="1" si="11"/>
        <v/>
      </c>
      <c r="O37" s="141" t="str">
        <f t="shared" ca="1" si="12"/>
        <v/>
      </c>
    </row>
    <row r="38" spans="1:15">
      <c r="A38" s="149">
        <v>22</v>
      </c>
      <c r="B38" s="149" t="str">
        <f>TEXT(투자전략!$G$1+21, "[$-ko-KR]yyyy.mm.dd")</f>
        <v>2021.05.22</v>
      </c>
      <c r="C38" s="137" t="str">
        <f t="shared" ca="1" si="0"/>
        <v/>
      </c>
      <c r="D38" s="145" t="str">
        <f t="shared" ca="1" si="1"/>
        <v/>
      </c>
      <c r="E38" s="76" t="str">
        <f t="shared" ca="1" si="2"/>
        <v/>
      </c>
      <c r="F38" s="144" t="str">
        <f t="shared" ca="1" si="3"/>
        <v/>
      </c>
      <c r="G38" s="145" t="str">
        <f t="shared" ca="1" si="4"/>
        <v/>
      </c>
      <c r="H38" s="76" t="str">
        <f t="shared" ca="1" si="5"/>
        <v/>
      </c>
      <c r="I38" s="144" t="str">
        <f t="shared" ca="1" si="6"/>
        <v/>
      </c>
      <c r="J38" s="145" t="str">
        <f t="shared" ca="1" si="7"/>
        <v/>
      </c>
      <c r="K38" s="76" t="str">
        <f t="shared" ca="1" si="8"/>
        <v/>
      </c>
      <c r="L38" s="144" t="str">
        <f t="shared" ca="1" si="9"/>
        <v/>
      </c>
      <c r="M38" s="145" t="str">
        <f t="shared" ca="1" si="10"/>
        <v/>
      </c>
      <c r="N38" s="76" t="str">
        <f t="shared" ca="1" si="11"/>
        <v/>
      </c>
      <c r="O38" s="144" t="str">
        <f t="shared" ca="1" si="12"/>
        <v/>
      </c>
    </row>
    <row r="39" spans="1:15">
      <c r="A39" s="151">
        <v>23</v>
      </c>
      <c r="B39" s="151" t="str">
        <f>TEXT(투자전략!$G$1+22, "[$-ko-KR]yyyy.mm.dd")</f>
        <v>2021.05.23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>
      <c r="A40" s="151">
        <v>24</v>
      </c>
      <c r="B40" s="151" t="str">
        <f>TEXT(투자전략!$G$1+23, "[$-ko-KR]yyyy.mm.dd")</f>
        <v>2021.05.24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>
      <c r="A41" s="151">
        <v>25</v>
      </c>
      <c r="B41" s="151" t="str">
        <f>TEXT(투자전략!$G$1+24, "[$-ko-KR]yyyy.mm.dd")</f>
        <v>2021.05.25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>
      <c r="A42" s="151">
        <v>26</v>
      </c>
      <c r="B42" s="151" t="str">
        <f>TEXT(투자전략!$G$1+25, "[$-ko-KR]yyyy.mm.dd")</f>
        <v>2021.05.26</v>
      </c>
      <c r="C42" s="138" t="str">
        <f t="shared" ca="1" si="0"/>
        <v/>
      </c>
      <c r="D42" s="142" t="str">
        <f t="shared" ca="1" si="1"/>
        <v/>
      </c>
      <c r="E42" s="77" t="str">
        <f t="shared" ca="1" si="2"/>
        <v/>
      </c>
      <c r="F42" s="140" t="str">
        <f t="shared" ca="1" si="3"/>
        <v/>
      </c>
      <c r="G42" s="142" t="str">
        <f t="shared" ca="1" si="4"/>
        <v/>
      </c>
      <c r="H42" s="77" t="str">
        <f t="shared" ca="1" si="5"/>
        <v/>
      </c>
      <c r="I42" s="140" t="str">
        <f t="shared" ca="1" si="6"/>
        <v/>
      </c>
      <c r="J42" s="142" t="str">
        <f t="shared" ca="1" si="7"/>
        <v/>
      </c>
      <c r="K42" s="77" t="str">
        <f t="shared" ca="1" si="8"/>
        <v/>
      </c>
      <c r="L42" s="140" t="str">
        <f t="shared" ca="1" si="9"/>
        <v/>
      </c>
      <c r="M42" s="142" t="str">
        <f t="shared" ca="1" si="10"/>
        <v/>
      </c>
      <c r="N42" s="77" t="str">
        <f t="shared" ca="1" si="11"/>
        <v/>
      </c>
      <c r="O42" s="140" t="str">
        <f t="shared" ca="1" si="12"/>
        <v/>
      </c>
    </row>
    <row r="43" spans="1:15">
      <c r="A43" s="151">
        <v>27</v>
      </c>
      <c r="B43" s="151" t="str">
        <f>TEXT(투자전략!$G$1+26, "[$-ko-KR]yyyy.mm.dd")</f>
        <v>2021.05.27</v>
      </c>
      <c r="C43" s="138" t="str">
        <f t="shared" ca="1" si="0"/>
        <v/>
      </c>
      <c r="D43" s="142" t="str">
        <f t="shared" ca="1" si="1"/>
        <v/>
      </c>
      <c r="E43" s="77" t="str">
        <f t="shared" ca="1" si="2"/>
        <v/>
      </c>
      <c r="F43" s="140" t="str">
        <f t="shared" ca="1" si="3"/>
        <v/>
      </c>
      <c r="G43" s="142" t="str">
        <f t="shared" ca="1" si="4"/>
        <v/>
      </c>
      <c r="H43" s="77" t="str">
        <f t="shared" ca="1" si="5"/>
        <v/>
      </c>
      <c r="I43" s="140" t="str">
        <f t="shared" ca="1" si="6"/>
        <v/>
      </c>
      <c r="J43" s="142" t="str">
        <f t="shared" ca="1" si="7"/>
        <v/>
      </c>
      <c r="K43" s="77" t="str">
        <f t="shared" ca="1" si="8"/>
        <v/>
      </c>
      <c r="L43" s="140" t="str">
        <f t="shared" ca="1" si="9"/>
        <v/>
      </c>
      <c r="M43" s="142" t="str">
        <f t="shared" ca="1" si="10"/>
        <v/>
      </c>
      <c r="N43" s="77" t="str">
        <f t="shared" ca="1" si="11"/>
        <v/>
      </c>
      <c r="O43" s="140" t="str">
        <f t="shared" ca="1" si="12"/>
        <v/>
      </c>
    </row>
    <row r="44" spans="1:15" ht="17.25" thickBot="1">
      <c r="A44" s="150">
        <v>28</v>
      </c>
      <c r="B44" s="150" t="str">
        <f>TEXT(투자전략!$G$1+27, "[$-ko-KR]yyyy.mm.dd")</f>
        <v>2021.05.28</v>
      </c>
      <c r="C44" s="139" t="str">
        <f t="shared" ca="1" si="0"/>
        <v/>
      </c>
      <c r="D44" s="143" t="str">
        <f t="shared" ca="1" si="1"/>
        <v/>
      </c>
      <c r="E44" s="79" t="str">
        <f t="shared" ca="1" si="2"/>
        <v/>
      </c>
      <c r="F44" s="141" t="str">
        <f t="shared" ca="1" si="3"/>
        <v/>
      </c>
      <c r="G44" s="143" t="str">
        <f t="shared" ca="1" si="4"/>
        <v/>
      </c>
      <c r="H44" s="79" t="str">
        <f t="shared" ca="1" si="5"/>
        <v/>
      </c>
      <c r="I44" s="141" t="str">
        <f t="shared" ca="1" si="6"/>
        <v/>
      </c>
      <c r="J44" s="143" t="str">
        <f t="shared" ca="1" si="7"/>
        <v/>
      </c>
      <c r="K44" s="79" t="str">
        <f t="shared" ca="1" si="8"/>
        <v/>
      </c>
      <c r="L44" s="141" t="str">
        <f t="shared" ca="1" si="9"/>
        <v/>
      </c>
      <c r="M44" s="143" t="str">
        <f t="shared" ca="1" si="10"/>
        <v/>
      </c>
      <c r="N44" s="79" t="str">
        <f t="shared" ca="1" si="11"/>
        <v/>
      </c>
      <c r="O44" s="141" t="str">
        <f t="shared" ca="1" si="12"/>
        <v/>
      </c>
    </row>
    <row r="45" spans="1:15">
      <c r="A45" s="124">
        <v>29</v>
      </c>
      <c r="B45" s="149" t="str">
        <f>TEXT(투자전략!$G$1+28, "[$-ko-KR]yyyy.mm.dd")</f>
        <v>2021.05.29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>
      <c r="A46" s="124">
        <v>30</v>
      </c>
      <c r="B46" s="151" t="str">
        <f>TEXT(투자전략!$G$1+29, "[$-ko-KR]yyyy.mm.dd")</f>
        <v>2021.05.30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7.25" thickBot="1">
      <c r="A47" s="124">
        <v>31</v>
      </c>
      <c r="B47" s="151" t="str">
        <f>TEXT(투자전략!$G$1+30, "[$-ko-KR]yyyy.mm.dd")</f>
        <v>2021.05.31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7.25" thickBot="1">
      <c r="A48" s="213" t="s">
        <v>319</v>
      </c>
      <c r="B48" s="215"/>
      <c r="C48" s="135" t="s">
        <v>314</v>
      </c>
      <c r="D48" s="146" t="s">
        <v>315</v>
      </c>
      <c r="E48" s="147" t="s">
        <v>316</v>
      </c>
      <c r="F48" s="148" t="s">
        <v>317</v>
      </c>
      <c r="G48" s="146" t="s">
        <v>315</v>
      </c>
      <c r="H48" s="147" t="s">
        <v>316</v>
      </c>
      <c r="I48" s="148" t="s">
        <v>317</v>
      </c>
      <c r="J48" s="146" t="s">
        <v>315</v>
      </c>
      <c r="K48" s="147" t="s">
        <v>316</v>
      </c>
      <c r="L48" s="148" t="s">
        <v>317</v>
      </c>
      <c r="M48" s="146" t="s">
        <v>315</v>
      </c>
      <c r="N48" s="147" t="s">
        <v>316</v>
      </c>
      <c r="O48" s="148" t="s">
        <v>317</v>
      </c>
    </row>
    <row r="49" spans="1:15" ht="17.25" thickBot="1">
      <c r="A49" s="206"/>
      <c r="B49" s="208"/>
      <c r="C49" s="139">
        <f ca="1">SUM(C17:C47)</f>
        <v>9000000</v>
      </c>
      <c r="D49" s="143">
        <f ca="1">SUM(D17:D47)</f>
        <v>8904391.0988411959</v>
      </c>
      <c r="E49" s="79">
        <f ca="1">IFERROR(F49 / (SUM($C17:$C47) / COUNT($C17:$C47)), 0)</f>
        <v>-5.3116056199335668E-2</v>
      </c>
      <c r="F49" s="141">
        <f ca="1">SUM(F17:F47)</f>
        <v>-95608.901158804205</v>
      </c>
      <c r="G49" s="143">
        <f ca="1">SUM(G17:G47)</f>
        <v>9022982.4490738325</v>
      </c>
      <c r="H49" s="79">
        <f ca="1">IFERROR(I49 / (SUM($C17:$C47) / COUNT($C17:$C47)), 0)</f>
        <v>1.2768027263240013E-2</v>
      </c>
      <c r="I49" s="141">
        <f ca="1">SUM(I17:I47)</f>
        <v>22982.449073832024</v>
      </c>
      <c r="J49" s="143">
        <f ca="1">SUM(J17:J47)</f>
        <v>9043670.3804454245</v>
      </c>
      <c r="K49" s="79">
        <f ca="1">IFERROR(L49 / (SUM($C17:$C47) / COUNT($C17:$C47)), 0)</f>
        <v>2.4261322469680487E-2</v>
      </c>
      <c r="L49" s="141">
        <f ca="1">SUM(L17:L47)</f>
        <v>43670.380445424875</v>
      </c>
      <c r="M49" s="143">
        <f ca="1">SUM(M17:M47)</f>
        <v>8988832.7330127098</v>
      </c>
      <c r="N49" s="79">
        <f ca="1">IFERROR(O49 / (SUM($C17:$C47) / COUNT($C17:$C47)), 0)</f>
        <v>-6.2040372151607719E-3</v>
      </c>
      <c r="O49" s="141">
        <f ca="1">SUM(O17:O47)</f>
        <v>-11167.266987289389</v>
      </c>
    </row>
    <row r="51" spans="1:15" ht="17.25" thickBot="1"/>
    <row r="52" spans="1:15" ht="17.25" thickBot="1">
      <c r="A52" s="185" t="str">
        <f>TEXT(투자전략!$G$1, "[$-ko-KR]yyyy년 mm월 ") &amp; "[엽전코인] 전일대비 상승률 Top20 월말결산"</f>
        <v>2021년 05월 [엽전코인] 전일대비 상승률 Top20 월말결산</v>
      </c>
      <c r="B52" s="186"/>
      <c r="C52" s="186"/>
      <c r="D52" s="186"/>
      <c r="E52" s="186"/>
      <c r="F52" s="186"/>
      <c r="G52" s="186"/>
      <c r="H52" s="186"/>
      <c r="I52" s="186"/>
      <c r="J52" s="186"/>
      <c r="K52" s="186"/>
      <c r="L52" s="186"/>
      <c r="M52" s="186"/>
      <c r="N52" s="186"/>
      <c r="O52" s="187"/>
    </row>
    <row r="53" spans="1:15" ht="17.25" thickBot="1">
      <c r="A53" s="229" t="s">
        <v>320</v>
      </c>
      <c r="B53" s="206" t="s">
        <v>318</v>
      </c>
      <c r="C53" s="208"/>
      <c r="D53" s="206" t="s">
        <v>310</v>
      </c>
      <c r="E53" s="207"/>
      <c r="F53" s="208"/>
      <c r="G53" s="206" t="s">
        <v>311</v>
      </c>
      <c r="H53" s="207"/>
      <c r="I53" s="208"/>
      <c r="J53" s="206" t="s">
        <v>312</v>
      </c>
      <c r="K53" s="207"/>
      <c r="L53" s="208"/>
      <c r="M53" s="206" t="s">
        <v>313</v>
      </c>
      <c r="N53" s="207"/>
      <c r="O53" s="208"/>
    </row>
    <row r="54" spans="1:15" ht="17.25" thickBot="1">
      <c r="A54" s="222"/>
      <c r="B54" s="160" t="s">
        <v>308</v>
      </c>
      <c r="C54" s="160" t="s">
        <v>42</v>
      </c>
      <c r="D54" s="124" t="s">
        <v>309</v>
      </c>
      <c r="E54" s="136" t="s">
        <v>40</v>
      </c>
      <c r="F54" s="162" t="s">
        <v>41</v>
      </c>
      <c r="G54" s="124" t="s">
        <v>309</v>
      </c>
      <c r="H54" s="136" t="s">
        <v>40</v>
      </c>
      <c r="I54" s="162" t="s">
        <v>41</v>
      </c>
      <c r="J54" s="124" t="s">
        <v>309</v>
      </c>
      <c r="K54" s="136" t="s">
        <v>40</v>
      </c>
      <c r="L54" s="162" t="s">
        <v>41</v>
      </c>
      <c r="M54" s="124" t="s">
        <v>309</v>
      </c>
      <c r="N54" s="136" t="s">
        <v>40</v>
      </c>
      <c r="O54" s="162" t="s">
        <v>41</v>
      </c>
    </row>
    <row r="55" spans="1:15">
      <c r="A55" s="160">
        <v>1</v>
      </c>
      <c r="B55" s="160" t="str">
        <f>TEXT(투자전략!$G$1+0, "[$-ko-KR]yyyy.mm.dd")</f>
        <v>2021.05.01</v>
      </c>
      <c r="C55" s="137">
        <f ca="1">IFERROR(COUNTA(INDIRECT($B55&amp;"!A44:A63")) * INDIRECT($B55&amp;"!B64"), "")</f>
        <v>5700000</v>
      </c>
      <c r="D55" s="145">
        <f ca="1">IFERROR($C55 * (1 + E55), "")</f>
        <v>5796967.8582712999</v>
      </c>
      <c r="E55" s="76">
        <f ca="1">IFERROR(INDIRECT($B55&amp;"!E64"), "")</f>
        <v>1.7011904959877054E-2</v>
      </c>
      <c r="F55" s="144">
        <f ca="1">IFERROR(INDIRECT($B55&amp;"!F64"), "")</f>
        <v>96967.858271299192</v>
      </c>
      <c r="G55" s="145">
        <f ca="1">IFERROR($C55 * (1 + H55), "")</f>
        <v>5762497.1388724633</v>
      </c>
      <c r="H55" s="76">
        <f ca="1">IFERROR(INDIRECT($B55&amp;"!H64"), "")</f>
        <v>1.0964410328502251E-2</v>
      </c>
      <c r="I55" s="144">
        <f ca="1">IFERROR(INDIRECT($B55&amp;"!I64"), "")</f>
        <v>62497.138872462834</v>
      </c>
      <c r="J55" s="145">
        <f ca="1">IFERROR($C55 * (1 + K55), "")</f>
        <v>5794168.1462707957</v>
      </c>
      <c r="K55" s="76">
        <f ca="1">IFERROR(INDIRECT($B55&amp;"!K64"), "")</f>
        <v>1.6520727415929037E-2</v>
      </c>
      <c r="L55" s="144">
        <f ca="1">IFERROR(INDIRECT($B55&amp;"!L64"), "")</f>
        <v>94168.146270795492</v>
      </c>
      <c r="M55" s="145">
        <f ca="1">IFERROR($C55 * (1 + N55), "")</f>
        <v>5791895.125992734</v>
      </c>
      <c r="N55" s="76">
        <f ca="1">IFERROR(INDIRECT($B55&amp;"!N64"), "")</f>
        <v>1.6121951928549837E-2</v>
      </c>
      <c r="O55" s="144">
        <f ca="1">IFERROR(INDIRECT($B55&amp;"!O64"), "")</f>
        <v>91895.125992734043</v>
      </c>
    </row>
    <row r="56" spans="1:15">
      <c r="A56" s="159">
        <v>2</v>
      </c>
      <c r="B56" s="159" t="str">
        <f>TEXT(투자전략!$G$1+1, "[$-ko-KR]yyyy.mm.dd")</f>
        <v>2021.05.02</v>
      </c>
      <c r="C56" s="138">
        <f t="shared" ref="C56:C85" ca="1" si="13">IFERROR(COUNTA(INDIRECT($B56&amp;"!A44:A63")) * INDIRECT($B56&amp;"!B64"), "")</f>
        <v>5700000</v>
      </c>
      <c r="D56" s="142">
        <f t="shared" ref="D56:D85" ca="1" si="14">IFERROR($C56 * (1 + E56), "")</f>
        <v>5690911.4456432778</v>
      </c>
      <c r="E56" s="77">
        <f t="shared" ref="E56:E85" ca="1" si="15">IFERROR(INDIRECT($B56&amp;"!E64"), "")</f>
        <v>-1.594483220477585E-3</v>
      </c>
      <c r="F56" s="140">
        <f t="shared" ref="F56:F85" ca="1" si="16">IFERROR(INDIRECT($B56&amp;"!F64"), "")</f>
        <v>-9088.5543567222303</v>
      </c>
      <c r="G56" s="142">
        <f t="shared" ref="G56:G85" ca="1" si="17">IFERROR($C56 * (1 + H56), "")</f>
        <v>5690498.5045738928</v>
      </c>
      <c r="H56" s="77">
        <f t="shared" ref="H56:H85" ca="1" si="18">IFERROR(INDIRECT($B56&amp;"!H64"), "")</f>
        <v>-1.666929022124089E-3</v>
      </c>
      <c r="I56" s="140">
        <f t="shared" ref="I56:I85" ca="1" si="19">IFERROR(INDIRECT($B56&amp;"!I64"), "")</f>
        <v>-9501.4954261073035</v>
      </c>
      <c r="J56" s="142">
        <f t="shared" ref="J56:J85" ca="1" si="20">IFERROR($C56 * (1 + K56), "")</f>
        <v>5725292.5041279895</v>
      </c>
      <c r="K56" s="77">
        <f t="shared" ref="K56:K85" ca="1" si="21">IFERROR(INDIRECT($B56&amp;"!K64"), "")</f>
        <v>4.437281425962906E-3</v>
      </c>
      <c r="L56" s="140">
        <f t="shared" ref="L56:L85" ca="1" si="22">IFERROR(INDIRECT($B56&amp;"!L64"), "")</f>
        <v>25292.50412798857</v>
      </c>
      <c r="M56" s="142">
        <f t="shared" ref="M56:M85" ca="1" si="23">IFERROR($C56 * (1 + N56), "")</f>
        <v>5763933.8531855056</v>
      </c>
      <c r="N56" s="77">
        <f t="shared" ref="N56:N85" ca="1" si="24">IFERROR(INDIRECT($B56&amp;"!N64"), "")</f>
        <v>1.1216465471141364E-2</v>
      </c>
      <c r="O56" s="140">
        <f t="shared" ref="O56:O85" ca="1" si="25">IFERROR(INDIRECT($B56&amp;"!O64"), "")</f>
        <v>63933.853185505781</v>
      </c>
    </row>
    <row r="57" spans="1:15">
      <c r="A57" s="159">
        <v>3</v>
      </c>
      <c r="B57" s="159" t="str">
        <f>TEXT(투자전략!$G$1+2, "[$-ko-KR]yyyy.mm.dd")</f>
        <v>2021.05.03</v>
      </c>
      <c r="C57" s="138">
        <f t="shared" ca="1" si="13"/>
        <v>5400000</v>
      </c>
      <c r="D57" s="142">
        <f t="shared" ca="1" si="14"/>
        <v>5575496.9864295339</v>
      </c>
      <c r="E57" s="77">
        <f t="shared" ca="1" si="15"/>
        <v>3.2499441931395062E-2</v>
      </c>
      <c r="F57" s="140">
        <f t="shared" ca="1" si="16"/>
        <v>175496.9864295334</v>
      </c>
      <c r="G57" s="142">
        <f t="shared" ca="1" si="17"/>
        <v>5618685.4874268863</v>
      </c>
      <c r="H57" s="77">
        <f t="shared" ca="1" si="18"/>
        <v>4.0497312486460504E-2</v>
      </c>
      <c r="I57" s="140">
        <f t="shared" ca="1" si="19"/>
        <v>218685.48742688677</v>
      </c>
      <c r="J57" s="142">
        <f t="shared" ca="1" si="20"/>
        <v>5642781.0931354463</v>
      </c>
      <c r="K57" s="77">
        <f t="shared" ca="1" si="21"/>
        <v>4.4959461691749317E-2</v>
      </c>
      <c r="L57" s="140">
        <f t="shared" ca="1" si="22"/>
        <v>242781.09313544634</v>
      </c>
      <c r="M57" s="142">
        <f t="shared" ca="1" si="23"/>
        <v>5599398.2018607762</v>
      </c>
      <c r="N57" s="77">
        <f t="shared" ca="1" si="24"/>
        <v>3.6925592937180791E-2</v>
      </c>
      <c r="O57" s="140">
        <f t="shared" ca="1" si="25"/>
        <v>199398.20186077629</v>
      </c>
    </row>
    <row r="58" spans="1:15">
      <c r="A58" s="159">
        <v>4</v>
      </c>
      <c r="B58" s="159" t="str">
        <f>TEXT(투자전략!$G$1+3, "[$-ko-KR]yyyy.mm.dd")</f>
        <v>2021.05.04</v>
      </c>
      <c r="C58" s="138">
        <f t="shared" ca="1" si="13"/>
        <v>5100000</v>
      </c>
      <c r="D58" s="142">
        <f t="shared" ca="1" si="14"/>
        <v>4913291.8029331751</v>
      </c>
      <c r="E58" s="77">
        <f t="shared" ca="1" si="15"/>
        <v>-3.6609450405259723E-2</v>
      </c>
      <c r="F58" s="140">
        <f t="shared" ca="1" si="16"/>
        <v>-186708.19706682459</v>
      </c>
      <c r="G58" s="142">
        <f t="shared" ca="1" si="17"/>
        <v>4944548.6693847794</v>
      </c>
      <c r="H58" s="77">
        <f t="shared" ca="1" si="18"/>
        <v>-3.0480653061807909E-2</v>
      </c>
      <c r="I58" s="140">
        <f t="shared" ca="1" si="19"/>
        <v>-155451.3306152203</v>
      </c>
      <c r="J58" s="142">
        <f t="shared" ca="1" si="20"/>
        <v>4946341.5860611983</v>
      </c>
      <c r="K58" s="77">
        <f t="shared" ca="1" si="21"/>
        <v>-3.0129100772314142E-2</v>
      </c>
      <c r="L58" s="140">
        <f t="shared" ca="1" si="22"/>
        <v>-153658.41393880208</v>
      </c>
      <c r="M58" s="142">
        <f t="shared" ca="1" si="23"/>
        <v>4753721.9406563118</v>
      </c>
      <c r="N58" s="77">
        <f t="shared" ca="1" si="24"/>
        <v>-6.7897658694840837E-2</v>
      </c>
      <c r="O58" s="140">
        <f t="shared" ca="1" si="25"/>
        <v>-346278.05934368825</v>
      </c>
    </row>
    <row r="59" spans="1:15">
      <c r="A59" s="159">
        <v>5</v>
      </c>
      <c r="B59" s="159" t="str">
        <f>TEXT(투자전략!$G$1+4, "[$-ko-KR]yyyy.mm.dd")</f>
        <v>2021.05.05</v>
      </c>
      <c r="C59" s="138">
        <f t="shared" ca="1" si="13"/>
        <v>2550000</v>
      </c>
      <c r="D59" s="142">
        <f t="shared" ca="1" si="14"/>
        <v>2480776.0881199078</v>
      </c>
      <c r="E59" s="77">
        <f t="shared" ca="1" si="15"/>
        <v>-2.7146632109840186E-2</v>
      </c>
      <c r="F59" s="140">
        <f t="shared" ca="1" si="16"/>
        <v>-69223.911880092477</v>
      </c>
      <c r="G59" s="142">
        <f t="shared" ca="1" si="17"/>
        <v>2550000</v>
      </c>
      <c r="H59" s="77">
        <f t="shared" ca="1" si="18"/>
        <v>0</v>
      </c>
      <c r="I59" s="140">
        <f t="shared" ca="1" si="19"/>
        <v>0</v>
      </c>
      <c r="J59" s="142">
        <f t="shared" ca="1" si="20"/>
        <v>2550000</v>
      </c>
      <c r="K59" s="77">
        <f t="shared" ca="1" si="21"/>
        <v>0</v>
      </c>
      <c r="L59" s="140">
        <f t="shared" ca="1" si="22"/>
        <v>0</v>
      </c>
      <c r="M59" s="142">
        <f t="shared" ca="1" si="23"/>
        <v>2550000</v>
      </c>
      <c r="N59" s="77">
        <f t="shared" ca="1" si="24"/>
        <v>0</v>
      </c>
      <c r="O59" s="140">
        <f t="shared" ca="1" si="25"/>
        <v>0</v>
      </c>
    </row>
    <row r="60" spans="1:15">
      <c r="A60" s="159">
        <v>6</v>
      </c>
      <c r="B60" s="159" t="str">
        <f>TEXT(투자전략!$G$1+5, "[$-ko-KR]yyyy.mm.dd")</f>
        <v>2021.05.06</v>
      </c>
      <c r="C60" s="138" t="str">
        <f t="shared" ca="1" si="13"/>
        <v/>
      </c>
      <c r="D60" s="142" t="str">
        <f t="shared" ca="1" si="14"/>
        <v/>
      </c>
      <c r="E60" s="77" t="str">
        <f t="shared" ca="1" si="15"/>
        <v/>
      </c>
      <c r="F60" s="140" t="str">
        <f t="shared" ca="1" si="16"/>
        <v/>
      </c>
      <c r="G60" s="142" t="str">
        <f t="shared" ca="1" si="17"/>
        <v/>
      </c>
      <c r="H60" s="77" t="str">
        <f t="shared" ca="1" si="18"/>
        <v/>
      </c>
      <c r="I60" s="140" t="str">
        <f t="shared" ca="1" si="19"/>
        <v/>
      </c>
      <c r="J60" s="142" t="str">
        <f t="shared" ca="1" si="20"/>
        <v/>
      </c>
      <c r="K60" s="77" t="str">
        <f t="shared" ca="1" si="21"/>
        <v/>
      </c>
      <c r="L60" s="140" t="str">
        <f t="shared" ca="1" si="22"/>
        <v/>
      </c>
      <c r="M60" s="142" t="str">
        <f t="shared" ca="1" si="23"/>
        <v/>
      </c>
      <c r="N60" s="77" t="str">
        <f t="shared" ca="1" si="24"/>
        <v/>
      </c>
      <c r="O60" s="140" t="str">
        <f t="shared" ca="1" si="25"/>
        <v/>
      </c>
    </row>
    <row r="61" spans="1:15" ht="17.25" thickBot="1">
      <c r="A61" s="161">
        <v>7</v>
      </c>
      <c r="B61" s="161" t="str">
        <f>TEXT(투자전략!$G$1+6, "[$-ko-KR]yyyy.mm.dd")</f>
        <v>2021.05.07</v>
      </c>
      <c r="C61" s="138" t="str">
        <f t="shared" ca="1" si="13"/>
        <v/>
      </c>
      <c r="D61" s="142" t="str">
        <f t="shared" ca="1" si="14"/>
        <v/>
      </c>
      <c r="E61" s="77" t="str">
        <f t="shared" ca="1" si="15"/>
        <v/>
      </c>
      <c r="F61" s="140" t="str">
        <f t="shared" ca="1" si="16"/>
        <v/>
      </c>
      <c r="G61" s="142" t="str">
        <f t="shared" ca="1" si="17"/>
        <v/>
      </c>
      <c r="H61" s="77" t="str">
        <f t="shared" ca="1" si="18"/>
        <v/>
      </c>
      <c r="I61" s="140" t="str">
        <f t="shared" ca="1" si="19"/>
        <v/>
      </c>
      <c r="J61" s="142" t="str">
        <f t="shared" ca="1" si="20"/>
        <v/>
      </c>
      <c r="K61" s="77" t="str">
        <f t="shared" ca="1" si="21"/>
        <v/>
      </c>
      <c r="L61" s="140" t="str">
        <f t="shared" ca="1" si="22"/>
        <v/>
      </c>
      <c r="M61" s="142" t="str">
        <f t="shared" ca="1" si="23"/>
        <v/>
      </c>
      <c r="N61" s="77" t="str">
        <f t="shared" ca="1" si="24"/>
        <v/>
      </c>
      <c r="O61" s="140" t="str">
        <f t="shared" ca="1" si="25"/>
        <v/>
      </c>
    </row>
    <row r="62" spans="1:15">
      <c r="A62" s="160">
        <v>8</v>
      </c>
      <c r="B62" s="160" t="str">
        <f>TEXT(투자전략!$G$1+7, "[$-ko-KR]yyyy.mm.dd")</f>
        <v>2021.05.08</v>
      </c>
      <c r="C62" s="137" t="str">
        <f t="shared" ca="1" si="13"/>
        <v/>
      </c>
      <c r="D62" s="145" t="str">
        <f t="shared" ca="1" si="14"/>
        <v/>
      </c>
      <c r="E62" s="76" t="str">
        <f t="shared" ca="1" si="15"/>
        <v/>
      </c>
      <c r="F62" s="144" t="str">
        <f t="shared" ca="1" si="16"/>
        <v/>
      </c>
      <c r="G62" s="145" t="str">
        <f t="shared" ca="1" si="17"/>
        <v/>
      </c>
      <c r="H62" s="76" t="str">
        <f t="shared" ca="1" si="18"/>
        <v/>
      </c>
      <c r="I62" s="144" t="str">
        <f t="shared" ca="1" si="19"/>
        <v/>
      </c>
      <c r="J62" s="145" t="str">
        <f t="shared" ca="1" si="20"/>
        <v/>
      </c>
      <c r="K62" s="76" t="str">
        <f t="shared" ca="1" si="21"/>
        <v/>
      </c>
      <c r="L62" s="144" t="str">
        <f t="shared" ca="1" si="22"/>
        <v/>
      </c>
      <c r="M62" s="145" t="str">
        <f t="shared" ca="1" si="23"/>
        <v/>
      </c>
      <c r="N62" s="76" t="str">
        <f t="shared" ca="1" si="24"/>
        <v/>
      </c>
      <c r="O62" s="144" t="str">
        <f t="shared" ca="1" si="25"/>
        <v/>
      </c>
    </row>
    <row r="63" spans="1:15">
      <c r="A63" s="159">
        <v>9</v>
      </c>
      <c r="B63" s="159" t="str">
        <f>TEXT(투자전략!$G$1+8, "[$-ko-KR]yyyy.mm.dd")</f>
        <v>2021.05.09</v>
      </c>
      <c r="C63" s="138" t="str">
        <f t="shared" ca="1" si="13"/>
        <v/>
      </c>
      <c r="D63" s="142" t="str">
        <f t="shared" ca="1" si="14"/>
        <v/>
      </c>
      <c r="E63" s="77" t="str">
        <f t="shared" ca="1" si="15"/>
        <v/>
      </c>
      <c r="F63" s="140" t="str">
        <f t="shared" ca="1" si="16"/>
        <v/>
      </c>
      <c r="G63" s="142" t="str">
        <f t="shared" ca="1" si="17"/>
        <v/>
      </c>
      <c r="H63" s="77" t="str">
        <f t="shared" ca="1" si="18"/>
        <v/>
      </c>
      <c r="I63" s="140" t="str">
        <f t="shared" ca="1" si="19"/>
        <v/>
      </c>
      <c r="J63" s="142" t="str">
        <f t="shared" ca="1" si="20"/>
        <v/>
      </c>
      <c r="K63" s="77" t="str">
        <f t="shared" ca="1" si="21"/>
        <v/>
      </c>
      <c r="L63" s="140" t="str">
        <f t="shared" ca="1" si="22"/>
        <v/>
      </c>
      <c r="M63" s="142" t="str">
        <f t="shared" ca="1" si="23"/>
        <v/>
      </c>
      <c r="N63" s="77" t="str">
        <f t="shared" ca="1" si="24"/>
        <v/>
      </c>
      <c r="O63" s="140" t="str">
        <f t="shared" ca="1" si="25"/>
        <v/>
      </c>
    </row>
    <row r="64" spans="1:15">
      <c r="A64" s="159">
        <v>10</v>
      </c>
      <c r="B64" s="159" t="str">
        <f>TEXT(투자전략!$G$1+9, "[$-ko-KR]yyyy.mm.dd")</f>
        <v>2021.05.10</v>
      </c>
      <c r="C64" s="138" t="str">
        <f t="shared" ca="1" si="13"/>
        <v/>
      </c>
      <c r="D64" s="142" t="str">
        <f t="shared" ca="1" si="14"/>
        <v/>
      </c>
      <c r="E64" s="77" t="str">
        <f t="shared" ca="1" si="15"/>
        <v/>
      </c>
      <c r="F64" s="140" t="str">
        <f t="shared" ca="1" si="16"/>
        <v/>
      </c>
      <c r="G64" s="142" t="str">
        <f t="shared" ca="1" si="17"/>
        <v/>
      </c>
      <c r="H64" s="77" t="str">
        <f t="shared" ca="1" si="18"/>
        <v/>
      </c>
      <c r="I64" s="140" t="str">
        <f t="shared" ca="1" si="19"/>
        <v/>
      </c>
      <c r="J64" s="142" t="str">
        <f t="shared" ca="1" si="20"/>
        <v/>
      </c>
      <c r="K64" s="77" t="str">
        <f t="shared" ca="1" si="21"/>
        <v/>
      </c>
      <c r="L64" s="140" t="str">
        <f t="shared" ca="1" si="22"/>
        <v/>
      </c>
      <c r="M64" s="142" t="str">
        <f t="shared" ca="1" si="23"/>
        <v/>
      </c>
      <c r="N64" s="77" t="str">
        <f t="shared" ca="1" si="24"/>
        <v/>
      </c>
      <c r="O64" s="140" t="str">
        <f t="shared" ca="1" si="25"/>
        <v/>
      </c>
    </row>
    <row r="65" spans="1:15">
      <c r="A65" s="159">
        <v>11</v>
      </c>
      <c r="B65" s="159" t="str">
        <f>TEXT(투자전략!$G$1+10, "[$-ko-KR]yyyy.mm.dd")</f>
        <v>2021.05.11</v>
      </c>
      <c r="C65" s="138" t="str">
        <f t="shared" ca="1" si="13"/>
        <v/>
      </c>
      <c r="D65" s="142" t="str">
        <f t="shared" ca="1" si="14"/>
        <v/>
      </c>
      <c r="E65" s="77" t="str">
        <f t="shared" ca="1" si="15"/>
        <v/>
      </c>
      <c r="F65" s="140" t="str">
        <f t="shared" ca="1" si="16"/>
        <v/>
      </c>
      <c r="G65" s="142" t="str">
        <f t="shared" ca="1" si="17"/>
        <v/>
      </c>
      <c r="H65" s="77" t="str">
        <f t="shared" ca="1" si="18"/>
        <v/>
      </c>
      <c r="I65" s="140" t="str">
        <f t="shared" ca="1" si="19"/>
        <v/>
      </c>
      <c r="J65" s="142" t="str">
        <f t="shared" ca="1" si="20"/>
        <v/>
      </c>
      <c r="K65" s="77" t="str">
        <f t="shared" ca="1" si="21"/>
        <v/>
      </c>
      <c r="L65" s="140" t="str">
        <f t="shared" ca="1" si="22"/>
        <v/>
      </c>
      <c r="M65" s="142" t="str">
        <f t="shared" ca="1" si="23"/>
        <v/>
      </c>
      <c r="N65" s="77" t="str">
        <f t="shared" ca="1" si="24"/>
        <v/>
      </c>
      <c r="O65" s="140" t="str">
        <f t="shared" ca="1" si="25"/>
        <v/>
      </c>
    </row>
    <row r="66" spans="1:15">
      <c r="A66" s="159">
        <v>12</v>
      </c>
      <c r="B66" s="159" t="str">
        <f>TEXT(투자전략!$G$1+11, "[$-ko-KR]yyyy.mm.dd")</f>
        <v>2021.05.12</v>
      </c>
      <c r="C66" s="138" t="str">
        <f t="shared" ca="1" si="13"/>
        <v/>
      </c>
      <c r="D66" s="142" t="str">
        <f t="shared" ca="1" si="14"/>
        <v/>
      </c>
      <c r="E66" s="77" t="str">
        <f t="shared" ca="1" si="15"/>
        <v/>
      </c>
      <c r="F66" s="140" t="str">
        <f t="shared" ca="1" si="16"/>
        <v/>
      </c>
      <c r="G66" s="142" t="str">
        <f t="shared" ca="1" si="17"/>
        <v/>
      </c>
      <c r="H66" s="77" t="str">
        <f t="shared" ca="1" si="18"/>
        <v/>
      </c>
      <c r="I66" s="140" t="str">
        <f t="shared" ca="1" si="19"/>
        <v/>
      </c>
      <c r="J66" s="142" t="str">
        <f t="shared" ca="1" si="20"/>
        <v/>
      </c>
      <c r="K66" s="77" t="str">
        <f t="shared" ca="1" si="21"/>
        <v/>
      </c>
      <c r="L66" s="140" t="str">
        <f t="shared" ca="1" si="22"/>
        <v/>
      </c>
      <c r="M66" s="142" t="str">
        <f t="shared" ca="1" si="23"/>
        <v/>
      </c>
      <c r="N66" s="77" t="str">
        <f t="shared" ca="1" si="24"/>
        <v/>
      </c>
      <c r="O66" s="140" t="str">
        <f t="shared" ca="1" si="25"/>
        <v/>
      </c>
    </row>
    <row r="67" spans="1:15">
      <c r="A67" s="159">
        <v>13</v>
      </c>
      <c r="B67" s="159" t="str">
        <f>TEXT(투자전략!$G$1+12, "[$-ko-KR]yyyy.mm.dd")</f>
        <v>2021.05.13</v>
      </c>
      <c r="C67" s="138" t="str">
        <f t="shared" ca="1" si="13"/>
        <v/>
      </c>
      <c r="D67" s="142" t="str">
        <f t="shared" ca="1" si="14"/>
        <v/>
      </c>
      <c r="E67" s="77" t="str">
        <f t="shared" ca="1" si="15"/>
        <v/>
      </c>
      <c r="F67" s="140" t="str">
        <f t="shared" ca="1" si="16"/>
        <v/>
      </c>
      <c r="G67" s="142" t="str">
        <f t="shared" ca="1" si="17"/>
        <v/>
      </c>
      <c r="H67" s="77" t="str">
        <f t="shared" ca="1" si="18"/>
        <v/>
      </c>
      <c r="I67" s="140" t="str">
        <f t="shared" ca="1" si="19"/>
        <v/>
      </c>
      <c r="J67" s="142" t="str">
        <f t="shared" ca="1" si="20"/>
        <v/>
      </c>
      <c r="K67" s="77" t="str">
        <f t="shared" ca="1" si="21"/>
        <v/>
      </c>
      <c r="L67" s="140" t="str">
        <f t="shared" ca="1" si="22"/>
        <v/>
      </c>
      <c r="M67" s="142" t="str">
        <f t="shared" ca="1" si="23"/>
        <v/>
      </c>
      <c r="N67" s="77" t="str">
        <f t="shared" ca="1" si="24"/>
        <v/>
      </c>
      <c r="O67" s="140" t="str">
        <f t="shared" ca="1" si="25"/>
        <v/>
      </c>
    </row>
    <row r="68" spans="1:15" ht="17.25" thickBot="1">
      <c r="A68" s="161">
        <v>14</v>
      </c>
      <c r="B68" s="161" t="str">
        <f>TEXT(투자전략!$G$1+13, "[$-ko-KR]yyyy.mm.dd")</f>
        <v>2021.05.14</v>
      </c>
      <c r="C68" s="139" t="str">
        <f t="shared" ca="1" si="13"/>
        <v/>
      </c>
      <c r="D68" s="143" t="str">
        <f t="shared" ca="1" si="14"/>
        <v/>
      </c>
      <c r="E68" s="79" t="str">
        <f t="shared" ca="1" si="15"/>
        <v/>
      </c>
      <c r="F68" s="141" t="str">
        <f t="shared" ca="1" si="16"/>
        <v/>
      </c>
      <c r="G68" s="143" t="str">
        <f t="shared" ca="1" si="17"/>
        <v/>
      </c>
      <c r="H68" s="79" t="str">
        <f t="shared" ca="1" si="18"/>
        <v/>
      </c>
      <c r="I68" s="141" t="str">
        <f t="shared" ca="1" si="19"/>
        <v/>
      </c>
      <c r="J68" s="143" t="str">
        <f t="shared" ca="1" si="20"/>
        <v/>
      </c>
      <c r="K68" s="79" t="str">
        <f t="shared" ca="1" si="21"/>
        <v/>
      </c>
      <c r="L68" s="141" t="str">
        <f t="shared" ca="1" si="22"/>
        <v/>
      </c>
      <c r="M68" s="143" t="str">
        <f t="shared" ca="1" si="23"/>
        <v/>
      </c>
      <c r="N68" s="79" t="str">
        <f t="shared" ca="1" si="24"/>
        <v/>
      </c>
      <c r="O68" s="141" t="str">
        <f t="shared" ca="1" si="25"/>
        <v/>
      </c>
    </row>
    <row r="69" spans="1:15">
      <c r="A69" s="160">
        <v>15</v>
      </c>
      <c r="B69" s="160" t="str">
        <f>TEXT(투자전략!$G$1+14, "[$-ko-KR]yyyy.mm.dd")</f>
        <v>2021.05.15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>
      <c r="A70" s="159">
        <v>16</v>
      </c>
      <c r="B70" s="159" t="str">
        <f>TEXT(투자전략!$G$1+15, "[$-ko-KR]yyyy.mm.dd")</f>
        <v>2021.05.16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>
      <c r="A71" s="159">
        <v>17</v>
      </c>
      <c r="B71" s="159" t="str">
        <f>TEXT(투자전략!$G$1+16, "[$-ko-KR]yyyy.mm.dd")</f>
        <v>2021.05.17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>
      <c r="A72" s="159">
        <v>18</v>
      </c>
      <c r="B72" s="159" t="str">
        <f>TEXT(투자전략!$G$1+17, "[$-ko-KR]yyyy.mm.dd")</f>
        <v>2021.05.18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>
      <c r="A73" s="159">
        <v>19</v>
      </c>
      <c r="B73" s="159" t="str">
        <f>TEXT(투자전략!$G$1+18, "[$-ko-KR]yyyy.mm.dd")</f>
        <v>2021.05.19</v>
      </c>
      <c r="C73" s="138" t="str">
        <f t="shared" ca="1" si="13"/>
        <v/>
      </c>
      <c r="D73" s="142" t="str">
        <f t="shared" ca="1" si="14"/>
        <v/>
      </c>
      <c r="E73" s="77" t="str">
        <f t="shared" ca="1" si="15"/>
        <v/>
      </c>
      <c r="F73" s="140" t="str">
        <f t="shared" ca="1" si="16"/>
        <v/>
      </c>
      <c r="G73" s="142" t="str">
        <f t="shared" ca="1" si="17"/>
        <v/>
      </c>
      <c r="H73" s="77" t="str">
        <f t="shared" ca="1" si="18"/>
        <v/>
      </c>
      <c r="I73" s="140" t="str">
        <f t="shared" ca="1" si="19"/>
        <v/>
      </c>
      <c r="J73" s="142" t="str">
        <f t="shared" ca="1" si="20"/>
        <v/>
      </c>
      <c r="K73" s="77" t="str">
        <f t="shared" ca="1" si="21"/>
        <v/>
      </c>
      <c r="L73" s="140" t="str">
        <f t="shared" ca="1" si="22"/>
        <v/>
      </c>
      <c r="M73" s="142" t="str">
        <f t="shared" ca="1" si="23"/>
        <v/>
      </c>
      <c r="N73" s="77" t="str">
        <f t="shared" ca="1" si="24"/>
        <v/>
      </c>
      <c r="O73" s="140" t="str">
        <f t="shared" ca="1" si="25"/>
        <v/>
      </c>
    </row>
    <row r="74" spans="1:15">
      <c r="A74" s="159">
        <v>20</v>
      </c>
      <c r="B74" s="159" t="str">
        <f>TEXT(투자전략!$G$1+19, "[$-ko-KR]yyyy.mm.dd")</f>
        <v>2021.05.20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7.25" thickBot="1">
      <c r="A75" s="161">
        <v>21</v>
      </c>
      <c r="B75" s="161" t="str">
        <f>TEXT(투자전략!$G$1+20, "[$-ko-KR]yyyy.mm.dd")</f>
        <v>2021.05.21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>
      <c r="A76" s="160">
        <v>22</v>
      </c>
      <c r="B76" s="160" t="str">
        <f>TEXT(투자전략!$G$1+21, "[$-ko-KR]yyyy.mm.dd")</f>
        <v>2021.05.22</v>
      </c>
      <c r="C76" s="137" t="str">
        <f t="shared" ca="1" si="13"/>
        <v/>
      </c>
      <c r="D76" s="145" t="str">
        <f t="shared" ca="1" si="14"/>
        <v/>
      </c>
      <c r="E76" s="76" t="str">
        <f t="shared" ca="1" si="15"/>
        <v/>
      </c>
      <c r="F76" s="144" t="str">
        <f t="shared" ca="1" si="16"/>
        <v/>
      </c>
      <c r="G76" s="145" t="str">
        <f t="shared" ca="1" si="17"/>
        <v/>
      </c>
      <c r="H76" s="76" t="str">
        <f t="shared" ca="1" si="18"/>
        <v/>
      </c>
      <c r="I76" s="144" t="str">
        <f t="shared" ca="1" si="19"/>
        <v/>
      </c>
      <c r="J76" s="145" t="str">
        <f t="shared" ca="1" si="20"/>
        <v/>
      </c>
      <c r="K76" s="76" t="str">
        <f t="shared" ca="1" si="21"/>
        <v/>
      </c>
      <c r="L76" s="144" t="str">
        <f t="shared" ca="1" si="22"/>
        <v/>
      </c>
      <c r="M76" s="145" t="str">
        <f t="shared" ca="1" si="23"/>
        <v/>
      </c>
      <c r="N76" s="76" t="str">
        <f t="shared" ca="1" si="24"/>
        <v/>
      </c>
      <c r="O76" s="144" t="str">
        <f t="shared" ca="1" si="25"/>
        <v/>
      </c>
    </row>
    <row r="77" spans="1:15">
      <c r="A77" s="159">
        <v>23</v>
      </c>
      <c r="B77" s="159" t="str">
        <f>TEXT(투자전략!$G$1+22, "[$-ko-KR]yyyy.mm.dd")</f>
        <v>2021.05.23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>
      <c r="A78" s="159">
        <v>24</v>
      </c>
      <c r="B78" s="159" t="str">
        <f>TEXT(투자전략!$G$1+23, "[$-ko-KR]yyyy.mm.dd")</f>
        <v>2021.05.24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>
      <c r="A79" s="159">
        <v>25</v>
      </c>
      <c r="B79" s="159" t="str">
        <f>TEXT(투자전략!$G$1+24, "[$-ko-KR]yyyy.mm.dd")</f>
        <v>2021.05.25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>
      <c r="A80" s="159">
        <v>26</v>
      </c>
      <c r="B80" s="159" t="str">
        <f>TEXT(투자전략!$G$1+25, "[$-ko-KR]yyyy.mm.dd")</f>
        <v>2021.05.26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>
      <c r="A81" s="159">
        <v>27</v>
      </c>
      <c r="B81" s="159" t="str">
        <f>TEXT(투자전략!$G$1+26, "[$-ko-KR]yyyy.mm.dd")</f>
        <v>2021.05.27</v>
      </c>
      <c r="C81" s="138" t="str">
        <f t="shared" ca="1" si="13"/>
        <v/>
      </c>
      <c r="D81" s="142" t="str">
        <f t="shared" ca="1" si="14"/>
        <v/>
      </c>
      <c r="E81" s="77" t="str">
        <f t="shared" ca="1" si="15"/>
        <v/>
      </c>
      <c r="F81" s="140" t="str">
        <f t="shared" ca="1" si="16"/>
        <v/>
      </c>
      <c r="G81" s="142" t="str">
        <f t="shared" ca="1" si="17"/>
        <v/>
      </c>
      <c r="H81" s="77" t="str">
        <f t="shared" ca="1" si="18"/>
        <v/>
      </c>
      <c r="I81" s="140" t="str">
        <f t="shared" ca="1" si="19"/>
        <v/>
      </c>
      <c r="J81" s="142" t="str">
        <f t="shared" ca="1" si="20"/>
        <v/>
      </c>
      <c r="K81" s="77" t="str">
        <f t="shared" ca="1" si="21"/>
        <v/>
      </c>
      <c r="L81" s="140" t="str">
        <f t="shared" ca="1" si="22"/>
        <v/>
      </c>
      <c r="M81" s="142" t="str">
        <f t="shared" ca="1" si="23"/>
        <v/>
      </c>
      <c r="N81" s="77" t="str">
        <f t="shared" ca="1" si="24"/>
        <v/>
      </c>
      <c r="O81" s="140" t="str">
        <f t="shared" ca="1" si="25"/>
        <v/>
      </c>
    </row>
    <row r="82" spans="1:15" ht="17.25" thickBot="1">
      <c r="A82" s="161">
        <v>28</v>
      </c>
      <c r="B82" s="161" t="str">
        <f>TEXT(투자전략!$G$1+27, "[$-ko-KR]yyyy.mm.dd")</f>
        <v>2021.05.28</v>
      </c>
      <c r="C82" s="139" t="str">
        <f t="shared" ca="1" si="13"/>
        <v/>
      </c>
      <c r="D82" s="143" t="str">
        <f t="shared" ca="1" si="14"/>
        <v/>
      </c>
      <c r="E82" s="79" t="str">
        <f t="shared" ca="1" si="15"/>
        <v/>
      </c>
      <c r="F82" s="141" t="str">
        <f t="shared" ca="1" si="16"/>
        <v/>
      </c>
      <c r="G82" s="143" t="str">
        <f t="shared" ca="1" si="17"/>
        <v/>
      </c>
      <c r="H82" s="79" t="str">
        <f t="shared" ca="1" si="18"/>
        <v/>
      </c>
      <c r="I82" s="141" t="str">
        <f t="shared" ca="1" si="19"/>
        <v/>
      </c>
      <c r="J82" s="143" t="str">
        <f t="shared" ca="1" si="20"/>
        <v/>
      </c>
      <c r="K82" s="79" t="str">
        <f t="shared" ca="1" si="21"/>
        <v/>
      </c>
      <c r="L82" s="141" t="str">
        <f t="shared" ca="1" si="22"/>
        <v/>
      </c>
      <c r="M82" s="143" t="str">
        <f t="shared" ca="1" si="23"/>
        <v/>
      </c>
      <c r="N82" s="79" t="str">
        <f t="shared" ca="1" si="24"/>
        <v/>
      </c>
      <c r="O82" s="141" t="str">
        <f t="shared" ca="1" si="25"/>
        <v/>
      </c>
    </row>
    <row r="83" spans="1:15">
      <c r="A83" s="124">
        <v>29</v>
      </c>
      <c r="B83" s="160" t="str">
        <f>TEXT(투자전략!$G$1+28, "[$-ko-KR]yyyy.mm.dd")</f>
        <v>2021.05.29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>
      <c r="A84" s="124">
        <v>30</v>
      </c>
      <c r="B84" s="159" t="str">
        <f>TEXT(투자전략!$G$1+29, "[$-ko-KR]yyyy.mm.dd")</f>
        <v>2021.05.30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7.25" thickBot="1">
      <c r="A85" s="124">
        <v>31</v>
      </c>
      <c r="B85" s="159" t="str">
        <f>TEXT(투자전략!$G$1+30, "[$-ko-KR]yyyy.mm.dd")</f>
        <v>2021.05.31</v>
      </c>
      <c r="C85" s="139" t="str">
        <f t="shared" ca="1" si="13"/>
        <v/>
      </c>
      <c r="D85" s="143" t="str">
        <f t="shared" ca="1" si="14"/>
        <v/>
      </c>
      <c r="E85" s="79" t="str">
        <f t="shared" ca="1" si="15"/>
        <v/>
      </c>
      <c r="F85" s="141" t="str">
        <f t="shared" ca="1" si="16"/>
        <v/>
      </c>
      <c r="G85" s="143" t="str">
        <f t="shared" ca="1" si="17"/>
        <v/>
      </c>
      <c r="H85" s="79" t="str">
        <f t="shared" ca="1" si="18"/>
        <v/>
      </c>
      <c r="I85" s="141" t="str">
        <f t="shared" ca="1" si="19"/>
        <v/>
      </c>
      <c r="J85" s="143" t="str">
        <f t="shared" ca="1" si="20"/>
        <v/>
      </c>
      <c r="K85" s="79" t="str">
        <f t="shared" ca="1" si="21"/>
        <v/>
      </c>
      <c r="L85" s="141" t="str">
        <f t="shared" ca="1" si="22"/>
        <v/>
      </c>
      <c r="M85" s="143" t="str">
        <f t="shared" ca="1" si="23"/>
        <v/>
      </c>
      <c r="N85" s="79" t="str">
        <f t="shared" ca="1" si="24"/>
        <v/>
      </c>
      <c r="O85" s="141" t="str">
        <f t="shared" ca="1" si="25"/>
        <v/>
      </c>
    </row>
    <row r="86" spans="1:15" ht="17.25" thickBot="1">
      <c r="A86" s="213" t="s">
        <v>319</v>
      </c>
      <c r="B86" s="215"/>
      <c r="C86" s="135" t="s">
        <v>314</v>
      </c>
      <c r="D86" s="153" t="s">
        <v>315</v>
      </c>
      <c r="E86" s="154" t="s">
        <v>316</v>
      </c>
      <c r="F86" s="155" t="s">
        <v>317</v>
      </c>
      <c r="G86" s="153" t="s">
        <v>315</v>
      </c>
      <c r="H86" s="154" t="s">
        <v>316</v>
      </c>
      <c r="I86" s="155" t="s">
        <v>317</v>
      </c>
      <c r="J86" s="153" t="s">
        <v>315</v>
      </c>
      <c r="K86" s="154" t="s">
        <v>316</v>
      </c>
      <c r="L86" s="155" t="s">
        <v>317</v>
      </c>
      <c r="M86" s="153" t="s">
        <v>315</v>
      </c>
      <c r="N86" s="154" t="s">
        <v>316</v>
      </c>
      <c r="O86" s="155" t="s">
        <v>317</v>
      </c>
    </row>
    <row r="87" spans="1:15" ht="17.25" thickBot="1">
      <c r="A87" s="206"/>
      <c r="B87" s="208"/>
      <c r="C87" s="139">
        <f ca="1">SUM(C55:C85)</f>
        <v>24450000</v>
      </c>
      <c r="D87" s="143">
        <f ca="1">SUM(D55:D85)</f>
        <v>24457444.181397196</v>
      </c>
      <c r="E87" s="79">
        <f ca="1">IFERROR(F87 / (SUM($C55:$C85) / COUNT($C55:$C85)), 0)</f>
        <v>1.5223274840886036E-3</v>
      </c>
      <c r="F87" s="141">
        <f ca="1">SUM(F55:F85)</f>
        <v>7444.1813971932716</v>
      </c>
      <c r="G87" s="143">
        <f ca="1">SUM(G55:G85)</f>
        <v>24566229.800258018</v>
      </c>
      <c r="H87" s="79">
        <f ca="1">IFERROR(I87 / (SUM($C55:$C85) / COUNT($C55:$C85)), 0)</f>
        <v>2.3768875308388952E-2</v>
      </c>
      <c r="I87" s="141">
        <f ca="1">SUM(I55:I85)</f>
        <v>116229.80025802198</v>
      </c>
      <c r="J87" s="143">
        <f ca="1">SUM(J55:J85)</f>
        <v>24658583.329595428</v>
      </c>
      <c r="K87" s="79">
        <f ca="1">IFERROR(L87 / (SUM($C55:$C85) / COUNT($C55:$C85)), 0)</f>
        <v>4.2655077626876953E-2</v>
      </c>
      <c r="L87" s="141">
        <f ca="1">SUM(L55:L85)</f>
        <v>208583.32959542831</v>
      </c>
      <c r="M87" s="143">
        <f ca="1">SUM(M55:M85)</f>
        <v>24458949.121695325</v>
      </c>
      <c r="N87" s="79">
        <f ca="1">IFERROR(O87 / (SUM($C55:$C85) / COUNT($C55:$C85)), 0)</f>
        <v>1.8300862362633668E-3</v>
      </c>
      <c r="O87" s="141">
        <f ca="1">SUM(O55:O85)</f>
        <v>8949.1216953278636</v>
      </c>
    </row>
    <row r="89" spans="1:15" ht="17.25" thickBot="1"/>
    <row r="90" spans="1:15" ht="17.25" thickBot="1">
      <c r="A90" s="185" t="str">
        <f>TEXT(투자전략!$G$1, "[$-ko-KR]yyyy년 mm월 ") &amp; "[동전코인] 전일대비 상승률 Top20 월말결산"</f>
        <v>2021년 05월 [동전코인] 전일대비 상승률 Top20 월말결산</v>
      </c>
      <c r="B90" s="186"/>
      <c r="C90" s="186"/>
      <c r="D90" s="186"/>
      <c r="E90" s="186"/>
      <c r="F90" s="186"/>
      <c r="G90" s="186"/>
      <c r="H90" s="186"/>
      <c r="I90" s="186"/>
      <c r="J90" s="186"/>
      <c r="K90" s="186"/>
      <c r="L90" s="186"/>
      <c r="M90" s="186"/>
      <c r="N90" s="186"/>
      <c r="O90" s="187"/>
    </row>
    <row r="91" spans="1:15" ht="17.25" thickBot="1">
      <c r="A91" s="229" t="s">
        <v>320</v>
      </c>
      <c r="B91" s="206" t="s">
        <v>318</v>
      </c>
      <c r="C91" s="208"/>
      <c r="D91" s="206" t="s">
        <v>310</v>
      </c>
      <c r="E91" s="207"/>
      <c r="F91" s="208"/>
      <c r="G91" s="206" t="s">
        <v>311</v>
      </c>
      <c r="H91" s="207"/>
      <c r="I91" s="208"/>
      <c r="J91" s="206" t="s">
        <v>312</v>
      </c>
      <c r="K91" s="207"/>
      <c r="L91" s="208"/>
      <c r="M91" s="206" t="s">
        <v>313</v>
      </c>
      <c r="N91" s="207"/>
      <c r="O91" s="208"/>
    </row>
    <row r="92" spans="1:15" ht="17.25" thickBot="1">
      <c r="A92" s="222"/>
      <c r="B92" s="160" t="s">
        <v>308</v>
      </c>
      <c r="C92" s="160" t="s">
        <v>42</v>
      </c>
      <c r="D92" s="124" t="s">
        <v>309</v>
      </c>
      <c r="E92" s="136" t="s">
        <v>40</v>
      </c>
      <c r="F92" s="162" t="s">
        <v>41</v>
      </c>
      <c r="G92" s="124" t="s">
        <v>309</v>
      </c>
      <c r="H92" s="136" t="s">
        <v>40</v>
      </c>
      <c r="I92" s="162" t="s">
        <v>41</v>
      </c>
      <c r="J92" s="124" t="s">
        <v>309</v>
      </c>
      <c r="K92" s="136" t="s">
        <v>40</v>
      </c>
      <c r="L92" s="162" t="s">
        <v>41</v>
      </c>
      <c r="M92" s="124" t="s">
        <v>309</v>
      </c>
      <c r="N92" s="136" t="s">
        <v>40</v>
      </c>
      <c r="O92" s="162" t="s">
        <v>41</v>
      </c>
    </row>
    <row r="93" spans="1:15">
      <c r="A93" s="160">
        <v>1</v>
      </c>
      <c r="B93" s="160" t="str">
        <f>TEXT(투자전략!$G$1+0, "[$-ko-KR]yyyy.mm.dd")</f>
        <v>2021.05.01</v>
      </c>
      <c r="C93" s="137">
        <f ca="1">IFERROR(COUNTA(INDIRECT($B93&amp;"!A71:A90")) * INDIRECT($B93&amp;"!B91"), "")</f>
        <v>6000000</v>
      </c>
      <c r="D93" s="145">
        <f ca="1">IFERROR($C93 * (1 + E93), "")</f>
        <v>6184486.4255649652</v>
      </c>
      <c r="E93" s="76">
        <f ca="1">IFERROR(INDIRECT($B93&amp;"!E91"), "")</f>
        <v>3.0747737594160929E-2</v>
      </c>
      <c r="F93" s="144">
        <f ca="1">IFERROR(INDIRECT($B93&amp;"!F91"), "")</f>
        <v>184486.42556496555</v>
      </c>
      <c r="G93" s="145">
        <f ca="1">IFERROR($C93 * (1 + H93), "")</f>
        <v>6114970.0911680311</v>
      </c>
      <c r="H93" s="76">
        <f ca="1">IFERROR(INDIRECT($B93&amp;"!H91"), "")</f>
        <v>1.9161681861338504E-2</v>
      </c>
      <c r="I93" s="144">
        <f ca="1">IFERROR(INDIRECT($B93&amp;"!I91"), "")</f>
        <v>114970.09116803102</v>
      </c>
      <c r="J93" s="145">
        <f ca="1">IFERROR($C93 * (1 + K93), "")</f>
        <v>6194970.8295751177</v>
      </c>
      <c r="K93" s="76">
        <f ca="1">IFERROR(INDIRECT($B93&amp;"!K91"), "")</f>
        <v>3.2495138262519693E-2</v>
      </c>
      <c r="L93" s="144">
        <f ca="1">IFERROR(INDIRECT($B93&amp;"!L91"), "")</f>
        <v>194970.82957511808</v>
      </c>
      <c r="M93" s="145">
        <f ca="1">IFERROR($C93 * (1 + N93), "")</f>
        <v>6147439.3665411985</v>
      </c>
      <c r="N93" s="76">
        <f ca="1">IFERROR(INDIRECT($B93&amp;"!N91"), "")</f>
        <v>2.4573227756866368E-2</v>
      </c>
      <c r="O93" s="144">
        <f ca="1">IFERROR(INDIRECT($B93&amp;"!O91"), "")</f>
        <v>147439.36654119819</v>
      </c>
    </row>
    <row r="94" spans="1:15">
      <c r="A94" s="159">
        <v>2</v>
      </c>
      <c r="B94" s="159" t="str">
        <f>TEXT(투자전략!$G$1+1, "[$-ko-KR]yyyy.mm.dd")</f>
        <v>2021.05.02</v>
      </c>
      <c r="C94" s="138">
        <f t="shared" ref="C94:C123" ca="1" si="26">IFERROR(COUNTA(INDIRECT($B94&amp;"!A71:A90")) * INDIRECT($B94&amp;"!B91"), "")</f>
        <v>6000000</v>
      </c>
      <c r="D94" s="142">
        <f t="shared" ref="D94:D123" ca="1" si="27">IFERROR($C94 * (1 + E94), "")</f>
        <v>5982819.4308755761</v>
      </c>
      <c r="E94" s="77">
        <f t="shared" ref="E94:E123" ca="1" si="28">IFERROR(INDIRECT($B94&amp;"!E91"), "")</f>
        <v>-2.863428187403949E-3</v>
      </c>
      <c r="F94" s="140">
        <f t="shared" ref="F94:F123" ca="1" si="29">IFERROR(INDIRECT($B94&amp;"!F91"), "")</f>
        <v>-17180.569124423695</v>
      </c>
      <c r="G94" s="142">
        <f t="shared" ref="G94:G123" ca="1" si="30">IFERROR($C94 * (1 + H94), "")</f>
        <v>5990283.0231446996</v>
      </c>
      <c r="H94" s="77">
        <f t="shared" ref="H94:H123" ca="1" si="31">IFERROR(INDIRECT($B94&amp;"!H91"), "")</f>
        <v>-1.6194961425501017E-3</v>
      </c>
      <c r="I94" s="140">
        <f t="shared" ref="I94:I123" ca="1" si="32">IFERROR(INDIRECT($B94&amp;"!I91"), "")</f>
        <v>-9716.9768553006252</v>
      </c>
      <c r="J94" s="142">
        <f t="shared" ref="J94:J123" ca="1" si="33">IFERROR($C94 * (1 + K94), "")</f>
        <v>6021894.870766893</v>
      </c>
      <c r="K94" s="77">
        <f t="shared" ref="K94:K123" ca="1" si="34">IFERROR(INDIRECT($B94&amp;"!K91"), "")</f>
        <v>3.6491451278155467E-3</v>
      </c>
      <c r="L94" s="140">
        <f t="shared" ref="L94:L123" ca="1" si="35">IFERROR(INDIRECT($B94&amp;"!L91"), "")</f>
        <v>21894.870766893284</v>
      </c>
      <c r="M94" s="142">
        <f t="shared" ref="M94:M123" ca="1" si="36">IFERROR($C94 * (1 + N94), "")</f>
        <v>6051490.358055776</v>
      </c>
      <c r="N94" s="77">
        <f t="shared" ref="N94:N123" ca="1" si="37">IFERROR(INDIRECT($B94&amp;"!N91"), "")</f>
        <v>8.581726342629362E-3</v>
      </c>
      <c r="O94" s="140">
        <f t="shared" ref="O94:O123" ca="1" si="38">IFERROR(INDIRECT($B94&amp;"!O91"), "")</f>
        <v>51490.358055776174</v>
      </c>
    </row>
    <row r="95" spans="1:15">
      <c r="A95" s="159">
        <v>3</v>
      </c>
      <c r="B95" s="159" t="str">
        <f>TEXT(투자전략!$G$1+2, "[$-ko-KR]yyyy.mm.dd")</f>
        <v>2021.05.03</v>
      </c>
      <c r="C95" s="138">
        <f t="shared" ca="1" si="26"/>
        <v>6000000</v>
      </c>
      <c r="D95" s="142">
        <f t="shared" ca="1" si="27"/>
        <v>6172508.5939996438</v>
      </c>
      <c r="E95" s="77">
        <f t="shared" ca="1" si="28"/>
        <v>2.8751432333274062E-2</v>
      </c>
      <c r="F95" s="140">
        <f t="shared" ca="1" si="29"/>
        <v>172508.59399964436</v>
      </c>
      <c r="G95" s="142">
        <f t="shared" ca="1" si="30"/>
        <v>6233686.7788462183</v>
      </c>
      <c r="H95" s="77">
        <f t="shared" ca="1" si="31"/>
        <v>3.8947796474369689E-2</v>
      </c>
      <c r="I95" s="140">
        <f t="shared" ca="1" si="32"/>
        <v>233686.77884621805</v>
      </c>
      <c r="J95" s="142">
        <f t="shared" ca="1" si="33"/>
        <v>6289422.7420696653</v>
      </c>
      <c r="K95" s="77">
        <f t="shared" ca="1" si="34"/>
        <v>4.8237123678277566E-2</v>
      </c>
      <c r="L95" s="140">
        <f t="shared" ca="1" si="35"/>
        <v>289422.74206966534</v>
      </c>
      <c r="M95" s="142">
        <f t="shared" ca="1" si="36"/>
        <v>6195461.6913859444</v>
      </c>
      <c r="N95" s="77">
        <f t="shared" ca="1" si="37"/>
        <v>3.2576948564324033E-2</v>
      </c>
      <c r="O95" s="140">
        <f t="shared" ca="1" si="38"/>
        <v>195461.69138594417</v>
      </c>
    </row>
    <row r="96" spans="1:15">
      <c r="A96" s="159">
        <v>4</v>
      </c>
      <c r="B96" s="159" t="str">
        <f>TEXT(투자전략!$G$1+3, "[$-ko-KR]yyyy.mm.dd")</f>
        <v>2021.05.04</v>
      </c>
      <c r="C96" s="138">
        <f t="shared" ca="1" si="26"/>
        <v>6000000</v>
      </c>
      <c r="D96" s="142">
        <f t="shared" ca="1" si="27"/>
        <v>5878310.7276261421</v>
      </c>
      <c r="E96" s="77">
        <f t="shared" ca="1" si="28"/>
        <v>-2.0281545395642968E-2</v>
      </c>
      <c r="F96" s="140">
        <f t="shared" ca="1" si="29"/>
        <v>-121689.27237385782</v>
      </c>
      <c r="G96" s="142">
        <f t="shared" ca="1" si="30"/>
        <v>5985906.1143582687</v>
      </c>
      <c r="H96" s="77">
        <f t="shared" ca="1" si="31"/>
        <v>-2.3489809402885697E-3</v>
      </c>
      <c r="I96" s="140">
        <f t="shared" ca="1" si="32"/>
        <v>-14093.885641731413</v>
      </c>
      <c r="J96" s="142">
        <f t="shared" ca="1" si="33"/>
        <v>6006627.6945339618</v>
      </c>
      <c r="K96" s="77">
        <f t="shared" ca="1" si="34"/>
        <v>1.1046157556602802E-3</v>
      </c>
      <c r="L96" s="140">
        <f t="shared" ca="1" si="35"/>
        <v>6627.6945339616759</v>
      </c>
      <c r="M96" s="142">
        <f t="shared" ca="1" si="36"/>
        <v>5821671.7144620856</v>
      </c>
      <c r="N96" s="77">
        <f t="shared" ca="1" si="37"/>
        <v>-2.9721380922985652E-2</v>
      </c>
      <c r="O96" s="140">
        <f t="shared" ca="1" si="38"/>
        <v>-178328.28553791397</v>
      </c>
    </row>
    <row r="97" spans="1:15">
      <c r="A97" s="159">
        <v>5</v>
      </c>
      <c r="B97" s="159" t="str">
        <f>TEXT(투자전략!$G$1+4, "[$-ko-KR]yyyy.mm.dd")</f>
        <v>2021.05.05</v>
      </c>
      <c r="C97" s="138">
        <f t="shared" ca="1" si="26"/>
        <v>3000000</v>
      </c>
      <c r="D97" s="142">
        <f t="shared" ca="1" si="27"/>
        <v>2932399.6716727144</v>
      </c>
      <c r="E97" s="77">
        <f t="shared" ca="1" si="28"/>
        <v>-2.253344277576182E-2</v>
      </c>
      <c r="F97" s="140">
        <f t="shared" ca="1" si="29"/>
        <v>-67600.328327285446</v>
      </c>
      <c r="G97" s="142">
        <f t="shared" ca="1" si="30"/>
        <v>3000000</v>
      </c>
      <c r="H97" s="77">
        <f t="shared" ca="1" si="31"/>
        <v>0</v>
      </c>
      <c r="I97" s="140">
        <f t="shared" ca="1" si="32"/>
        <v>0</v>
      </c>
      <c r="J97" s="142">
        <f t="shared" ca="1" si="33"/>
        <v>3000000</v>
      </c>
      <c r="K97" s="77">
        <f t="shared" ca="1" si="34"/>
        <v>0</v>
      </c>
      <c r="L97" s="140">
        <f t="shared" ca="1" si="35"/>
        <v>0</v>
      </c>
      <c r="M97" s="142">
        <f t="shared" ca="1" si="36"/>
        <v>3000000</v>
      </c>
      <c r="N97" s="77">
        <f t="shared" ca="1" si="37"/>
        <v>0</v>
      </c>
      <c r="O97" s="140">
        <f t="shared" ca="1" si="38"/>
        <v>0</v>
      </c>
    </row>
    <row r="98" spans="1:15">
      <c r="A98" s="159">
        <v>6</v>
      </c>
      <c r="B98" s="159" t="str">
        <f>TEXT(투자전략!$G$1+5, "[$-ko-KR]yyyy.mm.dd")</f>
        <v>2021.05.06</v>
      </c>
      <c r="C98" s="138" t="str">
        <f t="shared" ca="1" si="26"/>
        <v/>
      </c>
      <c r="D98" s="142" t="str">
        <f t="shared" ca="1" si="27"/>
        <v/>
      </c>
      <c r="E98" s="77" t="str">
        <f t="shared" ca="1" si="28"/>
        <v/>
      </c>
      <c r="F98" s="140" t="str">
        <f t="shared" ca="1" si="29"/>
        <v/>
      </c>
      <c r="G98" s="142" t="str">
        <f t="shared" ca="1" si="30"/>
        <v/>
      </c>
      <c r="H98" s="77" t="str">
        <f t="shared" ca="1" si="31"/>
        <v/>
      </c>
      <c r="I98" s="140" t="str">
        <f t="shared" ca="1" si="32"/>
        <v/>
      </c>
      <c r="J98" s="142" t="str">
        <f t="shared" ca="1" si="33"/>
        <v/>
      </c>
      <c r="K98" s="77" t="str">
        <f t="shared" ca="1" si="34"/>
        <v/>
      </c>
      <c r="L98" s="140" t="str">
        <f t="shared" ca="1" si="35"/>
        <v/>
      </c>
      <c r="M98" s="142" t="str">
        <f t="shared" ca="1" si="36"/>
        <v/>
      </c>
      <c r="N98" s="77" t="str">
        <f t="shared" ca="1" si="37"/>
        <v/>
      </c>
      <c r="O98" s="140" t="str">
        <f t="shared" ca="1" si="38"/>
        <v/>
      </c>
    </row>
    <row r="99" spans="1:15" ht="17.25" thickBot="1">
      <c r="A99" s="161">
        <v>7</v>
      </c>
      <c r="B99" s="161" t="str">
        <f>TEXT(투자전략!$G$1+6, "[$-ko-KR]yyyy.mm.dd")</f>
        <v>2021.05.07</v>
      </c>
      <c r="C99" s="138" t="str">
        <f t="shared" ca="1" si="26"/>
        <v/>
      </c>
      <c r="D99" s="142" t="str">
        <f t="shared" ca="1" si="27"/>
        <v/>
      </c>
      <c r="E99" s="77" t="str">
        <f t="shared" ca="1" si="28"/>
        <v/>
      </c>
      <c r="F99" s="140" t="str">
        <f t="shared" ca="1" si="29"/>
        <v/>
      </c>
      <c r="G99" s="142" t="str">
        <f t="shared" ca="1" si="30"/>
        <v/>
      </c>
      <c r="H99" s="77" t="str">
        <f t="shared" ca="1" si="31"/>
        <v/>
      </c>
      <c r="I99" s="140" t="str">
        <f t="shared" ca="1" si="32"/>
        <v/>
      </c>
      <c r="J99" s="142" t="str">
        <f t="shared" ca="1" si="33"/>
        <v/>
      </c>
      <c r="K99" s="77" t="str">
        <f t="shared" ca="1" si="34"/>
        <v/>
      </c>
      <c r="L99" s="140" t="str">
        <f t="shared" ca="1" si="35"/>
        <v/>
      </c>
      <c r="M99" s="142" t="str">
        <f t="shared" ca="1" si="36"/>
        <v/>
      </c>
      <c r="N99" s="77" t="str">
        <f t="shared" ca="1" si="37"/>
        <v/>
      </c>
      <c r="O99" s="140" t="str">
        <f t="shared" ca="1" si="38"/>
        <v/>
      </c>
    </row>
    <row r="100" spans="1:15">
      <c r="A100" s="160">
        <v>8</v>
      </c>
      <c r="B100" s="160" t="str">
        <f>TEXT(투자전략!$G$1+7, "[$-ko-KR]yyyy.mm.dd")</f>
        <v>2021.05.08</v>
      </c>
      <c r="C100" s="137" t="str">
        <f t="shared" ca="1" si="26"/>
        <v/>
      </c>
      <c r="D100" s="145" t="str">
        <f t="shared" ca="1" si="27"/>
        <v/>
      </c>
      <c r="E100" s="76" t="str">
        <f t="shared" ca="1" si="28"/>
        <v/>
      </c>
      <c r="F100" s="144" t="str">
        <f t="shared" ca="1" si="29"/>
        <v/>
      </c>
      <c r="G100" s="145" t="str">
        <f t="shared" ca="1" si="30"/>
        <v/>
      </c>
      <c r="H100" s="76" t="str">
        <f t="shared" ca="1" si="31"/>
        <v/>
      </c>
      <c r="I100" s="144" t="str">
        <f t="shared" ca="1" si="32"/>
        <v/>
      </c>
      <c r="J100" s="145" t="str">
        <f t="shared" ca="1" si="33"/>
        <v/>
      </c>
      <c r="K100" s="76" t="str">
        <f t="shared" ca="1" si="34"/>
        <v/>
      </c>
      <c r="L100" s="144" t="str">
        <f t="shared" ca="1" si="35"/>
        <v/>
      </c>
      <c r="M100" s="145" t="str">
        <f t="shared" ca="1" si="36"/>
        <v/>
      </c>
      <c r="N100" s="76" t="str">
        <f t="shared" ca="1" si="37"/>
        <v/>
      </c>
      <c r="O100" s="144" t="str">
        <f t="shared" ca="1" si="38"/>
        <v/>
      </c>
    </row>
    <row r="101" spans="1:15">
      <c r="A101" s="159">
        <v>9</v>
      </c>
      <c r="B101" s="159" t="str">
        <f>TEXT(투자전략!$G$1+8, "[$-ko-KR]yyyy.mm.dd")</f>
        <v>2021.05.09</v>
      </c>
      <c r="C101" s="138" t="str">
        <f t="shared" ca="1" si="26"/>
        <v/>
      </c>
      <c r="D101" s="142" t="str">
        <f t="shared" ca="1" si="27"/>
        <v/>
      </c>
      <c r="E101" s="77" t="str">
        <f t="shared" ca="1" si="28"/>
        <v/>
      </c>
      <c r="F101" s="140" t="str">
        <f t="shared" ca="1" si="29"/>
        <v/>
      </c>
      <c r="G101" s="142" t="str">
        <f t="shared" ca="1" si="30"/>
        <v/>
      </c>
      <c r="H101" s="77" t="str">
        <f t="shared" ca="1" si="31"/>
        <v/>
      </c>
      <c r="I101" s="140" t="str">
        <f t="shared" ca="1" si="32"/>
        <v/>
      </c>
      <c r="J101" s="142" t="str">
        <f t="shared" ca="1" si="33"/>
        <v/>
      </c>
      <c r="K101" s="77" t="str">
        <f t="shared" ca="1" si="34"/>
        <v/>
      </c>
      <c r="L101" s="140" t="str">
        <f t="shared" ca="1" si="35"/>
        <v/>
      </c>
      <c r="M101" s="142" t="str">
        <f t="shared" ca="1" si="36"/>
        <v/>
      </c>
      <c r="N101" s="77" t="str">
        <f t="shared" ca="1" si="37"/>
        <v/>
      </c>
      <c r="O101" s="140" t="str">
        <f t="shared" ca="1" si="38"/>
        <v/>
      </c>
    </row>
    <row r="102" spans="1:15">
      <c r="A102" s="159">
        <v>10</v>
      </c>
      <c r="B102" s="159" t="str">
        <f>TEXT(투자전략!$G$1+9, "[$-ko-KR]yyyy.mm.dd")</f>
        <v>2021.05.10</v>
      </c>
      <c r="C102" s="138" t="str">
        <f t="shared" ca="1" si="26"/>
        <v/>
      </c>
      <c r="D102" s="142" t="str">
        <f t="shared" ca="1" si="27"/>
        <v/>
      </c>
      <c r="E102" s="77" t="str">
        <f t="shared" ca="1" si="28"/>
        <v/>
      </c>
      <c r="F102" s="140" t="str">
        <f t="shared" ca="1" si="29"/>
        <v/>
      </c>
      <c r="G102" s="142" t="str">
        <f t="shared" ca="1" si="30"/>
        <v/>
      </c>
      <c r="H102" s="77" t="str">
        <f t="shared" ca="1" si="31"/>
        <v/>
      </c>
      <c r="I102" s="140" t="str">
        <f t="shared" ca="1" si="32"/>
        <v/>
      </c>
      <c r="J102" s="142" t="str">
        <f t="shared" ca="1" si="33"/>
        <v/>
      </c>
      <c r="K102" s="77" t="str">
        <f t="shared" ca="1" si="34"/>
        <v/>
      </c>
      <c r="L102" s="140" t="str">
        <f t="shared" ca="1" si="35"/>
        <v/>
      </c>
      <c r="M102" s="142" t="str">
        <f t="shared" ca="1" si="36"/>
        <v/>
      </c>
      <c r="N102" s="77" t="str">
        <f t="shared" ca="1" si="37"/>
        <v/>
      </c>
      <c r="O102" s="140" t="str">
        <f t="shared" ca="1" si="38"/>
        <v/>
      </c>
    </row>
    <row r="103" spans="1:15">
      <c r="A103" s="159">
        <v>11</v>
      </c>
      <c r="B103" s="159" t="str">
        <f>TEXT(투자전략!$G$1+10, "[$-ko-KR]yyyy.mm.dd")</f>
        <v>2021.05.11</v>
      </c>
      <c r="C103" s="138" t="str">
        <f t="shared" ca="1" si="26"/>
        <v/>
      </c>
      <c r="D103" s="142" t="str">
        <f t="shared" ca="1" si="27"/>
        <v/>
      </c>
      <c r="E103" s="77" t="str">
        <f t="shared" ca="1" si="28"/>
        <v/>
      </c>
      <c r="F103" s="140" t="str">
        <f t="shared" ca="1" si="29"/>
        <v/>
      </c>
      <c r="G103" s="142" t="str">
        <f t="shared" ca="1" si="30"/>
        <v/>
      </c>
      <c r="H103" s="77" t="str">
        <f t="shared" ca="1" si="31"/>
        <v/>
      </c>
      <c r="I103" s="140" t="str">
        <f t="shared" ca="1" si="32"/>
        <v/>
      </c>
      <c r="J103" s="142" t="str">
        <f t="shared" ca="1" si="33"/>
        <v/>
      </c>
      <c r="K103" s="77" t="str">
        <f t="shared" ca="1" si="34"/>
        <v/>
      </c>
      <c r="L103" s="140" t="str">
        <f t="shared" ca="1" si="35"/>
        <v/>
      </c>
      <c r="M103" s="142" t="str">
        <f t="shared" ca="1" si="36"/>
        <v/>
      </c>
      <c r="N103" s="77" t="str">
        <f t="shared" ca="1" si="37"/>
        <v/>
      </c>
      <c r="O103" s="140" t="str">
        <f t="shared" ca="1" si="38"/>
        <v/>
      </c>
    </row>
    <row r="104" spans="1:15">
      <c r="A104" s="159">
        <v>12</v>
      </c>
      <c r="B104" s="159" t="str">
        <f>TEXT(투자전략!$G$1+11, "[$-ko-KR]yyyy.mm.dd")</f>
        <v>2021.05.12</v>
      </c>
      <c r="C104" s="138" t="str">
        <f t="shared" ca="1" si="26"/>
        <v/>
      </c>
      <c r="D104" s="142" t="str">
        <f t="shared" ca="1" si="27"/>
        <v/>
      </c>
      <c r="E104" s="77" t="str">
        <f t="shared" ca="1" si="28"/>
        <v/>
      </c>
      <c r="F104" s="140" t="str">
        <f t="shared" ca="1" si="29"/>
        <v/>
      </c>
      <c r="G104" s="142" t="str">
        <f t="shared" ca="1" si="30"/>
        <v/>
      </c>
      <c r="H104" s="77" t="str">
        <f t="shared" ca="1" si="31"/>
        <v/>
      </c>
      <c r="I104" s="140" t="str">
        <f t="shared" ca="1" si="32"/>
        <v/>
      </c>
      <c r="J104" s="142" t="str">
        <f t="shared" ca="1" si="33"/>
        <v/>
      </c>
      <c r="K104" s="77" t="str">
        <f t="shared" ca="1" si="34"/>
        <v/>
      </c>
      <c r="L104" s="140" t="str">
        <f t="shared" ca="1" si="35"/>
        <v/>
      </c>
      <c r="M104" s="142" t="str">
        <f t="shared" ca="1" si="36"/>
        <v/>
      </c>
      <c r="N104" s="77" t="str">
        <f t="shared" ca="1" si="37"/>
        <v/>
      </c>
      <c r="O104" s="140" t="str">
        <f t="shared" ca="1" si="38"/>
        <v/>
      </c>
    </row>
    <row r="105" spans="1:15">
      <c r="A105" s="159">
        <v>13</v>
      </c>
      <c r="B105" s="159" t="str">
        <f>TEXT(투자전략!$G$1+12, "[$-ko-KR]yyyy.mm.dd")</f>
        <v>2021.05.13</v>
      </c>
      <c r="C105" s="138" t="str">
        <f t="shared" ca="1" si="26"/>
        <v/>
      </c>
      <c r="D105" s="142" t="str">
        <f t="shared" ca="1" si="27"/>
        <v/>
      </c>
      <c r="E105" s="77" t="str">
        <f t="shared" ca="1" si="28"/>
        <v/>
      </c>
      <c r="F105" s="140" t="str">
        <f t="shared" ca="1" si="29"/>
        <v/>
      </c>
      <c r="G105" s="142" t="str">
        <f t="shared" ca="1" si="30"/>
        <v/>
      </c>
      <c r="H105" s="77" t="str">
        <f t="shared" ca="1" si="31"/>
        <v/>
      </c>
      <c r="I105" s="140" t="str">
        <f t="shared" ca="1" si="32"/>
        <v/>
      </c>
      <c r="J105" s="142" t="str">
        <f t="shared" ca="1" si="33"/>
        <v/>
      </c>
      <c r="K105" s="77" t="str">
        <f t="shared" ca="1" si="34"/>
        <v/>
      </c>
      <c r="L105" s="140" t="str">
        <f t="shared" ca="1" si="35"/>
        <v/>
      </c>
      <c r="M105" s="142" t="str">
        <f t="shared" ca="1" si="36"/>
        <v/>
      </c>
      <c r="N105" s="77" t="str">
        <f t="shared" ca="1" si="37"/>
        <v/>
      </c>
      <c r="O105" s="140" t="str">
        <f t="shared" ca="1" si="38"/>
        <v/>
      </c>
    </row>
    <row r="106" spans="1:15" ht="17.25" thickBot="1">
      <c r="A106" s="161">
        <v>14</v>
      </c>
      <c r="B106" s="161" t="str">
        <f>TEXT(투자전략!$G$1+13, "[$-ko-KR]yyyy.mm.dd")</f>
        <v>2021.05.14</v>
      </c>
      <c r="C106" s="139" t="str">
        <f t="shared" ca="1" si="26"/>
        <v/>
      </c>
      <c r="D106" s="143" t="str">
        <f t="shared" ca="1" si="27"/>
        <v/>
      </c>
      <c r="E106" s="79" t="str">
        <f t="shared" ca="1" si="28"/>
        <v/>
      </c>
      <c r="F106" s="141" t="str">
        <f t="shared" ca="1" si="29"/>
        <v/>
      </c>
      <c r="G106" s="143" t="str">
        <f t="shared" ca="1" si="30"/>
        <v/>
      </c>
      <c r="H106" s="79" t="str">
        <f t="shared" ca="1" si="31"/>
        <v/>
      </c>
      <c r="I106" s="141" t="str">
        <f t="shared" ca="1" si="32"/>
        <v/>
      </c>
      <c r="J106" s="143" t="str">
        <f t="shared" ca="1" si="33"/>
        <v/>
      </c>
      <c r="K106" s="79" t="str">
        <f t="shared" ca="1" si="34"/>
        <v/>
      </c>
      <c r="L106" s="141" t="str">
        <f t="shared" ca="1" si="35"/>
        <v/>
      </c>
      <c r="M106" s="143" t="str">
        <f t="shared" ca="1" si="36"/>
        <v/>
      </c>
      <c r="N106" s="79" t="str">
        <f t="shared" ca="1" si="37"/>
        <v/>
      </c>
      <c r="O106" s="141" t="str">
        <f t="shared" ca="1" si="38"/>
        <v/>
      </c>
    </row>
    <row r="107" spans="1:15">
      <c r="A107" s="160">
        <v>15</v>
      </c>
      <c r="B107" s="160" t="str">
        <f>TEXT(투자전략!$G$1+14, "[$-ko-KR]yyyy.mm.dd")</f>
        <v>2021.05.15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>
      <c r="A108" s="159">
        <v>16</v>
      </c>
      <c r="B108" s="159" t="str">
        <f>TEXT(투자전략!$G$1+15, "[$-ko-KR]yyyy.mm.dd")</f>
        <v>2021.05.16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>
      <c r="A109" s="159">
        <v>17</v>
      </c>
      <c r="B109" s="159" t="str">
        <f>TEXT(투자전략!$G$1+16, "[$-ko-KR]yyyy.mm.dd")</f>
        <v>2021.05.17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>
      <c r="A110" s="159">
        <v>18</v>
      </c>
      <c r="B110" s="159" t="str">
        <f>TEXT(투자전략!$G$1+17, "[$-ko-KR]yyyy.mm.dd")</f>
        <v>2021.05.18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>
      <c r="A111" s="159">
        <v>19</v>
      </c>
      <c r="B111" s="159" t="str">
        <f>TEXT(투자전략!$G$1+18, "[$-ko-KR]yyyy.mm.dd")</f>
        <v>2021.05.19</v>
      </c>
      <c r="C111" s="138" t="str">
        <f t="shared" ca="1" si="26"/>
        <v/>
      </c>
      <c r="D111" s="142" t="str">
        <f t="shared" ca="1" si="27"/>
        <v/>
      </c>
      <c r="E111" s="77" t="str">
        <f t="shared" ca="1" si="28"/>
        <v/>
      </c>
      <c r="F111" s="140" t="str">
        <f t="shared" ca="1" si="29"/>
        <v/>
      </c>
      <c r="G111" s="142" t="str">
        <f t="shared" ca="1" si="30"/>
        <v/>
      </c>
      <c r="H111" s="77" t="str">
        <f t="shared" ca="1" si="31"/>
        <v/>
      </c>
      <c r="I111" s="140" t="str">
        <f t="shared" ca="1" si="32"/>
        <v/>
      </c>
      <c r="J111" s="142" t="str">
        <f t="shared" ca="1" si="33"/>
        <v/>
      </c>
      <c r="K111" s="77" t="str">
        <f t="shared" ca="1" si="34"/>
        <v/>
      </c>
      <c r="L111" s="140" t="str">
        <f t="shared" ca="1" si="35"/>
        <v/>
      </c>
      <c r="M111" s="142" t="str">
        <f t="shared" ca="1" si="36"/>
        <v/>
      </c>
      <c r="N111" s="77" t="str">
        <f t="shared" ca="1" si="37"/>
        <v/>
      </c>
      <c r="O111" s="140" t="str">
        <f t="shared" ca="1" si="38"/>
        <v/>
      </c>
    </row>
    <row r="112" spans="1:15">
      <c r="A112" s="159">
        <v>20</v>
      </c>
      <c r="B112" s="159" t="str">
        <f>TEXT(투자전략!$G$1+19, "[$-ko-KR]yyyy.mm.dd")</f>
        <v>2021.05.20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7.25" thickBot="1">
      <c r="A113" s="161">
        <v>21</v>
      </c>
      <c r="B113" s="161" t="str">
        <f>TEXT(투자전략!$G$1+20, "[$-ko-KR]yyyy.mm.dd")</f>
        <v>2021.05.21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>
      <c r="A114" s="160">
        <v>22</v>
      </c>
      <c r="B114" s="160" t="str">
        <f>TEXT(투자전략!$G$1+21, "[$-ko-KR]yyyy.mm.dd")</f>
        <v>2021.05.22</v>
      </c>
      <c r="C114" s="137" t="str">
        <f t="shared" ca="1" si="26"/>
        <v/>
      </c>
      <c r="D114" s="145" t="str">
        <f t="shared" ca="1" si="27"/>
        <v/>
      </c>
      <c r="E114" s="76" t="str">
        <f t="shared" ca="1" si="28"/>
        <v/>
      </c>
      <c r="F114" s="144" t="str">
        <f t="shared" ca="1" si="29"/>
        <v/>
      </c>
      <c r="G114" s="145" t="str">
        <f t="shared" ca="1" si="30"/>
        <v/>
      </c>
      <c r="H114" s="76" t="str">
        <f t="shared" ca="1" si="31"/>
        <v/>
      </c>
      <c r="I114" s="144" t="str">
        <f t="shared" ca="1" si="32"/>
        <v/>
      </c>
      <c r="J114" s="145" t="str">
        <f t="shared" ca="1" si="33"/>
        <v/>
      </c>
      <c r="K114" s="76" t="str">
        <f t="shared" ca="1" si="34"/>
        <v/>
      </c>
      <c r="L114" s="144" t="str">
        <f t="shared" ca="1" si="35"/>
        <v/>
      </c>
      <c r="M114" s="145" t="str">
        <f t="shared" ca="1" si="36"/>
        <v/>
      </c>
      <c r="N114" s="76" t="str">
        <f t="shared" ca="1" si="37"/>
        <v/>
      </c>
      <c r="O114" s="144" t="str">
        <f t="shared" ca="1" si="38"/>
        <v/>
      </c>
    </row>
    <row r="115" spans="1:15">
      <c r="A115" s="159">
        <v>23</v>
      </c>
      <c r="B115" s="159" t="str">
        <f>TEXT(투자전략!$G$1+22, "[$-ko-KR]yyyy.mm.dd")</f>
        <v>2021.05.23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>
      <c r="A116" s="159">
        <v>24</v>
      </c>
      <c r="B116" s="159" t="str">
        <f>TEXT(투자전략!$G$1+23, "[$-ko-KR]yyyy.mm.dd")</f>
        <v>2021.05.24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>
      <c r="A117" s="159">
        <v>25</v>
      </c>
      <c r="B117" s="159" t="str">
        <f>TEXT(투자전략!$G$1+24, "[$-ko-KR]yyyy.mm.dd")</f>
        <v>2021.05.25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>
      <c r="A118" s="159">
        <v>26</v>
      </c>
      <c r="B118" s="159" t="str">
        <f>TEXT(투자전략!$G$1+25, "[$-ko-KR]yyyy.mm.dd")</f>
        <v>2021.05.26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>
      <c r="A119" s="159">
        <v>27</v>
      </c>
      <c r="B119" s="159" t="str">
        <f>TEXT(투자전략!$G$1+26, "[$-ko-KR]yyyy.mm.dd")</f>
        <v>2021.05.27</v>
      </c>
      <c r="C119" s="138" t="str">
        <f t="shared" ca="1" si="26"/>
        <v/>
      </c>
      <c r="D119" s="142" t="str">
        <f t="shared" ca="1" si="27"/>
        <v/>
      </c>
      <c r="E119" s="77" t="str">
        <f t="shared" ca="1" si="28"/>
        <v/>
      </c>
      <c r="F119" s="140" t="str">
        <f t="shared" ca="1" si="29"/>
        <v/>
      </c>
      <c r="G119" s="142" t="str">
        <f t="shared" ca="1" si="30"/>
        <v/>
      </c>
      <c r="H119" s="77" t="str">
        <f t="shared" ca="1" si="31"/>
        <v/>
      </c>
      <c r="I119" s="140" t="str">
        <f t="shared" ca="1" si="32"/>
        <v/>
      </c>
      <c r="J119" s="142" t="str">
        <f t="shared" ca="1" si="33"/>
        <v/>
      </c>
      <c r="K119" s="77" t="str">
        <f t="shared" ca="1" si="34"/>
        <v/>
      </c>
      <c r="L119" s="140" t="str">
        <f t="shared" ca="1" si="35"/>
        <v/>
      </c>
      <c r="M119" s="142" t="str">
        <f t="shared" ca="1" si="36"/>
        <v/>
      </c>
      <c r="N119" s="77" t="str">
        <f t="shared" ca="1" si="37"/>
        <v/>
      </c>
      <c r="O119" s="140" t="str">
        <f t="shared" ca="1" si="38"/>
        <v/>
      </c>
    </row>
    <row r="120" spans="1:15" ht="17.25" thickBot="1">
      <c r="A120" s="161">
        <v>28</v>
      </c>
      <c r="B120" s="161" t="str">
        <f>TEXT(투자전략!$G$1+27, "[$-ko-KR]yyyy.mm.dd")</f>
        <v>2021.05.28</v>
      </c>
      <c r="C120" s="139" t="str">
        <f t="shared" ca="1" si="26"/>
        <v/>
      </c>
      <c r="D120" s="143" t="str">
        <f t="shared" ca="1" si="27"/>
        <v/>
      </c>
      <c r="E120" s="79" t="str">
        <f t="shared" ca="1" si="28"/>
        <v/>
      </c>
      <c r="F120" s="141" t="str">
        <f t="shared" ca="1" si="29"/>
        <v/>
      </c>
      <c r="G120" s="143" t="str">
        <f t="shared" ca="1" si="30"/>
        <v/>
      </c>
      <c r="H120" s="79" t="str">
        <f t="shared" ca="1" si="31"/>
        <v/>
      </c>
      <c r="I120" s="141" t="str">
        <f t="shared" ca="1" si="32"/>
        <v/>
      </c>
      <c r="J120" s="143" t="str">
        <f t="shared" ca="1" si="33"/>
        <v/>
      </c>
      <c r="K120" s="79" t="str">
        <f t="shared" ca="1" si="34"/>
        <v/>
      </c>
      <c r="L120" s="141" t="str">
        <f t="shared" ca="1" si="35"/>
        <v/>
      </c>
      <c r="M120" s="143" t="str">
        <f t="shared" ca="1" si="36"/>
        <v/>
      </c>
      <c r="N120" s="79" t="str">
        <f t="shared" ca="1" si="37"/>
        <v/>
      </c>
      <c r="O120" s="141" t="str">
        <f t="shared" ca="1" si="38"/>
        <v/>
      </c>
    </row>
    <row r="121" spans="1:15">
      <c r="A121" s="124">
        <v>29</v>
      </c>
      <c r="B121" s="160" t="str">
        <f>TEXT(투자전략!$G$1+28, "[$-ko-KR]yyyy.mm.dd")</f>
        <v>2021.05.29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>
      <c r="A122" s="124">
        <v>30</v>
      </c>
      <c r="B122" s="159" t="str">
        <f>TEXT(투자전략!$G$1+29, "[$-ko-KR]yyyy.mm.dd")</f>
        <v>2021.05.30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7.25" thickBot="1">
      <c r="A123" s="124">
        <v>31</v>
      </c>
      <c r="B123" s="159" t="str">
        <f>TEXT(투자전략!$G$1+30, "[$-ko-KR]yyyy.mm.dd")</f>
        <v>2021.05.31</v>
      </c>
      <c r="C123" s="139" t="str">
        <f t="shared" ca="1" si="26"/>
        <v/>
      </c>
      <c r="D123" s="143" t="str">
        <f t="shared" ca="1" si="27"/>
        <v/>
      </c>
      <c r="E123" s="79" t="str">
        <f t="shared" ca="1" si="28"/>
        <v/>
      </c>
      <c r="F123" s="141" t="str">
        <f t="shared" ca="1" si="29"/>
        <v/>
      </c>
      <c r="G123" s="143" t="str">
        <f t="shared" ca="1" si="30"/>
        <v/>
      </c>
      <c r="H123" s="79" t="str">
        <f t="shared" ca="1" si="31"/>
        <v/>
      </c>
      <c r="I123" s="141" t="str">
        <f t="shared" ca="1" si="32"/>
        <v/>
      </c>
      <c r="J123" s="143" t="str">
        <f t="shared" ca="1" si="33"/>
        <v/>
      </c>
      <c r="K123" s="79" t="str">
        <f t="shared" ca="1" si="34"/>
        <v/>
      </c>
      <c r="L123" s="141" t="str">
        <f t="shared" ca="1" si="35"/>
        <v/>
      </c>
      <c r="M123" s="143" t="str">
        <f t="shared" ca="1" si="36"/>
        <v/>
      </c>
      <c r="N123" s="79" t="str">
        <f t="shared" ca="1" si="37"/>
        <v/>
      </c>
      <c r="O123" s="141" t="str">
        <f t="shared" ca="1" si="38"/>
        <v/>
      </c>
    </row>
    <row r="124" spans="1:15" ht="17.25" thickBot="1">
      <c r="A124" s="213" t="s">
        <v>319</v>
      </c>
      <c r="B124" s="215"/>
      <c r="C124" s="135" t="s">
        <v>314</v>
      </c>
      <c r="D124" s="153" t="s">
        <v>315</v>
      </c>
      <c r="E124" s="154" t="s">
        <v>316</v>
      </c>
      <c r="F124" s="155" t="s">
        <v>317</v>
      </c>
      <c r="G124" s="153" t="s">
        <v>315</v>
      </c>
      <c r="H124" s="154" t="s">
        <v>316</v>
      </c>
      <c r="I124" s="155" t="s">
        <v>317</v>
      </c>
      <c r="J124" s="153" t="s">
        <v>315</v>
      </c>
      <c r="K124" s="154" t="s">
        <v>316</v>
      </c>
      <c r="L124" s="155" t="s">
        <v>317</v>
      </c>
      <c r="M124" s="153" t="s">
        <v>315</v>
      </c>
      <c r="N124" s="154" t="s">
        <v>316</v>
      </c>
      <c r="O124" s="155" t="s">
        <v>317</v>
      </c>
    </row>
    <row r="125" spans="1:15" ht="17.25" thickBot="1">
      <c r="A125" s="206"/>
      <c r="B125" s="208"/>
      <c r="C125" s="139">
        <f ca="1">SUM(C93:C123)</f>
        <v>27000000</v>
      </c>
      <c r="D125" s="143">
        <f ca="1">SUM(D93:D123)</f>
        <v>27150524.849739037</v>
      </c>
      <c r="E125" s="79">
        <f ca="1">IFERROR(F125 / (SUM($C93:$C123) / COUNT($C93:$C123)), 0)</f>
        <v>2.7874972173896839E-2</v>
      </c>
      <c r="F125" s="141">
        <f ca="1">SUM(F93:F123)</f>
        <v>150524.84973904293</v>
      </c>
      <c r="G125" s="143">
        <f ca="1">SUM(G93:G123)</f>
        <v>27324846.007517219</v>
      </c>
      <c r="H125" s="79">
        <f ca="1">IFERROR(I125 / (SUM($C93:$C123) / COUNT($C93:$C123)), 0)</f>
        <v>6.0156668058743895E-2</v>
      </c>
      <c r="I125" s="141">
        <f ca="1">SUM(I93:I123)</f>
        <v>324846.00751721702</v>
      </c>
      <c r="J125" s="143">
        <f ca="1">SUM(J93:J123)</f>
        <v>27512916.136945639</v>
      </c>
      <c r="K125" s="79">
        <f ca="1">IFERROR(L125 / (SUM($C93:$C123) / COUNT($C93:$C123)), 0)</f>
        <v>9.4984469804747854E-2</v>
      </c>
      <c r="L125" s="141">
        <f ca="1">SUM(L93:L123)</f>
        <v>512916.1369456384</v>
      </c>
      <c r="M125" s="143">
        <f ca="1">SUM(M93:M123)</f>
        <v>27216063.130445004</v>
      </c>
      <c r="N125" s="79">
        <f ca="1">IFERROR(O125 / (SUM($C93:$C123) / COUNT($C93:$C123)), 0)</f>
        <v>4.0011690823149003E-2</v>
      </c>
      <c r="O125" s="141">
        <f ca="1">SUM(O93:O123)</f>
        <v>216063.13044500462</v>
      </c>
    </row>
    <row r="127" spans="1:15" ht="17.25" thickBot="1"/>
    <row r="128" spans="1:15" ht="17.25" thickBot="1">
      <c r="A128" s="185" t="str">
        <f>TEXT(투자전략!$G$1, "[$-ko-KR]yyyy년 mm월 ") &amp; "전일대비 상승률 Top20 월말결산"</f>
        <v>2021년 05월 전일대비 상승률 Top20 월말결산</v>
      </c>
      <c r="B128" s="186"/>
      <c r="C128" s="186"/>
      <c r="D128" s="186"/>
      <c r="E128" s="186"/>
      <c r="F128" s="186"/>
      <c r="G128" s="186"/>
      <c r="H128" s="186"/>
      <c r="I128" s="186"/>
      <c r="J128" s="186"/>
      <c r="K128" s="186"/>
      <c r="L128" s="186"/>
      <c r="M128" s="186"/>
      <c r="N128" s="186"/>
      <c r="O128" s="187"/>
    </row>
    <row r="129" spans="1:15" ht="17.25" thickBot="1">
      <c r="A129" s="229" t="s">
        <v>320</v>
      </c>
      <c r="B129" s="206" t="s">
        <v>318</v>
      </c>
      <c r="C129" s="208"/>
      <c r="D129" s="206" t="s">
        <v>310</v>
      </c>
      <c r="E129" s="207"/>
      <c r="F129" s="208"/>
      <c r="G129" s="206" t="s">
        <v>311</v>
      </c>
      <c r="H129" s="207"/>
      <c r="I129" s="208"/>
      <c r="J129" s="206" t="s">
        <v>312</v>
      </c>
      <c r="K129" s="207"/>
      <c r="L129" s="208"/>
      <c r="M129" s="206" t="s">
        <v>313</v>
      </c>
      <c r="N129" s="207"/>
      <c r="O129" s="208"/>
    </row>
    <row r="130" spans="1:15" ht="17.25" thickBot="1">
      <c r="A130" s="222"/>
      <c r="B130" s="160" t="s">
        <v>308</v>
      </c>
      <c r="C130" s="160" t="s">
        <v>42</v>
      </c>
      <c r="D130" s="124" t="s">
        <v>309</v>
      </c>
      <c r="E130" s="136" t="s">
        <v>40</v>
      </c>
      <c r="F130" s="162" t="s">
        <v>41</v>
      </c>
      <c r="G130" s="124" t="s">
        <v>309</v>
      </c>
      <c r="H130" s="136" t="s">
        <v>40</v>
      </c>
      <c r="I130" s="162" t="s">
        <v>41</v>
      </c>
      <c r="J130" s="124" t="s">
        <v>309</v>
      </c>
      <c r="K130" s="136" t="s">
        <v>40</v>
      </c>
      <c r="L130" s="162" t="s">
        <v>41</v>
      </c>
      <c r="M130" s="124" t="s">
        <v>309</v>
      </c>
      <c r="N130" s="136" t="s">
        <v>40</v>
      </c>
      <c r="O130" s="162" t="s">
        <v>41</v>
      </c>
    </row>
    <row r="131" spans="1:15">
      <c r="A131" s="160">
        <v>1</v>
      </c>
      <c r="B131" s="160" t="str">
        <f>TEXT(투자전략!$G$1+0, "[$-ko-KR]yyyy.mm.dd")</f>
        <v>2021.05.01</v>
      </c>
      <c r="C131" s="137">
        <f ca="1">IFERROR(COUNTA(INDIRECT($B131&amp;"!A98:A117")) * INDIRECT($B131&amp;"!B118"), "")</f>
        <v>6000000</v>
      </c>
      <c r="D131" s="145">
        <f ca="1">IFERROR($C131 * (1 + E131), "")</f>
        <v>6107685.9856206654</v>
      </c>
      <c r="E131" s="76">
        <f ca="1">IFERROR(INDIRECT($B131&amp;"!E118"), "")</f>
        <v>1.7947664270110929E-2</v>
      </c>
      <c r="F131" s="144">
        <f ca="1">IFERROR(INDIRECT($B131&amp;"!F118"), "")</f>
        <v>107685.98562066558</v>
      </c>
      <c r="G131" s="145">
        <f ca="1">IFERROR($C131 * (1 + H131), "")</f>
        <v>6041745.7119217347</v>
      </c>
      <c r="H131" s="76">
        <f ca="1">IFERROR(INDIRECT($B131&amp;"!H118"), "")</f>
        <v>6.9576186536225324E-3</v>
      </c>
      <c r="I131" s="144">
        <f ca="1">IFERROR(INDIRECT($B131&amp;"!I118"), "")</f>
        <v>41745.711921735201</v>
      </c>
      <c r="J131" s="145">
        <f ca="1">IFERROR($C131 * (1 + K131), "")</f>
        <v>6120466.3950530048</v>
      </c>
      <c r="K131" s="76">
        <f ca="1">IFERROR(INDIRECT($B131&amp;"!K118"), "")</f>
        <v>2.0077732508834219E-2</v>
      </c>
      <c r="L131" s="144">
        <f ca="1">IFERROR(INDIRECT($B131&amp;"!L118"), "")</f>
        <v>120466.39505300528</v>
      </c>
      <c r="M131" s="145">
        <f ca="1">IFERROR($C131 * (1 + N131), "")</f>
        <v>6067393.3339623362</v>
      </c>
      <c r="N131" s="76">
        <f ca="1">IFERROR(INDIRECT($B131&amp;"!N118"), "")</f>
        <v>1.1232222327055948E-2</v>
      </c>
      <c r="O131" s="144">
        <f ca="1">IFERROR(INDIRECT($B131&amp;"!O118"), "")</f>
        <v>67393.333962335702</v>
      </c>
    </row>
    <row r="132" spans="1:15">
      <c r="A132" s="159">
        <v>2</v>
      </c>
      <c r="B132" s="159" t="str">
        <f>TEXT(투자전략!$G$1+1, "[$-ko-KR]yyyy.mm.dd")</f>
        <v>2021.05.02</v>
      </c>
      <c r="C132" s="138">
        <f t="shared" ref="C132:C161" ca="1" si="39">IFERROR(COUNTA(INDIRECT($B132&amp;"!A98:A117")) * INDIRECT($B132&amp;"!B118"), "")</f>
        <v>6000000</v>
      </c>
      <c r="D132" s="142">
        <f t="shared" ref="D132:D161" ca="1" si="40">IFERROR($C132 * (1 + E132), "")</f>
        <v>6011917.9977196138</v>
      </c>
      <c r="E132" s="77">
        <f t="shared" ref="E132:E161" ca="1" si="41">IFERROR(INDIRECT($B132&amp;"!E118"), "")</f>
        <v>1.9863329532690366E-3</v>
      </c>
      <c r="F132" s="140">
        <f t="shared" ref="F132:F161" ca="1" si="42">IFERROR(INDIRECT($B132&amp;"!F118"), "")</f>
        <v>11917.997719614215</v>
      </c>
      <c r="G132" s="142">
        <f t="shared" ref="G132:G161" ca="1" si="43">IFERROR($C132 * (1 + H132), "")</f>
        <v>6019023.1076206733</v>
      </c>
      <c r="H132" s="77">
        <f t="shared" ref="H132:H161" ca="1" si="44">IFERROR(INDIRECT($B132&amp;"!H118"), "")</f>
        <v>3.1705179367788605E-3</v>
      </c>
      <c r="I132" s="140">
        <f t="shared" ref="I132:I161" ca="1" si="45">IFERROR(INDIRECT($B132&amp;"!I118"), "")</f>
        <v>19023.107620673156</v>
      </c>
      <c r="J132" s="142">
        <f t="shared" ref="J132:J161" ca="1" si="46">IFERROR($C132 * (1 + K132), "")</f>
        <v>6044019.6087034903</v>
      </c>
      <c r="K132" s="77">
        <f t="shared" ref="K132:K161" ca="1" si="47">IFERROR(INDIRECT($B132&amp;"!K118"), "")</f>
        <v>7.3366014505818408E-3</v>
      </c>
      <c r="L132" s="140">
        <f t="shared" ref="L132:L161" ca="1" si="48">IFERROR(INDIRECT($B132&amp;"!L118"), "")</f>
        <v>44019.60870349106</v>
      </c>
      <c r="M132" s="142">
        <f t="shared" ref="M132:M161" ca="1" si="49">IFERROR($C132 * (1 + N132), "")</f>
        <v>6076007.4882986527</v>
      </c>
      <c r="N132" s="77">
        <f t="shared" ref="N132:N161" ca="1" si="50">IFERROR(INDIRECT($B132&amp;"!N118"), "")</f>
        <v>1.2667914716442175E-2</v>
      </c>
      <c r="O132" s="140">
        <f t="shared" ref="O132:O161" ca="1" si="51">IFERROR(INDIRECT($B132&amp;"!O118"), "")</f>
        <v>76007.488298653043</v>
      </c>
    </row>
    <row r="133" spans="1:15">
      <c r="A133" s="159">
        <v>3</v>
      </c>
      <c r="B133" s="159" t="str">
        <f>TEXT(투자전략!$G$1+2, "[$-ko-KR]yyyy.mm.dd")</f>
        <v>2021.05.03</v>
      </c>
      <c r="C133" s="138">
        <f t="shared" ca="1" si="39"/>
        <v>6000000</v>
      </c>
      <c r="D133" s="142">
        <f t="shared" ca="1" si="40"/>
        <v>6136832.6590279434</v>
      </c>
      <c r="E133" s="77">
        <f t="shared" ca="1" si="41"/>
        <v>2.2805443171323846E-2</v>
      </c>
      <c r="F133" s="140">
        <f t="shared" ca="1" si="42"/>
        <v>136832.65902794307</v>
      </c>
      <c r="G133" s="142">
        <f t="shared" ca="1" si="43"/>
        <v>6334655.8773899311</v>
      </c>
      <c r="H133" s="77">
        <f t="shared" ca="1" si="44"/>
        <v>5.577597956498849E-2</v>
      </c>
      <c r="I133" s="140">
        <f t="shared" ca="1" si="45"/>
        <v>334655.87738993095</v>
      </c>
      <c r="J133" s="142">
        <f t="shared" ca="1" si="46"/>
        <v>6367425.1025107373</v>
      </c>
      <c r="K133" s="77">
        <f t="shared" ca="1" si="47"/>
        <v>6.1237517085122928E-2</v>
      </c>
      <c r="L133" s="140">
        <f t="shared" ca="1" si="48"/>
        <v>367425.10251073749</v>
      </c>
      <c r="M133" s="142">
        <f t="shared" ca="1" si="49"/>
        <v>6270159.0766257513</v>
      </c>
      <c r="N133" s="77">
        <f t="shared" ca="1" si="50"/>
        <v>4.5026512770958503E-2</v>
      </c>
      <c r="O133" s="140">
        <f t="shared" ca="1" si="51"/>
        <v>270159.07662575098</v>
      </c>
    </row>
    <row r="134" spans="1:15">
      <c r="A134" s="159">
        <v>4</v>
      </c>
      <c r="B134" s="159" t="str">
        <f>TEXT(투자전략!$G$1+3, "[$-ko-KR]yyyy.mm.dd")</f>
        <v>2021.05.04</v>
      </c>
      <c r="C134" s="138">
        <f t="shared" ca="1" si="39"/>
        <v>6000000</v>
      </c>
      <c r="D134" s="142">
        <f t="shared" ca="1" si="40"/>
        <v>6206369.8758833455</v>
      </c>
      <c r="E134" s="77">
        <f t="shared" ca="1" si="41"/>
        <v>3.4394979313890843E-2</v>
      </c>
      <c r="F134" s="140">
        <f t="shared" ca="1" si="42"/>
        <v>206369.87588334508</v>
      </c>
      <c r="G134" s="142">
        <f t="shared" ca="1" si="43"/>
        <v>6214257.5310626356</v>
      </c>
      <c r="H134" s="77">
        <f t="shared" ca="1" si="44"/>
        <v>3.5709588510439344E-2</v>
      </c>
      <c r="I134" s="140">
        <f t="shared" ca="1" si="45"/>
        <v>214257.53106263612</v>
      </c>
      <c r="J134" s="142">
        <f t="shared" ca="1" si="46"/>
        <v>6259758.5882178135</v>
      </c>
      <c r="K134" s="77">
        <f t="shared" ca="1" si="47"/>
        <v>4.3293098036302172E-2</v>
      </c>
      <c r="L134" s="140">
        <f t="shared" ca="1" si="48"/>
        <v>259758.58821781303</v>
      </c>
      <c r="M134" s="142">
        <f t="shared" ca="1" si="49"/>
        <v>6057219.917349726</v>
      </c>
      <c r="N134" s="77">
        <f t="shared" ca="1" si="50"/>
        <v>9.5366528916209243E-3</v>
      </c>
      <c r="O134" s="140">
        <f t="shared" ca="1" si="51"/>
        <v>57219.917349725554</v>
      </c>
    </row>
    <row r="135" spans="1:15">
      <c r="A135" s="159">
        <v>5</v>
      </c>
      <c r="B135" s="159" t="str">
        <f>TEXT(투자전략!$G$1+4, "[$-ko-KR]yyyy.mm.dd")</f>
        <v>2021.05.05</v>
      </c>
      <c r="C135" s="138">
        <f t="shared" ca="1" si="39"/>
        <v>3000000</v>
      </c>
      <c r="D135" s="142">
        <f t="shared" ca="1" si="40"/>
        <v>2918805.0044788723</v>
      </c>
      <c r="E135" s="77">
        <f t="shared" ca="1" si="41"/>
        <v>-2.7064998507042561E-2</v>
      </c>
      <c r="F135" s="140">
        <f t="shared" ca="1" si="42"/>
        <v>-81194.995521127697</v>
      </c>
      <c r="G135" s="142">
        <f t="shared" ca="1" si="43"/>
        <v>3000000</v>
      </c>
      <c r="H135" s="77">
        <f t="shared" ca="1" si="44"/>
        <v>0</v>
      </c>
      <c r="I135" s="140">
        <f t="shared" ca="1" si="45"/>
        <v>0</v>
      </c>
      <c r="J135" s="142">
        <f t="shared" ca="1" si="46"/>
        <v>3000000</v>
      </c>
      <c r="K135" s="77">
        <f t="shared" ca="1" si="47"/>
        <v>0</v>
      </c>
      <c r="L135" s="140">
        <f t="shared" ca="1" si="48"/>
        <v>0</v>
      </c>
      <c r="M135" s="142">
        <f t="shared" ca="1" si="49"/>
        <v>3000000</v>
      </c>
      <c r="N135" s="77">
        <f t="shared" ca="1" si="50"/>
        <v>0</v>
      </c>
      <c r="O135" s="140">
        <f t="shared" ca="1" si="51"/>
        <v>0</v>
      </c>
    </row>
    <row r="136" spans="1:15">
      <c r="A136" s="159">
        <v>6</v>
      </c>
      <c r="B136" s="159" t="str">
        <f>TEXT(투자전략!$G$1+5, "[$-ko-KR]yyyy.mm.dd")</f>
        <v>2021.05.06</v>
      </c>
      <c r="C136" s="138" t="str">
        <f t="shared" ca="1" si="39"/>
        <v/>
      </c>
      <c r="D136" s="142" t="str">
        <f t="shared" ca="1" si="40"/>
        <v/>
      </c>
      <c r="E136" s="77" t="str">
        <f t="shared" ca="1" si="41"/>
        <v/>
      </c>
      <c r="F136" s="140" t="str">
        <f t="shared" ca="1" si="42"/>
        <v/>
      </c>
      <c r="G136" s="142" t="str">
        <f t="shared" ca="1" si="43"/>
        <v/>
      </c>
      <c r="H136" s="77" t="str">
        <f t="shared" ca="1" si="44"/>
        <v/>
      </c>
      <c r="I136" s="140" t="str">
        <f t="shared" ca="1" si="45"/>
        <v/>
      </c>
      <c r="J136" s="142" t="str">
        <f t="shared" ca="1" si="46"/>
        <v/>
      </c>
      <c r="K136" s="77" t="str">
        <f t="shared" ca="1" si="47"/>
        <v/>
      </c>
      <c r="L136" s="140" t="str">
        <f t="shared" ca="1" si="48"/>
        <v/>
      </c>
      <c r="M136" s="142" t="str">
        <f t="shared" ca="1" si="49"/>
        <v/>
      </c>
      <c r="N136" s="77" t="str">
        <f t="shared" ca="1" si="50"/>
        <v/>
      </c>
      <c r="O136" s="140" t="str">
        <f t="shared" ca="1" si="51"/>
        <v/>
      </c>
    </row>
    <row r="137" spans="1:15" ht="17.25" thickBot="1">
      <c r="A137" s="161">
        <v>7</v>
      </c>
      <c r="B137" s="161" t="str">
        <f>TEXT(투자전략!$G$1+6, "[$-ko-KR]yyyy.mm.dd")</f>
        <v>2021.05.07</v>
      </c>
      <c r="C137" s="138" t="str">
        <f t="shared" ca="1" si="39"/>
        <v/>
      </c>
      <c r="D137" s="142" t="str">
        <f t="shared" ca="1" si="40"/>
        <v/>
      </c>
      <c r="E137" s="77" t="str">
        <f t="shared" ca="1" si="41"/>
        <v/>
      </c>
      <c r="F137" s="140" t="str">
        <f t="shared" ca="1" si="42"/>
        <v/>
      </c>
      <c r="G137" s="142" t="str">
        <f t="shared" ca="1" si="43"/>
        <v/>
      </c>
      <c r="H137" s="77" t="str">
        <f t="shared" ca="1" si="44"/>
        <v/>
      </c>
      <c r="I137" s="140" t="str">
        <f t="shared" ca="1" si="45"/>
        <v/>
      </c>
      <c r="J137" s="142" t="str">
        <f t="shared" ca="1" si="46"/>
        <v/>
      </c>
      <c r="K137" s="77" t="str">
        <f t="shared" ca="1" si="47"/>
        <v/>
      </c>
      <c r="L137" s="140" t="str">
        <f t="shared" ca="1" si="48"/>
        <v/>
      </c>
      <c r="M137" s="142" t="str">
        <f t="shared" ca="1" si="49"/>
        <v/>
      </c>
      <c r="N137" s="77" t="str">
        <f t="shared" ca="1" si="50"/>
        <v/>
      </c>
      <c r="O137" s="140" t="str">
        <f t="shared" ca="1" si="51"/>
        <v/>
      </c>
    </row>
    <row r="138" spans="1:15">
      <c r="A138" s="160">
        <v>8</v>
      </c>
      <c r="B138" s="160" t="str">
        <f>TEXT(투자전략!$G$1+7, "[$-ko-KR]yyyy.mm.dd")</f>
        <v>2021.05.08</v>
      </c>
      <c r="C138" s="137" t="str">
        <f t="shared" ca="1" si="39"/>
        <v/>
      </c>
      <c r="D138" s="145" t="str">
        <f t="shared" ca="1" si="40"/>
        <v/>
      </c>
      <c r="E138" s="76" t="str">
        <f t="shared" ca="1" si="41"/>
        <v/>
      </c>
      <c r="F138" s="144" t="str">
        <f t="shared" ca="1" si="42"/>
        <v/>
      </c>
      <c r="G138" s="145" t="str">
        <f t="shared" ca="1" si="43"/>
        <v/>
      </c>
      <c r="H138" s="76" t="str">
        <f t="shared" ca="1" si="44"/>
        <v/>
      </c>
      <c r="I138" s="144" t="str">
        <f t="shared" ca="1" si="45"/>
        <v/>
      </c>
      <c r="J138" s="145" t="str">
        <f t="shared" ca="1" si="46"/>
        <v/>
      </c>
      <c r="K138" s="76" t="str">
        <f t="shared" ca="1" si="47"/>
        <v/>
      </c>
      <c r="L138" s="144" t="str">
        <f t="shared" ca="1" si="48"/>
        <v/>
      </c>
      <c r="M138" s="145" t="str">
        <f t="shared" ca="1" si="49"/>
        <v/>
      </c>
      <c r="N138" s="76" t="str">
        <f t="shared" ca="1" si="50"/>
        <v/>
      </c>
      <c r="O138" s="144" t="str">
        <f t="shared" ca="1" si="51"/>
        <v/>
      </c>
    </row>
    <row r="139" spans="1:15">
      <c r="A139" s="159">
        <v>9</v>
      </c>
      <c r="B139" s="159" t="str">
        <f>TEXT(투자전략!$G$1+8, "[$-ko-KR]yyyy.mm.dd")</f>
        <v>2021.05.09</v>
      </c>
      <c r="C139" s="138" t="str">
        <f t="shared" ca="1" si="39"/>
        <v/>
      </c>
      <c r="D139" s="142" t="str">
        <f t="shared" ca="1" si="40"/>
        <v/>
      </c>
      <c r="E139" s="77" t="str">
        <f t="shared" ca="1" si="41"/>
        <v/>
      </c>
      <c r="F139" s="140" t="str">
        <f t="shared" ca="1" si="42"/>
        <v/>
      </c>
      <c r="G139" s="142" t="str">
        <f t="shared" ca="1" si="43"/>
        <v/>
      </c>
      <c r="H139" s="77" t="str">
        <f t="shared" ca="1" si="44"/>
        <v/>
      </c>
      <c r="I139" s="140" t="str">
        <f t="shared" ca="1" si="45"/>
        <v/>
      </c>
      <c r="J139" s="142" t="str">
        <f t="shared" ca="1" si="46"/>
        <v/>
      </c>
      <c r="K139" s="77" t="str">
        <f t="shared" ca="1" si="47"/>
        <v/>
      </c>
      <c r="L139" s="140" t="str">
        <f t="shared" ca="1" si="48"/>
        <v/>
      </c>
      <c r="M139" s="142" t="str">
        <f t="shared" ca="1" si="49"/>
        <v/>
      </c>
      <c r="N139" s="77" t="str">
        <f t="shared" ca="1" si="50"/>
        <v/>
      </c>
      <c r="O139" s="140" t="str">
        <f t="shared" ca="1" si="51"/>
        <v/>
      </c>
    </row>
    <row r="140" spans="1:15">
      <c r="A140" s="159">
        <v>10</v>
      </c>
      <c r="B140" s="159" t="str">
        <f>TEXT(투자전략!$G$1+9, "[$-ko-KR]yyyy.mm.dd")</f>
        <v>2021.05.10</v>
      </c>
      <c r="C140" s="138" t="str">
        <f t="shared" ca="1" si="39"/>
        <v/>
      </c>
      <c r="D140" s="142" t="str">
        <f t="shared" ca="1" si="40"/>
        <v/>
      </c>
      <c r="E140" s="77" t="str">
        <f t="shared" ca="1" si="41"/>
        <v/>
      </c>
      <c r="F140" s="140" t="str">
        <f t="shared" ca="1" si="42"/>
        <v/>
      </c>
      <c r="G140" s="142" t="str">
        <f t="shared" ca="1" si="43"/>
        <v/>
      </c>
      <c r="H140" s="77" t="str">
        <f t="shared" ca="1" si="44"/>
        <v/>
      </c>
      <c r="I140" s="140" t="str">
        <f t="shared" ca="1" si="45"/>
        <v/>
      </c>
      <c r="J140" s="142" t="str">
        <f t="shared" ca="1" si="46"/>
        <v/>
      </c>
      <c r="K140" s="77" t="str">
        <f t="shared" ca="1" si="47"/>
        <v/>
      </c>
      <c r="L140" s="140" t="str">
        <f t="shared" ca="1" si="48"/>
        <v/>
      </c>
      <c r="M140" s="142" t="str">
        <f t="shared" ca="1" si="49"/>
        <v/>
      </c>
      <c r="N140" s="77" t="str">
        <f t="shared" ca="1" si="50"/>
        <v/>
      </c>
      <c r="O140" s="140" t="str">
        <f t="shared" ca="1" si="51"/>
        <v/>
      </c>
    </row>
    <row r="141" spans="1:15">
      <c r="A141" s="159">
        <v>11</v>
      </c>
      <c r="B141" s="159" t="str">
        <f>TEXT(투자전략!$G$1+10, "[$-ko-KR]yyyy.mm.dd")</f>
        <v>2021.05.11</v>
      </c>
      <c r="C141" s="138" t="str">
        <f t="shared" ca="1" si="39"/>
        <v/>
      </c>
      <c r="D141" s="142" t="str">
        <f t="shared" ca="1" si="40"/>
        <v/>
      </c>
      <c r="E141" s="77" t="str">
        <f t="shared" ca="1" si="41"/>
        <v/>
      </c>
      <c r="F141" s="140" t="str">
        <f t="shared" ca="1" si="42"/>
        <v/>
      </c>
      <c r="G141" s="142" t="str">
        <f t="shared" ca="1" si="43"/>
        <v/>
      </c>
      <c r="H141" s="77" t="str">
        <f t="shared" ca="1" si="44"/>
        <v/>
      </c>
      <c r="I141" s="140" t="str">
        <f t="shared" ca="1" si="45"/>
        <v/>
      </c>
      <c r="J141" s="142" t="str">
        <f t="shared" ca="1" si="46"/>
        <v/>
      </c>
      <c r="K141" s="77" t="str">
        <f t="shared" ca="1" si="47"/>
        <v/>
      </c>
      <c r="L141" s="140" t="str">
        <f t="shared" ca="1" si="48"/>
        <v/>
      </c>
      <c r="M141" s="142" t="str">
        <f t="shared" ca="1" si="49"/>
        <v/>
      </c>
      <c r="N141" s="77" t="str">
        <f t="shared" ca="1" si="50"/>
        <v/>
      </c>
      <c r="O141" s="140" t="str">
        <f t="shared" ca="1" si="51"/>
        <v/>
      </c>
    </row>
    <row r="142" spans="1:15">
      <c r="A142" s="159">
        <v>12</v>
      </c>
      <c r="B142" s="159" t="str">
        <f>TEXT(투자전략!$G$1+11, "[$-ko-KR]yyyy.mm.dd")</f>
        <v>2021.05.12</v>
      </c>
      <c r="C142" s="138" t="str">
        <f t="shared" ca="1" si="39"/>
        <v/>
      </c>
      <c r="D142" s="142" t="str">
        <f t="shared" ca="1" si="40"/>
        <v/>
      </c>
      <c r="E142" s="77" t="str">
        <f t="shared" ca="1" si="41"/>
        <v/>
      </c>
      <c r="F142" s="140" t="str">
        <f t="shared" ca="1" si="42"/>
        <v/>
      </c>
      <c r="G142" s="142" t="str">
        <f t="shared" ca="1" si="43"/>
        <v/>
      </c>
      <c r="H142" s="77" t="str">
        <f t="shared" ca="1" si="44"/>
        <v/>
      </c>
      <c r="I142" s="140" t="str">
        <f t="shared" ca="1" si="45"/>
        <v/>
      </c>
      <c r="J142" s="142" t="str">
        <f t="shared" ca="1" si="46"/>
        <v/>
      </c>
      <c r="K142" s="77" t="str">
        <f t="shared" ca="1" si="47"/>
        <v/>
      </c>
      <c r="L142" s="140" t="str">
        <f t="shared" ca="1" si="48"/>
        <v/>
      </c>
      <c r="M142" s="142" t="str">
        <f t="shared" ca="1" si="49"/>
        <v/>
      </c>
      <c r="N142" s="77" t="str">
        <f t="shared" ca="1" si="50"/>
        <v/>
      </c>
      <c r="O142" s="140" t="str">
        <f t="shared" ca="1" si="51"/>
        <v/>
      </c>
    </row>
    <row r="143" spans="1:15">
      <c r="A143" s="159">
        <v>13</v>
      </c>
      <c r="B143" s="159" t="str">
        <f>TEXT(투자전략!$G$1+12, "[$-ko-KR]yyyy.mm.dd")</f>
        <v>2021.05.13</v>
      </c>
      <c r="C143" s="138" t="str">
        <f t="shared" ca="1" si="39"/>
        <v/>
      </c>
      <c r="D143" s="142" t="str">
        <f t="shared" ca="1" si="40"/>
        <v/>
      </c>
      <c r="E143" s="77" t="str">
        <f t="shared" ca="1" si="41"/>
        <v/>
      </c>
      <c r="F143" s="140" t="str">
        <f t="shared" ca="1" si="42"/>
        <v/>
      </c>
      <c r="G143" s="142" t="str">
        <f t="shared" ca="1" si="43"/>
        <v/>
      </c>
      <c r="H143" s="77" t="str">
        <f t="shared" ca="1" si="44"/>
        <v/>
      </c>
      <c r="I143" s="140" t="str">
        <f t="shared" ca="1" si="45"/>
        <v/>
      </c>
      <c r="J143" s="142" t="str">
        <f t="shared" ca="1" si="46"/>
        <v/>
      </c>
      <c r="K143" s="77" t="str">
        <f t="shared" ca="1" si="47"/>
        <v/>
      </c>
      <c r="L143" s="140" t="str">
        <f t="shared" ca="1" si="48"/>
        <v/>
      </c>
      <c r="M143" s="142" t="str">
        <f t="shared" ca="1" si="49"/>
        <v/>
      </c>
      <c r="N143" s="77" t="str">
        <f t="shared" ca="1" si="50"/>
        <v/>
      </c>
      <c r="O143" s="140" t="str">
        <f t="shared" ca="1" si="51"/>
        <v/>
      </c>
    </row>
    <row r="144" spans="1:15" ht="17.25" thickBot="1">
      <c r="A144" s="161">
        <v>14</v>
      </c>
      <c r="B144" s="161" t="str">
        <f>TEXT(투자전략!$G$1+13, "[$-ko-KR]yyyy.mm.dd")</f>
        <v>2021.05.14</v>
      </c>
      <c r="C144" s="139" t="str">
        <f t="shared" ca="1" si="39"/>
        <v/>
      </c>
      <c r="D144" s="143" t="str">
        <f t="shared" ca="1" si="40"/>
        <v/>
      </c>
      <c r="E144" s="79" t="str">
        <f t="shared" ca="1" si="41"/>
        <v/>
      </c>
      <c r="F144" s="141" t="str">
        <f t="shared" ca="1" si="42"/>
        <v/>
      </c>
      <c r="G144" s="143" t="str">
        <f t="shared" ca="1" si="43"/>
        <v/>
      </c>
      <c r="H144" s="79" t="str">
        <f t="shared" ca="1" si="44"/>
        <v/>
      </c>
      <c r="I144" s="141" t="str">
        <f t="shared" ca="1" si="45"/>
        <v/>
      </c>
      <c r="J144" s="143" t="str">
        <f t="shared" ca="1" si="46"/>
        <v/>
      </c>
      <c r="K144" s="79" t="str">
        <f t="shared" ca="1" si="47"/>
        <v/>
      </c>
      <c r="L144" s="141" t="str">
        <f t="shared" ca="1" si="48"/>
        <v/>
      </c>
      <c r="M144" s="143" t="str">
        <f t="shared" ca="1" si="49"/>
        <v/>
      </c>
      <c r="N144" s="79" t="str">
        <f t="shared" ca="1" si="50"/>
        <v/>
      </c>
      <c r="O144" s="141" t="str">
        <f t="shared" ca="1" si="51"/>
        <v/>
      </c>
    </row>
    <row r="145" spans="1:15">
      <c r="A145" s="160">
        <v>15</v>
      </c>
      <c r="B145" s="160" t="str">
        <f>TEXT(투자전략!$G$1+14, "[$-ko-KR]yyyy.mm.dd")</f>
        <v>2021.05.15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>
      <c r="A146" s="159">
        <v>16</v>
      </c>
      <c r="B146" s="159" t="str">
        <f>TEXT(투자전략!$G$1+15, "[$-ko-KR]yyyy.mm.dd")</f>
        <v>2021.05.16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>
      <c r="A147" s="159">
        <v>17</v>
      </c>
      <c r="B147" s="159" t="str">
        <f>TEXT(투자전략!$G$1+16, "[$-ko-KR]yyyy.mm.dd")</f>
        <v>2021.05.17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>
      <c r="A148" s="159">
        <v>18</v>
      </c>
      <c r="B148" s="159" t="str">
        <f>TEXT(투자전략!$G$1+17, "[$-ko-KR]yyyy.mm.dd")</f>
        <v>2021.05.18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>
      <c r="A149" s="159">
        <v>19</v>
      </c>
      <c r="B149" s="159" t="str">
        <f>TEXT(투자전략!$G$1+18, "[$-ko-KR]yyyy.mm.dd")</f>
        <v>2021.05.19</v>
      </c>
      <c r="C149" s="138" t="str">
        <f t="shared" ca="1" si="39"/>
        <v/>
      </c>
      <c r="D149" s="142" t="str">
        <f t="shared" ca="1" si="40"/>
        <v/>
      </c>
      <c r="E149" s="77" t="str">
        <f t="shared" ca="1" si="41"/>
        <v/>
      </c>
      <c r="F149" s="140" t="str">
        <f t="shared" ca="1" si="42"/>
        <v/>
      </c>
      <c r="G149" s="142" t="str">
        <f t="shared" ca="1" si="43"/>
        <v/>
      </c>
      <c r="H149" s="77" t="str">
        <f t="shared" ca="1" si="44"/>
        <v/>
      </c>
      <c r="I149" s="140" t="str">
        <f t="shared" ca="1" si="45"/>
        <v/>
      </c>
      <c r="J149" s="142" t="str">
        <f t="shared" ca="1" si="46"/>
        <v/>
      </c>
      <c r="K149" s="77" t="str">
        <f t="shared" ca="1" si="47"/>
        <v/>
      </c>
      <c r="L149" s="140" t="str">
        <f t="shared" ca="1" si="48"/>
        <v/>
      </c>
      <c r="M149" s="142" t="str">
        <f t="shared" ca="1" si="49"/>
        <v/>
      </c>
      <c r="N149" s="77" t="str">
        <f t="shared" ca="1" si="50"/>
        <v/>
      </c>
      <c r="O149" s="140" t="str">
        <f t="shared" ca="1" si="51"/>
        <v/>
      </c>
    </row>
    <row r="150" spans="1:15">
      <c r="A150" s="159">
        <v>20</v>
      </c>
      <c r="B150" s="159" t="str">
        <f>TEXT(투자전략!$G$1+19, "[$-ko-KR]yyyy.mm.dd")</f>
        <v>2021.05.20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7.25" thickBot="1">
      <c r="A151" s="161">
        <v>21</v>
      </c>
      <c r="B151" s="161" t="str">
        <f>TEXT(투자전략!$G$1+20, "[$-ko-KR]yyyy.mm.dd")</f>
        <v>2021.05.21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>
      <c r="A152" s="160">
        <v>22</v>
      </c>
      <c r="B152" s="160" t="str">
        <f>TEXT(투자전략!$G$1+21, "[$-ko-KR]yyyy.mm.dd")</f>
        <v>2021.05.22</v>
      </c>
      <c r="C152" s="137" t="str">
        <f t="shared" ca="1" si="39"/>
        <v/>
      </c>
      <c r="D152" s="145" t="str">
        <f t="shared" ca="1" si="40"/>
        <v/>
      </c>
      <c r="E152" s="76" t="str">
        <f t="shared" ca="1" si="41"/>
        <v/>
      </c>
      <c r="F152" s="144" t="str">
        <f t="shared" ca="1" si="42"/>
        <v/>
      </c>
      <c r="G152" s="145" t="str">
        <f t="shared" ca="1" si="43"/>
        <v/>
      </c>
      <c r="H152" s="76" t="str">
        <f t="shared" ca="1" si="44"/>
        <v/>
      </c>
      <c r="I152" s="144" t="str">
        <f t="shared" ca="1" si="45"/>
        <v/>
      </c>
      <c r="J152" s="145" t="str">
        <f t="shared" ca="1" si="46"/>
        <v/>
      </c>
      <c r="K152" s="76" t="str">
        <f t="shared" ca="1" si="47"/>
        <v/>
      </c>
      <c r="L152" s="144" t="str">
        <f t="shared" ca="1" si="48"/>
        <v/>
      </c>
      <c r="M152" s="145" t="str">
        <f t="shared" ca="1" si="49"/>
        <v/>
      </c>
      <c r="N152" s="76" t="str">
        <f t="shared" ca="1" si="50"/>
        <v/>
      </c>
      <c r="O152" s="144" t="str">
        <f t="shared" ca="1" si="51"/>
        <v/>
      </c>
    </row>
    <row r="153" spans="1:15">
      <c r="A153" s="159">
        <v>23</v>
      </c>
      <c r="B153" s="159" t="str">
        <f>TEXT(투자전략!$G$1+22, "[$-ko-KR]yyyy.mm.dd")</f>
        <v>2021.05.23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>
      <c r="A154" s="159">
        <v>24</v>
      </c>
      <c r="B154" s="159" t="str">
        <f>TEXT(투자전략!$G$1+23, "[$-ko-KR]yyyy.mm.dd")</f>
        <v>2021.05.24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>
      <c r="A155" s="159">
        <v>25</v>
      </c>
      <c r="B155" s="159" t="str">
        <f>TEXT(투자전략!$G$1+24, "[$-ko-KR]yyyy.mm.dd")</f>
        <v>2021.05.25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>
      <c r="A156" s="159">
        <v>26</v>
      </c>
      <c r="B156" s="159" t="str">
        <f>TEXT(투자전략!$G$1+25, "[$-ko-KR]yyyy.mm.dd")</f>
        <v>2021.05.26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>
      <c r="A157" s="159">
        <v>27</v>
      </c>
      <c r="B157" s="159" t="str">
        <f>TEXT(투자전략!$G$1+26, "[$-ko-KR]yyyy.mm.dd")</f>
        <v>2021.05.27</v>
      </c>
      <c r="C157" s="138" t="str">
        <f t="shared" ca="1" si="39"/>
        <v/>
      </c>
      <c r="D157" s="142" t="str">
        <f t="shared" ca="1" si="40"/>
        <v/>
      </c>
      <c r="E157" s="77" t="str">
        <f t="shared" ca="1" si="41"/>
        <v/>
      </c>
      <c r="F157" s="140" t="str">
        <f t="shared" ca="1" si="42"/>
        <v/>
      </c>
      <c r="G157" s="142" t="str">
        <f t="shared" ca="1" si="43"/>
        <v/>
      </c>
      <c r="H157" s="77" t="str">
        <f t="shared" ca="1" si="44"/>
        <v/>
      </c>
      <c r="I157" s="140" t="str">
        <f t="shared" ca="1" si="45"/>
        <v/>
      </c>
      <c r="J157" s="142" t="str">
        <f t="shared" ca="1" si="46"/>
        <v/>
      </c>
      <c r="K157" s="77" t="str">
        <f t="shared" ca="1" si="47"/>
        <v/>
      </c>
      <c r="L157" s="140" t="str">
        <f t="shared" ca="1" si="48"/>
        <v/>
      </c>
      <c r="M157" s="142" t="str">
        <f t="shared" ca="1" si="49"/>
        <v/>
      </c>
      <c r="N157" s="77" t="str">
        <f t="shared" ca="1" si="50"/>
        <v/>
      </c>
      <c r="O157" s="140" t="str">
        <f t="shared" ca="1" si="51"/>
        <v/>
      </c>
    </row>
    <row r="158" spans="1:15" ht="17.25" thickBot="1">
      <c r="A158" s="161">
        <v>28</v>
      </c>
      <c r="B158" s="161" t="str">
        <f>TEXT(투자전략!$G$1+27, "[$-ko-KR]yyyy.mm.dd")</f>
        <v>2021.05.28</v>
      </c>
      <c r="C158" s="139" t="str">
        <f t="shared" ca="1" si="39"/>
        <v/>
      </c>
      <c r="D158" s="143" t="str">
        <f t="shared" ca="1" si="40"/>
        <v/>
      </c>
      <c r="E158" s="79" t="str">
        <f t="shared" ca="1" si="41"/>
        <v/>
      </c>
      <c r="F158" s="141" t="str">
        <f t="shared" ca="1" si="42"/>
        <v/>
      </c>
      <c r="G158" s="143" t="str">
        <f t="shared" ca="1" si="43"/>
        <v/>
      </c>
      <c r="H158" s="79" t="str">
        <f t="shared" ca="1" si="44"/>
        <v/>
      </c>
      <c r="I158" s="141" t="str">
        <f t="shared" ca="1" si="45"/>
        <v/>
      </c>
      <c r="J158" s="143" t="str">
        <f t="shared" ca="1" si="46"/>
        <v/>
      </c>
      <c r="K158" s="79" t="str">
        <f t="shared" ca="1" si="47"/>
        <v/>
      </c>
      <c r="L158" s="141" t="str">
        <f t="shared" ca="1" si="48"/>
        <v/>
      </c>
      <c r="M158" s="143" t="str">
        <f t="shared" ca="1" si="49"/>
        <v/>
      </c>
      <c r="N158" s="79" t="str">
        <f t="shared" ca="1" si="50"/>
        <v/>
      </c>
      <c r="O158" s="141" t="str">
        <f t="shared" ca="1" si="51"/>
        <v/>
      </c>
    </row>
    <row r="159" spans="1:15">
      <c r="A159" s="124">
        <v>29</v>
      </c>
      <c r="B159" s="160" t="str">
        <f>TEXT(투자전략!$G$1+28, "[$-ko-KR]yyyy.mm.dd")</f>
        <v>2021.05.29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>
      <c r="A160" s="124">
        <v>30</v>
      </c>
      <c r="B160" s="159" t="str">
        <f>TEXT(투자전략!$G$1+29, "[$-ko-KR]yyyy.mm.dd")</f>
        <v>2021.05.30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7.25" thickBot="1">
      <c r="A161" s="124">
        <v>31</v>
      </c>
      <c r="B161" s="159" t="str">
        <f>TEXT(투자전략!$G$1+30, "[$-ko-KR]yyyy.mm.dd")</f>
        <v>2021.05.31</v>
      </c>
      <c r="C161" s="139" t="str">
        <f t="shared" ca="1" si="39"/>
        <v/>
      </c>
      <c r="D161" s="143" t="str">
        <f t="shared" ca="1" si="40"/>
        <v/>
      </c>
      <c r="E161" s="79" t="str">
        <f t="shared" ca="1" si="41"/>
        <v/>
      </c>
      <c r="F161" s="141" t="str">
        <f t="shared" ca="1" si="42"/>
        <v/>
      </c>
      <c r="G161" s="143" t="str">
        <f t="shared" ca="1" si="43"/>
        <v/>
      </c>
      <c r="H161" s="79" t="str">
        <f t="shared" ca="1" si="44"/>
        <v/>
      </c>
      <c r="I161" s="141" t="str">
        <f t="shared" ca="1" si="45"/>
        <v/>
      </c>
      <c r="J161" s="143" t="str">
        <f t="shared" ca="1" si="46"/>
        <v/>
      </c>
      <c r="K161" s="79" t="str">
        <f t="shared" ca="1" si="47"/>
        <v/>
      </c>
      <c r="L161" s="141" t="str">
        <f t="shared" ca="1" si="48"/>
        <v/>
      </c>
      <c r="M161" s="143" t="str">
        <f t="shared" ca="1" si="49"/>
        <v/>
      </c>
      <c r="N161" s="79" t="str">
        <f t="shared" ca="1" si="50"/>
        <v/>
      </c>
      <c r="O161" s="141" t="str">
        <f t="shared" ca="1" si="51"/>
        <v/>
      </c>
    </row>
    <row r="162" spans="1:15" ht="17.25" thickBot="1">
      <c r="A162" s="213" t="s">
        <v>319</v>
      </c>
      <c r="B162" s="215"/>
      <c r="C162" s="135" t="s">
        <v>314</v>
      </c>
      <c r="D162" s="153" t="s">
        <v>315</v>
      </c>
      <c r="E162" s="154" t="s">
        <v>316</v>
      </c>
      <c r="F162" s="155" t="s">
        <v>317</v>
      </c>
      <c r="G162" s="153" t="s">
        <v>315</v>
      </c>
      <c r="H162" s="154" t="s">
        <v>316</v>
      </c>
      <c r="I162" s="155" t="s">
        <v>317</v>
      </c>
      <c r="J162" s="153" t="s">
        <v>315</v>
      </c>
      <c r="K162" s="154" t="s">
        <v>316</v>
      </c>
      <c r="L162" s="155" t="s">
        <v>317</v>
      </c>
      <c r="M162" s="153" t="s">
        <v>315</v>
      </c>
      <c r="N162" s="154" t="s">
        <v>316</v>
      </c>
      <c r="O162" s="155" t="s">
        <v>317</v>
      </c>
    </row>
    <row r="163" spans="1:15" ht="17.25" thickBot="1">
      <c r="A163" s="206"/>
      <c r="B163" s="208"/>
      <c r="C163" s="139">
        <f ca="1">SUM(C131:C161)</f>
        <v>27000000</v>
      </c>
      <c r="D163" s="143">
        <f ca="1">SUM(D131:D161)</f>
        <v>27381611.522730436</v>
      </c>
      <c r="E163" s="79">
        <f ca="1">IFERROR(F163 / (SUM($C131:$C161) / COUNT($C131:$C161)), 0)</f>
        <v>7.0668800505637078E-2</v>
      </c>
      <c r="F163" s="141">
        <f ca="1">SUM(F131:F161)</f>
        <v>381611.52273044025</v>
      </c>
      <c r="G163" s="143">
        <f ca="1">SUM(G131:G161)</f>
        <v>27609682.227994975</v>
      </c>
      <c r="H163" s="79">
        <f ca="1">IFERROR(I163 / (SUM($C131:$C161) / COUNT($C131:$C161)), 0)</f>
        <v>0.11290411629536581</v>
      </c>
      <c r="I163" s="141">
        <f ca="1">SUM(I131:I161)</f>
        <v>609682.2279949754</v>
      </c>
      <c r="J163" s="143">
        <f ca="1">SUM(J131:J161)</f>
        <v>27791669.694485046</v>
      </c>
      <c r="K163" s="79">
        <f ca="1">IFERROR(L163 / (SUM($C131:$C161) / COUNT($C131:$C161)), 0)</f>
        <v>0.14660549897871239</v>
      </c>
      <c r="L163" s="141">
        <f ca="1">SUM(L131:L161)</f>
        <v>791669.6944850469</v>
      </c>
      <c r="M163" s="143">
        <f ca="1">SUM(M131:M161)</f>
        <v>27470779.816236466</v>
      </c>
      <c r="N163" s="79">
        <f ca="1">IFERROR(O163 / (SUM($C131:$C161) / COUNT($C131:$C161)), 0)</f>
        <v>8.7181447451197283E-2</v>
      </c>
      <c r="O163" s="141">
        <f ca="1">SUM(O131:O161)</f>
        <v>470779.8162364653</v>
      </c>
    </row>
    <row r="165" spans="1:15" ht="17.25" thickBot="1"/>
    <row r="166" spans="1:15" ht="17.25" thickBot="1">
      <c r="A166" s="185" t="str">
        <f>TEXT(투자전략!$G$1, "[$-ko-KR]yyyy년 mm월 ") &amp; "[엽전코인] 전일대비 상승률 Bottom20 월말결산"</f>
        <v>2021년 05월 [엽전코인] 전일대비 상승률 Bottom20 월말결산</v>
      </c>
      <c r="B166" s="186"/>
      <c r="C166" s="186"/>
      <c r="D166" s="186"/>
      <c r="E166" s="186"/>
      <c r="F166" s="186"/>
      <c r="G166" s="186"/>
      <c r="H166" s="186"/>
      <c r="I166" s="186"/>
      <c r="J166" s="186"/>
      <c r="K166" s="186"/>
      <c r="L166" s="186"/>
      <c r="M166" s="186"/>
      <c r="N166" s="186"/>
      <c r="O166" s="187"/>
    </row>
    <row r="167" spans="1:15" ht="17.25" thickBot="1">
      <c r="A167" s="229" t="s">
        <v>320</v>
      </c>
      <c r="B167" s="206" t="s">
        <v>318</v>
      </c>
      <c r="C167" s="208"/>
      <c r="D167" s="206" t="s">
        <v>310</v>
      </c>
      <c r="E167" s="207"/>
      <c r="F167" s="208"/>
      <c r="G167" s="206" t="s">
        <v>311</v>
      </c>
      <c r="H167" s="207"/>
      <c r="I167" s="208"/>
      <c r="J167" s="206" t="s">
        <v>312</v>
      </c>
      <c r="K167" s="207"/>
      <c r="L167" s="208"/>
      <c r="M167" s="206" t="s">
        <v>313</v>
      </c>
      <c r="N167" s="207"/>
      <c r="O167" s="208"/>
    </row>
    <row r="168" spans="1:15" ht="17.25" thickBot="1">
      <c r="A168" s="222"/>
      <c r="B168" s="160" t="s">
        <v>308</v>
      </c>
      <c r="C168" s="160" t="s">
        <v>42</v>
      </c>
      <c r="D168" s="124" t="s">
        <v>309</v>
      </c>
      <c r="E168" s="136" t="s">
        <v>40</v>
      </c>
      <c r="F168" s="162" t="s">
        <v>41</v>
      </c>
      <c r="G168" s="124" t="s">
        <v>309</v>
      </c>
      <c r="H168" s="136" t="s">
        <v>40</v>
      </c>
      <c r="I168" s="162" t="s">
        <v>41</v>
      </c>
      <c r="J168" s="124" t="s">
        <v>309</v>
      </c>
      <c r="K168" s="136" t="s">
        <v>40</v>
      </c>
      <c r="L168" s="162" t="s">
        <v>41</v>
      </c>
      <c r="M168" s="124" t="s">
        <v>309</v>
      </c>
      <c r="N168" s="136" t="s">
        <v>40</v>
      </c>
      <c r="O168" s="162" t="s">
        <v>41</v>
      </c>
    </row>
    <row r="169" spans="1:15">
      <c r="A169" s="160">
        <v>1</v>
      </c>
      <c r="B169" s="160" t="str">
        <f>TEXT(투자전략!$G$1+0, "[$-ko-KR]yyyy.mm.dd")</f>
        <v>2021.05.01</v>
      </c>
      <c r="C169" s="137">
        <f ca="1">IFERROR(COUNTA(INDIRECT($B169&amp;"!A125:A144")) * INDIRECT($B169&amp;"!B145"), "")</f>
        <v>5700000</v>
      </c>
      <c r="D169" s="145">
        <f ca="1">IFERROR($C169 * (1 + E169), "")</f>
        <v>5796967.8582712999</v>
      </c>
      <c r="E169" s="76">
        <f ca="1">IFERROR(INDIRECT($B169&amp;"!E145"), "")</f>
        <v>1.7011904959877054E-2</v>
      </c>
      <c r="F169" s="144">
        <f ca="1">IFERROR(INDIRECT($B169&amp;"!F145"), "")</f>
        <v>96967.858271299192</v>
      </c>
      <c r="G169" s="145">
        <f ca="1">IFERROR($C169 * (1 + H169), "")</f>
        <v>5762497.1388724633</v>
      </c>
      <c r="H169" s="76">
        <f ca="1">IFERROR(INDIRECT($B169&amp;"!H145"), "")</f>
        <v>1.0964410328502251E-2</v>
      </c>
      <c r="I169" s="144">
        <f ca="1">IFERROR(INDIRECT($B169&amp;"!I145"), "")</f>
        <v>62497.138872462834</v>
      </c>
      <c r="J169" s="145">
        <f ca="1">IFERROR($C169 * (1 + K169), "")</f>
        <v>5794168.1462707957</v>
      </c>
      <c r="K169" s="76">
        <f ca="1">IFERROR(INDIRECT($B169&amp;"!K145"), "")</f>
        <v>1.6520727415929037E-2</v>
      </c>
      <c r="L169" s="144">
        <f ca="1">IFERROR(INDIRECT($B169&amp;"!L145"), "")</f>
        <v>94168.146270795492</v>
      </c>
      <c r="M169" s="145">
        <f ca="1">IFERROR($C169 * (1 + N169), "")</f>
        <v>5791895.125992734</v>
      </c>
      <c r="N169" s="76">
        <f ca="1">IFERROR(INDIRECT($B169&amp;"!N145"), "")</f>
        <v>1.6121951928549837E-2</v>
      </c>
      <c r="O169" s="144">
        <f ca="1">IFERROR(INDIRECT($B169&amp;"!O145"), "")</f>
        <v>91895.125992734043</v>
      </c>
    </row>
    <row r="170" spans="1:15">
      <c r="A170" s="159">
        <v>2</v>
      </c>
      <c r="B170" s="159" t="str">
        <f>TEXT(투자전략!$G$1+1, "[$-ko-KR]yyyy.mm.dd")</f>
        <v>2021.05.02</v>
      </c>
      <c r="C170" s="138">
        <f t="shared" ref="C170:C199" ca="1" si="52">IFERROR(COUNTA(INDIRECT($B170&amp;"!A125:A144")) * INDIRECT($B170&amp;"!B145"), "")</f>
        <v>5700000</v>
      </c>
      <c r="D170" s="142">
        <f t="shared" ref="D170:D199" ca="1" si="53">IFERROR($C170 * (1 + E170), "")</f>
        <v>5690911.4456432778</v>
      </c>
      <c r="E170" s="77">
        <f t="shared" ref="E170:E199" ca="1" si="54">IFERROR(INDIRECT($B170&amp;"!E145"), "")</f>
        <v>-1.594483220477585E-3</v>
      </c>
      <c r="F170" s="140">
        <f t="shared" ref="F170:F199" ca="1" si="55">IFERROR(INDIRECT($B170&amp;"!F145"), "")</f>
        <v>-9088.5543567222303</v>
      </c>
      <c r="G170" s="142">
        <f t="shared" ref="G170:G199" ca="1" si="56">IFERROR($C170 * (1 + H170), "")</f>
        <v>5690498.5045738928</v>
      </c>
      <c r="H170" s="77">
        <f t="shared" ref="H170:H199" ca="1" si="57">IFERROR(INDIRECT($B170&amp;"!H145"), "")</f>
        <v>-1.666929022124089E-3</v>
      </c>
      <c r="I170" s="140">
        <f t="shared" ref="I170:I199" ca="1" si="58">IFERROR(INDIRECT($B170&amp;"!I145"), "")</f>
        <v>-9501.4954261073035</v>
      </c>
      <c r="J170" s="142">
        <f t="shared" ref="J170:J199" ca="1" si="59">IFERROR($C170 * (1 + K170), "")</f>
        <v>5725292.5041279895</v>
      </c>
      <c r="K170" s="77">
        <f t="shared" ref="K170:K199" ca="1" si="60">IFERROR(INDIRECT($B170&amp;"!K145"), "")</f>
        <v>4.437281425962906E-3</v>
      </c>
      <c r="L170" s="140">
        <f t="shared" ref="L170:L199" ca="1" si="61">IFERROR(INDIRECT($B170&amp;"!L145"), "")</f>
        <v>25292.50412798857</v>
      </c>
      <c r="M170" s="142">
        <f t="shared" ref="M170:M199" ca="1" si="62">IFERROR($C170 * (1 + N170), "")</f>
        <v>5763933.8531855056</v>
      </c>
      <c r="N170" s="77">
        <f t="shared" ref="N170:N199" ca="1" si="63">IFERROR(INDIRECT($B170&amp;"!N145"), "")</f>
        <v>1.1216465471141364E-2</v>
      </c>
      <c r="O170" s="140">
        <f t="shared" ref="O170:O199" ca="1" si="64">IFERROR(INDIRECT($B170&amp;"!O145"), "")</f>
        <v>63933.853185505781</v>
      </c>
    </row>
    <row r="171" spans="1:15">
      <c r="A171" s="159">
        <v>3</v>
      </c>
      <c r="B171" s="159" t="str">
        <f>TEXT(투자전략!$G$1+2, "[$-ko-KR]yyyy.mm.dd")</f>
        <v>2021.05.03</v>
      </c>
      <c r="C171" s="138">
        <f t="shared" ca="1" si="52"/>
        <v>5400000</v>
      </c>
      <c r="D171" s="142">
        <f t="shared" ca="1" si="53"/>
        <v>5575496.9864295339</v>
      </c>
      <c r="E171" s="77">
        <f t="shared" ca="1" si="54"/>
        <v>3.2499441931395062E-2</v>
      </c>
      <c r="F171" s="140">
        <f t="shared" ca="1" si="55"/>
        <v>175496.9864295334</v>
      </c>
      <c r="G171" s="142">
        <f t="shared" ca="1" si="56"/>
        <v>5618685.4874268863</v>
      </c>
      <c r="H171" s="77">
        <f t="shared" ca="1" si="57"/>
        <v>4.0497312486460504E-2</v>
      </c>
      <c r="I171" s="140">
        <f t="shared" ca="1" si="58"/>
        <v>218685.48742688677</v>
      </c>
      <c r="J171" s="142">
        <f t="shared" ca="1" si="59"/>
        <v>5642781.0931354463</v>
      </c>
      <c r="K171" s="77">
        <f t="shared" ca="1" si="60"/>
        <v>4.4959461691749317E-2</v>
      </c>
      <c r="L171" s="140">
        <f t="shared" ca="1" si="61"/>
        <v>242781.09313544634</v>
      </c>
      <c r="M171" s="142">
        <f t="shared" ca="1" si="62"/>
        <v>5599398.2018607762</v>
      </c>
      <c r="N171" s="77">
        <f t="shared" ca="1" si="63"/>
        <v>3.6925592937180791E-2</v>
      </c>
      <c r="O171" s="140">
        <f t="shared" ca="1" si="64"/>
        <v>199398.20186077629</v>
      </c>
    </row>
    <row r="172" spans="1:15">
      <c r="A172" s="159">
        <v>4</v>
      </c>
      <c r="B172" s="159" t="str">
        <f>TEXT(투자전략!$G$1+3, "[$-ko-KR]yyyy.mm.dd")</f>
        <v>2021.05.04</v>
      </c>
      <c r="C172" s="138">
        <f t="shared" ca="1" si="52"/>
        <v>5100000</v>
      </c>
      <c r="D172" s="142">
        <f t="shared" ca="1" si="53"/>
        <v>4913291.8029331751</v>
      </c>
      <c r="E172" s="77">
        <f t="shared" ca="1" si="54"/>
        <v>-3.6609450405259723E-2</v>
      </c>
      <c r="F172" s="140">
        <f t="shared" ca="1" si="55"/>
        <v>-186708.19706682459</v>
      </c>
      <c r="G172" s="142">
        <f t="shared" ca="1" si="56"/>
        <v>4944548.6693847794</v>
      </c>
      <c r="H172" s="77">
        <f t="shared" ca="1" si="57"/>
        <v>-3.0480653061807909E-2</v>
      </c>
      <c r="I172" s="140">
        <f t="shared" ca="1" si="58"/>
        <v>-155451.3306152203</v>
      </c>
      <c r="J172" s="142">
        <f t="shared" ca="1" si="59"/>
        <v>4946341.5860611983</v>
      </c>
      <c r="K172" s="77">
        <f t="shared" ca="1" si="60"/>
        <v>-3.0129100772314142E-2</v>
      </c>
      <c r="L172" s="140">
        <f t="shared" ca="1" si="61"/>
        <v>-153658.41393880208</v>
      </c>
      <c r="M172" s="142">
        <f t="shared" ca="1" si="62"/>
        <v>4753721.9406563118</v>
      </c>
      <c r="N172" s="77">
        <f t="shared" ca="1" si="63"/>
        <v>-6.7897658694840837E-2</v>
      </c>
      <c r="O172" s="140">
        <f t="shared" ca="1" si="64"/>
        <v>-346278.05934368825</v>
      </c>
    </row>
    <row r="173" spans="1:15">
      <c r="A173" s="159">
        <v>5</v>
      </c>
      <c r="B173" s="159" t="str">
        <f>TEXT(투자전략!$G$1+4, "[$-ko-KR]yyyy.mm.dd")</f>
        <v>2021.05.05</v>
      </c>
      <c r="C173" s="138">
        <f t="shared" ca="1" si="52"/>
        <v>2550000</v>
      </c>
      <c r="D173" s="142">
        <f t="shared" ca="1" si="53"/>
        <v>2480776.0881199078</v>
      </c>
      <c r="E173" s="77">
        <f t="shared" ca="1" si="54"/>
        <v>-2.7146632109840186E-2</v>
      </c>
      <c r="F173" s="140">
        <f t="shared" ca="1" si="55"/>
        <v>-69223.911880092477</v>
      </c>
      <c r="G173" s="142">
        <f t="shared" ca="1" si="56"/>
        <v>2550000</v>
      </c>
      <c r="H173" s="77">
        <f t="shared" ca="1" si="57"/>
        <v>0</v>
      </c>
      <c r="I173" s="140">
        <f t="shared" ca="1" si="58"/>
        <v>0</v>
      </c>
      <c r="J173" s="142">
        <f t="shared" ca="1" si="59"/>
        <v>2550000</v>
      </c>
      <c r="K173" s="77">
        <f t="shared" ca="1" si="60"/>
        <v>0</v>
      </c>
      <c r="L173" s="140">
        <f t="shared" ca="1" si="61"/>
        <v>0</v>
      </c>
      <c r="M173" s="142">
        <f t="shared" ca="1" si="62"/>
        <v>2550000</v>
      </c>
      <c r="N173" s="77">
        <f t="shared" ca="1" si="63"/>
        <v>0</v>
      </c>
      <c r="O173" s="140">
        <f t="shared" ca="1" si="64"/>
        <v>0</v>
      </c>
    </row>
    <row r="174" spans="1:15">
      <c r="A174" s="159">
        <v>6</v>
      </c>
      <c r="B174" s="159" t="str">
        <f>TEXT(투자전략!$G$1+5, "[$-ko-KR]yyyy.mm.dd")</f>
        <v>2021.05.06</v>
      </c>
      <c r="C174" s="138" t="str">
        <f t="shared" ca="1" si="52"/>
        <v/>
      </c>
      <c r="D174" s="142" t="str">
        <f t="shared" ca="1" si="53"/>
        <v/>
      </c>
      <c r="E174" s="77" t="str">
        <f t="shared" ca="1" si="54"/>
        <v/>
      </c>
      <c r="F174" s="140" t="str">
        <f t="shared" ca="1" si="55"/>
        <v/>
      </c>
      <c r="G174" s="142" t="str">
        <f t="shared" ca="1" si="56"/>
        <v/>
      </c>
      <c r="H174" s="77" t="str">
        <f t="shared" ca="1" si="57"/>
        <v/>
      </c>
      <c r="I174" s="140" t="str">
        <f t="shared" ca="1" si="58"/>
        <v/>
      </c>
      <c r="J174" s="142" t="str">
        <f t="shared" ca="1" si="59"/>
        <v/>
      </c>
      <c r="K174" s="77" t="str">
        <f t="shared" ca="1" si="60"/>
        <v/>
      </c>
      <c r="L174" s="140" t="str">
        <f t="shared" ca="1" si="61"/>
        <v/>
      </c>
      <c r="M174" s="142" t="str">
        <f t="shared" ca="1" si="62"/>
        <v/>
      </c>
      <c r="N174" s="77" t="str">
        <f t="shared" ca="1" si="63"/>
        <v/>
      </c>
      <c r="O174" s="140" t="str">
        <f t="shared" ca="1" si="64"/>
        <v/>
      </c>
    </row>
    <row r="175" spans="1:15" ht="17.25" thickBot="1">
      <c r="A175" s="161">
        <v>7</v>
      </c>
      <c r="B175" s="161" t="str">
        <f>TEXT(투자전략!$G$1+6, "[$-ko-KR]yyyy.mm.dd")</f>
        <v>2021.05.07</v>
      </c>
      <c r="C175" s="138" t="str">
        <f t="shared" ca="1" si="52"/>
        <v/>
      </c>
      <c r="D175" s="142" t="str">
        <f t="shared" ca="1" si="53"/>
        <v/>
      </c>
      <c r="E175" s="77" t="str">
        <f t="shared" ca="1" si="54"/>
        <v/>
      </c>
      <c r="F175" s="140" t="str">
        <f t="shared" ca="1" si="55"/>
        <v/>
      </c>
      <c r="G175" s="142" t="str">
        <f t="shared" ca="1" si="56"/>
        <v/>
      </c>
      <c r="H175" s="77" t="str">
        <f t="shared" ca="1" si="57"/>
        <v/>
      </c>
      <c r="I175" s="140" t="str">
        <f t="shared" ca="1" si="58"/>
        <v/>
      </c>
      <c r="J175" s="142" t="str">
        <f t="shared" ca="1" si="59"/>
        <v/>
      </c>
      <c r="K175" s="77" t="str">
        <f t="shared" ca="1" si="60"/>
        <v/>
      </c>
      <c r="L175" s="140" t="str">
        <f t="shared" ca="1" si="61"/>
        <v/>
      </c>
      <c r="M175" s="142" t="str">
        <f t="shared" ca="1" si="62"/>
        <v/>
      </c>
      <c r="N175" s="77" t="str">
        <f t="shared" ca="1" si="63"/>
        <v/>
      </c>
      <c r="O175" s="140" t="str">
        <f t="shared" ca="1" si="64"/>
        <v/>
      </c>
    </row>
    <row r="176" spans="1:15">
      <c r="A176" s="160">
        <v>8</v>
      </c>
      <c r="B176" s="160" t="str">
        <f>TEXT(투자전략!$G$1+7, "[$-ko-KR]yyyy.mm.dd")</f>
        <v>2021.05.08</v>
      </c>
      <c r="C176" s="137" t="str">
        <f t="shared" ca="1" si="52"/>
        <v/>
      </c>
      <c r="D176" s="145" t="str">
        <f t="shared" ca="1" si="53"/>
        <v/>
      </c>
      <c r="E176" s="76" t="str">
        <f t="shared" ca="1" si="54"/>
        <v/>
      </c>
      <c r="F176" s="144" t="str">
        <f t="shared" ca="1" si="55"/>
        <v/>
      </c>
      <c r="G176" s="145" t="str">
        <f t="shared" ca="1" si="56"/>
        <v/>
      </c>
      <c r="H176" s="76" t="str">
        <f t="shared" ca="1" si="57"/>
        <v/>
      </c>
      <c r="I176" s="144" t="str">
        <f t="shared" ca="1" si="58"/>
        <v/>
      </c>
      <c r="J176" s="145" t="str">
        <f t="shared" ca="1" si="59"/>
        <v/>
      </c>
      <c r="K176" s="76" t="str">
        <f t="shared" ca="1" si="60"/>
        <v/>
      </c>
      <c r="L176" s="144" t="str">
        <f t="shared" ca="1" si="61"/>
        <v/>
      </c>
      <c r="M176" s="145" t="str">
        <f t="shared" ca="1" si="62"/>
        <v/>
      </c>
      <c r="N176" s="76" t="str">
        <f t="shared" ca="1" si="63"/>
        <v/>
      </c>
      <c r="O176" s="144" t="str">
        <f t="shared" ca="1" si="64"/>
        <v/>
      </c>
    </row>
    <row r="177" spans="1:15">
      <c r="A177" s="159">
        <v>9</v>
      </c>
      <c r="B177" s="159" t="str">
        <f>TEXT(투자전략!$G$1+8, "[$-ko-KR]yyyy.mm.dd")</f>
        <v>2021.05.09</v>
      </c>
      <c r="C177" s="138" t="str">
        <f t="shared" ca="1" si="52"/>
        <v/>
      </c>
      <c r="D177" s="142" t="str">
        <f t="shared" ca="1" si="53"/>
        <v/>
      </c>
      <c r="E177" s="77" t="str">
        <f t="shared" ca="1" si="54"/>
        <v/>
      </c>
      <c r="F177" s="140" t="str">
        <f t="shared" ca="1" si="55"/>
        <v/>
      </c>
      <c r="G177" s="142" t="str">
        <f t="shared" ca="1" si="56"/>
        <v/>
      </c>
      <c r="H177" s="77" t="str">
        <f t="shared" ca="1" si="57"/>
        <v/>
      </c>
      <c r="I177" s="140" t="str">
        <f t="shared" ca="1" si="58"/>
        <v/>
      </c>
      <c r="J177" s="142" t="str">
        <f t="shared" ca="1" si="59"/>
        <v/>
      </c>
      <c r="K177" s="77" t="str">
        <f t="shared" ca="1" si="60"/>
        <v/>
      </c>
      <c r="L177" s="140" t="str">
        <f t="shared" ca="1" si="61"/>
        <v/>
      </c>
      <c r="M177" s="142" t="str">
        <f t="shared" ca="1" si="62"/>
        <v/>
      </c>
      <c r="N177" s="77" t="str">
        <f t="shared" ca="1" si="63"/>
        <v/>
      </c>
      <c r="O177" s="140" t="str">
        <f t="shared" ca="1" si="64"/>
        <v/>
      </c>
    </row>
    <row r="178" spans="1:15">
      <c r="A178" s="159">
        <v>10</v>
      </c>
      <c r="B178" s="159" t="str">
        <f>TEXT(투자전략!$G$1+9, "[$-ko-KR]yyyy.mm.dd")</f>
        <v>2021.05.10</v>
      </c>
      <c r="C178" s="138" t="str">
        <f t="shared" ca="1" si="52"/>
        <v/>
      </c>
      <c r="D178" s="142" t="str">
        <f t="shared" ca="1" si="53"/>
        <v/>
      </c>
      <c r="E178" s="77" t="str">
        <f t="shared" ca="1" si="54"/>
        <v/>
      </c>
      <c r="F178" s="140" t="str">
        <f t="shared" ca="1" si="55"/>
        <v/>
      </c>
      <c r="G178" s="142" t="str">
        <f t="shared" ca="1" si="56"/>
        <v/>
      </c>
      <c r="H178" s="77" t="str">
        <f t="shared" ca="1" si="57"/>
        <v/>
      </c>
      <c r="I178" s="140" t="str">
        <f t="shared" ca="1" si="58"/>
        <v/>
      </c>
      <c r="J178" s="142" t="str">
        <f t="shared" ca="1" si="59"/>
        <v/>
      </c>
      <c r="K178" s="77" t="str">
        <f t="shared" ca="1" si="60"/>
        <v/>
      </c>
      <c r="L178" s="140" t="str">
        <f t="shared" ca="1" si="61"/>
        <v/>
      </c>
      <c r="M178" s="142" t="str">
        <f t="shared" ca="1" si="62"/>
        <v/>
      </c>
      <c r="N178" s="77" t="str">
        <f t="shared" ca="1" si="63"/>
        <v/>
      </c>
      <c r="O178" s="140" t="str">
        <f t="shared" ca="1" si="64"/>
        <v/>
      </c>
    </row>
    <row r="179" spans="1:15">
      <c r="A179" s="159">
        <v>11</v>
      </c>
      <c r="B179" s="159" t="str">
        <f>TEXT(투자전략!$G$1+10, "[$-ko-KR]yyyy.mm.dd")</f>
        <v>2021.05.11</v>
      </c>
      <c r="C179" s="138" t="str">
        <f t="shared" ca="1" si="52"/>
        <v/>
      </c>
      <c r="D179" s="142" t="str">
        <f t="shared" ca="1" si="53"/>
        <v/>
      </c>
      <c r="E179" s="77" t="str">
        <f t="shared" ca="1" si="54"/>
        <v/>
      </c>
      <c r="F179" s="140" t="str">
        <f t="shared" ca="1" si="55"/>
        <v/>
      </c>
      <c r="G179" s="142" t="str">
        <f t="shared" ca="1" si="56"/>
        <v/>
      </c>
      <c r="H179" s="77" t="str">
        <f t="shared" ca="1" si="57"/>
        <v/>
      </c>
      <c r="I179" s="140" t="str">
        <f t="shared" ca="1" si="58"/>
        <v/>
      </c>
      <c r="J179" s="142" t="str">
        <f t="shared" ca="1" si="59"/>
        <v/>
      </c>
      <c r="K179" s="77" t="str">
        <f t="shared" ca="1" si="60"/>
        <v/>
      </c>
      <c r="L179" s="140" t="str">
        <f t="shared" ca="1" si="61"/>
        <v/>
      </c>
      <c r="M179" s="142" t="str">
        <f t="shared" ca="1" si="62"/>
        <v/>
      </c>
      <c r="N179" s="77" t="str">
        <f t="shared" ca="1" si="63"/>
        <v/>
      </c>
      <c r="O179" s="140" t="str">
        <f t="shared" ca="1" si="64"/>
        <v/>
      </c>
    </row>
    <row r="180" spans="1:15">
      <c r="A180" s="159">
        <v>12</v>
      </c>
      <c r="B180" s="159" t="str">
        <f>TEXT(투자전략!$G$1+11, "[$-ko-KR]yyyy.mm.dd")</f>
        <v>2021.05.12</v>
      </c>
      <c r="C180" s="138" t="str">
        <f t="shared" ca="1" si="52"/>
        <v/>
      </c>
      <c r="D180" s="142" t="str">
        <f t="shared" ca="1" si="53"/>
        <v/>
      </c>
      <c r="E180" s="77" t="str">
        <f t="shared" ca="1" si="54"/>
        <v/>
      </c>
      <c r="F180" s="140" t="str">
        <f t="shared" ca="1" si="55"/>
        <v/>
      </c>
      <c r="G180" s="142" t="str">
        <f t="shared" ca="1" si="56"/>
        <v/>
      </c>
      <c r="H180" s="77" t="str">
        <f t="shared" ca="1" si="57"/>
        <v/>
      </c>
      <c r="I180" s="140" t="str">
        <f t="shared" ca="1" si="58"/>
        <v/>
      </c>
      <c r="J180" s="142" t="str">
        <f t="shared" ca="1" si="59"/>
        <v/>
      </c>
      <c r="K180" s="77" t="str">
        <f t="shared" ca="1" si="60"/>
        <v/>
      </c>
      <c r="L180" s="140" t="str">
        <f t="shared" ca="1" si="61"/>
        <v/>
      </c>
      <c r="M180" s="142" t="str">
        <f t="shared" ca="1" si="62"/>
        <v/>
      </c>
      <c r="N180" s="77" t="str">
        <f t="shared" ca="1" si="63"/>
        <v/>
      </c>
      <c r="O180" s="140" t="str">
        <f t="shared" ca="1" si="64"/>
        <v/>
      </c>
    </row>
    <row r="181" spans="1:15">
      <c r="A181" s="159">
        <v>13</v>
      </c>
      <c r="B181" s="159" t="str">
        <f>TEXT(투자전략!$G$1+12, "[$-ko-KR]yyyy.mm.dd")</f>
        <v>2021.05.13</v>
      </c>
      <c r="C181" s="138" t="str">
        <f t="shared" ca="1" si="52"/>
        <v/>
      </c>
      <c r="D181" s="142" t="str">
        <f t="shared" ca="1" si="53"/>
        <v/>
      </c>
      <c r="E181" s="77" t="str">
        <f t="shared" ca="1" si="54"/>
        <v/>
      </c>
      <c r="F181" s="140" t="str">
        <f t="shared" ca="1" si="55"/>
        <v/>
      </c>
      <c r="G181" s="142" t="str">
        <f t="shared" ca="1" si="56"/>
        <v/>
      </c>
      <c r="H181" s="77" t="str">
        <f t="shared" ca="1" si="57"/>
        <v/>
      </c>
      <c r="I181" s="140" t="str">
        <f t="shared" ca="1" si="58"/>
        <v/>
      </c>
      <c r="J181" s="142" t="str">
        <f t="shared" ca="1" si="59"/>
        <v/>
      </c>
      <c r="K181" s="77" t="str">
        <f t="shared" ca="1" si="60"/>
        <v/>
      </c>
      <c r="L181" s="140" t="str">
        <f t="shared" ca="1" si="61"/>
        <v/>
      </c>
      <c r="M181" s="142" t="str">
        <f t="shared" ca="1" si="62"/>
        <v/>
      </c>
      <c r="N181" s="77" t="str">
        <f t="shared" ca="1" si="63"/>
        <v/>
      </c>
      <c r="O181" s="140" t="str">
        <f t="shared" ca="1" si="64"/>
        <v/>
      </c>
    </row>
    <row r="182" spans="1:15" ht="17.25" thickBot="1">
      <c r="A182" s="161">
        <v>14</v>
      </c>
      <c r="B182" s="161" t="str">
        <f>TEXT(투자전략!$G$1+13, "[$-ko-KR]yyyy.mm.dd")</f>
        <v>2021.05.14</v>
      </c>
      <c r="C182" s="139" t="str">
        <f t="shared" ca="1" si="52"/>
        <v/>
      </c>
      <c r="D182" s="143" t="str">
        <f t="shared" ca="1" si="53"/>
        <v/>
      </c>
      <c r="E182" s="79" t="str">
        <f t="shared" ca="1" si="54"/>
        <v/>
      </c>
      <c r="F182" s="141" t="str">
        <f t="shared" ca="1" si="55"/>
        <v/>
      </c>
      <c r="G182" s="143" t="str">
        <f t="shared" ca="1" si="56"/>
        <v/>
      </c>
      <c r="H182" s="79" t="str">
        <f t="shared" ca="1" si="57"/>
        <v/>
      </c>
      <c r="I182" s="141" t="str">
        <f t="shared" ca="1" si="58"/>
        <v/>
      </c>
      <c r="J182" s="143" t="str">
        <f t="shared" ca="1" si="59"/>
        <v/>
      </c>
      <c r="K182" s="79" t="str">
        <f t="shared" ca="1" si="60"/>
        <v/>
      </c>
      <c r="L182" s="141" t="str">
        <f t="shared" ca="1" si="61"/>
        <v/>
      </c>
      <c r="M182" s="143" t="str">
        <f t="shared" ca="1" si="62"/>
        <v/>
      </c>
      <c r="N182" s="79" t="str">
        <f t="shared" ca="1" si="63"/>
        <v/>
      </c>
      <c r="O182" s="141" t="str">
        <f t="shared" ca="1" si="64"/>
        <v/>
      </c>
    </row>
    <row r="183" spans="1:15">
      <c r="A183" s="160">
        <v>15</v>
      </c>
      <c r="B183" s="160" t="str">
        <f>TEXT(투자전략!$G$1+14, "[$-ko-KR]yyyy.mm.dd")</f>
        <v>2021.05.15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>
      <c r="A184" s="159">
        <v>16</v>
      </c>
      <c r="B184" s="159" t="str">
        <f>TEXT(투자전략!$G$1+15, "[$-ko-KR]yyyy.mm.dd")</f>
        <v>2021.05.16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>
      <c r="A185" s="159">
        <v>17</v>
      </c>
      <c r="B185" s="159" t="str">
        <f>TEXT(투자전략!$G$1+16, "[$-ko-KR]yyyy.mm.dd")</f>
        <v>2021.05.17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>
      <c r="A186" s="159">
        <v>18</v>
      </c>
      <c r="B186" s="159" t="str">
        <f>TEXT(투자전략!$G$1+17, "[$-ko-KR]yyyy.mm.dd")</f>
        <v>2021.05.18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>
      <c r="A187" s="159">
        <v>19</v>
      </c>
      <c r="B187" s="159" t="str">
        <f>TEXT(투자전략!$G$1+18, "[$-ko-KR]yyyy.mm.dd")</f>
        <v>2021.05.19</v>
      </c>
      <c r="C187" s="138" t="str">
        <f t="shared" ca="1" si="52"/>
        <v/>
      </c>
      <c r="D187" s="142" t="str">
        <f t="shared" ca="1" si="53"/>
        <v/>
      </c>
      <c r="E187" s="77" t="str">
        <f t="shared" ca="1" si="54"/>
        <v/>
      </c>
      <c r="F187" s="140" t="str">
        <f t="shared" ca="1" si="55"/>
        <v/>
      </c>
      <c r="G187" s="142" t="str">
        <f t="shared" ca="1" si="56"/>
        <v/>
      </c>
      <c r="H187" s="77" t="str">
        <f t="shared" ca="1" si="57"/>
        <v/>
      </c>
      <c r="I187" s="140" t="str">
        <f t="shared" ca="1" si="58"/>
        <v/>
      </c>
      <c r="J187" s="142" t="str">
        <f t="shared" ca="1" si="59"/>
        <v/>
      </c>
      <c r="K187" s="77" t="str">
        <f t="shared" ca="1" si="60"/>
        <v/>
      </c>
      <c r="L187" s="140" t="str">
        <f t="shared" ca="1" si="61"/>
        <v/>
      </c>
      <c r="M187" s="142" t="str">
        <f t="shared" ca="1" si="62"/>
        <v/>
      </c>
      <c r="N187" s="77" t="str">
        <f t="shared" ca="1" si="63"/>
        <v/>
      </c>
      <c r="O187" s="140" t="str">
        <f t="shared" ca="1" si="64"/>
        <v/>
      </c>
    </row>
    <row r="188" spans="1:15">
      <c r="A188" s="159">
        <v>20</v>
      </c>
      <c r="B188" s="159" t="str">
        <f>TEXT(투자전략!$G$1+19, "[$-ko-KR]yyyy.mm.dd")</f>
        <v>2021.05.20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7.25" thickBot="1">
      <c r="A189" s="161">
        <v>21</v>
      </c>
      <c r="B189" s="161" t="str">
        <f>TEXT(투자전략!$G$1+20, "[$-ko-KR]yyyy.mm.dd")</f>
        <v>2021.05.21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>
      <c r="A190" s="160">
        <v>22</v>
      </c>
      <c r="B190" s="160" t="str">
        <f>TEXT(투자전략!$G$1+21, "[$-ko-KR]yyyy.mm.dd")</f>
        <v>2021.05.22</v>
      </c>
      <c r="C190" s="137" t="str">
        <f t="shared" ca="1" si="52"/>
        <v/>
      </c>
      <c r="D190" s="145" t="str">
        <f t="shared" ca="1" si="53"/>
        <v/>
      </c>
      <c r="E190" s="76" t="str">
        <f t="shared" ca="1" si="54"/>
        <v/>
      </c>
      <c r="F190" s="144" t="str">
        <f t="shared" ca="1" si="55"/>
        <v/>
      </c>
      <c r="G190" s="145" t="str">
        <f t="shared" ca="1" si="56"/>
        <v/>
      </c>
      <c r="H190" s="76" t="str">
        <f t="shared" ca="1" si="57"/>
        <v/>
      </c>
      <c r="I190" s="144" t="str">
        <f t="shared" ca="1" si="58"/>
        <v/>
      </c>
      <c r="J190" s="145" t="str">
        <f t="shared" ca="1" si="59"/>
        <v/>
      </c>
      <c r="K190" s="76" t="str">
        <f t="shared" ca="1" si="60"/>
        <v/>
      </c>
      <c r="L190" s="144" t="str">
        <f t="shared" ca="1" si="61"/>
        <v/>
      </c>
      <c r="M190" s="145" t="str">
        <f t="shared" ca="1" si="62"/>
        <v/>
      </c>
      <c r="N190" s="76" t="str">
        <f t="shared" ca="1" si="63"/>
        <v/>
      </c>
      <c r="O190" s="144" t="str">
        <f t="shared" ca="1" si="64"/>
        <v/>
      </c>
    </row>
    <row r="191" spans="1:15">
      <c r="A191" s="159">
        <v>23</v>
      </c>
      <c r="B191" s="159" t="str">
        <f>TEXT(투자전략!$G$1+22, "[$-ko-KR]yyyy.mm.dd")</f>
        <v>2021.05.23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>
      <c r="A192" s="159">
        <v>24</v>
      </c>
      <c r="B192" s="159" t="str">
        <f>TEXT(투자전략!$G$1+23, "[$-ko-KR]yyyy.mm.dd")</f>
        <v>2021.05.24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>
      <c r="A193" s="159">
        <v>25</v>
      </c>
      <c r="B193" s="159" t="str">
        <f>TEXT(투자전략!$G$1+24, "[$-ko-KR]yyyy.mm.dd")</f>
        <v>2021.05.25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>
      <c r="A194" s="159">
        <v>26</v>
      </c>
      <c r="B194" s="159" t="str">
        <f>TEXT(투자전략!$G$1+25, "[$-ko-KR]yyyy.mm.dd")</f>
        <v>2021.05.26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>
      <c r="A195" s="159">
        <v>27</v>
      </c>
      <c r="B195" s="159" t="str">
        <f>TEXT(투자전략!$G$1+26, "[$-ko-KR]yyyy.mm.dd")</f>
        <v>2021.05.27</v>
      </c>
      <c r="C195" s="138" t="str">
        <f t="shared" ca="1" si="52"/>
        <v/>
      </c>
      <c r="D195" s="142" t="str">
        <f t="shared" ca="1" si="53"/>
        <v/>
      </c>
      <c r="E195" s="77" t="str">
        <f t="shared" ca="1" si="54"/>
        <v/>
      </c>
      <c r="F195" s="140" t="str">
        <f t="shared" ca="1" si="55"/>
        <v/>
      </c>
      <c r="G195" s="142" t="str">
        <f t="shared" ca="1" si="56"/>
        <v/>
      </c>
      <c r="H195" s="77" t="str">
        <f t="shared" ca="1" si="57"/>
        <v/>
      </c>
      <c r="I195" s="140" t="str">
        <f t="shared" ca="1" si="58"/>
        <v/>
      </c>
      <c r="J195" s="142" t="str">
        <f t="shared" ca="1" si="59"/>
        <v/>
      </c>
      <c r="K195" s="77" t="str">
        <f t="shared" ca="1" si="60"/>
        <v/>
      </c>
      <c r="L195" s="140" t="str">
        <f t="shared" ca="1" si="61"/>
        <v/>
      </c>
      <c r="M195" s="142" t="str">
        <f t="shared" ca="1" si="62"/>
        <v/>
      </c>
      <c r="N195" s="77" t="str">
        <f t="shared" ca="1" si="63"/>
        <v/>
      </c>
      <c r="O195" s="140" t="str">
        <f t="shared" ca="1" si="64"/>
        <v/>
      </c>
    </row>
    <row r="196" spans="1:15" ht="17.25" thickBot="1">
      <c r="A196" s="161">
        <v>28</v>
      </c>
      <c r="B196" s="161" t="str">
        <f>TEXT(투자전략!$G$1+27, "[$-ko-KR]yyyy.mm.dd")</f>
        <v>2021.05.28</v>
      </c>
      <c r="C196" s="139" t="str">
        <f t="shared" ca="1" si="52"/>
        <v/>
      </c>
      <c r="D196" s="143" t="str">
        <f t="shared" ca="1" si="53"/>
        <v/>
      </c>
      <c r="E196" s="79" t="str">
        <f t="shared" ca="1" si="54"/>
        <v/>
      </c>
      <c r="F196" s="141" t="str">
        <f t="shared" ca="1" si="55"/>
        <v/>
      </c>
      <c r="G196" s="143" t="str">
        <f t="shared" ca="1" si="56"/>
        <v/>
      </c>
      <c r="H196" s="79" t="str">
        <f t="shared" ca="1" si="57"/>
        <v/>
      </c>
      <c r="I196" s="141" t="str">
        <f t="shared" ca="1" si="58"/>
        <v/>
      </c>
      <c r="J196" s="143" t="str">
        <f t="shared" ca="1" si="59"/>
        <v/>
      </c>
      <c r="K196" s="79" t="str">
        <f t="shared" ca="1" si="60"/>
        <v/>
      </c>
      <c r="L196" s="141" t="str">
        <f t="shared" ca="1" si="61"/>
        <v/>
      </c>
      <c r="M196" s="143" t="str">
        <f t="shared" ca="1" si="62"/>
        <v/>
      </c>
      <c r="N196" s="79" t="str">
        <f t="shared" ca="1" si="63"/>
        <v/>
      </c>
      <c r="O196" s="141" t="str">
        <f t="shared" ca="1" si="64"/>
        <v/>
      </c>
    </row>
    <row r="197" spans="1:15">
      <c r="A197" s="124">
        <v>29</v>
      </c>
      <c r="B197" s="160" t="str">
        <f>TEXT(투자전략!$G$1+28, "[$-ko-KR]yyyy.mm.dd")</f>
        <v>2021.05.29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>
      <c r="A198" s="124">
        <v>30</v>
      </c>
      <c r="B198" s="159" t="str">
        <f>TEXT(투자전략!$G$1+29, "[$-ko-KR]yyyy.mm.dd")</f>
        <v>2021.05.30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7.25" thickBot="1">
      <c r="A199" s="124">
        <v>31</v>
      </c>
      <c r="B199" s="159" t="str">
        <f>TEXT(투자전략!$G$1+30, "[$-ko-KR]yyyy.mm.dd")</f>
        <v>2021.05.31</v>
      </c>
      <c r="C199" s="139" t="str">
        <f t="shared" ca="1" si="52"/>
        <v/>
      </c>
      <c r="D199" s="143" t="str">
        <f t="shared" ca="1" si="53"/>
        <v/>
      </c>
      <c r="E199" s="79" t="str">
        <f t="shared" ca="1" si="54"/>
        <v/>
      </c>
      <c r="F199" s="141" t="str">
        <f t="shared" ca="1" si="55"/>
        <v/>
      </c>
      <c r="G199" s="143" t="str">
        <f t="shared" ca="1" si="56"/>
        <v/>
      </c>
      <c r="H199" s="79" t="str">
        <f t="shared" ca="1" si="57"/>
        <v/>
      </c>
      <c r="I199" s="141" t="str">
        <f t="shared" ca="1" si="58"/>
        <v/>
      </c>
      <c r="J199" s="143" t="str">
        <f t="shared" ca="1" si="59"/>
        <v/>
      </c>
      <c r="K199" s="79" t="str">
        <f t="shared" ca="1" si="60"/>
        <v/>
      </c>
      <c r="L199" s="141" t="str">
        <f t="shared" ca="1" si="61"/>
        <v/>
      </c>
      <c r="M199" s="143" t="str">
        <f t="shared" ca="1" si="62"/>
        <v/>
      </c>
      <c r="N199" s="79" t="str">
        <f t="shared" ca="1" si="63"/>
        <v/>
      </c>
      <c r="O199" s="141" t="str">
        <f t="shared" ca="1" si="64"/>
        <v/>
      </c>
    </row>
    <row r="200" spans="1:15" ht="17.25" thickBot="1">
      <c r="A200" s="213" t="s">
        <v>319</v>
      </c>
      <c r="B200" s="215"/>
      <c r="C200" s="135" t="s">
        <v>314</v>
      </c>
      <c r="D200" s="153" t="s">
        <v>315</v>
      </c>
      <c r="E200" s="154" t="s">
        <v>316</v>
      </c>
      <c r="F200" s="155" t="s">
        <v>317</v>
      </c>
      <c r="G200" s="153" t="s">
        <v>315</v>
      </c>
      <c r="H200" s="154" t="s">
        <v>316</v>
      </c>
      <c r="I200" s="155" t="s">
        <v>317</v>
      </c>
      <c r="J200" s="153" t="s">
        <v>315</v>
      </c>
      <c r="K200" s="154" t="s">
        <v>316</v>
      </c>
      <c r="L200" s="155" t="s">
        <v>317</v>
      </c>
      <c r="M200" s="153" t="s">
        <v>315</v>
      </c>
      <c r="N200" s="154" t="s">
        <v>316</v>
      </c>
      <c r="O200" s="155" t="s">
        <v>317</v>
      </c>
    </row>
    <row r="201" spans="1:15" ht="17.25" thickBot="1">
      <c r="A201" s="206"/>
      <c r="B201" s="208"/>
      <c r="C201" s="139">
        <f ca="1">SUM(C169:C199)</f>
        <v>24450000</v>
      </c>
      <c r="D201" s="143">
        <f ca="1">SUM(D169:D199)</f>
        <v>24457444.181397196</v>
      </c>
      <c r="E201" s="79">
        <f ca="1">IFERROR(F201 / (SUM($C169:$C199) / COUNT($C169:$C199)), 0)</f>
        <v>1.5223274840886036E-3</v>
      </c>
      <c r="F201" s="141">
        <f ca="1">SUM(F169:F199)</f>
        <v>7444.1813971932716</v>
      </c>
      <c r="G201" s="143">
        <f ca="1">SUM(G169:G199)</f>
        <v>24566229.800258018</v>
      </c>
      <c r="H201" s="79">
        <f ca="1">IFERROR(I201 / (SUM($C169:$C199) / COUNT($C169:$C199)), 0)</f>
        <v>2.3768875308388952E-2</v>
      </c>
      <c r="I201" s="141">
        <f ca="1">SUM(I169:I199)</f>
        <v>116229.80025802198</v>
      </c>
      <c r="J201" s="143">
        <f ca="1">SUM(J169:J199)</f>
        <v>24658583.329595428</v>
      </c>
      <c r="K201" s="79">
        <f ca="1">IFERROR(L201 / (SUM($C169:$C199) / COUNT($C169:$C199)), 0)</f>
        <v>4.2655077626876953E-2</v>
      </c>
      <c r="L201" s="141">
        <f ca="1">SUM(L169:L199)</f>
        <v>208583.32959542831</v>
      </c>
      <c r="M201" s="143">
        <f ca="1">SUM(M169:M199)</f>
        <v>24458949.121695325</v>
      </c>
      <c r="N201" s="79">
        <f ca="1">IFERROR(O201 / (SUM($C169:$C199) / COUNT($C169:$C199)), 0)</f>
        <v>1.8300862362633668E-3</v>
      </c>
      <c r="O201" s="141">
        <f ca="1">SUM(O169:O199)</f>
        <v>8949.1216953278636</v>
      </c>
    </row>
    <row r="203" spans="1:15" ht="17.25" thickBot="1"/>
    <row r="204" spans="1:15" ht="17.25" thickBot="1">
      <c r="A204" s="185" t="str">
        <f>TEXT(투자전략!$G$1, "[$-ko-KR]yyyy년 mm월 ") &amp; "[동전코인] 전일대비 상승률 Bottom20 월말결산"</f>
        <v>2021년 05월 [동전코인] 전일대비 상승률 Bottom20 월말결산</v>
      </c>
      <c r="B204" s="186"/>
      <c r="C204" s="186"/>
      <c r="D204" s="186"/>
      <c r="E204" s="186"/>
      <c r="F204" s="186"/>
      <c r="G204" s="186"/>
      <c r="H204" s="186"/>
      <c r="I204" s="186"/>
      <c r="J204" s="186"/>
      <c r="K204" s="186"/>
      <c r="L204" s="186"/>
      <c r="M204" s="186"/>
      <c r="N204" s="186"/>
      <c r="O204" s="187"/>
    </row>
    <row r="205" spans="1:15" ht="17.25" thickBot="1">
      <c r="A205" s="229" t="s">
        <v>320</v>
      </c>
      <c r="B205" s="206" t="s">
        <v>318</v>
      </c>
      <c r="C205" s="208"/>
      <c r="D205" s="206" t="s">
        <v>310</v>
      </c>
      <c r="E205" s="207"/>
      <c r="F205" s="208"/>
      <c r="G205" s="206" t="s">
        <v>311</v>
      </c>
      <c r="H205" s="207"/>
      <c r="I205" s="208"/>
      <c r="J205" s="206" t="s">
        <v>312</v>
      </c>
      <c r="K205" s="207"/>
      <c r="L205" s="208"/>
      <c r="M205" s="206" t="s">
        <v>313</v>
      </c>
      <c r="N205" s="207"/>
      <c r="O205" s="208"/>
    </row>
    <row r="206" spans="1:15" ht="17.25" thickBot="1">
      <c r="A206" s="222"/>
      <c r="B206" s="160" t="s">
        <v>308</v>
      </c>
      <c r="C206" s="160" t="s">
        <v>42</v>
      </c>
      <c r="D206" s="124" t="s">
        <v>309</v>
      </c>
      <c r="E206" s="136" t="s">
        <v>40</v>
      </c>
      <c r="F206" s="162" t="s">
        <v>41</v>
      </c>
      <c r="G206" s="124" t="s">
        <v>309</v>
      </c>
      <c r="H206" s="136" t="s">
        <v>40</v>
      </c>
      <c r="I206" s="162" t="s">
        <v>41</v>
      </c>
      <c r="J206" s="124" t="s">
        <v>309</v>
      </c>
      <c r="K206" s="136" t="s">
        <v>40</v>
      </c>
      <c r="L206" s="162" t="s">
        <v>41</v>
      </c>
      <c r="M206" s="124" t="s">
        <v>309</v>
      </c>
      <c r="N206" s="136" t="s">
        <v>40</v>
      </c>
      <c r="O206" s="162" t="s">
        <v>41</v>
      </c>
    </row>
    <row r="207" spans="1:15">
      <c r="A207" s="160">
        <v>1</v>
      </c>
      <c r="B207" s="160" t="str">
        <f>TEXT(투자전략!$G$1+0, "[$-ko-KR]yyyy.mm.dd")</f>
        <v>2021.05.01</v>
      </c>
      <c r="C207" s="137">
        <f ca="1">IFERROR(COUNTA(INDIRECT($B207&amp;"!A152:A171")) * INDIRECT($B207&amp;"!B172"), "")</f>
        <v>6000000</v>
      </c>
      <c r="D207" s="145">
        <f ca="1">IFERROR($C207 * (1 + E207), "")</f>
        <v>6124643.8078743648</v>
      </c>
      <c r="E207" s="76">
        <f ca="1">IFERROR(INDIRECT($B207&amp;"!E172"), "")</f>
        <v>2.0773967979060941E-2</v>
      </c>
      <c r="F207" s="144">
        <f ca="1">IFERROR(INDIRECT($B207&amp;"!F172"), "")</f>
        <v>124643.80787436568</v>
      </c>
      <c r="G207" s="145">
        <f ca="1">IFERROR($C207 * (1 + H207), "")</f>
        <v>6105413.1165179126</v>
      </c>
      <c r="H207" s="76">
        <f ca="1">IFERROR(INDIRECT($B207&amp;"!H172"), "")</f>
        <v>1.7568852752985451E-2</v>
      </c>
      <c r="I207" s="144">
        <f ca="1">IFERROR(INDIRECT($B207&amp;"!I172"), "")</f>
        <v>105413.11651791273</v>
      </c>
      <c r="J207" s="145">
        <f ca="1">IFERROR($C207 * (1 + K207), "")</f>
        <v>6163717.9750172189</v>
      </c>
      <c r="K207" s="76">
        <f ca="1">IFERROR(INDIRECT($B207&amp;"!K172"), "")</f>
        <v>2.7286329169536477E-2</v>
      </c>
      <c r="L207" s="144">
        <f ca="1">IFERROR(INDIRECT($B207&amp;"!L172"), "")</f>
        <v>163717.97501721897</v>
      </c>
      <c r="M207" s="145">
        <f ca="1">IFERROR($C207 * (1 + N207), "")</f>
        <v>6157901.8330953205</v>
      </c>
      <c r="N207" s="76">
        <f ca="1">IFERROR(INDIRECT($B207&amp;"!N172"), "")</f>
        <v>2.6316972182553383E-2</v>
      </c>
      <c r="O207" s="144">
        <f ca="1">IFERROR(INDIRECT($B207&amp;"!O172"), "")</f>
        <v>157901.8330953203</v>
      </c>
    </row>
    <row r="208" spans="1:15">
      <c r="A208" s="159">
        <v>2</v>
      </c>
      <c r="B208" s="159" t="str">
        <f>TEXT(투자전략!$G$1+1, "[$-ko-KR]yyyy.mm.dd")</f>
        <v>2021.05.02</v>
      </c>
      <c r="C208" s="138">
        <f t="shared" ref="C208:C237" ca="1" si="65">IFERROR(COUNTA(INDIRECT($B208&amp;"!A152:A171")) * INDIRECT($B208&amp;"!B172"), "")</f>
        <v>6000000</v>
      </c>
      <c r="D208" s="142">
        <f t="shared" ref="D208:D237" ca="1" si="66">IFERROR($C208 * (1 + E208), "")</f>
        <v>5961370.5070159072</v>
      </c>
      <c r="E208" s="77">
        <f t="shared" ref="E208:E237" ca="1" si="67">IFERROR(INDIRECT($B208&amp;"!E172"), "")</f>
        <v>-6.4382488306821582E-3</v>
      </c>
      <c r="F208" s="140">
        <f t="shared" ref="F208:F237" ca="1" si="68">IFERROR(INDIRECT($B208&amp;"!F172"), "")</f>
        <v>-38629.492984092954</v>
      </c>
      <c r="G208" s="142">
        <f t="shared" ref="G208:G237" ca="1" si="69">IFERROR($C208 * (1 + H208), "")</f>
        <v>5966190.2954432806</v>
      </c>
      <c r="H208" s="77">
        <f t="shared" ref="H208:H237" ca="1" si="70">IFERROR(INDIRECT($B208&amp;"!H172"), "")</f>
        <v>-5.6349507594533142E-3</v>
      </c>
      <c r="I208" s="140">
        <f t="shared" ref="I208:I237" ca="1" si="71">IFERROR(INDIRECT($B208&amp;"!I172"), "")</f>
        <v>-33809.704556719887</v>
      </c>
      <c r="J208" s="142">
        <f t="shared" ref="J208:J237" ca="1" si="72">IFERROR($C208 * (1 + K208), "")</f>
        <v>6004574.4043603446</v>
      </c>
      <c r="K208" s="77">
        <f t="shared" ref="K208:K237" ca="1" si="73">IFERROR(INDIRECT($B208&amp;"!K172"), "")</f>
        <v>7.6240072672426322E-4</v>
      </c>
      <c r="L208" s="140">
        <f t="shared" ref="L208:L237" ca="1" si="74">IFERROR(INDIRECT($B208&amp;"!L172"), "")</f>
        <v>4574.404360345583</v>
      </c>
      <c r="M208" s="142">
        <f t="shared" ref="M208:M237" ca="1" si="75">IFERROR($C208 * (1 + N208), "")</f>
        <v>6066987.4722006135</v>
      </c>
      <c r="N208" s="77">
        <f t="shared" ref="N208:N237" ca="1" si="76">IFERROR(INDIRECT($B208&amp;"!N172"), "")</f>
        <v>1.1164578700102153E-2</v>
      </c>
      <c r="O208" s="140">
        <f t="shared" ref="O208:O237" ca="1" si="77">IFERROR(INDIRECT($B208&amp;"!O172"), "")</f>
        <v>66987.472200612887</v>
      </c>
    </row>
    <row r="209" spans="1:15">
      <c r="A209" s="159">
        <v>3</v>
      </c>
      <c r="B209" s="159" t="str">
        <f>TEXT(투자전략!$G$1+2, "[$-ko-KR]yyyy.mm.dd")</f>
        <v>2021.05.03</v>
      </c>
      <c r="C209" s="138">
        <f t="shared" ca="1" si="65"/>
        <v>6000000</v>
      </c>
      <c r="D209" s="142">
        <f t="shared" ca="1" si="66"/>
        <v>6128356.0662969947</v>
      </c>
      <c r="E209" s="77">
        <f t="shared" ca="1" si="67"/>
        <v>2.1392677716165733E-2</v>
      </c>
      <c r="F209" s="140">
        <f t="shared" ca="1" si="68"/>
        <v>128356.06629699441</v>
      </c>
      <c r="G209" s="142">
        <f t="shared" ca="1" si="69"/>
        <v>6240631.5506008863</v>
      </c>
      <c r="H209" s="77">
        <f t="shared" ca="1" si="70"/>
        <v>4.010525843348102E-2</v>
      </c>
      <c r="I209" s="140">
        <f t="shared" ca="1" si="71"/>
        <v>240631.55060088605</v>
      </c>
      <c r="J209" s="142">
        <f t="shared" ca="1" si="72"/>
        <v>6248225.5412954725</v>
      </c>
      <c r="K209" s="77">
        <f t="shared" ca="1" si="73"/>
        <v>4.1370923549245493E-2</v>
      </c>
      <c r="L209" s="140">
        <f t="shared" ca="1" si="74"/>
        <v>248225.541295473</v>
      </c>
      <c r="M209" s="142">
        <f t="shared" ca="1" si="75"/>
        <v>6222210.6952812904</v>
      </c>
      <c r="N209" s="77">
        <f t="shared" ca="1" si="76"/>
        <v>3.7035115880215207E-2</v>
      </c>
      <c r="O209" s="140">
        <f t="shared" ca="1" si="77"/>
        <v>222210.69528129121</v>
      </c>
    </row>
    <row r="210" spans="1:15">
      <c r="A210" s="159">
        <v>4</v>
      </c>
      <c r="B210" s="159" t="str">
        <f>TEXT(투자전략!$G$1+3, "[$-ko-KR]yyyy.mm.dd")</f>
        <v>2021.05.04</v>
      </c>
      <c r="C210" s="138">
        <f t="shared" ca="1" si="65"/>
        <v>6000000</v>
      </c>
      <c r="D210" s="142">
        <f t="shared" ca="1" si="66"/>
        <v>5752840.7580823554</v>
      </c>
      <c r="E210" s="77">
        <f t="shared" ca="1" si="67"/>
        <v>-4.1193206986274031E-2</v>
      </c>
      <c r="F210" s="140">
        <f t="shared" ca="1" si="68"/>
        <v>-247159.24191764425</v>
      </c>
      <c r="G210" s="142">
        <f t="shared" ca="1" si="69"/>
        <v>5793742.7243329585</v>
      </c>
      <c r="H210" s="77">
        <f t="shared" ca="1" si="70"/>
        <v>-3.4376212611173518E-2</v>
      </c>
      <c r="I210" s="140">
        <f t="shared" ca="1" si="71"/>
        <v>-206257.27566704105</v>
      </c>
      <c r="J210" s="142">
        <f t="shared" ca="1" si="72"/>
        <v>5765221.5588728925</v>
      </c>
      <c r="K210" s="77">
        <f t="shared" ca="1" si="73"/>
        <v>-3.9129740187851314E-2</v>
      </c>
      <c r="L210" s="140">
        <f t="shared" ca="1" si="74"/>
        <v>-234778.441127108</v>
      </c>
      <c r="M210" s="142">
        <f t="shared" ca="1" si="75"/>
        <v>5573575.2806062503</v>
      </c>
      <c r="N210" s="77">
        <f t="shared" ca="1" si="76"/>
        <v>-7.1070786565624905E-2</v>
      </c>
      <c r="O210" s="140">
        <f t="shared" ca="1" si="77"/>
        <v>-426424.71939374949</v>
      </c>
    </row>
    <row r="211" spans="1:15">
      <c r="A211" s="159">
        <v>5</v>
      </c>
      <c r="B211" s="159" t="str">
        <f>TEXT(투자전략!$G$1+4, "[$-ko-KR]yyyy.mm.dd")</f>
        <v>2021.05.05</v>
      </c>
      <c r="C211" s="138">
        <f t="shared" ca="1" si="65"/>
        <v>3000000</v>
      </c>
      <c r="D211" s="142">
        <f t="shared" ca="1" si="66"/>
        <v>2938271.3278510692</v>
      </c>
      <c r="E211" s="77">
        <f t="shared" ca="1" si="67"/>
        <v>-2.0576224049643557E-2</v>
      </c>
      <c r="F211" s="140">
        <f t="shared" ca="1" si="68"/>
        <v>-61728.672148930666</v>
      </c>
      <c r="G211" s="142">
        <f t="shared" ca="1" si="69"/>
        <v>3000000</v>
      </c>
      <c r="H211" s="77">
        <f t="shared" ca="1" si="70"/>
        <v>0</v>
      </c>
      <c r="I211" s="140">
        <f t="shared" ca="1" si="71"/>
        <v>0</v>
      </c>
      <c r="J211" s="142">
        <f t="shared" ca="1" si="72"/>
        <v>3000000</v>
      </c>
      <c r="K211" s="77">
        <f t="shared" ca="1" si="73"/>
        <v>0</v>
      </c>
      <c r="L211" s="140">
        <f t="shared" ca="1" si="74"/>
        <v>0</v>
      </c>
      <c r="M211" s="142">
        <f t="shared" ca="1" si="75"/>
        <v>3000000</v>
      </c>
      <c r="N211" s="77">
        <f t="shared" ca="1" si="76"/>
        <v>0</v>
      </c>
      <c r="O211" s="140">
        <f t="shared" ca="1" si="77"/>
        <v>0</v>
      </c>
    </row>
    <row r="212" spans="1:15">
      <c r="A212" s="159">
        <v>6</v>
      </c>
      <c r="B212" s="159" t="str">
        <f>TEXT(투자전략!$G$1+5, "[$-ko-KR]yyyy.mm.dd")</f>
        <v>2021.05.06</v>
      </c>
      <c r="C212" s="138" t="str">
        <f t="shared" ca="1" si="65"/>
        <v/>
      </c>
      <c r="D212" s="142" t="str">
        <f t="shared" ca="1" si="66"/>
        <v/>
      </c>
      <c r="E212" s="77" t="str">
        <f t="shared" ca="1" si="67"/>
        <v/>
      </c>
      <c r="F212" s="140" t="str">
        <f t="shared" ca="1" si="68"/>
        <v/>
      </c>
      <c r="G212" s="142" t="str">
        <f t="shared" ca="1" si="69"/>
        <v/>
      </c>
      <c r="H212" s="77" t="str">
        <f t="shared" ca="1" si="70"/>
        <v/>
      </c>
      <c r="I212" s="140" t="str">
        <f t="shared" ca="1" si="71"/>
        <v/>
      </c>
      <c r="J212" s="142" t="str">
        <f t="shared" ca="1" si="72"/>
        <v/>
      </c>
      <c r="K212" s="77" t="str">
        <f t="shared" ca="1" si="73"/>
        <v/>
      </c>
      <c r="L212" s="140" t="str">
        <f t="shared" ca="1" si="74"/>
        <v/>
      </c>
      <c r="M212" s="142" t="str">
        <f t="shared" ca="1" si="75"/>
        <v/>
      </c>
      <c r="N212" s="77" t="str">
        <f t="shared" ca="1" si="76"/>
        <v/>
      </c>
      <c r="O212" s="140" t="str">
        <f t="shared" ca="1" si="77"/>
        <v/>
      </c>
    </row>
    <row r="213" spans="1:15" ht="17.25" thickBot="1">
      <c r="A213" s="161">
        <v>7</v>
      </c>
      <c r="B213" s="161" t="str">
        <f>TEXT(투자전략!$G$1+6, "[$-ko-KR]yyyy.mm.dd")</f>
        <v>2021.05.07</v>
      </c>
      <c r="C213" s="138" t="str">
        <f t="shared" ca="1" si="65"/>
        <v/>
      </c>
      <c r="D213" s="142" t="str">
        <f t="shared" ca="1" si="66"/>
        <v/>
      </c>
      <c r="E213" s="77" t="str">
        <f t="shared" ca="1" si="67"/>
        <v/>
      </c>
      <c r="F213" s="140" t="str">
        <f t="shared" ca="1" si="68"/>
        <v/>
      </c>
      <c r="G213" s="142" t="str">
        <f t="shared" ca="1" si="69"/>
        <v/>
      </c>
      <c r="H213" s="77" t="str">
        <f t="shared" ca="1" si="70"/>
        <v/>
      </c>
      <c r="I213" s="140" t="str">
        <f t="shared" ca="1" si="71"/>
        <v/>
      </c>
      <c r="J213" s="142" t="str">
        <f t="shared" ca="1" si="72"/>
        <v/>
      </c>
      <c r="K213" s="77" t="str">
        <f t="shared" ca="1" si="73"/>
        <v/>
      </c>
      <c r="L213" s="140" t="str">
        <f t="shared" ca="1" si="74"/>
        <v/>
      </c>
      <c r="M213" s="142" t="str">
        <f t="shared" ca="1" si="75"/>
        <v/>
      </c>
      <c r="N213" s="77" t="str">
        <f t="shared" ca="1" si="76"/>
        <v/>
      </c>
      <c r="O213" s="140" t="str">
        <f t="shared" ca="1" si="77"/>
        <v/>
      </c>
    </row>
    <row r="214" spans="1:15">
      <c r="A214" s="160">
        <v>8</v>
      </c>
      <c r="B214" s="160" t="str">
        <f>TEXT(투자전략!$G$1+7, "[$-ko-KR]yyyy.mm.dd")</f>
        <v>2021.05.08</v>
      </c>
      <c r="C214" s="137" t="str">
        <f t="shared" ca="1" si="65"/>
        <v/>
      </c>
      <c r="D214" s="145" t="str">
        <f t="shared" ca="1" si="66"/>
        <v/>
      </c>
      <c r="E214" s="76" t="str">
        <f t="shared" ca="1" si="67"/>
        <v/>
      </c>
      <c r="F214" s="144" t="str">
        <f t="shared" ca="1" si="68"/>
        <v/>
      </c>
      <c r="G214" s="145" t="str">
        <f t="shared" ca="1" si="69"/>
        <v/>
      </c>
      <c r="H214" s="76" t="str">
        <f t="shared" ca="1" si="70"/>
        <v/>
      </c>
      <c r="I214" s="144" t="str">
        <f t="shared" ca="1" si="71"/>
        <v/>
      </c>
      <c r="J214" s="145" t="str">
        <f t="shared" ca="1" si="72"/>
        <v/>
      </c>
      <c r="K214" s="76" t="str">
        <f t="shared" ca="1" si="73"/>
        <v/>
      </c>
      <c r="L214" s="144" t="str">
        <f t="shared" ca="1" si="74"/>
        <v/>
      </c>
      <c r="M214" s="145" t="str">
        <f t="shared" ca="1" si="75"/>
        <v/>
      </c>
      <c r="N214" s="76" t="str">
        <f t="shared" ca="1" si="76"/>
        <v/>
      </c>
      <c r="O214" s="144" t="str">
        <f t="shared" ca="1" si="77"/>
        <v/>
      </c>
    </row>
    <row r="215" spans="1:15">
      <c r="A215" s="159">
        <v>9</v>
      </c>
      <c r="B215" s="159" t="str">
        <f>TEXT(투자전략!$G$1+8, "[$-ko-KR]yyyy.mm.dd")</f>
        <v>2021.05.09</v>
      </c>
      <c r="C215" s="138" t="str">
        <f t="shared" ca="1" si="65"/>
        <v/>
      </c>
      <c r="D215" s="142" t="str">
        <f t="shared" ca="1" si="66"/>
        <v/>
      </c>
      <c r="E215" s="77" t="str">
        <f t="shared" ca="1" si="67"/>
        <v/>
      </c>
      <c r="F215" s="140" t="str">
        <f t="shared" ca="1" si="68"/>
        <v/>
      </c>
      <c r="G215" s="142" t="str">
        <f t="shared" ca="1" si="69"/>
        <v/>
      </c>
      <c r="H215" s="77" t="str">
        <f t="shared" ca="1" si="70"/>
        <v/>
      </c>
      <c r="I215" s="140" t="str">
        <f t="shared" ca="1" si="71"/>
        <v/>
      </c>
      <c r="J215" s="142" t="str">
        <f t="shared" ca="1" si="72"/>
        <v/>
      </c>
      <c r="K215" s="77" t="str">
        <f t="shared" ca="1" si="73"/>
        <v/>
      </c>
      <c r="L215" s="140" t="str">
        <f t="shared" ca="1" si="74"/>
        <v/>
      </c>
      <c r="M215" s="142" t="str">
        <f t="shared" ca="1" si="75"/>
        <v/>
      </c>
      <c r="N215" s="77" t="str">
        <f t="shared" ca="1" si="76"/>
        <v/>
      </c>
      <c r="O215" s="140" t="str">
        <f t="shared" ca="1" si="77"/>
        <v/>
      </c>
    </row>
    <row r="216" spans="1:15">
      <c r="A216" s="159">
        <v>10</v>
      </c>
      <c r="B216" s="159" t="str">
        <f>TEXT(투자전략!$G$1+9, "[$-ko-KR]yyyy.mm.dd")</f>
        <v>2021.05.10</v>
      </c>
      <c r="C216" s="138" t="str">
        <f t="shared" ca="1" si="65"/>
        <v/>
      </c>
      <c r="D216" s="142" t="str">
        <f t="shared" ca="1" si="66"/>
        <v/>
      </c>
      <c r="E216" s="77" t="str">
        <f t="shared" ca="1" si="67"/>
        <v/>
      </c>
      <c r="F216" s="140" t="str">
        <f t="shared" ca="1" si="68"/>
        <v/>
      </c>
      <c r="G216" s="142" t="str">
        <f t="shared" ca="1" si="69"/>
        <v/>
      </c>
      <c r="H216" s="77" t="str">
        <f t="shared" ca="1" si="70"/>
        <v/>
      </c>
      <c r="I216" s="140" t="str">
        <f t="shared" ca="1" si="71"/>
        <v/>
      </c>
      <c r="J216" s="142" t="str">
        <f t="shared" ca="1" si="72"/>
        <v/>
      </c>
      <c r="K216" s="77" t="str">
        <f t="shared" ca="1" si="73"/>
        <v/>
      </c>
      <c r="L216" s="140" t="str">
        <f t="shared" ca="1" si="74"/>
        <v/>
      </c>
      <c r="M216" s="142" t="str">
        <f t="shared" ca="1" si="75"/>
        <v/>
      </c>
      <c r="N216" s="77" t="str">
        <f t="shared" ca="1" si="76"/>
        <v/>
      </c>
      <c r="O216" s="140" t="str">
        <f t="shared" ca="1" si="77"/>
        <v/>
      </c>
    </row>
    <row r="217" spans="1:15">
      <c r="A217" s="159">
        <v>11</v>
      </c>
      <c r="B217" s="159" t="str">
        <f>TEXT(투자전략!$G$1+10, "[$-ko-KR]yyyy.mm.dd")</f>
        <v>2021.05.11</v>
      </c>
      <c r="C217" s="138" t="str">
        <f t="shared" ca="1" si="65"/>
        <v/>
      </c>
      <c r="D217" s="142" t="str">
        <f t="shared" ca="1" si="66"/>
        <v/>
      </c>
      <c r="E217" s="77" t="str">
        <f t="shared" ca="1" si="67"/>
        <v/>
      </c>
      <c r="F217" s="140" t="str">
        <f t="shared" ca="1" si="68"/>
        <v/>
      </c>
      <c r="G217" s="142" t="str">
        <f t="shared" ca="1" si="69"/>
        <v/>
      </c>
      <c r="H217" s="77" t="str">
        <f t="shared" ca="1" si="70"/>
        <v/>
      </c>
      <c r="I217" s="140" t="str">
        <f t="shared" ca="1" si="71"/>
        <v/>
      </c>
      <c r="J217" s="142" t="str">
        <f t="shared" ca="1" si="72"/>
        <v/>
      </c>
      <c r="K217" s="77" t="str">
        <f t="shared" ca="1" si="73"/>
        <v/>
      </c>
      <c r="L217" s="140" t="str">
        <f t="shared" ca="1" si="74"/>
        <v/>
      </c>
      <c r="M217" s="142" t="str">
        <f t="shared" ca="1" si="75"/>
        <v/>
      </c>
      <c r="N217" s="77" t="str">
        <f t="shared" ca="1" si="76"/>
        <v/>
      </c>
      <c r="O217" s="140" t="str">
        <f t="shared" ca="1" si="77"/>
        <v/>
      </c>
    </row>
    <row r="218" spans="1:15">
      <c r="A218" s="159">
        <v>12</v>
      </c>
      <c r="B218" s="159" t="str">
        <f>TEXT(투자전략!$G$1+11, "[$-ko-KR]yyyy.mm.dd")</f>
        <v>2021.05.12</v>
      </c>
      <c r="C218" s="138" t="str">
        <f t="shared" ca="1" si="65"/>
        <v/>
      </c>
      <c r="D218" s="142" t="str">
        <f t="shared" ca="1" si="66"/>
        <v/>
      </c>
      <c r="E218" s="77" t="str">
        <f t="shared" ca="1" si="67"/>
        <v/>
      </c>
      <c r="F218" s="140" t="str">
        <f t="shared" ca="1" si="68"/>
        <v/>
      </c>
      <c r="G218" s="142" t="str">
        <f t="shared" ca="1" si="69"/>
        <v/>
      </c>
      <c r="H218" s="77" t="str">
        <f t="shared" ca="1" si="70"/>
        <v/>
      </c>
      <c r="I218" s="140" t="str">
        <f t="shared" ca="1" si="71"/>
        <v/>
      </c>
      <c r="J218" s="142" t="str">
        <f t="shared" ca="1" si="72"/>
        <v/>
      </c>
      <c r="K218" s="77" t="str">
        <f t="shared" ca="1" si="73"/>
        <v/>
      </c>
      <c r="L218" s="140" t="str">
        <f t="shared" ca="1" si="74"/>
        <v/>
      </c>
      <c r="M218" s="142" t="str">
        <f t="shared" ca="1" si="75"/>
        <v/>
      </c>
      <c r="N218" s="77" t="str">
        <f t="shared" ca="1" si="76"/>
        <v/>
      </c>
      <c r="O218" s="140" t="str">
        <f t="shared" ca="1" si="77"/>
        <v/>
      </c>
    </row>
    <row r="219" spans="1:15">
      <c r="A219" s="159">
        <v>13</v>
      </c>
      <c r="B219" s="159" t="str">
        <f>TEXT(투자전략!$G$1+12, "[$-ko-KR]yyyy.mm.dd")</f>
        <v>2021.05.13</v>
      </c>
      <c r="C219" s="138" t="str">
        <f t="shared" ca="1" si="65"/>
        <v/>
      </c>
      <c r="D219" s="142" t="str">
        <f t="shared" ca="1" si="66"/>
        <v/>
      </c>
      <c r="E219" s="77" t="str">
        <f t="shared" ca="1" si="67"/>
        <v/>
      </c>
      <c r="F219" s="140" t="str">
        <f t="shared" ca="1" si="68"/>
        <v/>
      </c>
      <c r="G219" s="142" t="str">
        <f t="shared" ca="1" si="69"/>
        <v/>
      </c>
      <c r="H219" s="77" t="str">
        <f t="shared" ca="1" si="70"/>
        <v/>
      </c>
      <c r="I219" s="140" t="str">
        <f t="shared" ca="1" si="71"/>
        <v/>
      </c>
      <c r="J219" s="142" t="str">
        <f t="shared" ca="1" si="72"/>
        <v/>
      </c>
      <c r="K219" s="77" t="str">
        <f t="shared" ca="1" si="73"/>
        <v/>
      </c>
      <c r="L219" s="140" t="str">
        <f t="shared" ca="1" si="74"/>
        <v/>
      </c>
      <c r="M219" s="142" t="str">
        <f t="shared" ca="1" si="75"/>
        <v/>
      </c>
      <c r="N219" s="77" t="str">
        <f t="shared" ca="1" si="76"/>
        <v/>
      </c>
      <c r="O219" s="140" t="str">
        <f t="shared" ca="1" si="77"/>
        <v/>
      </c>
    </row>
    <row r="220" spans="1:15" ht="17.25" thickBot="1">
      <c r="A220" s="161">
        <v>14</v>
      </c>
      <c r="B220" s="161" t="str">
        <f>TEXT(투자전략!$G$1+13, "[$-ko-KR]yyyy.mm.dd")</f>
        <v>2021.05.14</v>
      </c>
      <c r="C220" s="139" t="str">
        <f t="shared" ca="1" si="65"/>
        <v/>
      </c>
      <c r="D220" s="143" t="str">
        <f t="shared" ca="1" si="66"/>
        <v/>
      </c>
      <c r="E220" s="79" t="str">
        <f t="shared" ca="1" si="67"/>
        <v/>
      </c>
      <c r="F220" s="141" t="str">
        <f t="shared" ca="1" si="68"/>
        <v/>
      </c>
      <c r="G220" s="143" t="str">
        <f t="shared" ca="1" si="69"/>
        <v/>
      </c>
      <c r="H220" s="79" t="str">
        <f t="shared" ca="1" si="70"/>
        <v/>
      </c>
      <c r="I220" s="141" t="str">
        <f t="shared" ca="1" si="71"/>
        <v/>
      </c>
      <c r="J220" s="143" t="str">
        <f t="shared" ca="1" si="72"/>
        <v/>
      </c>
      <c r="K220" s="79" t="str">
        <f t="shared" ca="1" si="73"/>
        <v/>
      </c>
      <c r="L220" s="141" t="str">
        <f t="shared" ca="1" si="74"/>
        <v/>
      </c>
      <c r="M220" s="143" t="str">
        <f t="shared" ca="1" si="75"/>
        <v/>
      </c>
      <c r="N220" s="79" t="str">
        <f t="shared" ca="1" si="76"/>
        <v/>
      </c>
      <c r="O220" s="141" t="str">
        <f t="shared" ca="1" si="77"/>
        <v/>
      </c>
    </row>
    <row r="221" spans="1:15">
      <c r="A221" s="160">
        <v>15</v>
      </c>
      <c r="B221" s="160" t="str">
        <f>TEXT(투자전략!$G$1+14, "[$-ko-KR]yyyy.mm.dd")</f>
        <v>2021.05.15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>
      <c r="A222" s="159">
        <v>16</v>
      </c>
      <c r="B222" s="159" t="str">
        <f>TEXT(투자전략!$G$1+15, "[$-ko-KR]yyyy.mm.dd")</f>
        <v>2021.05.16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>
      <c r="A223" s="159">
        <v>17</v>
      </c>
      <c r="B223" s="159" t="str">
        <f>TEXT(투자전략!$G$1+16, "[$-ko-KR]yyyy.mm.dd")</f>
        <v>2021.05.17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>
      <c r="A224" s="159">
        <v>18</v>
      </c>
      <c r="B224" s="159" t="str">
        <f>TEXT(투자전략!$G$1+17, "[$-ko-KR]yyyy.mm.dd")</f>
        <v>2021.05.18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>
      <c r="A225" s="159">
        <v>19</v>
      </c>
      <c r="B225" s="159" t="str">
        <f>TEXT(투자전략!$G$1+18, "[$-ko-KR]yyyy.mm.dd")</f>
        <v>2021.05.19</v>
      </c>
      <c r="C225" s="138" t="str">
        <f t="shared" ca="1" si="65"/>
        <v/>
      </c>
      <c r="D225" s="142" t="str">
        <f t="shared" ca="1" si="66"/>
        <v/>
      </c>
      <c r="E225" s="77" t="str">
        <f t="shared" ca="1" si="67"/>
        <v/>
      </c>
      <c r="F225" s="140" t="str">
        <f t="shared" ca="1" si="68"/>
        <v/>
      </c>
      <c r="G225" s="142" t="str">
        <f t="shared" ca="1" si="69"/>
        <v/>
      </c>
      <c r="H225" s="77" t="str">
        <f t="shared" ca="1" si="70"/>
        <v/>
      </c>
      <c r="I225" s="140" t="str">
        <f t="shared" ca="1" si="71"/>
        <v/>
      </c>
      <c r="J225" s="142" t="str">
        <f t="shared" ca="1" si="72"/>
        <v/>
      </c>
      <c r="K225" s="77" t="str">
        <f t="shared" ca="1" si="73"/>
        <v/>
      </c>
      <c r="L225" s="140" t="str">
        <f t="shared" ca="1" si="74"/>
        <v/>
      </c>
      <c r="M225" s="142" t="str">
        <f t="shared" ca="1" si="75"/>
        <v/>
      </c>
      <c r="N225" s="77" t="str">
        <f t="shared" ca="1" si="76"/>
        <v/>
      </c>
      <c r="O225" s="140" t="str">
        <f t="shared" ca="1" si="77"/>
        <v/>
      </c>
    </row>
    <row r="226" spans="1:15">
      <c r="A226" s="159">
        <v>20</v>
      </c>
      <c r="B226" s="159" t="str">
        <f>TEXT(투자전략!$G$1+19, "[$-ko-KR]yyyy.mm.dd")</f>
        <v>2021.05.20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7.25" thickBot="1">
      <c r="A227" s="161">
        <v>21</v>
      </c>
      <c r="B227" s="161" t="str">
        <f>TEXT(투자전략!$G$1+20, "[$-ko-KR]yyyy.mm.dd")</f>
        <v>2021.05.21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>
      <c r="A228" s="160">
        <v>22</v>
      </c>
      <c r="B228" s="160" t="str">
        <f>TEXT(투자전략!$G$1+21, "[$-ko-KR]yyyy.mm.dd")</f>
        <v>2021.05.22</v>
      </c>
      <c r="C228" s="137" t="str">
        <f t="shared" ca="1" si="65"/>
        <v/>
      </c>
      <c r="D228" s="145" t="str">
        <f t="shared" ca="1" si="66"/>
        <v/>
      </c>
      <c r="E228" s="76" t="str">
        <f t="shared" ca="1" si="67"/>
        <v/>
      </c>
      <c r="F228" s="144" t="str">
        <f t="shared" ca="1" si="68"/>
        <v/>
      </c>
      <c r="G228" s="145" t="str">
        <f t="shared" ca="1" si="69"/>
        <v/>
      </c>
      <c r="H228" s="76" t="str">
        <f t="shared" ca="1" si="70"/>
        <v/>
      </c>
      <c r="I228" s="144" t="str">
        <f t="shared" ca="1" si="71"/>
        <v/>
      </c>
      <c r="J228" s="145" t="str">
        <f t="shared" ca="1" si="72"/>
        <v/>
      </c>
      <c r="K228" s="76" t="str">
        <f t="shared" ca="1" si="73"/>
        <v/>
      </c>
      <c r="L228" s="144" t="str">
        <f t="shared" ca="1" si="74"/>
        <v/>
      </c>
      <c r="M228" s="145" t="str">
        <f t="shared" ca="1" si="75"/>
        <v/>
      </c>
      <c r="N228" s="76" t="str">
        <f t="shared" ca="1" si="76"/>
        <v/>
      </c>
      <c r="O228" s="144" t="str">
        <f t="shared" ca="1" si="77"/>
        <v/>
      </c>
    </row>
    <row r="229" spans="1:15">
      <c r="A229" s="159">
        <v>23</v>
      </c>
      <c r="B229" s="159" t="str">
        <f>TEXT(투자전략!$G$1+22, "[$-ko-KR]yyyy.mm.dd")</f>
        <v>2021.05.23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>
      <c r="A230" s="159">
        <v>24</v>
      </c>
      <c r="B230" s="159" t="str">
        <f>TEXT(투자전략!$G$1+23, "[$-ko-KR]yyyy.mm.dd")</f>
        <v>2021.05.24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>
      <c r="A231" s="159">
        <v>25</v>
      </c>
      <c r="B231" s="159" t="str">
        <f>TEXT(투자전략!$G$1+24, "[$-ko-KR]yyyy.mm.dd")</f>
        <v>2021.05.25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>
      <c r="A232" s="159">
        <v>26</v>
      </c>
      <c r="B232" s="159" t="str">
        <f>TEXT(투자전략!$G$1+25, "[$-ko-KR]yyyy.mm.dd")</f>
        <v>2021.05.26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>
      <c r="A233" s="159">
        <v>27</v>
      </c>
      <c r="B233" s="159" t="str">
        <f>TEXT(투자전략!$G$1+26, "[$-ko-KR]yyyy.mm.dd")</f>
        <v>2021.05.27</v>
      </c>
      <c r="C233" s="138" t="str">
        <f t="shared" ca="1" si="65"/>
        <v/>
      </c>
      <c r="D233" s="142" t="str">
        <f t="shared" ca="1" si="66"/>
        <v/>
      </c>
      <c r="E233" s="77" t="str">
        <f t="shared" ca="1" si="67"/>
        <v/>
      </c>
      <c r="F233" s="140" t="str">
        <f t="shared" ca="1" si="68"/>
        <v/>
      </c>
      <c r="G233" s="142" t="str">
        <f t="shared" ca="1" si="69"/>
        <v/>
      </c>
      <c r="H233" s="77" t="str">
        <f t="shared" ca="1" si="70"/>
        <v/>
      </c>
      <c r="I233" s="140" t="str">
        <f t="shared" ca="1" si="71"/>
        <v/>
      </c>
      <c r="J233" s="142" t="str">
        <f t="shared" ca="1" si="72"/>
        <v/>
      </c>
      <c r="K233" s="77" t="str">
        <f t="shared" ca="1" si="73"/>
        <v/>
      </c>
      <c r="L233" s="140" t="str">
        <f t="shared" ca="1" si="74"/>
        <v/>
      </c>
      <c r="M233" s="142" t="str">
        <f t="shared" ca="1" si="75"/>
        <v/>
      </c>
      <c r="N233" s="77" t="str">
        <f t="shared" ca="1" si="76"/>
        <v/>
      </c>
      <c r="O233" s="140" t="str">
        <f t="shared" ca="1" si="77"/>
        <v/>
      </c>
    </row>
    <row r="234" spans="1:15" ht="17.25" thickBot="1">
      <c r="A234" s="161">
        <v>28</v>
      </c>
      <c r="B234" s="161" t="str">
        <f>TEXT(투자전략!$G$1+27, "[$-ko-KR]yyyy.mm.dd")</f>
        <v>2021.05.28</v>
      </c>
      <c r="C234" s="139" t="str">
        <f t="shared" ca="1" si="65"/>
        <v/>
      </c>
      <c r="D234" s="143" t="str">
        <f t="shared" ca="1" si="66"/>
        <v/>
      </c>
      <c r="E234" s="79" t="str">
        <f t="shared" ca="1" si="67"/>
        <v/>
      </c>
      <c r="F234" s="141" t="str">
        <f t="shared" ca="1" si="68"/>
        <v/>
      </c>
      <c r="G234" s="143" t="str">
        <f t="shared" ca="1" si="69"/>
        <v/>
      </c>
      <c r="H234" s="79" t="str">
        <f t="shared" ca="1" si="70"/>
        <v/>
      </c>
      <c r="I234" s="141" t="str">
        <f t="shared" ca="1" si="71"/>
        <v/>
      </c>
      <c r="J234" s="143" t="str">
        <f t="shared" ca="1" si="72"/>
        <v/>
      </c>
      <c r="K234" s="79" t="str">
        <f t="shared" ca="1" si="73"/>
        <v/>
      </c>
      <c r="L234" s="141" t="str">
        <f t="shared" ca="1" si="74"/>
        <v/>
      </c>
      <c r="M234" s="143" t="str">
        <f t="shared" ca="1" si="75"/>
        <v/>
      </c>
      <c r="N234" s="79" t="str">
        <f t="shared" ca="1" si="76"/>
        <v/>
      </c>
      <c r="O234" s="141" t="str">
        <f t="shared" ca="1" si="77"/>
        <v/>
      </c>
    </row>
    <row r="235" spans="1:15">
      <c r="A235" s="124">
        <v>29</v>
      </c>
      <c r="B235" s="160" t="str">
        <f>TEXT(투자전략!$G$1+28, "[$-ko-KR]yyyy.mm.dd")</f>
        <v>2021.05.29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>
      <c r="A236" s="124">
        <v>30</v>
      </c>
      <c r="B236" s="159" t="str">
        <f>TEXT(투자전략!$G$1+29, "[$-ko-KR]yyyy.mm.dd")</f>
        <v>2021.05.30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7.25" thickBot="1">
      <c r="A237" s="124">
        <v>31</v>
      </c>
      <c r="B237" s="159" t="str">
        <f>TEXT(투자전략!$G$1+30, "[$-ko-KR]yyyy.mm.dd")</f>
        <v>2021.05.31</v>
      </c>
      <c r="C237" s="139" t="str">
        <f t="shared" ca="1" si="65"/>
        <v/>
      </c>
      <c r="D237" s="143" t="str">
        <f t="shared" ca="1" si="66"/>
        <v/>
      </c>
      <c r="E237" s="79" t="str">
        <f t="shared" ca="1" si="67"/>
        <v/>
      </c>
      <c r="F237" s="141" t="str">
        <f t="shared" ca="1" si="68"/>
        <v/>
      </c>
      <c r="G237" s="143" t="str">
        <f t="shared" ca="1" si="69"/>
        <v/>
      </c>
      <c r="H237" s="79" t="str">
        <f t="shared" ca="1" si="70"/>
        <v/>
      </c>
      <c r="I237" s="141" t="str">
        <f t="shared" ca="1" si="71"/>
        <v/>
      </c>
      <c r="J237" s="143" t="str">
        <f t="shared" ca="1" si="72"/>
        <v/>
      </c>
      <c r="K237" s="79" t="str">
        <f t="shared" ca="1" si="73"/>
        <v/>
      </c>
      <c r="L237" s="141" t="str">
        <f t="shared" ca="1" si="74"/>
        <v/>
      </c>
      <c r="M237" s="143" t="str">
        <f t="shared" ca="1" si="75"/>
        <v/>
      </c>
      <c r="N237" s="79" t="str">
        <f t="shared" ca="1" si="76"/>
        <v/>
      </c>
      <c r="O237" s="141" t="str">
        <f t="shared" ca="1" si="77"/>
        <v/>
      </c>
    </row>
    <row r="238" spans="1:15" ht="17.25" thickBot="1">
      <c r="A238" s="213" t="s">
        <v>319</v>
      </c>
      <c r="B238" s="215"/>
      <c r="C238" s="135" t="s">
        <v>314</v>
      </c>
      <c r="D238" s="153" t="s">
        <v>315</v>
      </c>
      <c r="E238" s="154" t="s">
        <v>316</v>
      </c>
      <c r="F238" s="155" t="s">
        <v>317</v>
      </c>
      <c r="G238" s="153" t="s">
        <v>315</v>
      </c>
      <c r="H238" s="154" t="s">
        <v>316</v>
      </c>
      <c r="I238" s="155" t="s">
        <v>317</v>
      </c>
      <c r="J238" s="153" t="s">
        <v>315</v>
      </c>
      <c r="K238" s="154" t="s">
        <v>316</v>
      </c>
      <c r="L238" s="155" t="s">
        <v>317</v>
      </c>
      <c r="M238" s="153" t="s">
        <v>315</v>
      </c>
      <c r="N238" s="154" t="s">
        <v>316</v>
      </c>
      <c r="O238" s="155" t="s">
        <v>317</v>
      </c>
    </row>
    <row r="239" spans="1:15" ht="17.25" thickBot="1">
      <c r="A239" s="206"/>
      <c r="B239" s="208"/>
      <c r="C239" s="139">
        <f ca="1">SUM(C207:C237)</f>
        <v>27000000</v>
      </c>
      <c r="D239" s="143">
        <f ca="1">SUM(D207:D237)</f>
        <v>26905482.467120692</v>
      </c>
      <c r="E239" s="79">
        <f ca="1">IFERROR(F239 / (SUM($C207:$C237) / COUNT($C207:$C237)), 0)</f>
        <v>-1.750324682950144E-2</v>
      </c>
      <c r="F239" s="141">
        <f ca="1">SUM(F207:F237)</f>
        <v>-94517.532879307779</v>
      </c>
      <c r="G239" s="143">
        <f ca="1">SUM(G207:G237)</f>
        <v>27105977.686895039</v>
      </c>
      <c r="H239" s="79">
        <f ca="1">IFERROR(I239 / (SUM($C207:$C237) / COUNT($C207:$C237)), 0)</f>
        <v>1.9625497573155157E-2</v>
      </c>
      <c r="I239" s="141">
        <f ca="1">SUM(I207:I237)</f>
        <v>105977.68689503786</v>
      </c>
      <c r="J239" s="143">
        <f ca="1">SUM(J207:J237)</f>
        <v>27181739.479545929</v>
      </c>
      <c r="K239" s="79">
        <f ca="1">IFERROR(L239 / (SUM($C207:$C237) / COUNT($C207:$C237)), 0)</f>
        <v>3.3655459175172132E-2</v>
      </c>
      <c r="L239" s="141">
        <f ca="1">SUM(L207:L237)</f>
        <v>181739.47954592953</v>
      </c>
      <c r="M239" s="143">
        <f ca="1">SUM(M207:M237)</f>
        <v>27020675.281183474</v>
      </c>
      <c r="N239" s="79">
        <f ca="1">IFERROR(O239 / (SUM($C207:$C237) / COUNT($C207:$C237)), 0)</f>
        <v>3.8287557747175797E-3</v>
      </c>
      <c r="O239" s="141">
        <f ca="1">SUM(O207:O237)</f>
        <v>20675.28118347493</v>
      </c>
    </row>
    <row r="241" spans="1:15" ht="17.25" thickBot="1"/>
    <row r="242" spans="1:15" ht="17.25" thickBot="1">
      <c r="A242" s="185" t="str">
        <f>TEXT(투자전략!$G$1, "[$-ko-KR]yyyy년 mm월 ") &amp; "전일대비 상승률 Bottom20 월말결산"</f>
        <v>2021년 05월 전일대비 상승률 Bottom20 월말결산</v>
      </c>
      <c r="B242" s="186"/>
      <c r="C242" s="186"/>
      <c r="D242" s="186"/>
      <c r="E242" s="186"/>
      <c r="F242" s="186"/>
      <c r="G242" s="186"/>
      <c r="H242" s="186"/>
      <c r="I242" s="186"/>
      <c r="J242" s="186"/>
      <c r="K242" s="186"/>
      <c r="L242" s="186"/>
      <c r="M242" s="186"/>
      <c r="N242" s="186"/>
      <c r="O242" s="187"/>
    </row>
    <row r="243" spans="1:15" ht="17.25" thickBot="1">
      <c r="A243" s="229" t="s">
        <v>320</v>
      </c>
      <c r="B243" s="206" t="s">
        <v>318</v>
      </c>
      <c r="C243" s="208"/>
      <c r="D243" s="206" t="s">
        <v>310</v>
      </c>
      <c r="E243" s="207"/>
      <c r="F243" s="208"/>
      <c r="G243" s="206" t="s">
        <v>311</v>
      </c>
      <c r="H243" s="207"/>
      <c r="I243" s="208"/>
      <c r="J243" s="206" t="s">
        <v>312</v>
      </c>
      <c r="K243" s="207"/>
      <c r="L243" s="208"/>
      <c r="M243" s="206" t="s">
        <v>313</v>
      </c>
      <c r="N243" s="207"/>
      <c r="O243" s="208"/>
    </row>
    <row r="244" spans="1:15" ht="17.25" thickBot="1">
      <c r="A244" s="222"/>
      <c r="B244" s="160" t="s">
        <v>308</v>
      </c>
      <c r="C244" s="160" t="s">
        <v>42</v>
      </c>
      <c r="D244" s="124" t="s">
        <v>309</v>
      </c>
      <c r="E244" s="136" t="s">
        <v>40</v>
      </c>
      <c r="F244" s="162" t="s">
        <v>41</v>
      </c>
      <c r="G244" s="124" t="s">
        <v>309</v>
      </c>
      <c r="H244" s="136" t="s">
        <v>40</v>
      </c>
      <c r="I244" s="162" t="s">
        <v>41</v>
      </c>
      <c r="J244" s="124" t="s">
        <v>309</v>
      </c>
      <c r="K244" s="136" t="s">
        <v>40</v>
      </c>
      <c r="L244" s="162" t="s">
        <v>41</v>
      </c>
      <c r="M244" s="124" t="s">
        <v>309</v>
      </c>
      <c r="N244" s="136" t="s">
        <v>40</v>
      </c>
      <c r="O244" s="162" t="s">
        <v>41</v>
      </c>
    </row>
    <row r="245" spans="1:15">
      <c r="A245" s="160">
        <v>1</v>
      </c>
      <c r="B245" s="160" t="str">
        <f>TEXT(투자전략!$G$1+0, "[$-ko-KR]yyyy.mm.dd")</f>
        <v>2021.05.01</v>
      </c>
      <c r="C245" s="137">
        <f ca="1">IFERROR(COUNTA(INDIRECT($B245&amp;"!A179:A198")) * INDIRECT($B245&amp;"!B199"), "")</f>
        <v>6000000</v>
      </c>
      <c r="D245" s="145">
        <f ca="1">IFERROR($C245 * (1 + E245), "")</f>
        <v>6025352.5779671101</v>
      </c>
      <c r="E245" s="76">
        <f ca="1">IFERROR(INDIRECT($B245&amp;"!E199"), "")</f>
        <v>4.225429661185073E-3</v>
      </c>
      <c r="F245" s="144">
        <f ca="1">IFERROR(INDIRECT($B245&amp;"!F199"), "")</f>
        <v>25352.577967110439</v>
      </c>
      <c r="G245" s="145">
        <f ca="1">IFERROR($C245 * (1 + H245), "")</f>
        <v>5996980.6855061799</v>
      </c>
      <c r="H245" s="76">
        <f ca="1">IFERROR(INDIRECT($B245&amp;"!H199"), "")</f>
        <v>-5.0321908230329965E-4</v>
      </c>
      <c r="I245" s="144">
        <f ca="1">IFERROR(INDIRECT($B245&amp;"!I199"), "")</f>
        <v>-3019.3144938197966</v>
      </c>
      <c r="J245" s="145">
        <f ca="1">IFERROR($C245 * (1 + K245), "")</f>
        <v>6034904.925586124</v>
      </c>
      <c r="K245" s="76">
        <f ca="1">IFERROR(INDIRECT($B245&amp;"!K199"), "")</f>
        <v>5.8174875976873385E-3</v>
      </c>
      <c r="L245" s="144">
        <f ca="1">IFERROR(INDIRECT($B245&amp;"!L199"), "")</f>
        <v>34904.925586124016</v>
      </c>
      <c r="M245" s="145">
        <f ca="1">IFERROR($C245 * (1 + N245), "")</f>
        <v>6031271.9438245064</v>
      </c>
      <c r="N245" s="76">
        <f ca="1">IFERROR(INDIRECT($B245&amp;"!N199"), "")</f>
        <v>5.2119906374178248E-3</v>
      </c>
      <c r="O245" s="144">
        <f ca="1">IFERROR(INDIRECT($B245&amp;"!O199"), "")</f>
        <v>31271.943824506943</v>
      </c>
    </row>
    <row r="246" spans="1:15">
      <c r="A246" s="159">
        <v>2</v>
      </c>
      <c r="B246" s="159" t="str">
        <f>TEXT(투자전략!$G$1+1, "[$-ko-KR]yyyy.mm.dd")</f>
        <v>2021.05.02</v>
      </c>
      <c r="C246" s="138">
        <f t="shared" ref="C246:C275" ca="1" si="78">IFERROR(COUNTA(INDIRECT($B246&amp;"!A179:A198")) * INDIRECT($B246&amp;"!B199"), "")</f>
        <v>6000000</v>
      </c>
      <c r="D246" s="142">
        <f t="shared" ref="D246:D275" ca="1" si="79">IFERROR($C246 * (1 + E246), "")</f>
        <v>5959697.9038826097</v>
      </c>
      <c r="E246" s="77">
        <f t="shared" ref="E246:E275" ca="1" si="80">IFERROR(INDIRECT($B246&amp;"!E199"), "")</f>
        <v>-6.7170160195650138E-3</v>
      </c>
      <c r="F246" s="140">
        <f t="shared" ref="F246:F275" ca="1" si="81">IFERROR(INDIRECT($B246&amp;"!F199"), "")</f>
        <v>-40302.096117390087</v>
      </c>
      <c r="G246" s="142">
        <f t="shared" ref="G246:G275" ca="1" si="82">IFERROR($C246 * (1 + H246), "")</f>
        <v>5959870.4826934347</v>
      </c>
      <c r="H246" s="77">
        <f t="shared" ref="H246:H275" ca="1" si="83">IFERROR(INDIRECT($B246&amp;"!H199"), "")</f>
        <v>-6.6882528844275577E-3</v>
      </c>
      <c r="I246" s="140">
        <f t="shared" ref="I246:I275" ca="1" si="84">IFERROR(INDIRECT($B246&amp;"!I199"), "")</f>
        <v>-40129.517306565351</v>
      </c>
      <c r="J246" s="142">
        <f t="shared" ref="J246:J275" ca="1" si="85">IFERROR($C246 * (1 + K246), "")</f>
        <v>5994027.282291309</v>
      </c>
      <c r="K246" s="77">
        <f t="shared" ref="K246:K275" ca="1" si="86">IFERROR(INDIRECT($B246&amp;"!K199"), "")</f>
        <v>-9.9545295144856704E-4</v>
      </c>
      <c r="L246" s="140">
        <f t="shared" ref="L246:L275" ca="1" si="87">IFERROR(INDIRECT($B246&amp;"!L199"), "")</f>
        <v>-5972.7177086913989</v>
      </c>
      <c r="M246" s="142">
        <f t="shared" ref="M246:M275" ca="1" si="88">IFERROR($C246 * (1 + N246), "")</f>
        <v>6026319.5175636429</v>
      </c>
      <c r="N246" s="77">
        <f t="shared" ref="N246:N275" ca="1" si="89">IFERROR(INDIRECT($B246&amp;"!N199"), "")</f>
        <v>4.3865862606072333E-3</v>
      </c>
      <c r="O246" s="140">
        <f t="shared" ref="O246:O275" ca="1" si="90">IFERROR(INDIRECT($B246&amp;"!O199"), "")</f>
        <v>26319.517563643429</v>
      </c>
    </row>
    <row r="247" spans="1:15">
      <c r="A247" s="159">
        <v>3</v>
      </c>
      <c r="B247" s="159" t="str">
        <f>TEXT(투자전략!$G$1+2, "[$-ko-KR]yyyy.mm.dd")</f>
        <v>2021.05.03</v>
      </c>
      <c r="C247" s="138">
        <f t="shared" ca="1" si="78"/>
        <v>6000000</v>
      </c>
      <c r="D247" s="142">
        <f t="shared" ca="1" si="79"/>
        <v>6071850.281338485</v>
      </c>
      <c r="E247" s="77">
        <f t="shared" ca="1" si="80"/>
        <v>1.1975046889747402E-2</v>
      </c>
      <c r="F247" s="140">
        <f t="shared" ca="1" si="81"/>
        <v>71850.281338484405</v>
      </c>
      <c r="G247" s="142">
        <f t="shared" ca="1" si="82"/>
        <v>6151029.5048125805</v>
      </c>
      <c r="H247" s="77">
        <f t="shared" ca="1" si="83"/>
        <v>2.5171584135429977E-2</v>
      </c>
      <c r="I247" s="140">
        <f t="shared" ca="1" si="84"/>
        <v>151029.50481257981</v>
      </c>
      <c r="J247" s="142">
        <f t="shared" ca="1" si="85"/>
        <v>6162494.5289060026</v>
      </c>
      <c r="K247" s="77">
        <f t="shared" ca="1" si="86"/>
        <v>2.7082421484333614E-2</v>
      </c>
      <c r="L247" s="140">
        <f t="shared" ca="1" si="87"/>
        <v>162494.52890600168</v>
      </c>
      <c r="M247" s="142">
        <f t="shared" ca="1" si="88"/>
        <v>6130557.5460285367</v>
      </c>
      <c r="N247" s="77">
        <f t="shared" ca="1" si="89"/>
        <v>2.1759591004756114E-2</v>
      </c>
      <c r="O247" s="140">
        <f t="shared" ca="1" si="90"/>
        <v>130557.54602853667</v>
      </c>
    </row>
    <row r="248" spans="1:15">
      <c r="A248" s="159">
        <v>4</v>
      </c>
      <c r="B248" s="159" t="str">
        <f>TEXT(투자전략!$G$1+3, "[$-ko-KR]yyyy.mm.dd")</f>
        <v>2021.05.04</v>
      </c>
      <c r="C248" s="138">
        <f t="shared" ca="1" si="78"/>
        <v>6000000</v>
      </c>
      <c r="D248" s="142">
        <f t="shared" ca="1" si="79"/>
        <v>5762140.4655281333</v>
      </c>
      <c r="E248" s="77">
        <f t="shared" ca="1" si="80"/>
        <v>-3.9643255745311128E-2</v>
      </c>
      <c r="F248" s="140">
        <f t="shared" ca="1" si="81"/>
        <v>-237859.53447186679</v>
      </c>
      <c r="G248" s="142">
        <f t="shared" ca="1" si="82"/>
        <v>5824763.0404309658</v>
      </c>
      <c r="H248" s="77">
        <f t="shared" ca="1" si="83"/>
        <v>-2.9206159928172278E-2</v>
      </c>
      <c r="I248" s="140">
        <f t="shared" ca="1" si="84"/>
        <v>-175236.95956903361</v>
      </c>
      <c r="J248" s="142">
        <f t="shared" ca="1" si="85"/>
        <v>5788235.523084146</v>
      </c>
      <c r="K248" s="77">
        <f t="shared" ca="1" si="86"/>
        <v>-3.5294079485975779E-2</v>
      </c>
      <c r="L248" s="140">
        <f t="shared" ca="1" si="87"/>
        <v>-211764.47691585461</v>
      </c>
      <c r="M248" s="142">
        <f t="shared" ca="1" si="88"/>
        <v>5596409.9469873086</v>
      </c>
      <c r="N248" s="77">
        <f t="shared" ca="1" si="89"/>
        <v>-6.7265008835448475E-2</v>
      </c>
      <c r="O248" s="140">
        <f t="shared" ca="1" si="90"/>
        <v>-403590.05301269086</v>
      </c>
    </row>
    <row r="249" spans="1:15">
      <c r="A249" s="159">
        <v>5</v>
      </c>
      <c r="B249" s="159" t="str">
        <f>TEXT(투자전략!$G$1+4, "[$-ko-KR]yyyy.mm.dd")</f>
        <v>2021.05.05</v>
      </c>
      <c r="C249" s="138">
        <f t="shared" ca="1" si="78"/>
        <v>3000000</v>
      </c>
      <c r="D249" s="142">
        <f t="shared" ca="1" si="79"/>
        <v>2935509.3719893615</v>
      </c>
      <c r="E249" s="77">
        <f t="shared" ca="1" si="80"/>
        <v>-2.1496876003546203E-2</v>
      </c>
      <c r="F249" s="140">
        <f t="shared" ca="1" si="81"/>
        <v>-64490.628010638597</v>
      </c>
      <c r="G249" s="142">
        <f t="shared" ca="1" si="82"/>
        <v>3000000</v>
      </c>
      <c r="H249" s="77">
        <f t="shared" ca="1" si="83"/>
        <v>0</v>
      </c>
      <c r="I249" s="140">
        <f t="shared" ca="1" si="84"/>
        <v>0</v>
      </c>
      <c r="J249" s="142">
        <f t="shared" ca="1" si="85"/>
        <v>3000000</v>
      </c>
      <c r="K249" s="77">
        <f t="shared" ca="1" si="86"/>
        <v>0</v>
      </c>
      <c r="L249" s="140">
        <f t="shared" ca="1" si="87"/>
        <v>0</v>
      </c>
      <c r="M249" s="142">
        <f t="shared" ca="1" si="88"/>
        <v>3000000</v>
      </c>
      <c r="N249" s="77">
        <f t="shared" ca="1" si="89"/>
        <v>0</v>
      </c>
      <c r="O249" s="140">
        <f t="shared" ca="1" si="90"/>
        <v>0</v>
      </c>
    </row>
    <row r="250" spans="1:15">
      <c r="A250" s="159">
        <v>6</v>
      </c>
      <c r="B250" s="159" t="str">
        <f>TEXT(투자전략!$G$1+5, "[$-ko-KR]yyyy.mm.dd")</f>
        <v>2021.05.06</v>
      </c>
      <c r="C250" s="138" t="str">
        <f t="shared" ca="1" si="78"/>
        <v/>
      </c>
      <c r="D250" s="142" t="str">
        <f t="shared" ca="1" si="79"/>
        <v/>
      </c>
      <c r="E250" s="77" t="str">
        <f t="shared" ca="1" si="80"/>
        <v/>
      </c>
      <c r="F250" s="140" t="str">
        <f t="shared" ca="1" si="81"/>
        <v/>
      </c>
      <c r="G250" s="142" t="str">
        <f t="shared" ca="1" si="82"/>
        <v/>
      </c>
      <c r="H250" s="77" t="str">
        <f t="shared" ca="1" si="83"/>
        <v/>
      </c>
      <c r="I250" s="140" t="str">
        <f t="shared" ca="1" si="84"/>
        <v/>
      </c>
      <c r="J250" s="142" t="str">
        <f t="shared" ca="1" si="85"/>
        <v/>
      </c>
      <c r="K250" s="77" t="str">
        <f t="shared" ca="1" si="86"/>
        <v/>
      </c>
      <c r="L250" s="140" t="str">
        <f t="shared" ca="1" si="87"/>
        <v/>
      </c>
      <c r="M250" s="142" t="str">
        <f t="shared" ca="1" si="88"/>
        <v/>
      </c>
      <c r="N250" s="77" t="str">
        <f t="shared" ca="1" si="89"/>
        <v/>
      </c>
      <c r="O250" s="140" t="str">
        <f t="shared" ca="1" si="90"/>
        <v/>
      </c>
    </row>
    <row r="251" spans="1:15" ht="17.25" thickBot="1">
      <c r="A251" s="161">
        <v>7</v>
      </c>
      <c r="B251" s="161" t="str">
        <f>TEXT(투자전략!$G$1+6, "[$-ko-KR]yyyy.mm.dd")</f>
        <v>2021.05.07</v>
      </c>
      <c r="C251" s="138" t="str">
        <f t="shared" ca="1" si="78"/>
        <v/>
      </c>
      <c r="D251" s="142" t="str">
        <f t="shared" ca="1" si="79"/>
        <v/>
      </c>
      <c r="E251" s="77" t="str">
        <f t="shared" ca="1" si="80"/>
        <v/>
      </c>
      <c r="F251" s="140" t="str">
        <f t="shared" ca="1" si="81"/>
        <v/>
      </c>
      <c r="G251" s="142" t="str">
        <f t="shared" ca="1" si="82"/>
        <v/>
      </c>
      <c r="H251" s="77" t="str">
        <f t="shared" ca="1" si="83"/>
        <v/>
      </c>
      <c r="I251" s="140" t="str">
        <f t="shared" ca="1" si="84"/>
        <v/>
      </c>
      <c r="J251" s="142" t="str">
        <f t="shared" ca="1" si="85"/>
        <v/>
      </c>
      <c r="K251" s="77" t="str">
        <f t="shared" ca="1" si="86"/>
        <v/>
      </c>
      <c r="L251" s="140" t="str">
        <f t="shared" ca="1" si="87"/>
        <v/>
      </c>
      <c r="M251" s="142" t="str">
        <f t="shared" ca="1" si="88"/>
        <v/>
      </c>
      <c r="N251" s="77" t="str">
        <f t="shared" ca="1" si="89"/>
        <v/>
      </c>
      <c r="O251" s="140" t="str">
        <f t="shared" ca="1" si="90"/>
        <v/>
      </c>
    </row>
    <row r="252" spans="1:15">
      <c r="A252" s="160">
        <v>8</v>
      </c>
      <c r="B252" s="160" t="str">
        <f>TEXT(투자전략!$G$1+7, "[$-ko-KR]yyyy.mm.dd")</f>
        <v>2021.05.08</v>
      </c>
      <c r="C252" s="137" t="str">
        <f t="shared" ca="1" si="78"/>
        <v/>
      </c>
      <c r="D252" s="145" t="str">
        <f t="shared" ca="1" si="79"/>
        <v/>
      </c>
      <c r="E252" s="76" t="str">
        <f t="shared" ca="1" si="80"/>
        <v/>
      </c>
      <c r="F252" s="144" t="str">
        <f t="shared" ca="1" si="81"/>
        <v/>
      </c>
      <c r="G252" s="145" t="str">
        <f t="shared" ca="1" si="82"/>
        <v/>
      </c>
      <c r="H252" s="76" t="str">
        <f t="shared" ca="1" si="83"/>
        <v/>
      </c>
      <c r="I252" s="144" t="str">
        <f t="shared" ca="1" si="84"/>
        <v/>
      </c>
      <c r="J252" s="145" t="str">
        <f t="shared" ca="1" si="85"/>
        <v/>
      </c>
      <c r="K252" s="76" t="str">
        <f t="shared" ca="1" si="86"/>
        <v/>
      </c>
      <c r="L252" s="144" t="str">
        <f t="shared" ca="1" si="87"/>
        <v/>
      </c>
      <c r="M252" s="145" t="str">
        <f t="shared" ca="1" si="88"/>
        <v/>
      </c>
      <c r="N252" s="76" t="str">
        <f t="shared" ca="1" si="89"/>
        <v/>
      </c>
      <c r="O252" s="144" t="str">
        <f t="shared" ca="1" si="90"/>
        <v/>
      </c>
    </row>
    <row r="253" spans="1:15">
      <c r="A253" s="159">
        <v>9</v>
      </c>
      <c r="B253" s="159" t="str">
        <f>TEXT(투자전략!$G$1+8, "[$-ko-KR]yyyy.mm.dd")</f>
        <v>2021.05.09</v>
      </c>
      <c r="C253" s="138" t="str">
        <f t="shared" ca="1" si="78"/>
        <v/>
      </c>
      <c r="D253" s="142" t="str">
        <f t="shared" ca="1" si="79"/>
        <v/>
      </c>
      <c r="E253" s="77" t="str">
        <f t="shared" ca="1" si="80"/>
        <v/>
      </c>
      <c r="F253" s="140" t="str">
        <f t="shared" ca="1" si="81"/>
        <v/>
      </c>
      <c r="G253" s="142" t="str">
        <f t="shared" ca="1" si="82"/>
        <v/>
      </c>
      <c r="H253" s="77" t="str">
        <f t="shared" ca="1" si="83"/>
        <v/>
      </c>
      <c r="I253" s="140" t="str">
        <f t="shared" ca="1" si="84"/>
        <v/>
      </c>
      <c r="J253" s="142" t="str">
        <f t="shared" ca="1" si="85"/>
        <v/>
      </c>
      <c r="K253" s="77" t="str">
        <f t="shared" ca="1" si="86"/>
        <v/>
      </c>
      <c r="L253" s="140" t="str">
        <f t="shared" ca="1" si="87"/>
        <v/>
      </c>
      <c r="M253" s="142" t="str">
        <f t="shared" ca="1" si="88"/>
        <v/>
      </c>
      <c r="N253" s="77" t="str">
        <f t="shared" ca="1" si="89"/>
        <v/>
      </c>
      <c r="O253" s="140" t="str">
        <f t="shared" ca="1" si="90"/>
        <v/>
      </c>
    </row>
    <row r="254" spans="1:15">
      <c r="A254" s="159">
        <v>10</v>
      </c>
      <c r="B254" s="159" t="str">
        <f>TEXT(투자전략!$G$1+9, "[$-ko-KR]yyyy.mm.dd")</f>
        <v>2021.05.10</v>
      </c>
      <c r="C254" s="138" t="str">
        <f t="shared" ca="1" si="78"/>
        <v/>
      </c>
      <c r="D254" s="142" t="str">
        <f t="shared" ca="1" si="79"/>
        <v/>
      </c>
      <c r="E254" s="77" t="str">
        <f t="shared" ca="1" si="80"/>
        <v/>
      </c>
      <c r="F254" s="140" t="str">
        <f t="shared" ca="1" si="81"/>
        <v/>
      </c>
      <c r="G254" s="142" t="str">
        <f t="shared" ca="1" si="82"/>
        <v/>
      </c>
      <c r="H254" s="77" t="str">
        <f t="shared" ca="1" si="83"/>
        <v/>
      </c>
      <c r="I254" s="140" t="str">
        <f t="shared" ca="1" si="84"/>
        <v/>
      </c>
      <c r="J254" s="142" t="str">
        <f t="shared" ca="1" si="85"/>
        <v/>
      </c>
      <c r="K254" s="77" t="str">
        <f t="shared" ca="1" si="86"/>
        <v/>
      </c>
      <c r="L254" s="140" t="str">
        <f t="shared" ca="1" si="87"/>
        <v/>
      </c>
      <c r="M254" s="142" t="str">
        <f t="shared" ca="1" si="88"/>
        <v/>
      </c>
      <c r="N254" s="77" t="str">
        <f t="shared" ca="1" si="89"/>
        <v/>
      </c>
      <c r="O254" s="140" t="str">
        <f t="shared" ca="1" si="90"/>
        <v/>
      </c>
    </row>
    <row r="255" spans="1:15">
      <c r="A255" s="159">
        <v>11</v>
      </c>
      <c r="B255" s="159" t="str">
        <f>TEXT(투자전략!$G$1+10, "[$-ko-KR]yyyy.mm.dd")</f>
        <v>2021.05.11</v>
      </c>
      <c r="C255" s="138" t="str">
        <f t="shared" ca="1" si="78"/>
        <v/>
      </c>
      <c r="D255" s="142" t="str">
        <f t="shared" ca="1" si="79"/>
        <v/>
      </c>
      <c r="E255" s="77" t="str">
        <f t="shared" ca="1" si="80"/>
        <v/>
      </c>
      <c r="F255" s="140" t="str">
        <f t="shared" ca="1" si="81"/>
        <v/>
      </c>
      <c r="G255" s="142" t="str">
        <f t="shared" ca="1" si="82"/>
        <v/>
      </c>
      <c r="H255" s="77" t="str">
        <f t="shared" ca="1" si="83"/>
        <v/>
      </c>
      <c r="I255" s="140" t="str">
        <f t="shared" ca="1" si="84"/>
        <v/>
      </c>
      <c r="J255" s="142" t="str">
        <f t="shared" ca="1" si="85"/>
        <v/>
      </c>
      <c r="K255" s="77" t="str">
        <f t="shared" ca="1" si="86"/>
        <v/>
      </c>
      <c r="L255" s="140" t="str">
        <f t="shared" ca="1" si="87"/>
        <v/>
      </c>
      <c r="M255" s="142" t="str">
        <f t="shared" ca="1" si="88"/>
        <v/>
      </c>
      <c r="N255" s="77" t="str">
        <f t="shared" ca="1" si="89"/>
        <v/>
      </c>
      <c r="O255" s="140" t="str">
        <f t="shared" ca="1" si="90"/>
        <v/>
      </c>
    </row>
    <row r="256" spans="1:15">
      <c r="A256" s="159">
        <v>12</v>
      </c>
      <c r="B256" s="159" t="str">
        <f>TEXT(투자전략!$G$1+11, "[$-ko-KR]yyyy.mm.dd")</f>
        <v>2021.05.12</v>
      </c>
      <c r="C256" s="138" t="str">
        <f t="shared" ca="1" si="78"/>
        <v/>
      </c>
      <c r="D256" s="142" t="str">
        <f t="shared" ca="1" si="79"/>
        <v/>
      </c>
      <c r="E256" s="77" t="str">
        <f t="shared" ca="1" si="80"/>
        <v/>
      </c>
      <c r="F256" s="140" t="str">
        <f t="shared" ca="1" si="81"/>
        <v/>
      </c>
      <c r="G256" s="142" t="str">
        <f t="shared" ca="1" si="82"/>
        <v/>
      </c>
      <c r="H256" s="77" t="str">
        <f t="shared" ca="1" si="83"/>
        <v/>
      </c>
      <c r="I256" s="140" t="str">
        <f t="shared" ca="1" si="84"/>
        <v/>
      </c>
      <c r="J256" s="142" t="str">
        <f t="shared" ca="1" si="85"/>
        <v/>
      </c>
      <c r="K256" s="77" t="str">
        <f t="shared" ca="1" si="86"/>
        <v/>
      </c>
      <c r="L256" s="140" t="str">
        <f t="shared" ca="1" si="87"/>
        <v/>
      </c>
      <c r="M256" s="142" t="str">
        <f t="shared" ca="1" si="88"/>
        <v/>
      </c>
      <c r="N256" s="77" t="str">
        <f t="shared" ca="1" si="89"/>
        <v/>
      </c>
      <c r="O256" s="140" t="str">
        <f t="shared" ca="1" si="90"/>
        <v/>
      </c>
    </row>
    <row r="257" spans="1:15">
      <c r="A257" s="159">
        <v>13</v>
      </c>
      <c r="B257" s="159" t="str">
        <f>TEXT(투자전략!$G$1+12, "[$-ko-KR]yyyy.mm.dd")</f>
        <v>2021.05.13</v>
      </c>
      <c r="C257" s="138" t="str">
        <f t="shared" ca="1" si="78"/>
        <v/>
      </c>
      <c r="D257" s="142" t="str">
        <f t="shared" ca="1" si="79"/>
        <v/>
      </c>
      <c r="E257" s="77" t="str">
        <f t="shared" ca="1" si="80"/>
        <v/>
      </c>
      <c r="F257" s="140" t="str">
        <f t="shared" ca="1" si="81"/>
        <v/>
      </c>
      <c r="G257" s="142" t="str">
        <f t="shared" ca="1" si="82"/>
        <v/>
      </c>
      <c r="H257" s="77" t="str">
        <f t="shared" ca="1" si="83"/>
        <v/>
      </c>
      <c r="I257" s="140" t="str">
        <f t="shared" ca="1" si="84"/>
        <v/>
      </c>
      <c r="J257" s="142" t="str">
        <f t="shared" ca="1" si="85"/>
        <v/>
      </c>
      <c r="K257" s="77" t="str">
        <f t="shared" ca="1" si="86"/>
        <v/>
      </c>
      <c r="L257" s="140" t="str">
        <f t="shared" ca="1" si="87"/>
        <v/>
      </c>
      <c r="M257" s="142" t="str">
        <f t="shared" ca="1" si="88"/>
        <v/>
      </c>
      <c r="N257" s="77" t="str">
        <f t="shared" ca="1" si="89"/>
        <v/>
      </c>
      <c r="O257" s="140" t="str">
        <f t="shared" ca="1" si="90"/>
        <v/>
      </c>
    </row>
    <row r="258" spans="1:15" ht="17.25" thickBot="1">
      <c r="A258" s="161">
        <v>14</v>
      </c>
      <c r="B258" s="161" t="str">
        <f>TEXT(투자전략!$G$1+13, "[$-ko-KR]yyyy.mm.dd")</f>
        <v>2021.05.14</v>
      </c>
      <c r="C258" s="139" t="str">
        <f t="shared" ca="1" si="78"/>
        <v/>
      </c>
      <c r="D258" s="143" t="str">
        <f t="shared" ca="1" si="79"/>
        <v/>
      </c>
      <c r="E258" s="79" t="str">
        <f t="shared" ca="1" si="80"/>
        <v/>
      </c>
      <c r="F258" s="141" t="str">
        <f t="shared" ca="1" si="81"/>
        <v/>
      </c>
      <c r="G258" s="143" t="str">
        <f t="shared" ca="1" si="82"/>
        <v/>
      </c>
      <c r="H258" s="79" t="str">
        <f t="shared" ca="1" si="83"/>
        <v/>
      </c>
      <c r="I258" s="141" t="str">
        <f t="shared" ca="1" si="84"/>
        <v/>
      </c>
      <c r="J258" s="143" t="str">
        <f t="shared" ca="1" si="85"/>
        <v/>
      </c>
      <c r="K258" s="79" t="str">
        <f t="shared" ca="1" si="86"/>
        <v/>
      </c>
      <c r="L258" s="141" t="str">
        <f t="shared" ca="1" si="87"/>
        <v/>
      </c>
      <c r="M258" s="143" t="str">
        <f t="shared" ca="1" si="88"/>
        <v/>
      </c>
      <c r="N258" s="79" t="str">
        <f t="shared" ca="1" si="89"/>
        <v/>
      </c>
      <c r="O258" s="141" t="str">
        <f t="shared" ca="1" si="90"/>
        <v/>
      </c>
    </row>
    <row r="259" spans="1:15">
      <c r="A259" s="160">
        <v>15</v>
      </c>
      <c r="B259" s="160" t="str">
        <f>TEXT(투자전략!$G$1+14, "[$-ko-KR]yyyy.mm.dd")</f>
        <v>2021.05.15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>
      <c r="A260" s="159">
        <v>16</v>
      </c>
      <c r="B260" s="159" t="str">
        <f>TEXT(투자전략!$G$1+15, "[$-ko-KR]yyyy.mm.dd")</f>
        <v>2021.05.16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>
      <c r="A261" s="159">
        <v>17</v>
      </c>
      <c r="B261" s="159" t="str">
        <f>TEXT(투자전략!$G$1+16, "[$-ko-KR]yyyy.mm.dd")</f>
        <v>2021.05.17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>
      <c r="A262" s="159">
        <v>18</v>
      </c>
      <c r="B262" s="159" t="str">
        <f>TEXT(투자전략!$G$1+17, "[$-ko-KR]yyyy.mm.dd")</f>
        <v>2021.05.18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>
      <c r="A263" s="159">
        <v>19</v>
      </c>
      <c r="B263" s="159" t="str">
        <f>TEXT(투자전략!$G$1+18, "[$-ko-KR]yyyy.mm.dd")</f>
        <v>2021.05.19</v>
      </c>
      <c r="C263" s="138" t="str">
        <f t="shared" ca="1" si="78"/>
        <v/>
      </c>
      <c r="D263" s="142" t="str">
        <f t="shared" ca="1" si="79"/>
        <v/>
      </c>
      <c r="E263" s="77" t="str">
        <f t="shared" ca="1" si="80"/>
        <v/>
      </c>
      <c r="F263" s="140" t="str">
        <f t="shared" ca="1" si="81"/>
        <v/>
      </c>
      <c r="G263" s="142" t="str">
        <f t="shared" ca="1" si="82"/>
        <v/>
      </c>
      <c r="H263" s="77" t="str">
        <f t="shared" ca="1" si="83"/>
        <v/>
      </c>
      <c r="I263" s="140" t="str">
        <f t="shared" ca="1" si="84"/>
        <v/>
      </c>
      <c r="J263" s="142" t="str">
        <f t="shared" ca="1" si="85"/>
        <v/>
      </c>
      <c r="K263" s="77" t="str">
        <f t="shared" ca="1" si="86"/>
        <v/>
      </c>
      <c r="L263" s="140" t="str">
        <f t="shared" ca="1" si="87"/>
        <v/>
      </c>
      <c r="M263" s="142" t="str">
        <f t="shared" ca="1" si="88"/>
        <v/>
      </c>
      <c r="N263" s="77" t="str">
        <f t="shared" ca="1" si="89"/>
        <v/>
      </c>
      <c r="O263" s="140" t="str">
        <f t="shared" ca="1" si="90"/>
        <v/>
      </c>
    </row>
    <row r="264" spans="1:15">
      <c r="A264" s="159">
        <v>20</v>
      </c>
      <c r="B264" s="159" t="str">
        <f>TEXT(투자전략!$G$1+19, "[$-ko-KR]yyyy.mm.dd")</f>
        <v>2021.05.20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7.25" thickBot="1">
      <c r="A265" s="161">
        <v>21</v>
      </c>
      <c r="B265" s="161" t="str">
        <f>TEXT(투자전략!$G$1+20, "[$-ko-KR]yyyy.mm.dd")</f>
        <v>2021.05.21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>
      <c r="A266" s="160">
        <v>22</v>
      </c>
      <c r="B266" s="160" t="str">
        <f>TEXT(투자전략!$G$1+21, "[$-ko-KR]yyyy.mm.dd")</f>
        <v>2021.05.22</v>
      </c>
      <c r="C266" s="137" t="str">
        <f t="shared" ca="1" si="78"/>
        <v/>
      </c>
      <c r="D266" s="145" t="str">
        <f t="shared" ca="1" si="79"/>
        <v/>
      </c>
      <c r="E266" s="76" t="str">
        <f t="shared" ca="1" si="80"/>
        <v/>
      </c>
      <c r="F266" s="144" t="str">
        <f t="shared" ca="1" si="81"/>
        <v/>
      </c>
      <c r="G266" s="145" t="str">
        <f t="shared" ca="1" si="82"/>
        <v/>
      </c>
      <c r="H266" s="76" t="str">
        <f t="shared" ca="1" si="83"/>
        <v/>
      </c>
      <c r="I266" s="144" t="str">
        <f t="shared" ca="1" si="84"/>
        <v/>
      </c>
      <c r="J266" s="145" t="str">
        <f t="shared" ca="1" si="85"/>
        <v/>
      </c>
      <c r="K266" s="76" t="str">
        <f t="shared" ca="1" si="86"/>
        <v/>
      </c>
      <c r="L266" s="144" t="str">
        <f t="shared" ca="1" si="87"/>
        <v/>
      </c>
      <c r="M266" s="145" t="str">
        <f t="shared" ca="1" si="88"/>
        <v/>
      </c>
      <c r="N266" s="76" t="str">
        <f t="shared" ca="1" si="89"/>
        <v/>
      </c>
      <c r="O266" s="144" t="str">
        <f t="shared" ca="1" si="90"/>
        <v/>
      </c>
    </row>
    <row r="267" spans="1:15">
      <c r="A267" s="159">
        <v>23</v>
      </c>
      <c r="B267" s="159" t="str">
        <f>TEXT(투자전략!$G$1+22, "[$-ko-KR]yyyy.mm.dd")</f>
        <v>2021.05.23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>
      <c r="A268" s="159">
        <v>24</v>
      </c>
      <c r="B268" s="159" t="str">
        <f>TEXT(투자전략!$G$1+23, "[$-ko-KR]yyyy.mm.dd")</f>
        <v>2021.05.24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>
      <c r="A269" s="159">
        <v>25</v>
      </c>
      <c r="B269" s="159" t="str">
        <f>TEXT(투자전략!$G$1+24, "[$-ko-KR]yyyy.mm.dd")</f>
        <v>2021.05.25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>
      <c r="A270" s="159">
        <v>26</v>
      </c>
      <c r="B270" s="159" t="str">
        <f>TEXT(투자전략!$G$1+25, "[$-ko-KR]yyyy.mm.dd")</f>
        <v>2021.05.26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>
      <c r="A271" s="159">
        <v>27</v>
      </c>
      <c r="B271" s="159" t="str">
        <f>TEXT(투자전략!$G$1+26, "[$-ko-KR]yyyy.mm.dd")</f>
        <v>2021.05.27</v>
      </c>
      <c r="C271" s="138" t="str">
        <f t="shared" ca="1" si="78"/>
        <v/>
      </c>
      <c r="D271" s="142" t="str">
        <f t="shared" ca="1" si="79"/>
        <v/>
      </c>
      <c r="E271" s="77" t="str">
        <f t="shared" ca="1" si="80"/>
        <v/>
      </c>
      <c r="F271" s="140" t="str">
        <f t="shared" ca="1" si="81"/>
        <v/>
      </c>
      <c r="G271" s="142" t="str">
        <f t="shared" ca="1" si="82"/>
        <v/>
      </c>
      <c r="H271" s="77" t="str">
        <f t="shared" ca="1" si="83"/>
        <v/>
      </c>
      <c r="I271" s="140" t="str">
        <f t="shared" ca="1" si="84"/>
        <v/>
      </c>
      <c r="J271" s="142" t="str">
        <f t="shared" ca="1" si="85"/>
        <v/>
      </c>
      <c r="K271" s="77" t="str">
        <f t="shared" ca="1" si="86"/>
        <v/>
      </c>
      <c r="L271" s="140" t="str">
        <f t="shared" ca="1" si="87"/>
        <v/>
      </c>
      <c r="M271" s="142" t="str">
        <f t="shared" ca="1" si="88"/>
        <v/>
      </c>
      <c r="N271" s="77" t="str">
        <f t="shared" ca="1" si="89"/>
        <v/>
      </c>
      <c r="O271" s="140" t="str">
        <f t="shared" ca="1" si="90"/>
        <v/>
      </c>
    </row>
    <row r="272" spans="1:15" ht="17.25" thickBot="1">
      <c r="A272" s="161">
        <v>28</v>
      </c>
      <c r="B272" s="161" t="str">
        <f>TEXT(투자전략!$G$1+27, "[$-ko-KR]yyyy.mm.dd")</f>
        <v>2021.05.28</v>
      </c>
      <c r="C272" s="139" t="str">
        <f t="shared" ca="1" si="78"/>
        <v/>
      </c>
      <c r="D272" s="143" t="str">
        <f t="shared" ca="1" si="79"/>
        <v/>
      </c>
      <c r="E272" s="79" t="str">
        <f t="shared" ca="1" si="80"/>
        <v/>
      </c>
      <c r="F272" s="141" t="str">
        <f t="shared" ca="1" si="81"/>
        <v/>
      </c>
      <c r="G272" s="143" t="str">
        <f t="shared" ca="1" si="82"/>
        <v/>
      </c>
      <c r="H272" s="79" t="str">
        <f t="shared" ca="1" si="83"/>
        <v/>
      </c>
      <c r="I272" s="141" t="str">
        <f t="shared" ca="1" si="84"/>
        <v/>
      </c>
      <c r="J272" s="143" t="str">
        <f t="shared" ca="1" si="85"/>
        <v/>
      </c>
      <c r="K272" s="79" t="str">
        <f t="shared" ca="1" si="86"/>
        <v/>
      </c>
      <c r="L272" s="141" t="str">
        <f t="shared" ca="1" si="87"/>
        <v/>
      </c>
      <c r="M272" s="143" t="str">
        <f t="shared" ca="1" si="88"/>
        <v/>
      </c>
      <c r="N272" s="79" t="str">
        <f t="shared" ca="1" si="89"/>
        <v/>
      </c>
      <c r="O272" s="141" t="str">
        <f t="shared" ca="1" si="90"/>
        <v/>
      </c>
    </row>
    <row r="273" spans="1:15">
      <c r="A273" s="124">
        <v>29</v>
      </c>
      <c r="B273" s="160" t="str">
        <f>TEXT(투자전략!$G$1+28, "[$-ko-KR]yyyy.mm.dd")</f>
        <v>2021.05.29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>
      <c r="A274" s="124">
        <v>30</v>
      </c>
      <c r="B274" s="159" t="str">
        <f>TEXT(투자전략!$G$1+29, "[$-ko-KR]yyyy.mm.dd")</f>
        <v>2021.05.30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7.25" thickBot="1">
      <c r="A275" s="124">
        <v>31</v>
      </c>
      <c r="B275" s="159" t="str">
        <f>TEXT(투자전략!$G$1+30, "[$-ko-KR]yyyy.mm.dd")</f>
        <v>2021.05.31</v>
      </c>
      <c r="C275" s="139" t="str">
        <f t="shared" ca="1" si="78"/>
        <v/>
      </c>
      <c r="D275" s="143" t="str">
        <f t="shared" ca="1" si="79"/>
        <v/>
      </c>
      <c r="E275" s="79" t="str">
        <f t="shared" ca="1" si="80"/>
        <v/>
      </c>
      <c r="F275" s="141" t="str">
        <f t="shared" ca="1" si="81"/>
        <v/>
      </c>
      <c r="G275" s="143" t="str">
        <f t="shared" ca="1" si="82"/>
        <v/>
      </c>
      <c r="H275" s="79" t="str">
        <f t="shared" ca="1" si="83"/>
        <v/>
      </c>
      <c r="I275" s="141" t="str">
        <f t="shared" ca="1" si="84"/>
        <v/>
      </c>
      <c r="J275" s="143" t="str">
        <f t="shared" ca="1" si="85"/>
        <v/>
      </c>
      <c r="K275" s="79" t="str">
        <f t="shared" ca="1" si="86"/>
        <v/>
      </c>
      <c r="L275" s="141" t="str">
        <f t="shared" ca="1" si="87"/>
        <v/>
      </c>
      <c r="M275" s="143" t="str">
        <f t="shared" ca="1" si="88"/>
        <v/>
      </c>
      <c r="N275" s="79" t="str">
        <f t="shared" ca="1" si="89"/>
        <v/>
      </c>
      <c r="O275" s="141" t="str">
        <f t="shared" ca="1" si="90"/>
        <v/>
      </c>
    </row>
    <row r="276" spans="1:15" ht="17.25" thickBot="1">
      <c r="A276" s="213" t="s">
        <v>319</v>
      </c>
      <c r="B276" s="215"/>
      <c r="C276" s="135" t="s">
        <v>314</v>
      </c>
      <c r="D276" s="153" t="s">
        <v>315</v>
      </c>
      <c r="E276" s="154" t="s">
        <v>316</v>
      </c>
      <c r="F276" s="155" t="s">
        <v>317</v>
      </c>
      <c r="G276" s="153" t="s">
        <v>315</v>
      </c>
      <c r="H276" s="154" t="s">
        <v>316</v>
      </c>
      <c r="I276" s="155" t="s">
        <v>317</v>
      </c>
      <c r="J276" s="153" t="s">
        <v>315</v>
      </c>
      <c r="K276" s="154" t="s">
        <v>316</v>
      </c>
      <c r="L276" s="155" t="s">
        <v>317</v>
      </c>
      <c r="M276" s="153" t="s">
        <v>315</v>
      </c>
      <c r="N276" s="154" t="s">
        <v>316</v>
      </c>
      <c r="O276" s="155" t="s">
        <v>317</v>
      </c>
    </row>
    <row r="277" spans="1:15" ht="17.25" thickBot="1">
      <c r="A277" s="206"/>
      <c r="B277" s="208"/>
      <c r="C277" s="139">
        <f ca="1">SUM(C245:C275)</f>
        <v>27000000</v>
      </c>
      <c r="D277" s="143">
        <f ca="1">SUM(D245:D275)</f>
        <v>26754550.600705702</v>
      </c>
      <c r="E277" s="79">
        <f ca="1">IFERROR(F277 / (SUM($C245:$C275) / COUNT($C245:$C275)), 0)</f>
        <v>-4.5453592461907527E-2</v>
      </c>
      <c r="F277" s="141">
        <f ca="1">SUM(F245:F275)</f>
        <v>-245449.39929430065</v>
      </c>
      <c r="G277" s="143">
        <f ca="1">SUM(G245:G275)</f>
        <v>26932643.71344316</v>
      </c>
      <c r="H277" s="79">
        <f ca="1">IFERROR(I277 / (SUM($C245:$C275) / COUNT($C245:$C275)), 0)</f>
        <v>-1.2473386399414621E-2</v>
      </c>
      <c r="I277" s="141">
        <f ca="1">SUM(I245:I275)</f>
        <v>-67356.286556838953</v>
      </c>
      <c r="J277" s="143">
        <f ca="1">SUM(J245:J275)</f>
        <v>26979662.259867582</v>
      </c>
      <c r="K277" s="79">
        <f ca="1">IFERROR(L277 / (SUM($C245:$C275) / COUNT($C245:$C275)), 0)</f>
        <v>-3.7662481726704303E-3</v>
      </c>
      <c r="L277" s="141">
        <f ca="1">SUM(L245:L275)</f>
        <v>-20337.740132420324</v>
      </c>
      <c r="M277" s="143">
        <f ca="1">SUM(M245:M275)</f>
        <v>26784558.954403993</v>
      </c>
      <c r="N277" s="79">
        <f ca="1">IFERROR(O277 / (SUM($C245:$C275) / COUNT($C245:$C275)), 0)</f>
        <v>-3.9896489925185893E-2</v>
      </c>
      <c r="O277" s="141">
        <f ca="1">SUM(O245:O275)</f>
        <v>-215441.04559600382</v>
      </c>
    </row>
  </sheetData>
  <mergeCells count="89">
    <mergeCell ref="A48:B49"/>
    <mergeCell ref="A14:O14"/>
    <mergeCell ref="A15:A16"/>
    <mergeCell ref="B9:F9"/>
    <mergeCell ref="G11:I11"/>
    <mergeCell ref="K9:O9"/>
    <mergeCell ref="B10:F10"/>
    <mergeCell ref="D15:F15"/>
    <mergeCell ref="G15:I15"/>
    <mergeCell ref="J15:L15"/>
    <mergeCell ref="M15:O15"/>
    <mergeCell ref="B15:C15"/>
    <mergeCell ref="K10:O10"/>
    <mergeCell ref="G5:I5"/>
    <mergeCell ref="B11:F11"/>
    <mergeCell ref="G3:I3"/>
    <mergeCell ref="K11:O11"/>
    <mergeCell ref="K3:O3"/>
    <mergeCell ref="B4:F4"/>
    <mergeCell ref="G6:I6"/>
    <mergeCell ref="K4:O4"/>
    <mergeCell ref="K8:O8"/>
    <mergeCell ref="B5:F5"/>
    <mergeCell ref="G7:I7"/>
    <mergeCell ref="K5:O5"/>
    <mergeCell ref="B6:F6"/>
    <mergeCell ref="G8:I8"/>
    <mergeCell ref="K6:O6"/>
    <mergeCell ref="A1:F1"/>
    <mergeCell ref="G1:I1"/>
    <mergeCell ref="J1:O1"/>
    <mergeCell ref="B2:F2"/>
    <mergeCell ref="G4:I4"/>
    <mergeCell ref="K2:O2"/>
    <mergeCell ref="G2:I2"/>
    <mergeCell ref="B3:F3"/>
    <mergeCell ref="B7:F7"/>
    <mergeCell ref="G9:I9"/>
    <mergeCell ref="K7:O7"/>
    <mergeCell ref="B8:F8"/>
    <mergeCell ref="G10:I10"/>
    <mergeCell ref="A52:O52"/>
    <mergeCell ref="A53:A54"/>
    <mergeCell ref="B53:C53"/>
    <mergeCell ref="D53:F53"/>
    <mergeCell ref="G53:I53"/>
    <mergeCell ref="J53:L53"/>
    <mergeCell ref="M53:O53"/>
    <mergeCell ref="A86:B87"/>
    <mergeCell ref="A90:O90"/>
    <mergeCell ref="A91:A92"/>
    <mergeCell ref="B91:C91"/>
    <mergeCell ref="D91:F91"/>
    <mergeCell ref="G91:I91"/>
    <mergeCell ref="J91:L91"/>
    <mergeCell ref="M91:O91"/>
    <mergeCell ref="A124:B125"/>
    <mergeCell ref="A128:O128"/>
    <mergeCell ref="A129:A130"/>
    <mergeCell ref="B129:C129"/>
    <mergeCell ref="D129:F129"/>
    <mergeCell ref="G129:I129"/>
    <mergeCell ref="J129:L129"/>
    <mergeCell ref="M129:O129"/>
    <mergeCell ref="A162:B163"/>
    <mergeCell ref="A166:O166"/>
    <mergeCell ref="A167:A168"/>
    <mergeCell ref="B167:C167"/>
    <mergeCell ref="D167:F167"/>
    <mergeCell ref="G167:I167"/>
    <mergeCell ref="J167:L167"/>
    <mergeCell ref="M167:O167"/>
    <mergeCell ref="A200:B201"/>
    <mergeCell ref="A204:O204"/>
    <mergeCell ref="A205:A206"/>
    <mergeCell ref="B205:C205"/>
    <mergeCell ref="D205:F205"/>
    <mergeCell ref="G205:I205"/>
    <mergeCell ref="J205:L205"/>
    <mergeCell ref="M205:O205"/>
    <mergeCell ref="A276:B277"/>
    <mergeCell ref="A238:B239"/>
    <mergeCell ref="A242:O242"/>
    <mergeCell ref="A243:A244"/>
    <mergeCell ref="B243:C243"/>
    <mergeCell ref="D243:F243"/>
    <mergeCell ref="G243:I243"/>
    <mergeCell ref="J243:L243"/>
    <mergeCell ref="M243:O243"/>
  </mergeCells>
  <phoneticPr fontId="1" type="noConversion"/>
  <conditionalFormatting sqref="D15:F16 E49:F49">
    <cfRule type="expression" dxfId="1069" priority="178">
      <formula>$E$49 &gt; 0</formula>
    </cfRule>
    <cfRule type="expression" dxfId="1068" priority="179">
      <formula>$E$49 = 0</formula>
    </cfRule>
    <cfRule type="expression" dxfId="1067" priority="180">
      <formula>$E$49 &lt; 0</formula>
    </cfRule>
  </conditionalFormatting>
  <conditionalFormatting sqref="G15:I16 H49:I49">
    <cfRule type="expression" dxfId="1066" priority="175">
      <formula>$H$49 &gt; 0</formula>
    </cfRule>
    <cfRule type="expression" dxfId="1065" priority="176">
      <formula>$H$49 = 0</formula>
    </cfRule>
    <cfRule type="expression" dxfId="1064" priority="177">
      <formula>$H$49 &lt; 0</formula>
    </cfRule>
  </conditionalFormatting>
  <conditionalFormatting sqref="J15:L16 K49:L49">
    <cfRule type="expression" dxfId="1063" priority="172">
      <formula>$K$49 &gt; 0</formula>
    </cfRule>
    <cfRule type="expression" dxfId="1062" priority="173">
      <formula>$K$49 = 0</formula>
    </cfRule>
    <cfRule type="expression" dxfId="1061" priority="174">
      <formula>$K$49 &lt; 0</formula>
    </cfRule>
  </conditionalFormatting>
  <conditionalFormatting sqref="M15:O16 N49:O49">
    <cfRule type="expression" dxfId="1060" priority="169">
      <formula>$N$49 &gt; 0</formula>
    </cfRule>
    <cfRule type="expression" dxfId="1059" priority="170">
      <formula>$N$49 = 0</formula>
    </cfRule>
    <cfRule type="expression" dxfId="1058" priority="171">
      <formula>$N$49 &lt; 0</formula>
    </cfRule>
  </conditionalFormatting>
  <conditionalFormatting sqref="G4:I5">
    <cfRule type="expression" dxfId="1057" priority="166">
      <formula>$F$49 &gt; 0</formula>
    </cfRule>
    <cfRule type="expression" dxfId="1056" priority="167">
      <formula>$F$49 = 0</formula>
    </cfRule>
    <cfRule type="expression" dxfId="1055" priority="168">
      <formula>$F$49 &lt; 0</formula>
    </cfRule>
  </conditionalFormatting>
  <conditionalFormatting sqref="G6:I7">
    <cfRule type="expression" dxfId="1054" priority="163">
      <formula>$I$49 &gt; 0</formula>
    </cfRule>
    <cfRule type="expression" dxfId="1053" priority="164">
      <formula>$I$49 = 0</formula>
    </cfRule>
    <cfRule type="expression" dxfId="1052" priority="165">
      <formula>$I$49 &lt; 0</formula>
    </cfRule>
  </conditionalFormatting>
  <conditionalFormatting sqref="G8:I9">
    <cfRule type="expression" dxfId="1051" priority="160">
      <formula>$L$49 &gt; 0</formula>
    </cfRule>
    <cfRule type="expression" dxfId="1050" priority="161">
      <formula>$L$49 = 0</formula>
    </cfRule>
    <cfRule type="expression" dxfId="1049" priority="162">
      <formula>$L$49 &lt; 0</formula>
    </cfRule>
  </conditionalFormatting>
  <conditionalFormatting sqref="G10:I11">
    <cfRule type="expression" dxfId="1048" priority="157">
      <formula>$O$49 &gt; 0</formula>
    </cfRule>
    <cfRule type="expression" dxfId="1047" priority="158">
      <formula>$O$49 = 0</formula>
    </cfRule>
    <cfRule type="expression" dxfId="1046" priority="159">
      <formula>$O$49 &lt; 0</formula>
    </cfRule>
  </conditionalFormatting>
  <conditionalFormatting sqref="D17:F47">
    <cfRule type="expression" dxfId="1045" priority="154">
      <formula>AND($E17 &gt; 0, ISNUMBER($E17))</formula>
    </cfRule>
    <cfRule type="expression" dxfId="1044" priority="155">
      <formula>AND($E17 = 0, ISNUMBER($E17))</formula>
    </cfRule>
    <cfRule type="expression" dxfId="1043" priority="156">
      <formula>AND($E17 &lt; 0, ISNUMBER($E17))</formula>
    </cfRule>
  </conditionalFormatting>
  <conditionalFormatting sqref="G17:I47">
    <cfRule type="expression" dxfId="1042" priority="151">
      <formula>AND($H17 &gt; 0, ISNUMBER($H17))</formula>
    </cfRule>
    <cfRule type="expression" dxfId="1041" priority="152">
      <formula>AND($H17 = 0, ISNUMBER($H17))</formula>
    </cfRule>
    <cfRule type="expression" dxfId="1040" priority="153">
      <formula>AND($H17 &lt; 0, ISNUMBER($H17))</formula>
    </cfRule>
  </conditionalFormatting>
  <conditionalFormatting sqref="J17:L47">
    <cfRule type="expression" dxfId="1039" priority="148">
      <formula>AND($K17 &gt; 0, ISNUMBER($K17))</formula>
    </cfRule>
    <cfRule type="expression" dxfId="1038" priority="149">
      <formula>AND($K17 = 0, ISNUMBER($K17))</formula>
    </cfRule>
    <cfRule type="expression" dxfId="1037" priority="150">
      <formula>AND($K17 &lt; 0, ISNUMBER($K17))</formula>
    </cfRule>
  </conditionalFormatting>
  <conditionalFormatting sqref="M17:O47">
    <cfRule type="expression" dxfId="1036" priority="145">
      <formula>AND($N17 &gt; 0, ISNUMBER($N17))</formula>
    </cfRule>
    <cfRule type="expression" dxfId="1035" priority="146">
      <formula>AND($N17 = 0, ISNUMBER($N17))</formula>
    </cfRule>
    <cfRule type="expression" dxfId="1034" priority="147">
      <formula>AND($N17 &lt; 0, ISNUMBER($N17))</formula>
    </cfRule>
  </conditionalFormatting>
  <conditionalFormatting sqref="D53:F54 E87:F87">
    <cfRule type="expression" dxfId="1033" priority="142">
      <formula>$E$87 &gt; 0</formula>
    </cfRule>
    <cfRule type="expression" dxfId="1032" priority="143">
      <formula>$E$87 = 0</formula>
    </cfRule>
    <cfRule type="expression" dxfId="1031" priority="144">
      <formula>$E$87 &lt; 0</formula>
    </cfRule>
  </conditionalFormatting>
  <conditionalFormatting sqref="G53:I54 H87:I87">
    <cfRule type="expression" dxfId="1030" priority="139">
      <formula>$H$87 &gt; 0</formula>
    </cfRule>
    <cfRule type="expression" dxfId="1029" priority="140">
      <formula>$H$87 = 0</formula>
    </cfRule>
    <cfRule type="expression" dxfId="1028" priority="141">
      <formula>$H$87 &lt; 0</formula>
    </cfRule>
  </conditionalFormatting>
  <conditionalFormatting sqref="J53:L54 K87:L87">
    <cfRule type="expression" dxfId="1027" priority="136">
      <formula>$K$87 &gt; 0</formula>
    </cfRule>
    <cfRule type="expression" dxfId="1026" priority="137">
      <formula>$K$87 = 0</formula>
    </cfRule>
    <cfRule type="expression" dxfId="1025" priority="138">
      <formula>$K$87 &lt; 0</formula>
    </cfRule>
  </conditionalFormatting>
  <conditionalFormatting sqref="M53:O54 N87:O87">
    <cfRule type="expression" dxfId="1024" priority="133">
      <formula>$N$87 &gt; 0</formula>
    </cfRule>
    <cfRule type="expression" dxfId="1023" priority="134">
      <formula>$N$87 = 0</formula>
    </cfRule>
    <cfRule type="expression" dxfId="1022" priority="135">
      <formula>$N$87 &lt; 0</formula>
    </cfRule>
  </conditionalFormatting>
  <conditionalFormatting sqref="D55:F85">
    <cfRule type="expression" dxfId="1021" priority="130">
      <formula>AND($E55 &gt; 0, ISNUMBER($E55))</formula>
    </cfRule>
    <cfRule type="expression" dxfId="1020" priority="131">
      <formula>AND($E55 = 0, ISNUMBER($E55))</formula>
    </cfRule>
    <cfRule type="expression" dxfId="1019" priority="132">
      <formula>AND($E55 &lt; 0, ISNUMBER($E55))</formula>
    </cfRule>
  </conditionalFormatting>
  <conditionalFormatting sqref="G55:I85">
    <cfRule type="expression" dxfId="1018" priority="127">
      <formula>AND($H55 &gt; 0, ISNUMBER($H55))</formula>
    </cfRule>
    <cfRule type="expression" dxfId="1017" priority="128">
      <formula>AND($H55 = 0, ISNUMBER($H55))</formula>
    </cfRule>
    <cfRule type="expression" dxfId="1016" priority="129">
      <formula>AND($H55 &lt; 0, ISNUMBER($H55))</formula>
    </cfRule>
  </conditionalFormatting>
  <conditionalFormatting sqref="J55:L85">
    <cfRule type="expression" dxfId="1015" priority="124">
      <formula>AND($K55 &gt; 0, ISNUMBER($K55))</formula>
    </cfRule>
    <cfRule type="expression" dxfId="1014" priority="125">
      <formula>AND($K55 = 0, ISNUMBER($K55))</formula>
    </cfRule>
    <cfRule type="expression" dxfId="1013" priority="126">
      <formula>AND($K55 &lt; 0, ISNUMBER($K55))</formula>
    </cfRule>
  </conditionalFormatting>
  <conditionalFormatting sqref="M55:O85">
    <cfRule type="expression" dxfId="1012" priority="121">
      <formula>AND($N55 &gt; 0, ISNUMBER($N55))</formula>
    </cfRule>
    <cfRule type="expression" dxfId="1011" priority="122">
      <formula>AND($N55 = 0, ISNUMBER($N55))</formula>
    </cfRule>
    <cfRule type="expression" dxfId="1010" priority="123">
      <formula>AND($N55 &lt; 0, ISNUMBER($N55))</formula>
    </cfRule>
  </conditionalFormatting>
  <conditionalFormatting sqref="D91:F92 E125:F125">
    <cfRule type="expression" dxfId="1009" priority="118">
      <formula>$E$125 &gt; 0</formula>
    </cfRule>
    <cfRule type="expression" dxfId="1008" priority="119">
      <formula>$E$125 = 0</formula>
    </cfRule>
    <cfRule type="expression" dxfId="1007" priority="120">
      <formula>$E$125 &lt; 0</formula>
    </cfRule>
  </conditionalFormatting>
  <conditionalFormatting sqref="G91:I92 H125:I125">
    <cfRule type="expression" dxfId="1006" priority="115">
      <formula>$H$125 &gt; 0</formula>
    </cfRule>
    <cfRule type="expression" dxfId="1005" priority="116">
      <formula>$H$125 = 0</formula>
    </cfRule>
    <cfRule type="expression" dxfId="1004" priority="117">
      <formula>$H$125 &lt; 0</formula>
    </cfRule>
  </conditionalFormatting>
  <conditionalFormatting sqref="J91:L92 K125:L125">
    <cfRule type="expression" dxfId="1003" priority="112">
      <formula>$K$125 &gt; 0</formula>
    </cfRule>
    <cfRule type="expression" dxfId="1002" priority="113">
      <formula>$K$125 = 0</formula>
    </cfRule>
    <cfRule type="expression" dxfId="1001" priority="114">
      <formula>$K$125 &lt; 0</formula>
    </cfRule>
  </conditionalFormatting>
  <conditionalFormatting sqref="M91:O92 N125:O125">
    <cfRule type="expression" dxfId="1000" priority="109">
      <formula>$N$125 &gt; 0</formula>
    </cfRule>
    <cfRule type="expression" dxfId="999" priority="110">
      <formula>$N$125 = 0</formula>
    </cfRule>
    <cfRule type="expression" dxfId="998" priority="111">
      <formula>$N$125 &lt; 0</formula>
    </cfRule>
  </conditionalFormatting>
  <conditionalFormatting sqref="D93:F123">
    <cfRule type="expression" dxfId="997" priority="106">
      <formula>AND($E93 &gt; 0, ISNUMBER($E93))</formula>
    </cfRule>
    <cfRule type="expression" dxfId="996" priority="107">
      <formula>AND($E93 = 0, ISNUMBER($E93))</formula>
    </cfRule>
    <cfRule type="expression" dxfId="995" priority="108">
      <formula>AND($E93 &lt; 0, ISNUMBER($E93))</formula>
    </cfRule>
  </conditionalFormatting>
  <conditionalFormatting sqref="G93:I123">
    <cfRule type="expression" dxfId="994" priority="103">
      <formula>AND($H93 &gt; 0, ISNUMBER($H93))</formula>
    </cfRule>
    <cfRule type="expression" dxfId="993" priority="104">
      <formula>AND($H93 = 0, ISNUMBER($H93))</formula>
    </cfRule>
    <cfRule type="expression" dxfId="992" priority="105">
      <formula>AND($H93 &lt; 0, ISNUMBER($H93))</formula>
    </cfRule>
  </conditionalFormatting>
  <conditionalFormatting sqref="J93:L123">
    <cfRule type="expression" dxfId="991" priority="100">
      <formula>AND($K93 &gt; 0, ISNUMBER($K93))</formula>
    </cfRule>
    <cfRule type="expression" dxfId="990" priority="101">
      <formula>AND($K93 = 0, ISNUMBER($K93))</formula>
    </cfRule>
    <cfRule type="expression" dxfId="989" priority="102">
      <formula>AND($K93 &lt; 0, ISNUMBER($K93))</formula>
    </cfRule>
  </conditionalFormatting>
  <conditionalFormatting sqref="M93:O123">
    <cfRule type="expression" dxfId="988" priority="97">
      <formula>AND($N93 &gt; 0, ISNUMBER($N93))</formula>
    </cfRule>
    <cfRule type="expression" dxfId="987" priority="98">
      <formula>AND($N93 = 0, ISNUMBER($N93))</formula>
    </cfRule>
    <cfRule type="expression" dxfId="986" priority="99">
      <formula>AND($N93 &lt; 0, ISNUMBER($N93))</formula>
    </cfRule>
  </conditionalFormatting>
  <conditionalFormatting sqref="D129:F130 E163:F163">
    <cfRule type="expression" dxfId="985" priority="94">
      <formula>$E$163 &gt; 0</formula>
    </cfRule>
    <cfRule type="expression" dxfId="984" priority="95">
      <formula>$E$163 = 0</formula>
    </cfRule>
    <cfRule type="expression" dxfId="983" priority="96">
      <formula>$E$163 &lt; 0</formula>
    </cfRule>
  </conditionalFormatting>
  <conditionalFormatting sqref="G129:I130 H163:I163">
    <cfRule type="expression" dxfId="982" priority="91">
      <formula>$H$163 &gt; 0</formula>
    </cfRule>
    <cfRule type="expression" dxfId="981" priority="92">
      <formula>$H$163 = 0</formula>
    </cfRule>
    <cfRule type="expression" dxfId="980" priority="93">
      <formula>$H$163 &lt; 0</formula>
    </cfRule>
  </conditionalFormatting>
  <conditionalFormatting sqref="J129:L130 K163:L163">
    <cfRule type="expression" dxfId="979" priority="88">
      <formula>$K$163 &gt; 0</formula>
    </cfRule>
    <cfRule type="expression" dxfId="978" priority="89">
      <formula>$K$163 = 0</formula>
    </cfRule>
    <cfRule type="expression" dxfId="977" priority="90">
      <formula>$K$163 &lt; 0</formula>
    </cfRule>
  </conditionalFormatting>
  <conditionalFormatting sqref="M129:O130 N163:O163">
    <cfRule type="expression" dxfId="976" priority="85">
      <formula>$N$163 &gt; 0</formula>
    </cfRule>
    <cfRule type="expression" dxfId="975" priority="86">
      <formula>$N$163 = 0</formula>
    </cfRule>
    <cfRule type="expression" dxfId="974" priority="87">
      <formula>$N$163 &lt; 0</formula>
    </cfRule>
  </conditionalFormatting>
  <conditionalFormatting sqref="D131:F161">
    <cfRule type="expression" dxfId="973" priority="82">
      <formula>AND($E131 &gt; 0, ISNUMBER($E131))</formula>
    </cfRule>
    <cfRule type="expression" dxfId="972" priority="83">
      <formula>AND($E131 = 0, ISNUMBER($E131))</formula>
    </cfRule>
    <cfRule type="expression" dxfId="971" priority="84">
      <formula>AND($E131 &lt; 0, ISNUMBER($E131))</formula>
    </cfRule>
  </conditionalFormatting>
  <conditionalFormatting sqref="G131:I161">
    <cfRule type="expression" dxfId="970" priority="79">
      <formula>AND($H131 &gt; 0, ISNUMBER($H131))</formula>
    </cfRule>
    <cfRule type="expression" dxfId="969" priority="80">
      <formula>AND($H131 = 0, ISNUMBER($H131))</formula>
    </cfRule>
    <cfRule type="expression" dxfId="968" priority="81">
      <formula>AND($H131 &lt; 0, ISNUMBER($H131))</formula>
    </cfRule>
  </conditionalFormatting>
  <conditionalFormatting sqref="J131:L161">
    <cfRule type="expression" dxfId="967" priority="76">
      <formula>AND($K131 &gt; 0, ISNUMBER($K131))</formula>
    </cfRule>
    <cfRule type="expression" dxfId="966" priority="77">
      <formula>AND($K131 = 0, ISNUMBER($K131))</formula>
    </cfRule>
    <cfRule type="expression" dxfId="965" priority="78">
      <formula>AND($K131 &lt; 0, ISNUMBER($K131))</formula>
    </cfRule>
  </conditionalFormatting>
  <conditionalFormatting sqref="M131:O161">
    <cfRule type="expression" dxfId="964" priority="73">
      <formula>AND($N131 &gt; 0, ISNUMBER($N131))</formula>
    </cfRule>
    <cfRule type="expression" dxfId="963" priority="74">
      <formula>AND($N131 = 0, ISNUMBER($N131))</formula>
    </cfRule>
    <cfRule type="expression" dxfId="962" priority="75">
      <formula>AND($N131 &lt; 0, ISNUMBER($N131))</formula>
    </cfRule>
  </conditionalFormatting>
  <conditionalFormatting sqref="D167:F168 E201:F201">
    <cfRule type="expression" dxfId="961" priority="70">
      <formula>$E$201 &gt; 0</formula>
    </cfRule>
    <cfRule type="expression" dxfId="960" priority="71">
      <formula>$E$201 = 0</formula>
    </cfRule>
    <cfRule type="expression" dxfId="959" priority="72">
      <formula>$E$201 &lt; 0</formula>
    </cfRule>
  </conditionalFormatting>
  <conditionalFormatting sqref="G167:I168 H201:I201">
    <cfRule type="expression" dxfId="958" priority="67">
      <formula>$H$201 &gt; 0</formula>
    </cfRule>
    <cfRule type="expression" dxfId="957" priority="68">
      <formula>$H$201 = 0</formula>
    </cfRule>
    <cfRule type="expression" dxfId="956" priority="69">
      <formula>$H$201 &lt; 0</formula>
    </cfRule>
  </conditionalFormatting>
  <conditionalFormatting sqref="J167:L168 K201:L201">
    <cfRule type="expression" dxfId="955" priority="64">
      <formula>$K$201 &gt; 0</formula>
    </cfRule>
    <cfRule type="expression" dxfId="954" priority="65">
      <formula>$K$201 = 0</formula>
    </cfRule>
    <cfRule type="expression" dxfId="953" priority="66">
      <formula>$K$201 &lt; 0</formula>
    </cfRule>
  </conditionalFormatting>
  <conditionalFormatting sqref="M167:O168 N201:O201">
    <cfRule type="expression" dxfId="952" priority="61">
      <formula>$N$201 &gt; 0</formula>
    </cfRule>
    <cfRule type="expression" dxfId="951" priority="62">
      <formula>$N$201 = 0</formula>
    </cfRule>
    <cfRule type="expression" dxfId="950" priority="63">
      <formula>$N$201 &lt; 0</formula>
    </cfRule>
  </conditionalFormatting>
  <conditionalFormatting sqref="D169:F199">
    <cfRule type="expression" dxfId="949" priority="58">
      <formula>AND($E169 &gt; 0, ISNUMBER($E169))</formula>
    </cfRule>
    <cfRule type="expression" dxfId="948" priority="59">
      <formula>AND($E169 = 0, ISNUMBER($E169))</formula>
    </cfRule>
    <cfRule type="expression" dxfId="947" priority="60">
      <formula>AND($E169 &lt; 0, ISNUMBER($E169))</formula>
    </cfRule>
  </conditionalFormatting>
  <conditionalFormatting sqref="G169:I199">
    <cfRule type="expression" dxfId="946" priority="55">
      <formula>AND($H169 &gt; 0, ISNUMBER($H169))</formula>
    </cfRule>
    <cfRule type="expression" dxfId="945" priority="56">
      <formula>AND($H169 = 0, ISNUMBER($H169))</formula>
    </cfRule>
    <cfRule type="expression" dxfId="944" priority="57">
      <formula>AND($H169 &lt; 0, ISNUMBER($H169))</formula>
    </cfRule>
  </conditionalFormatting>
  <conditionalFormatting sqref="J169:L199">
    <cfRule type="expression" dxfId="943" priority="52">
      <formula>AND($K169 &gt; 0, ISNUMBER($K169))</formula>
    </cfRule>
    <cfRule type="expression" dxfId="942" priority="53">
      <formula>AND($K169 = 0, ISNUMBER($K169))</formula>
    </cfRule>
    <cfRule type="expression" dxfId="941" priority="54">
      <formula>AND($K169 &lt; 0, ISNUMBER($K169))</formula>
    </cfRule>
  </conditionalFormatting>
  <conditionalFormatting sqref="M169:O199">
    <cfRule type="expression" dxfId="940" priority="49">
      <formula>AND($N169 &gt; 0, ISNUMBER($N169))</formula>
    </cfRule>
    <cfRule type="expression" dxfId="939" priority="50">
      <formula>AND($N169 = 0, ISNUMBER($N169))</formula>
    </cfRule>
    <cfRule type="expression" dxfId="938" priority="51">
      <formula>AND($N169 &lt; 0, ISNUMBER($N169))</formula>
    </cfRule>
  </conditionalFormatting>
  <conditionalFormatting sqref="D205:F206 E239:F239">
    <cfRule type="expression" dxfId="937" priority="46">
      <formula>$E$239 &gt; 0</formula>
    </cfRule>
    <cfRule type="expression" dxfId="936" priority="47">
      <formula>$E$239 = 0</formula>
    </cfRule>
    <cfRule type="expression" dxfId="935" priority="48">
      <formula>$E$239 &lt; 0</formula>
    </cfRule>
  </conditionalFormatting>
  <conditionalFormatting sqref="G205:I206 H239:I239">
    <cfRule type="expression" dxfId="934" priority="43">
      <formula>$H$239 &gt; 0</formula>
    </cfRule>
    <cfRule type="expression" dxfId="933" priority="44">
      <formula>$H$239 = 0</formula>
    </cfRule>
    <cfRule type="expression" dxfId="932" priority="45">
      <formula>$H$239 &lt; 0</formula>
    </cfRule>
  </conditionalFormatting>
  <conditionalFormatting sqref="J205:L206 K239:L239">
    <cfRule type="expression" dxfId="931" priority="40">
      <formula>$K$239 &gt; 0</formula>
    </cfRule>
    <cfRule type="expression" dxfId="930" priority="41">
      <formula>$K$239 = 0</formula>
    </cfRule>
    <cfRule type="expression" dxfId="929" priority="42">
      <formula>$K$239 &lt; 0</formula>
    </cfRule>
  </conditionalFormatting>
  <conditionalFormatting sqref="M205:O206 N239:O239">
    <cfRule type="expression" dxfId="928" priority="37">
      <formula>$N$239 &gt; 0</formula>
    </cfRule>
    <cfRule type="expression" dxfId="927" priority="38">
      <formula>$N$239 = 0</formula>
    </cfRule>
    <cfRule type="expression" dxfId="926" priority="39">
      <formula>$N$239 &lt; 0</formula>
    </cfRule>
  </conditionalFormatting>
  <conditionalFormatting sqref="D207:F237">
    <cfRule type="expression" dxfId="925" priority="34">
      <formula>AND($E207 &gt; 0, ISNUMBER($E207))</formula>
    </cfRule>
    <cfRule type="expression" dxfId="924" priority="35">
      <formula>AND($E207 = 0, ISNUMBER($E207))</formula>
    </cfRule>
    <cfRule type="expression" dxfId="923" priority="36">
      <formula>AND($E207 &lt; 0, ISNUMBER($E207))</formula>
    </cfRule>
  </conditionalFormatting>
  <conditionalFormatting sqref="G207:I237">
    <cfRule type="expression" dxfId="922" priority="31">
      <formula>AND($H207 &gt; 0, ISNUMBER($H207))</formula>
    </cfRule>
    <cfRule type="expression" dxfId="921" priority="32">
      <formula>AND($H207 = 0, ISNUMBER($H207))</formula>
    </cfRule>
    <cfRule type="expression" dxfId="920" priority="33">
      <formula>AND($H207 &lt; 0, ISNUMBER($H207))</formula>
    </cfRule>
  </conditionalFormatting>
  <conditionalFormatting sqref="J207:L237">
    <cfRule type="expression" dxfId="919" priority="28">
      <formula>AND($K207 &gt; 0, ISNUMBER($K207))</formula>
    </cfRule>
    <cfRule type="expression" dxfId="918" priority="29">
      <formula>AND($K207 = 0, ISNUMBER($K207))</formula>
    </cfRule>
    <cfRule type="expression" dxfId="917" priority="30">
      <formula>AND($K207 &lt; 0, ISNUMBER($K207))</formula>
    </cfRule>
  </conditionalFormatting>
  <conditionalFormatting sqref="M207:O237">
    <cfRule type="expression" dxfId="916" priority="25">
      <formula>AND($N207 &gt; 0, ISNUMBER($N207))</formula>
    </cfRule>
    <cfRule type="expression" dxfId="915" priority="26">
      <formula>AND($N207 = 0, ISNUMBER($N207))</formula>
    </cfRule>
    <cfRule type="expression" dxfId="914" priority="27">
      <formula>AND($N207 &lt; 0, ISNUMBER($N207))</formula>
    </cfRule>
  </conditionalFormatting>
  <conditionalFormatting sqref="D243:F244 E277:F277">
    <cfRule type="expression" dxfId="913" priority="22">
      <formula>$E$277 &gt; 0</formula>
    </cfRule>
    <cfRule type="expression" dxfId="912" priority="23">
      <formula>$E$277 = 0</formula>
    </cfRule>
    <cfRule type="expression" dxfId="911" priority="24">
      <formula>$E$277 &lt; 0</formula>
    </cfRule>
  </conditionalFormatting>
  <conditionalFormatting sqref="G243:I244 H277:I277">
    <cfRule type="expression" dxfId="910" priority="19">
      <formula>$H$277 &gt; 0</formula>
    </cfRule>
    <cfRule type="expression" dxfId="909" priority="20">
      <formula>$H$277 = 0</formula>
    </cfRule>
    <cfRule type="expression" dxfId="908" priority="21">
      <formula>$H$277 &lt; 0</formula>
    </cfRule>
  </conditionalFormatting>
  <conditionalFormatting sqref="J243:L244 K277:L277">
    <cfRule type="expression" dxfId="907" priority="16">
      <formula>$K$277 &gt; 0</formula>
    </cfRule>
    <cfRule type="expression" dxfId="906" priority="17">
      <formula>$K$277 = 0</formula>
    </cfRule>
    <cfRule type="expression" dxfId="905" priority="18">
      <formula>$K$277 &lt; 0</formula>
    </cfRule>
  </conditionalFormatting>
  <conditionalFormatting sqref="M243:O244 N277:O277">
    <cfRule type="expression" dxfId="904" priority="13">
      <formula>$N$277 &gt; 0</formula>
    </cfRule>
    <cfRule type="expression" dxfId="903" priority="14">
      <formula>$N$277 = 0</formula>
    </cfRule>
    <cfRule type="expression" dxfId="902" priority="15">
      <formula>$N$277 &lt; 0</formula>
    </cfRule>
  </conditionalFormatting>
  <conditionalFormatting sqref="D245:F275">
    <cfRule type="expression" dxfId="901" priority="10">
      <formula>AND($E245 &gt; 0, ISNUMBER($E245))</formula>
    </cfRule>
    <cfRule type="expression" dxfId="900" priority="11">
      <formula>AND($E245 = 0, ISNUMBER($E245))</formula>
    </cfRule>
    <cfRule type="expression" dxfId="899" priority="12">
      <formula>AND($E245 &lt; 0, ISNUMBER($E245))</formula>
    </cfRule>
  </conditionalFormatting>
  <conditionalFormatting sqref="G245:I275">
    <cfRule type="expression" dxfId="898" priority="7">
      <formula>AND($H245 &gt; 0, ISNUMBER($H245))</formula>
    </cfRule>
    <cfRule type="expression" dxfId="897" priority="8">
      <formula>AND($H245 = 0, ISNUMBER($H245))</formula>
    </cfRule>
    <cfRule type="expression" dxfId="896" priority="9">
      <formula>AND($H245 &lt; 0, ISNUMBER($H245))</formula>
    </cfRule>
  </conditionalFormatting>
  <conditionalFormatting sqref="J245:L275">
    <cfRule type="expression" dxfId="895" priority="4">
      <formula>AND($K245 &gt; 0, ISNUMBER($K245))</formula>
    </cfRule>
    <cfRule type="expression" dxfId="894" priority="5">
      <formula>AND($K245 = 0, ISNUMBER($K245))</formula>
    </cfRule>
    <cfRule type="expression" dxfId="893" priority="6">
      <formula>AND($K245 &lt; 0, ISNUMBER($K245))</formula>
    </cfRule>
  </conditionalFormatting>
  <conditionalFormatting sqref="M245:O275">
    <cfRule type="expression" dxfId="892" priority="1">
      <formula>AND($N245 &gt; 0, ISNUMBER($N245))</formula>
    </cfRule>
    <cfRule type="expression" dxfId="891" priority="2">
      <formula>AND($N245 = 0, ISNUMBER($N245))</formula>
    </cfRule>
    <cfRule type="expression" dxfId="890" priority="3">
      <formula>AND($N245 &lt; 0, ISNUMBER($N245))</formula>
    </cfRule>
  </conditionalFormatting>
  <pageMargins left="0.7" right="0.7" top="0.75" bottom="0.75" header="0.3" footer="0.3"/>
  <pageSetup paperSize="9" orientation="portrait" r:id="rId1"/>
  <ignoredErrors>
    <ignoredError sqref="A1:XFD1048576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71" zoomScaleNormal="100" workbookViewId="0">
      <selection activeCell="A179" sqref="A179:XFD19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44317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4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4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4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4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4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4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67285000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-3.8730784599999998E-2</v>
      </c>
      <c r="N14" s="192"/>
      <c r="O14" s="193"/>
      <c r="Q14" s="184"/>
      <c r="R14" s="184"/>
      <c r="S14" s="184"/>
    </row>
    <row r="15" spans="1:19" ht="17.25" customHeight="1" thickBot="1">
      <c r="A15" s="209" t="s">
        <v>39</v>
      </c>
      <c r="B15" s="201" t="str">
        <f>TEXT($G$1, "[$-ko-KR]yyyy-mm-dd(ddd) ") &amp; "오전 00:00"</f>
        <v>2021-05-01(토) 오전 00:00</v>
      </c>
      <c r="C15" s="202"/>
      <c r="D15" s="198" t="str">
        <f>TEXT($G$1, "[$-ko-KR]yyyy-mm-dd(ddd) ") &amp; "오후 14:00"</f>
        <v>2021-05-01(토) 오후 14:00</v>
      </c>
      <c r="E15" s="199"/>
      <c r="F15" s="200"/>
      <c r="G15" s="198" t="str">
        <f>TEXT($G$1, "[$-ko-KR]yyyy-mm-dd(ddd) ") &amp; "오후 19:00"</f>
        <v>2021-05-01(토) 오후 19:00</v>
      </c>
      <c r="H15" s="199"/>
      <c r="I15" s="200"/>
      <c r="J15" s="198" t="str">
        <f>TEXT($G$1, "[$-ko-KR]yyyy-mm-dd(ddd) ") &amp; "오후 21:00"</f>
        <v>2021-05-01(토) 오후 21:00</v>
      </c>
      <c r="K15" s="199"/>
      <c r="L15" s="200"/>
      <c r="M15" s="198" t="str">
        <f>TEXT($G$1+1, "[$-ko-KR]yyyy-mm-dd(ddd) ") &amp; "오전 00:00"</f>
        <v>2021-05-02(일) 오전 00:00</v>
      </c>
      <c r="N15" s="199"/>
      <c r="O15" s="200"/>
      <c r="Q15" s="184"/>
      <c r="R15" s="184"/>
      <c r="S15" s="184"/>
    </row>
    <row r="16" spans="1:19" ht="17.25" customHeight="1" thickBot="1">
      <c r="A16" s="20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84"/>
      <c r="R17" s="184"/>
      <c r="S17" s="18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84"/>
      <c r="R18" s="184"/>
      <c r="S18" s="18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74"/>
      <c r="R19" s="174"/>
      <c r="S19" s="174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74"/>
      <c r="R20" s="174"/>
      <c r="S20" s="174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74"/>
      <c r="R21" s="174"/>
      <c r="S21" s="17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26" t="s">
        <v>42</v>
      </c>
      <c r="B37" s="172">
        <v>300000</v>
      </c>
      <c r="C37" s="17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1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67285000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-3.8730784599999998E-2</v>
      </c>
      <c r="N41" s="192"/>
      <c r="O41" s="193"/>
      <c r="Q41" s="184"/>
      <c r="R41" s="184"/>
      <c r="S41" s="184"/>
    </row>
    <row r="42" spans="1:19" ht="17.25" customHeight="1" thickBot="1">
      <c r="A42" s="194" t="s">
        <v>55</v>
      </c>
      <c r="B42" s="196" t="str">
        <f>TEXT($G$1, "[$-ko-KR]yyyy-mm-dd(ddd) ") &amp; "오전 00:00"</f>
        <v>2021-05-01(토) 오전 00:00</v>
      </c>
      <c r="C42" s="197"/>
      <c r="D42" s="198" t="str">
        <f>TEXT($G$1, "[$-ko-KR]yyyy-mm-dd(ddd) ") &amp; "오후 14:00"</f>
        <v>2021-05-01(토) 오후 14:00</v>
      </c>
      <c r="E42" s="199"/>
      <c r="F42" s="200"/>
      <c r="G42" s="198" t="str">
        <f>TEXT($G$1, "[$-ko-KR]yyyy-mm-dd(ddd) ") &amp; "오후 19:00"</f>
        <v>2021-05-01(토) 오후 19:00</v>
      </c>
      <c r="H42" s="199"/>
      <c r="I42" s="200"/>
      <c r="J42" s="198" t="str">
        <f>TEXT($G$1, "[$-ko-KR]yyyy-mm-dd(ddd) ") &amp; "오후 21:00"</f>
        <v>2021-05-01(토) 오후 21:00</v>
      </c>
      <c r="K42" s="199"/>
      <c r="L42" s="200"/>
      <c r="M42" s="198" t="str">
        <f>TEXT($G$1+1, "[$-ko-KR]yyyy-mm-dd(ddd) ") &amp; "오전 00:00"</f>
        <v>2021-05-02(일) 오전 00:00</v>
      </c>
      <c r="N42" s="199"/>
      <c r="O42" s="200"/>
      <c r="Q42" s="184"/>
      <c r="R42" s="184"/>
      <c r="S42" s="184"/>
    </row>
    <row r="43" spans="1:19" ht="17.25" customHeight="1" thickBot="1">
      <c r="A43" s="19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84"/>
      <c r="R44" s="184"/>
      <c r="S44" s="18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84"/>
      <c r="R45" s="184"/>
      <c r="S45" s="18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74"/>
      <c r="R46" s="174"/>
      <c r="S46" s="174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74"/>
      <c r="R47" s="174"/>
      <c r="S47" s="174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74"/>
      <c r="R48" s="174"/>
      <c r="S48" s="174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74"/>
      <c r="R49" s="174"/>
      <c r="S49" s="174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74"/>
      <c r="R50" s="174"/>
      <c r="S50" s="174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74"/>
      <c r="R51" s="174"/>
      <c r="S51" s="174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75"/>
      <c r="R53" s="176"/>
      <c r="S53" s="177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78"/>
      <c r="R54" s="179"/>
      <c r="S54" s="180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81"/>
      <c r="R55" s="182"/>
      <c r="S55" s="183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74"/>
      <c r="R56" s="174"/>
      <c r="S56" s="174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84"/>
      <c r="R57" s="184"/>
      <c r="S57" s="18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84"/>
      <c r="R58" s="184"/>
      <c r="S58" s="184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74"/>
      <c r="R59" s="174"/>
      <c r="S59" s="174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74"/>
      <c r="R60" s="174"/>
      <c r="S60" s="174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74"/>
      <c r="R61" s="174"/>
      <c r="S61" s="174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63"/>
      <c r="R62" s="164"/>
      <c r="S62" s="16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26" t="s">
        <v>301</v>
      </c>
      <c r="B64" s="172">
        <f>$B$37</f>
        <v>300000</v>
      </c>
      <c r="C64" s="17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1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67285000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-3.8730784599999998E-2</v>
      </c>
      <c r="N68" s="192"/>
      <c r="O68" s="193"/>
      <c r="Q68" s="184"/>
      <c r="R68" s="184"/>
      <c r="S68" s="184"/>
    </row>
    <row r="69" spans="1:19" ht="17.25" thickBot="1">
      <c r="A69" s="194" t="s">
        <v>55</v>
      </c>
      <c r="B69" s="196" t="str">
        <f>TEXT($G$1, "[$-ko-KR]yyyy-mm-dd(ddd) ") &amp; "오전 00:00"</f>
        <v>2021-05-01(토) 오전 00:00</v>
      </c>
      <c r="C69" s="197"/>
      <c r="D69" s="198" t="str">
        <f>TEXT($G$1, "[$-ko-KR]yyyy-mm-dd(ddd) ") &amp; "오후 14:00"</f>
        <v>2021-05-01(토) 오후 14:00</v>
      </c>
      <c r="E69" s="199"/>
      <c r="F69" s="200"/>
      <c r="G69" s="198" t="str">
        <f>TEXT($G$1, "[$-ko-KR]yyyy-mm-dd(ddd) ") &amp; "오후 19:00"</f>
        <v>2021-05-01(토) 오후 19:00</v>
      </c>
      <c r="H69" s="199"/>
      <c r="I69" s="200"/>
      <c r="J69" s="198" t="str">
        <f>TEXT($G$1, "[$-ko-KR]yyyy-mm-dd(ddd) ") &amp; "오후 21:00"</f>
        <v>2021-05-01(토) 오후 21:00</v>
      </c>
      <c r="K69" s="199"/>
      <c r="L69" s="200"/>
      <c r="M69" s="198" t="str">
        <f>TEXT($G$1+1, "[$-ko-KR]yyyy-mm-dd(ddd) ") &amp; "오전 00:00"</f>
        <v>2021-05-02(일) 오전 00:00</v>
      </c>
      <c r="N69" s="199"/>
      <c r="O69" s="200"/>
      <c r="Q69" s="184"/>
      <c r="R69" s="184"/>
      <c r="S69" s="184"/>
    </row>
    <row r="70" spans="1:19" ht="17.25" thickBot="1">
      <c r="A70" s="19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84"/>
      <c r="R71" s="184"/>
      <c r="S71" s="18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84"/>
      <c r="R72" s="184"/>
      <c r="S72" s="18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74"/>
      <c r="R73" s="174"/>
      <c r="S73" s="174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74"/>
      <c r="R74" s="174"/>
      <c r="S74" s="174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74"/>
      <c r="R75" s="174"/>
      <c r="S75" s="174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74"/>
      <c r="R76" s="174"/>
      <c r="S76" s="174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74"/>
      <c r="R77" s="174"/>
      <c r="S77" s="174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74"/>
      <c r="R78" s="174"/>
      <c r="S78" s="174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75"/>
      <c r="R80" s="176"/>
      <c r="S80" s="177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78"/>
      <c r="R81" s="179"/>
      <c r="S81" s="180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81"/>
      <c r="R82" s="182"/>
      <c r="S82" s="183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74"/>
      <c r="R83" s="174"/>
      <c r="S83" s="174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84"/>
      <c r="R84" s="184"/>
      <c r="S84" s="18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84"/>
      <c r="R85" s="184"/>
      <c r="S85" s="184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74"/>
      <c r="R86" s="174"/>
      <c r="S86" s="174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74"/>
      <c r="R87" s="174"/>
      <c r="S87" s="174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74"/>
      <c r="R88" s="174"/>
      <c r="S88" s="174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63"/>
      <c r="R89" s="164"/>
      <c r="S89" s="16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166"/>
      <c r="R90" s="167"/>
      <c r="S90" s="168"/>
    </row>
    <row r="91" spans="1:19" ht="17.25" thickBot="1">
      <c r="A91" s="26" t="s">
        <v>301</v>
      </c>
      <c r="B91" s="172">
        <f>$B$37</f>
        <v>300000</v>
      </c>
      <c r="C91" s="17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1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67285000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-3.8730784599999998E-2</v>
      </c>
      <c r="N95" s="192"/>
      <c r="O95" s="193"/>
      <c r="Q95" s="184"/>
      <c r="R95" s="184"/>
      <c r="S95" s="184"/>
    </row>
    <row r="96" spans="1:19" ht="17.25" thickBot="1">
      <c r="A96" s="194" t="s">
        <v>55</v>
      </c>
      <c r="B96" s="196" t="str">
        <f>TEXT($G$1, "[$-ko-KR]yyyy-mm-dd(ddd) ") &amp; "오전 00:00"</f>
        <v>2021-05-01(토) 오전 00:00</v>
      </c>
      <c r="C96" s="197"/>
      <c r="D96" s="198" t="str">
        <f>TEXT($G$1, "[$-ko-KR]yyyy-mm-dd(ddd) ") &amp; "오후 14:00"</f>
        <v>2021-05-01(토) 오후 14:00</v>
      </c>
      <c r="E96" s="199"/>
      <c r="F96" s="200"/>
      <c r="G96" s="198" t="str">
        <f>TEXT($G$1, "[$-ko-KR]yyyy-mm-dd(ddd) ") &amp; "오후 19:00"</f>
        <v>2021-05-01(토) 오후 19:00</v>
      </c>
      <c r="H96" s="199"/>
      <c r="I96" s="200"/>
      <c r="J96" s="198" t="str">
        <f>TEXT($G$1, "[$-ko-KR]yyyy-mm-dd(ddd) ") &amp; "오후 21:00"</f>
        <v>2021-05-01(토) 오후 21:00</v>
      </c>
      <c r="K96" s="199"/>
      <c r="L96" s="200"/>
      <c r="M96" s="198" t="str">
        <f>TEXT($G$1+1, "[$-ko-KR]yyyy-mm-dd(ddd) ") &amp; "오전 00:00"</f>
        <v>2021-05-02(일) 오전 00:00</v>
      </c>
      <c r="N96" s="199"/>
      <c r="O96" s="200"/>
      <c r="Q96" s="184"/>
      <c r="R96" s="184"/>
      <c r="S96" s="184"/>
    </row>
    <row r="97" spans="1:19" ht="17.25" thickBot="1">
      <c r="A97" s="19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84"/>
      <c r="R98" s="184"/>
      <c r="S98" s="18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84"/>
      <c r="R99" s="184"/>
      <c r="S99" s="18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74"/>
      <c r="R100" s="174"/>
      <c r="S100" s="174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74"/>
      <c r="R101" s="174"/>
      <c r="S101" s="174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74"/>
      <c r="R102" s="174"/>
      <c r="S102" s="174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74"/>
      <c r="R103" s="174"/>
      <c r="S103" s="174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74"/>
      <c r="R104" s="174"/>
      <c r="S104" s="174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74"/>
      <c r="R105" s="174"/>
      <c r="S105" s="174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75"/>
      <c r="R107" s="176"/>
      <c r="S107" s="177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78"/>
      <c r="R108" s="179"/>
      <c r="S108" s="180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81"/>
      <c r="R109" s="182"/>
      <c r="S109" s="183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74"/>
      <c r="R110" s="174"/>
      <c r="S110" s="174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84"/>
      <c r="R111" s="184"/>
      <c r="S111" s="18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84"/>
      <c r="R112" s="184"/>
      <c r="S112" s="184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74"/>
      <c r="R113" s="174"/>
      <c r="S113" s="174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74"/>
      <c r="R114" s="174"/>
      <c r="S114" s="174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74"/>
      <c r="R115" s="174"/>
      <c r="S115" s="174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63"/>
      <c r="R116" s="164"/>
      <c r="S116" s="16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166"/>
      <c r="R117" s="167"/>
      <c r="S117" s="168"/>
    </row>
    <row r="118" spans="1:19" ht="17.25" thickBot="1">
      <c r="A118" s="26" t="s">
        <v>301</v>
      </c>
      <c r="B118" s="172">
        <f>$B$37</f>
        <v>300000</v>
      </c>
      <c r="C118" s="17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1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67285000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-3.8730784599999998E-2</v>
      </c>
      <c r="N122" s="192"/>
      <c r="O122" s="193"/>
      <c r="Q122" s="184"/>
      <c r="R122" s="184"/>
      <c r="S122" s="184"/>
    </row>
    <row r="123" spans="1:19" ht="17.25" thickBot="1">
      <c r="A123" s="194" t="s">
        <v>55</v>
      </c>
      <c r="B123" s="196" t="str">
        <f>TEXT($G$1, "[$-ko-KR]yyyy-mm-dd(ddd) ") &amp; "오전 00:00"</f>
        <v>2021-05-01(토) 오전 00:00</v>
      </c>
      <c r="C123" s="197"/>
      <c r="D123" s="198" t="str">
        <f>TEXT($G$1, "[$-ko-KR]yyyy-mm-dd(ddd) ") &amp; "오후 14:00"</f>
        <v>2021-05-01(토) 오후 14:00</v>
      </c>
      <c r="E123" s="199"/>
      <c r="F123" s="200"/>
      <c r="G123" s="198" t="str">
        <f>TEXT($G$1, "[$-ko-KR]yyyy-mm-dd(ddd) ") &amp; "오후 19:00"</f>
        <v>2021-05-01(토) 오후 19:00</v>
      </c>
      <c r="H123" s="199"/>
      <c r="I123" s="200"/>
      <c r="J123" s="198" t="str">
        <f>TEXT($G$1, "[$-ko-KR]yyyy-mm-dd(ddd) ") &amp; "오후 21:00"</f>
        <v>2021-05-01(토) 오후 21:00</v>
      </c>
      <c r="K123" s="199"/>
      <c r="L123" s="200"/>
      <c r="M123" s="198" t="str">
        <f>TEXT($G$1+1, "[$-ko-KR]yyyy-mm-dd(ddd) ") &amp; "오전 00:00"</f>
        <v>2021-05-02(일) 오전 00:00</v>
      </c>
      <c r="N123" s="199"/>
      <c r="O123" s="200"/>
      <c r="Q123" s="184"/>
      <c r="R123" s="184"/>
      <c r="S123" s="184"/>
    </row>
    <row r="124" spans="1:19" ht="17.25" thickBot="1">
      <c r="A124" s="19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84"/>
      <c r="R125" s="184"/>
      <c r="S125" s="18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84"/>
      <c r="R126" s="184"/>
      <c r="S126" s="18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74"/>
      <c r="R127" s="174"/>
      <c r="S127" s="174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74"/>
      <c r="R128" s="174"/>
      <c r="S128" s="174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74"/>
      <c r="R129" s="174"/>
      <c r="S129" s="174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74"/>
      <c r="R130" s="174"/>
      <c r="S130" s="174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74"/>
      <c r="R131" s="174"/>
      <c r="S131" s="174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74"/>
      <c r="R132" s="174"/>
      <c r="S132" s="174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75"/>
      <c r="R134" s="176"/>
      <c r="S134" s="177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78"/>
      <c r="R135" s="179"/>
      <c r="S135" s="180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81"/>
      <c r="R136" s="182"/>
      <c r="S136" s="183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74"/>
      <c r="R137" s="174"/>
      <c r="S137" s="174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84"/>
      <c r="R138" s="184"/>
      <c r="S138" s="18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84"/>
      <c r="R139" s="184"/>
      <c r="S139" s="184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74"/>
      <c r="R140" s="174"/>
      <c r="S140" s="174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74"/>
      <c r="R141" s="174"/>
      <c r="S141" s="174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74"/>
      <c r="R142" s="174"/>
      <c r="S142" s="174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63"/>
      <c r="R143" s="164"/>
      <c r="S143" s="16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26" t="s">
        <v>301</v>
      </c>
      <c r="B145" s="172">
        <f>$B$37</f>
        <v>300000</v>
      </c>
      <c r="C145" s="17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1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67285000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-3.8730784599999998E-2</v>
      </c>
      <c r="N149" s="192"/>
      <c r="O149" s="193"/>
      <c r="Q149" s="184"/>
      <c r="R149" s="184"/>
      <c r="S149" s="184"/>
    </row>
    <row r="150" spans="1:19" ht="17.25" thickBot="1">
      <c r="A150" s="194" t="s">
        <v>55</v>
      </c>
      <c r="B150" s="196" t="str">
        <f>TEXT($G$1, "[$-ko-KR]yyyy-mm-dd(ddd) ") &amp; "오전 00:00"</f>
        <v>2021-05-01(토) 오전 00:00</v>
      </c>
      <c r="C150" s="197"/>
      <c r="D150" s="198" t="str">
        <f>TEXT($G$1, "[$-ko-KR]yyyy-mm-dd(ddd) ") &amp; "오후 14:00"</f>
        <v>2021-05-01(토) 오후 14:00</v>
      </c>
      <c r="E150" s="199"/>
      <c r="F150" s="200"/>
      <c r="G150" s="198" t="str">
        <f>TEXT($G$1, "[$-ko-KR]yyyy-mm-dd(ddd) ") &amp; "오후 19:00"</f>
        <v>2021-05-01(토) 오후 19:00</v>
      </c>
      <c r="H150" s="199"/>
      <c r="I150" s="200"/>
      <c r="J150" s="198" t="str">
        <f>TEXT($G$1, "[$-ko-KR]yyyy-mm-dd(ddd) ") &amp; "오후 21:00"</f>
        <v>2021-05-01(토) 오후 21:00</v>
      </c>
      <c r="K150" s="199"/>
      <c r="L150" s="200"/>
      <c r="M150" s="198" t="str">
        <f>TEXT($G$1+1, "[$-ko-KR]yyyy-mm-dd(ddd) ") &amp; "오전 00:00"</f>
        <v>2021-05-02(일) 오전 00:00</v>
      </c>
      <c r="N150" s="199"/>
      <c r="O150" s="200"/>
      <c r="Q150" s="184"/>
      <c r="R150" s="184"/>
      <c r="S150" s="184"/>
    </row>
    <row r="151" spans="1:19" ht="17.25" thickBot="1">
      <c r="A151" s="19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84"/>
      <c r="R152" s="184"/>
      <c r="S152" s="18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84"/>
      <c r="R153" s="184"/>
      <c r="S153" s="18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74"/>
      <c r="R154" s="174"/>
      <c r="S154" s="174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74"/>
      <c r="R155" s="174"/>
      <c r="S155" s="174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74"/>
      <c r="R156" s="174"/>
      <c r="S156" s="174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74"/>
      <c r="R157" s="174"/>
      <c r="S157" s="174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74"/>
      <c r="R158" s="174"/>
      <c r="S158" s="174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74"/>
      <c r="R159" s="174"/>
      <c r="S159" s="174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75"/>
      <c r="R161" s="176"/>
      <c r="S161" s="177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78"/>
      <c r="R162" s="179"/>
      <c r="S162" s="180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81"/>
      <c r="R163" s="182"/>
      <c r="S163" s="183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74"/>
      <c r="R164" s="174"/>
      <c r="S164" s="174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84"/>
      <c r="R165" s="184"/>
      <c r="S165" s="18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84"/>
      <c r="R166" s="184"/>
      <c r="S166" s="184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74"/>
      <c r="R167" s="174"/>
      <c r="S167" s="174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74"/>
      <c r="R168" s="174"/>
      <c r="S168" s="174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74"/>
      <c r="R169" s="174"/>
      <c r="S169" s="174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63"/>
      <c r="R170" s="164"/>
      <c r="S170" s="16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166"/>
      <c r="R171" s="167"/>
      <c r="S171" s="168"/>
    </row>
    <row r="172" spans="1:19" ht="17.25" thickBot="1">
      <c r="A172" s="26" t="s">
        <v>301</v>
      </c>
      <c r="B172" s="172">
        <f>$B$37</f>
        <v>300000</v>
      </c>
      <c r="C172" s="17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1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67285000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-3.8730784599999998E-2</v>
      </c>
      <c r="N176" s="192"/>
      <c r="O176" s="193"/>
      <c r="Q176" s="184"/>
      <c r="R176" s="184"/>
      <c r="S176" s="184"/>
    </row>
    <row r="177" spans="1:19" ht="17.25" thickBot="1">
      <c r="A177" s="194" t="s">
        <v>55</v>
      </c>
      <c r="B177" s="196" t="str">
        <f>TEXT($G$1, "[$-ko-KR]yyyy-mm-dd(ddd) ") &amp; "오전 00:00"</f>
        <v>2021-05-01(토) 오전 00:00</v>
      </c>
      <c r="C177" s="197"/>
      <c r="D177" s="198" t="str">
        <f>TEXT($G$1, "[$-ko-KR]yyyy-mm-dd(ddd) ") &amp; "오후 14:00"</f>
        <v>2021-05-01(토) 오후 14:00</v>
      </c>
      <c r="E177" s="199"/>
      <c r="F177" s="200"/>
      <c r="G177" s="198" t="str">
        <f>TEXT($G$1, "[$-ko-KR]yyyy-mm-dd(ddd) ") &amp; "오후 19:00"</f>
        <v>2021-05-01(토) 오후 19:00</v>
      </c>
      <c r="H177" s="199"/>
      <c r="I177" s="200"/>
      <c r="J177" s="198" t="str">
        <f>TEXT($G$1, "[$-ko-KR]yyyy-mm-dd(ddd) ") &amp; "오후 21:00"</f>
        <v>2021-05-01(토) 오후 21:00</v>
      </c>
      <c r="K177" s="199"/>
      <c r="L177" s="200"/>
      <c r="M177" s="198" t="str">
        <f>TEXT($G$1+1, "[$-ko-KR]yyyy-mm-dd(ddd) ") &amp; "오전 00:00"</f>
        <v>2021-05-02(일) 오전 00:00</v>
      </c>
      <c r="N177" s="199"/>
      <c r="O177" s="200"/>
      <c r="Q177" s="184"/>
      <c r="R177" s="184"/>
      <c r="S177" s="184"/>
    </row>
    <row r="178" spans="1:19" ht="17.25" thickBot="1">
      <c r="A178" s="19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84"/>
      <c r="R179" s="184"/>
      <c r="S179" s="18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84"/>
      <c r="R180" s="184"/>
      <c r="S180" s="18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74"/>
      <c r="R181" s="174"/>
      <c r="S181" s="174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74"/>
      <c r="R182" s="174"/>
      <c r="S182" s="174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74"/>
      <c r="R183" s="174"/>
      <c r="S183" s="174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74"/>
      <c r="R184" s="174"/>
      <c r="S184" s="174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74"/>
      <c r="R185" s="174"/>
      <c r="S185" s="174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74"/>
      <c r="R186" s="174"/>
      <c r="S186" s="174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75"/>
      <c r="R188" s="176"/>
      <c r="S188" s="177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78"/>
      <c r="R189" s="179"/>
      <c r="S189" s="180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81"/>
      <c r="R190" s="182"/>
      <c r="S190" s="183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74"/>
      <c r="R191" s="174"/>
      <c r="S191" s="174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84"/>
      <c r="R192" s="184"/>
      <c r="S192" s="18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84"/>
      <c r="R193" s="184"/>
      <c r="S193" s="184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74"/>
      <c r="R194" s="174"/>
      <c r="S194" s="174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74"/>
      <c r="R195" s="174"/>
      <c r="S195" s="174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74"/>
      <c r="R196" s="174"/>
      <c r="S196" s="174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63"/>
      <c r="R197" s="164"/>
      <c r="S197" s="16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166"/>
      <c r="R198" s="167"/>
      <c r="S198" s="168"/>
    </row>
    <row r="199" spans="1:19" ht="17.25" thickBot="1">
      <c r="A199" s="26" t="s">
        <v>301</v>
      </c>
      <c r="B199" s="172">
        <f>$B$37</f>
        <v>300000</v>
      </c>
      <c r="C199" s="17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69"/>
      <c r="R199" s="170"/>
      <c r="S199" s="1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0" zoomScaleNormal="100" workbookViewId="0">
      <selection activeCell="A103" sqref="A103:XFD10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44318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4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4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4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4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4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4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67285000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-3.8730784599999998E-2</v>
      </c>
      <c r="N14" s="192"/>
      <c r="O14" s="193"/>
      <c r="Q14" s="184"/>
      <c r="R14" s="184"/>
      <c r="S14" s="184"/>
    </row>
    <row r="15" spans="1:19" ht="17.25" customHeight="1" thickBot="1">
      <c r="A15" s="209" t="s">
        <v>39</v>
      </c>
      <c r="B15" s="201" t="str">
        <f>TEXT($G$1, "[$-ko-KR]yyyy-mm-dd(ddd) ") &amp; "오전 00:00"</f>
        <v>2021-05-02(일) 오전 00:00</v>
      </c>
      <c r="C15" s="202"/>
      <c r="D15" s="198" t="str">
        <f>TEXT($G$1, "[$-ko-KR]yyyy-mm-dd(ddd) ") &amp; "오후 14:00"</f>
        <v>2021-05-02(일) 오후 14:00</v>
      </c>
      <c r="E15" s="199"/>
      <c r="F15" s="200"/>
      <c r="G15" s="198" t="str">
        <f>TEXT($G$1, "[$-ko-KR]yyyy-mm-dd(ddd) ") &amp; "오후 19:00"</f>
        <v>2021-05-02(일) 오후 19:00</v>
      </c>
      <c r="H15" s="199"/>
      <c r="I15" s="200"/>
      <c r="J15" s="198" t="str">
        <f>TEXT($G$1, "[$-ko-KR]yyyy-mm-dd(ddd) ") &amp; "오후 21:00"</f>
        <v>2021-05-02(일) 오후 21:00</v>
      </c>
      <c r="K15" s="199"/>
      <c r="L15" s="200"/>
      <c r="M15" s="198" t="str">
        <f>TEXT($G$1+1, "[$-ko-KR]yyyy-mm-dd(ddd) ") &amp; "오전 00:00"</f>
        <v>2021-05-03(월) 오전 00:00</v>
      </c>
      <c r="N15" s="199"/>
      <c r="O15" s="200"/>
      <c r="Q15" s="184"/>
      <c r="R15" s="184"/>
      <c r="S15" s="184"/>
    </row>
    <row r="16" spans="1:19" ht="17.25" customHeight="1" thickBot="1">
      <c r="A16" s="20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84"/>
      <c r="R17" s="184"/>
      <c r="S17" s="18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84"/>
      <c r="R18" s="184"/>
      <c r="S18" s="18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74"/>
      <c r="R19" s="174"/>
      <c r="S19" s="174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74"/>
      <c r="R20" s="174"/>
      <c r="S20" s="174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74"/>
      <c r="R21" s="174"/>
      <c r="S21" s="17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26" t="s">
        <v>42</v>
      </c>
      <c r="B37" s="172">
        <v>300000</v>
      </c>
      <c r="C37" s="17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1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67285000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-3.8730784599999998E-2</v>
      </c>
      <c r="N41" s="192"/>
      <c r="O41" s="193"/>
      <c r="Q41" s="184"/>
      <c r="R41" s="184"/>
      <c r="S41" s="184"/>
    </row>
    <row r="42" spans="1:19" ht="17.25" customHeight="1" thickBot="1">
      <c r="A42" s="194" t="s">
        <v>55</v>
      </c>
      <c r="B42" s="196" t="str">
        <f>TEXT($G$1, "[$-ko-KR]yyyy-mm-dd(ddd) ") &amp; "오전 00:00"</f>
        <v>2021-05-02(일) 오전 00:00</v>
      </c>
      <c r="C42" s="197"/>
      <c r="D42" s="198" t="str">
        <f>TEXT($G$1, "[$-ko-KR]yyyy-mm-dd(ddd) ") &amp; "오후 14:00"</f>
        <v>2021-05-02(일) 오후 14:00</v>
      </c>
      <c r="E42" s="199"/>
      <c r="F42" s="200"/>
      <c r="G42" s="198" t="str">
        <f>TEXT($G$1, "[$-ko-KR]yyyy-mm-dd(ddd) ") &amp; "오후 19:00"</f>
        <v>2021-05-02(일) 오후 19:00</v>
      </c>
      <c r="H42" s="199"/>
      <c r="I42" s="200"/>
      <c r="J42" s="198" t="str">
        <f>TEXT($G$1, "[$-ko-KR]yyyy-mm-dd(ddd) ") &amp; "오후 21:00"</f>
        <v>2021-05-02(일) 오후 21:00</v>
      </c>
      <c r="K42" s="199"/>
      <c r="L42" s="200"/>
      <c r="M42" s="198" t="str">
        <f>TEXT($G$1+1, "[$-ko-KR]yyyy-mm-dd(ddd) ") &amp; "오전 00:00"</f>
        <v>2021-05-03(월) 오전 00:00</v>
      </c>
      <c r="N42" s="199"/>
      <c r="O42" s="200"/>
      <c r="Q42" s="184"/>
      <c r="R42" s="184"/>
      <c r="S42" s="184"/>
    </row>
    <row r="43" spans="1:19" ht="17.25" customHeight="1" thickBot="1">
      <c r="A43" s="19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84"/>
      <c r="R44" s="184"/>
      <c r="S44" s="18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84"/>
      <c r="R45" s="184"/>
      <c r="S45" s="18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74"/>
      <c r="R46" s="174"/>
      <c r="S46" s="174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74"/>
      <c r="R47" s="174"/>
      <c r="S47" s="174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74"/>
      <c r="R48" s="174"/>
      <c r="S48" s="174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74"/>
      <c r="R49" s="174"/>
      <c r="S49" s="174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74"/>
      <c r="R50" s="174"/>
      <c r="S50" s="174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74"/>
      <c r="R51" s="174"/>
      <c r="S51" s="174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75"/>
      <c r="R53" s="176"/>
      <c r="S53" s="177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78"/>
      <c r="R54" s="179"/>
      <c r="S54" s="180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81"/>
      <c r="R55" s="182"/>
      <c r="S55" s="183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74"/>
      <c r="R56" s="174"/>
      <c r="S56" s="174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84"/>
      <c r="R57" s="184"/>
      <c r="S57" s="18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84"/>
      <c r="R58" s="184"/>
      <c r="S58" s="184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74"/>
      <c r="R59" s="174"/>
      <c r="S59" s="174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74"/>
      <c r="R60" s="174"/>
      <c r="S60" s="174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74"/>
      <c r="R61" s="174"/>
      <c r="S61" s="174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63"/>
      <c r="R62" s="164"/>
      <c r="S62" s="16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26" t="s">
        <v>301</v>
      </c>
      <c r="B64" s="172">
        <f>$B$37</f>
        <v>300000</v>
      </c>
      <c r="C64" s="17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1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67285000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-3.8730784599999998E-2</v>
      </c>
      <c r="N68" s="192"/>
      <c r="O68" s="193"/>
      <c r="Q68" s="184"/>
      <c r="R68" s="184"/>
      <c r="S68" s="184"/>
    </row>
    <row r="69" spans="1:19" ht="17.25" thickBot="1">
      <c r="A69" s="194" t="s">
        <v>55</v>
      </c>
      <c r="B69" s="196" t="str">
        <f>TEXT($G$1, "[$-ko-KR]yyyy-mm-dd(ddd) ") &amp; "오전 00:00"</f>
        <v>2021-05-02(일) 오전 00:00</v>
      </c>
      <c r="C69" s="197"/>
      <c r="D69" s="198" t="str">
        <f>TEXT($G$1, "[$-ko-KR]yyyy-mm-dd(ddd) ") &amp; "오후 14:00"</f>
        <v>2021-05-02(일) 오후 14:00</v>
      </c>
      <c r="E69" s="199"/>
      <c r="F69" s="200"/>
      <c r="G69" s="198" t="str">
        <f>TEXT($G$1, "[$-ko-KR]yyyy-mm-dd(ddd) ") &amp; "오후 19:00"</f>
        <v>2021-05-02(일) 오후 19:00</v>
      </c>
      <c r="H69" s="199"/>
      <c r="I69" s="200"/>
      <c r="J69" s="198" t="str">
        <f>TEXT($G$1, "[$-ko-KR]yyyy-mm-dd(ddd) ") &amp; "오후 21:00"</f>
        <v>2021-05-02(일) 오후 21:00</v>
      </c>
      <c r="K69" s="199"/>
      <c r="L69" s="200"/>
      <c r="M69" s="198" t="str">
        <f>TEXT($G$1+1, "[$-ko-KR]yyyy-mm-dd(ddd) ") &amp; "오전 00:00"</f>
        <v>2021-05-03(월) 오전 00:00</v>
      </c>
      <c r="N69" s="199"/>
      <c r="O69" s="200"/>
      <c r="Q69" s="184"/>
      <c r="R69" s="184"/>
      <c r="S69" s="184"/>
    </row>
    <row r="70" spans="1:19" ht="17.25" thickBot="1">
      <c r="A70" s="19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84"/>
      <c r="R71" s="184"/>
      <c r="S71" s="18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84"/>
      <c r="R72" s="184"/>
      <c r="S72" s="18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74"/>
      <c r="R73" s="174"/>
      <c r="S73" s="174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74"/>
      <c r="R74" s="174"/>
      <c r="S74" s="174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74"/>
      <c r="R75" s="174"/>
      <c r="S75" s="174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74"/>
      <c r="R76" s="174"/>
      <c r="S76" s="174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74"/>
      <c r="R77" s="174"/>
      <c r="S77" s="174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74"/>
      <c r="R78" s="174"/>
      <c r="S78" s="174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75"/>
      <c r="R80" s="176"/>
      <c r="S80" s="177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78"/>
      <c r="R81" s="179"/>
      <c r="S81" s="180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81"/>
      <c r="R82" s="182"/>
      <c r="S82" s="183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74"/>
      <c r="R83" s="174"/>
      <c r="S83" s="174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84"/>
      <c r="R84" s="184"/>
      <c r="S84" s="18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84"/>
      <c r="R85" s="184"/>
      <c r="S85" s="184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74"/>
      <c r="R86" s="174"/>
      <c r="S86" s="174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74"/>
      <c r="R87" s="174"/>
      <c r="S87" s="174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74"/>
      <c r="R88" s="174"/>
      <c r="S88" s="174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63"/>
      <c r="R89" s="164"/>
      <c r="S89" s="16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166"/>
      <c r="R90" s="167"/>
      <c r="S90" s="168"/>
    </row>
    <row r="91" spans="1:19" ht="17.25" thickBot="1">
      <c r="A91" s="26" t="s">
        <v>301</v>
      </c>
      <c r="B91" s="172">
        <f>$B$37</f>
        <v>300000</v>
      </c>
      <c r="C91" s="17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1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67285000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-3.8730784599999998E-2</v>
      </c>
      <c r="N95" s="192"/>
      <c r="O95" s="193"/>
      <c r="Q95" s="184"/>
      <c r="R95" s="184"/>
      <c r="S95" s="184"/>
    </row>
    <row r="96" spans="1:19" ht="17.25" thickBot="1">
      <c r="A96" s="194" t="s">
        <v>55</v>
      </c>
      <c r="B96" s="196" t="str">
        <f>TEXT($G$1, "[$-ko-KR]yyyy-mm-dd(ddd) ") &amp; "오전 00:00"</f>
        <v>2021-05-02(일) 오전 00:00</v>
      </c>
      <c r="C96" s="197"/>
      <c r="D96" s="198" t="str">
        <f>TEXT($G$1, "[$-ko-KR]yyyy-mm-dd(ddd) ") &amp; "오후 14:00"</f>
        <v>2021-05-02(일) 오후 14:00</v>
      </c>
      <c r="E96" s="199"/>
      <c r="F96" s="200"/>
      <c r="G96" s="198" t="str">
        <f>TEXT($G$1, "[$-ko-KR]yyyy-mm-dd(ddd) ") &amp; "오후 19:00"</f>
        <v>2021-05-02(일) 오후 19:00</v>
      </c>
      <c r="H96" s="199"/>
      <c r="I96" s="200"/>
      <c r="J96" s="198" t="str">
        <f>TEXT($G$1, "[$-ko-KR]yyyy-mm-dd(ddd) ") &amp; "오후 21:00"</f>
        <v>2021-05-02(일) 오후 21:00</v>
      </c>
      <c r="K96" s="199"/>
      <c r="L96" s="200"/>
      <c r="M96" s="198" t="str">
        <f>TEXT($G$1+1, "[$-ko-KR]yyyy-mm-dd(ddd) ") &amp; "오전 00:00"</f>
        <v>2021-05-03(월) 오전 00:00</v>
      </c>
      <c r="N96" s="199"/>
      <c r="O96" s="200"/>
      <c r="Q96" s="184"/>
      <c r="R96" s="184"/>
      <c r="S96" s="184"/>
    </row>
    <row r="97" spans="1:19" ht="17.25" thickBot="1">
      <c r="A97" s="19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84"/>
      <c r="R98" s="184"/>
      <c r="S98" s="18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84"/>
      <c r="R99" s="184"/>
      <c r="S99" s="18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74"/>
      <c r="R100" s="174"/>
      <c r="S100" s="174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74"/>
      <c r="R101" s="174"/>
      <c r="S101" s="174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74"/>
      <c r="R102" s="174"/>
      <c r="S102" s="174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74"/>
      <c r="R103" s="174"/>
      <c r="S103" s="174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74"/>
      <c r="R104" s="174"/>
      <c r="S104" s="174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74"/>
      <c r="R105" s="174"/>
      <c r="S105" s="174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75"/>
      <c r="R107" s="176"/>
      <c r="S107" s="177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78"/>
      <c r="R108" s="179"/>
      <c r="S108" s="180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81"/>
      <c r="R109" s="182"/>
      <c r="S109" s="183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74"/>
      <c r="R110" s="174"/>
      <c r="S110" s="174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84"/>
      <c r="R111" s="184"/>
      <c r="S111" s="18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84"/>
      <c r="R112" s="184"/>
      <c r="S112" s="184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74"/>
      <c r="R113" s="174"/>
      <c r="S113" s="174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74"/>
      <c r="R114" s="174"/>
      <c r="S114" s="174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74"/>
      <c r="R115" s="174"/>
      <c r="S115" s="174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63"/>
      <c r="R116" s="164"/>
      <c r="S116" s="16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166"/>
      <c r="R117" s="167"/>
      <c r="S117" s="168"/>
    </row>
    <row r="118" spans="1:19" ht="17.25" thickBot="1">
      <c r="A118" s="26" t="s">
        <v>301</v>
      </c>
      <c r="B118" s="172">
        <f>$B$37</f>
        <v>300000</v>
      </c>
      <c r="C118" s="17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1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67285000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-3.8730784599999998E-2</v>
      </c>
      <c r="N122" s="192"/>
      <c r="O122" s="193"/>
      <c r="Q122" s="184"/>
      <c r="R122" s="184"/>
      <c r="S122" s="184"/>
    </row>
    <row r="123" spans="1:19" ht="17.25" thickBot="1">
      <c r="A123" s="194" t="s">
        <v>55</v>
      </c>
      <c r="B123" s="196" t="str">
        <f>TEXT($G$1, "[$-ko-KR]yyyy-mm-dd(ddd) ") &amp; "오전 00:00"</f>
        <v>2021-05-02(일) 오전 00:00</v>
      </c>
      <c r="C123" s="197"/>
      <c r="D123" s="198" t="str">
        <f>TEXT($G$1, "[$-ko-KR]yyyy-mm-dd(ddd) ") &amp; "오후 14:00"</f>
        <v>2021-05-02(일) 오후 14:00</v>
      </c>
      <c r="E123" s="199"/>
      <c r="F123" s="200"/>
      <c r="G123" s="198" t="str">
        <f>TEXT($G$1, "[$-ko-KR]yyyy-mm-dd(ddd) ") &amp; "오후 19:00"</f>
        <v>2021-05-02(일) 오후 19:00</v>
      </c>
      <c r="H123" s="199"/>
      <c r="I123" s="200"/>
      <c r="J123" s="198" t="str">
        <f>TEXT($G$1, "[$-ko-KR]yyyy-mm-dd(ddd) ") &amp; "오후 21:00"</f>
        <v>2021-05-02(일) 오후 21:00</v>
      </c>
      <c r="K123" s="199"/>
      <c r="L123" s="200"/>
      <c r="M123" s="198" t="str">
        <f>TEXT($G$1+1, "[$-ko-KR]yyyy-mm-dd(ddd) ") &amp; "오전 00:00"</f>
        <v>2021-05-03(월) 오전 00:00</v>
      </c>
      <c r="N123" s="199"/>
      <c r="O123" s="200"/>
      <c r="Q123" s="184"/>
      <c r="R123" s="184"/>
      <c r="S123" s="184"/>
    </row>
    <row r="124" spans="1:19" ht="17.25" thickBot="1">
      <c r="A124" s="19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84"/>
      <c r="R125" s="184"/>
      <c r="S125" s="18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84"/>
      <c r="R126" s="184"/>
      <c r="S126" s="18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74"/>
      <c r="R127" s="174"/>
      <c r="S127" s="174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74"/>
      <c r="R128" s="174"/>
      <c r="S128" s="174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74"/>
      <c r="R129" s="174"/>
      <c r="S129" s="174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74"/>
      <c r="R130" s="174"/>
      <c r="S130" s="174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74"/>
      <c r="R131" s="174"/>
      <c r="S131" s="174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74"/>
      <c r="R132" s="174"/>
      <c r="S132" s="174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75"/>
      <c r="R134" s="176"/>
      <c r="S134" s="177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78"/>
      <c r="R135" s="179"/>
      <c r="S135" s="180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81"/>
      <c r="R136" s="182"/>
      <c r="S136" s="183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74"/>
      <c r="R137" s="174"/>
      <c r="S137" s="174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84"/>
      <c r="R138" s="184"/>
      <c r="S138" s="18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84"/>
      <c r="R139" s="184"/>
      <c r="S139" s="184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74"/>
      <c r="R140" s="174"/>
      <c r="S140" s="174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74"/>
      <c r="R141" s="174"/>
      <c r="S141" s="174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74"/>
      <c r="R142" s="174"/>
      <c r="S142" s="174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63"/>
      <c r="R143" s="164"/>
      <c r="S143" s="16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26" t="s">
        <v>301</v>
      </c>
      <c r="B145" s="172">
        <f>$B$37</f>
        <v>300000</v>
      </c>
      <c r="C145" s="17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1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67285000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-3.8730784599999998E-2</v>
      </c>
      <c r="N149" s="192"/>
      <c r="O149" s="193"/>
      <c r="Q149" s="184"/>
      <c r="R149" s="184"/>
      <c r="S149" s="184"/>
    </row>
    <row r="150" spans="1:19" ht="17.25" thickBot="1">
      <c r="A150" s="194" t="s">
        <v>55</v>
      </c>
      <c r="B150" s="196" t="str">
        <f>TEXT($G$1, "[$-ko-KR]yyyy-mm-dd(ddd) ") &amp; "오전 00:00"</f>
        <v>2021-05-02(일) 오전 00:00</v>
      </c>
      <c r="C150" s="197"/>
      <c r="D150" s="198" t="str">
        <f>TEXT($G$1, "[$-ko-KR]yyyy-mm-dd(ddd) ") &amp; "오후 14:00"</f>
        <v>2021-05-02(일) 오후 14:00</v>
      </c>
      <c r="E150" s="199"/>
      <c r="F150" s="200"/>
      <c r="G150" s="198" t="str">
        <f>TEXT($G$1, "[$-ko-KR]yyyy-mm-dd(ddd) ") &amp; "오후 19:00"</f>
        <v>2021-05-02(일) 오후 19:00</v>
      </c>
      <c r="H150" s="199"/>
      <c r="I150" s="200"/>
      <c r="J150" s="198" t="str">
        <f>TEXT($G$1, "[$-ko-KR]yyyy-mm-dd(ddd) ") &amp; "오후 21:00"</f>
        <v>2021-05-02(일) 오후 21:00</v>
      </c>
      <c r="K150" s="199"/>
      <c r="L150" s="200"/>
      <c r="M150" s="198" t="str">
        <f>TEXT($G$1+1, "[$-ko-KR]yyyy-mm-dd(ddd) ") &amp; "오전 00:00"</f>
        <v>2021-05-03(월) 오전 00:00</v>
      </c>
      <c r="N150" s="199"/>
      <c r="O150" s="200"/>
      <c r="Q150" s="184"/>
      <c r="R150" s="184"/>
      <c r="S150" s="184"/>
    </row>
    <row r="151" spans="1:19" ht="17.25" thickBot="1">
      <c r="A151" s="19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84"/>
      <c r="R152" s="184"/>
      <c r="S152" s="18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84"/>
      <c r="R153" s="184"/>
      <c r="S153" s="18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74"/>
      <c r="R154" s="174"/>
      <c r="S154" s="174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74"/>
      <c r="R155" s="174"/>
      <c r="S155" s="174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74"/>
      <c r="R156" s="174"/>
      <c r="S156" s="174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74"/>
      <c r="R157" s="174"/>
      <c r="S157" s="174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74"/>
      <c r="R158" s="174"/>
      <c r="S158" s="174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74"/>
      <c r="R159" s="174"/>
      <c r="S159" s="174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75"/>
      <c r="R161" s="176"/>
      <c r="S161" s="177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78"/>
      <c r="R162" s="179"/>
      <c r="S162" s="180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81"/>
      <c r="R163" s="182"/>
      <c r="S163" s="183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74"/>
      <c r="R164" s="174"/>
      <c r="S164" s="174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84"/>
      <c r="R165" s="184"/>
      <c r="S165" s="18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84"/>
      <c r="R166" s="184"/>
      <c r="S166" s="184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74"/>
      <c r="R167" s="174"/>
      <c r="S167" s="174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74"/>
      <c r="R168" s="174"/>
      <c r="S168" s="174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74"/>
      <c r="R169" s="174"/>
      <c r="S169" s="174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63"/>
      <c r="R170" s="164"/>
      <c r="S170" s="16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166"/>
      <c r="R171" s="167"/>
      <c r="S171" s="168"/>
    </row>
    <row r="172" spans="1:19" ht="17.25" thickBot="1">
      <c r="A172" s="26" t="s">
        <v>301</v>
      </c>
      <c r="B172" s="172">
        <f>$B$37</f>
        <v>300000</v>
      </c>
      <c r="C172" s="17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1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67285000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-3.8730784599999998E-2</v>
      </c>
      <c r="N176" s="192"/>
      <c r="O176" s="193"/>
      <c r="Q176" s="184"/>
      <c r="R176" s="184"/>
      <c r="S176" s="184"/>
    </row>
    <row r="177" spans="1:19" ht="17.25" thickBot="1">
      <c r="A177" s="194" t="s">
        <v>55</v>
      </c>
      <c r="B177" s="196" t="str">
        <f>TEXT($G$1, "[$-ko-KR]yyyy-mm-dd(ddd) ") &amp; "오전 00:00"</f>
        <v>2021-05-02(일) 오전 00:00</v>
      </c>
      <c r="C177" s="197"/>
      <c r="D177" s="198" t="str">
        <f>TEXT($G$1, "[$-ko-KR]yyyy-mm-dd(ddd) ") &amp; "오후 14:00"</f>
        <v>2021-05-02(일) 오후 14:00</v>
      </c>
      <c r="E177" s="199"/>
      <c r="F177" s="200"/>
      <c r="G177" s="198" t="str">
        <f>TEXT($G$1, "[$-ko-KR]yyyy-mm-dd(ddd) ") &amp; "오후 19:00"</f>
        <v>2021-05-02(일) 오후 19:00</v>
      </c>
      <c r="H177" s="199"/>
      <c r="I177" s="200"/>
      <c r="J177" s="198" t="str">
        <f>TEXT($G$1, "[$-ko-KR]yyyy-mm-dd(ddd) ") &amp; "오후 21:00"</f>
        <v>2021-05-02(일) 오후 21:00</v>
      </c>
      <c r="K177" s="199"/>
      <c r="L177" s="200"/>
      <c r="M177" s="198" t="str">
        <f>TEXT($G$1+1, "[$-ko-KR]yyyy-mm-dd(ddd) ") &amp; "오전 00:00"</f>
        <v>2021-05-03(월) 오전 00:00</v>
      </c>
      <c r="N177" s="199"/>
      <c r="O177" s="200"/>
      <c r="Q177" s="184"/>
      <c r="R177" s="184"/>
      <c r="S177" s="184"/>
    </row>
    <row r="178" spans="1:19" ht="17.25" thickBot="1">
      <c r="A178" s="19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84"/>
      <c r="R179" s="184"/>
      <c r="S179" s="18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84"/>
      <c r="R180" s="184"/>
      <c r="S180" s="18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74"/>
      <c r="R181" s="174"/>
      <c r="S181" s="174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74"/>
      <c r="R182" s="174"/>
      <c r="S182" s="174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74"/>
      <c r="R183" s="174"/>
      <c r="S183" s="174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74"/>
      <c r="R184" s="174"/>
      <c r="S184" s="174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74"/>
      <c r="R185" s="174"/>
      <c r="S185" s="174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74"/>
      <c r="R186" s="174"/>
      <c r="S186" s="174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75"/>
      <c r="R188" s="176"/>
      <c r="S188" s="177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78"/>
      <c r="R189" s="179"/>
      <c r="S189" s="180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81"/>
      <c r="R190" s="182"/>
      <c r="S190" s="183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74"/>
      <c r="R191" s="174"/>
      <c r="S191" s="174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84"/>
      <c r="R192" s="184"/>
      <c r="S192" s="18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84"/>
      <c r="R193" s="184"/>
      <c r="S193" s="184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74"/>
      <c r="R194" s="174"/>
      <c r="S194" s="174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74"/>
      <c r="R195" s="174"/>
      <c r="S195" s="174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74"/>
      <c r="R196" s="174"/>
      <c r="S196" s="174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63"/>
      <c r="R197" s="164"/>
      <c r="S197" s="16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166"/>
      <c r="R198" s="167"/>
      <c r="S198" s="168"/>
    </row>
    <row r="199" spans="1:19" ht="17.25" thickBot="1">
      <c r="A199" s="26" t="s">
        <v>301</v>
      </c>
      <c r="B199" s="172">
        <f>$B$37</f>
        <v>300000</v>
      </c>
      <c r="C199" s="17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69"/>
      <c r="R199" s="170"/>
      <c r="S199" s="1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0" zoomScaleNormal="100" workbookViewId="0">
      <selection activeCell="A103" sqref="A103:XFD10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44319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4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4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4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4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4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4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67285000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-3.8730784599999998E-2</v>
      </c>
      <c r="N14" s="192"/>
      <c r="O14" s="193"/>
      <c r="Q14" s="184"/>
      <c r="R14" s="184"/>
      <c r="S14" s="184"/>
    </row>
    <row r="15" spans="1:19" ht="17.25" customHeight="1" thickBot="1">
      <c r="A15" s="209" t="s">
        <v>39</v>
      </c>
      <c r="B15" s="201" t="str">
        <f>TEXT($G$1, "[$-ko-KR]yyyy-mm-dd(ddd) ") &amp; "오전 00:00"</f>
        <v>2021-05-03(월) 오전 00:00</v>
      </c>
      <c r="C15" s="202"/>
      <c r="D15" s="198" t="str">
        <f>TEXT($G$1, "[$-ko-KR]yyyy-mm-dd(ddd) ") &amp; "오후 14:00"</f>
        <v>2021-05-03(월) 오후 14:00</v>
      </c>
      <c r="E15" s="199"/>
      <c r="F15" s="200"/>
      <c r="G15" s="198" t="str">
        <f>TEXT($G$1, "[$-ko-KR]yyyy-mm-dd(ddd) ") &amp; "오후 19:00"</f>
        <v>2021-05-03(월) 오후 19:00</v>
      </c>
      <c r="H15" s="199"/>
      <c r="I15" s="200"/>
      <c r="J15" s="198" t="str">
        <f>TEXT($G$1, "[$-ko-KR]yyyy-mm-dd(ddd) ") &amp; "오후 21:00"</f>
        <v>2021-05-03(월) 오후 21:00</v>
      </c>
      <c r="K15" s="199"/>
      <c r="L15" s="200"/>
      <c r="M15" s="198" t="str">
        <f>TEXT($G$1+1, "[$-ko-KR]yyyy-mm-dd(ddd) ") &amp; "오전 00:00"</f>
        <v>2021-05-04(화) 오전 00:00</v>
      </c>
      <c r="N15" s="199"/>
      <c r="O15" s="200"/>
      <c r="Q15" s="184"/>
      <c r="R15" s="184"/>
      <c r="S15" s="184"/>
    </row>
    <row r="16" spans="1:19" ht="17.25" customHeight="1" thickBot="1">
      <c r="A16" s="20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84"/>
      <c r="R17" s="184"/>
      <c r="S17" s="18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84"/>
      <c r="R18" s="184"/>
      <c r="S18" s="18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74"/>
      <c r="R19" s="174"/>
      <c r="S19" s="174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74"/>
      <c r="R20" s="174"/>
      <c r="S20" s="174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74"/>
      <c r="R21" s="174"/>
      <c r="S21" s="17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26" t="s">
        <v>42</v>
      </c>
      <c r="B37" s="172">
        <v>300000</v>
      </c>
      <c r="C37" s="17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1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67285000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-3.8730784599999998E-2</v>
      </c>
      <c r="N41" s="192"/>
      <c r="O41" s="193"/>
      <c r="Q41" s="184"/>
      <c r="R41" s="184"/>
      <c r="S41" s="184"/>
    </row>
    <row r="42" spans="1:19" ht="17.25" customHeight="1" thickBot="1">
      <c r="A42" s="194" t="s">
        <v>55</v>
      </c>
      <c r="B42" s="196" t="str">
        <f>TEXT($G$1, "[$-ko-KR]yyyy-mm-dd(ddd) ") &amp; "오전 00:00"</f>
        <v>2021-05-03(월) 오전 00:00</v>
      </c>
      <c r="C42" s="197"/>
      <c r="D42" s="198" t="str">
        <f>TEXT($G$1, "[$-ko-KR]yyyy-mm-dd(ddd) ") &amp; "오후 14:00"</f>
        <v>2021-05-03(월) 오후 14:00</v>
      </c>
      <c r="E42" s="199"/>
      <c r="F42" s="200"/>
      <c r="G42" s="198" t="str">
        <f>TEXT($G$1, "[$-ko-KR]yyyy-mm-dd(ddd) ") &amp; "오후 19:00"</f>
        <v>2021-05-03(월) 오후 19:00</v>
      </c>
      <c r="H42" s="199"/>
      <c r="I42" s="200"/>
      <c r="J42" s="198" t="str">
        <f>TEXT($G$1, "[$-ko-KR]yyyy-mm-dd(ddd) ") &amp; "오후 21:00"</f>
        <v>2021-05-03(월) 오후 21:00</v>
      </c>
      <c r="K42" s="199"/>
      <c r="L42" s="200"/>
      <c r="M42" s="198" t="str">
        <f>TEXT($G$1+1, "[$-ko-KR]yyyy-mm-dd(ddd) ") &amp; "오전 00:00"</f>
        <v>2021-05-04(화) 오전 00:00</v>
      </c>
      <c r="N42" s="199"/>
      <c r="O42" s="200"/>
      <c r="Q42" s="184"/>
      <c r="R42" s="184"/>
      <c r="S42" s="184"/>
    </row>
    <row r="43" spans="1:19" ht="17.25" customHeight="1" thickBot="1">
      <c r="A43" s="19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84"/>
      <c r="R44" s="184"/>
      <c r="S44" s="18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84"/>
      <c r="R45" s="184"/>
      <c r="S45" s="18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74"/>
      <c r="R46" s="174"/>
      <c r="S46" s="174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74"/>
      <c r="R47" s="174"/>
      <c r="S47" s="174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74"/>
      <c r="R48" s="174"/>
      <c r="S48" s="174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74"/>
      <c r="R49" s="174"/>
      <c r="S49" s="174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74"/>
      <c r="R50" s="174"/>
      <c r="S50" s="174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74"/>
      <c r="R51" s="174"/>
      <c r="S51" s="174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75"/>
      <c r="R53" s="176"/>
      <c r="S53" s="177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178"/>
      <c r="R54" s="179"/>
      <c r="S54" s="180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181"/>
      <c r="R55" s="182"/>
      <c r="S55" s="183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74"/>
      <c r="R56" s="174"/>
      <c r="S56" s="174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84"/>
      <c r="R57" s="184"/>
      <c r="S57" s="18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84"/>
      <c r="R58" s="184"/>
      <c r="S58" s="184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74"/>
      <c r="R59" s="174"/>
      <c r="S59" s="174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74"/>
      <c r="R60" s="174"/>
      <c r="S60" s="174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74"/>
      <c r="R61" s="174"/>
      <c r="S61" s="174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63"/>
      <c r="R62" s="164"/>
      <c r="S62" s="16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26" t="s">
        <v>301</v>
      </c>
      <c r="B64" s="172">
        <f>$B$37</f>
        <v>300000</v>
      </c>
      <c r="C64" s="17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1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67285000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-3.8730784599999998E-2</v>
      </c>
      <c r="N68" s="192"/>
      <c r="O68" s="193"/>
      <c r="Q68" s="184"/>
      <c r="R68" s="184"/>
      <c r="S68" s="184"/>
    </row>
    <row r="69" spans="1:19" ht="17.25" thickBot="1">
      <c r="A69" s="194" t="s">
        <v>55</v>
      </c>
      <c r="B69" s="196" t="str">
        <f>TEXT($G$1, "[$-ko-KR]yyyy-mm-dd(ddd) ") &amp; "오전 00:00"</f>
        <v>2021-05-03(월) 오전 00:00</v>
      </c>
      <c r="C69" s="197"/>
      <c r="D69" s="198" t="str">
        <f>TEXT($G$1, "[$-ko-KR]yyyy-mm-dd(ddd) ") &amp; "오후 14:00"</f>
        <v>2021-05-03(월) 오후 14:00</v>
      </c>
      <c r="E69" s="199"/>
      <c r="F69" s="200"/>
      <c r="G69" s="198" t="str">
        <f>TEXT($G$1, "[$-ko-KR]yyyy-mm-dd(ddd) ") &amp; "오후 19:00"</f>
        <v>2021-05-03(월) 오후 19:00</v>
      </c>
      <c r="H69" s="199"/>
      <c r="I69" s="200"/>
      <c r="J69" s="198" t="str">
        <f>TEXT($G$1, "[$-ko-KR]yyyy-mm-dd(ddd) ") &amp; "오후 21:00"</f>
        <v>2021-05-03(월) 오후 21:00</v>
      </c>
      <c r="K69" s="199"/>
      <c r="L69" s="200"/>
      <c r="M69" s="198" t="str">
        <f>TEXT($G$1+1, "[$-ko-KR]yyyy-mm-dd(ddd) ") &amp; "오전 00:00"</f>
        <v>2021-05-04(화) 오전 00:00</v>
      </c>
      <c r="N69" s="199"/>
      <c r="O69" s="200"/>
      <c r="Q69" s="184"/>
      <c r="R69" s="184"/>
      <c r="S69" s="184"/>
    </row>
    <row r="70" spans="1:19" ht="17.25" thickBot="1">
      <c r="A70" s="19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84"/>
      <c r="R71" s="184"/>
      <c r="S71" s="18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84"/>
      <c r="R72" s="184"/>
      <c r="S72" s="18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74"/>
      <c r="R73" s="174"/>
      <c r="S73" s="174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74"/>
      <c r="R74" s="174"/>
      <c r="S74" s="174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74"/>
      <c r="R75" s="174"/>
      <c r="S75" s="174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74"/>
      <c r="R76" s="174"/>
      <c r="S76" s="174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74"/>
      <c r="R77" s="174"/>
      <c r="S77" s="174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74"/>
      <c r="R78" s="174"/>
      <c r="S78" s="174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75"/>
      <c r="R80" s="176"/>
      <c r="S80" s="177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178"/>
      <c r="R81" s="179"/>
      <c r="S81" s="180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181"/>
      <c r="R82" s="182"/>
      <c r="S82" s="183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74"/>
      <c r="R83" s="174"/>
      <c r="S83" s="174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84"/>
      <c r="R84" s="184"/>
      <c r="S84" s="18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84"/>
      <c r="R85" s="184"/>
      <c r="S85" s="184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74"/>
      <c r="R86" s="174"/>
      <c r="S86" s="174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74"/>
      <c r="R87" s="174"/>
      <c r="S87" s="174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74"/>
      <c r="R88" s="174"/>
      <c r="S88" s="174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63"/>
      <c r="R89" s="164"/>
      <c r="S89" s="16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166"/>
      <c r="R90" s="167"/>
      <c r="S90" s="168"/>
    </row>
    <row r="91" spans="1:19" ht="17.25" thickBot="1">
      <c r="A91" s="26" t="s">
        <v>301</v>
      </c>
      <c r="B91" s="172">
        <f>$B$37</f>
        <v>300000</v>
      </c>
      <c r="C91" s="17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1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67285000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-3.8730784599999998E-2</v>
      </c>
      <c r="N95" s="192"/>
      <c r="O95" s="193"/>
      <c r="Q95" s="184"/>
      <c r="R95" s="184"/>
      <c r="S95" s="184"/>
    </row>
    <row r="96" spans="1:19" ht="17.25" thickBot="1">
      <c r="A96" s="194" t="s">
        <v>55</v>
      </c>
      <c r="B96" s="196" t="str">
        <f>TEXT($G$1, "[$-ko-KR]yyyy-mm-dd(ddd) ") &amp; "오전 00:00"</f>
        <v>2021-05-03(월) 오전 00:00</v>
      </c>
      <c r="C96" s="197"/>
      <c r="D96" s="198" t="str">
        <f>TEXT($G$1, "[$-ko-KR]yyyy-mm-dd(ddd) ") &amp; "오후 14:00"</f>
        <v>2021-05-03(월) 오후 14:00</v>
      </c>
      <c r="E96" s="199"/>
      <c r="F96" s="200"/>
      <c r="G96" s="198" t="str">
        <f>TEXT($G$1, "[$-ko-KR]yyyy-mm-dd(ddd) ") &amp; "오후 19:00"</f>
        <v>2021-05-03(월) 오후 19:00</v>
      </c>
      <c r="H96" s="199"/>
      <c r="I96" s="200"/>
      <c r="J96" s="198" t="str">
        <f>TEXT($G$1, "[$-ko-KR]yyyy-mm-dd(ddd) ") &amp; "오후 21:00"</f>
        <v>2021-05-03(월) 오후 21:00</v>
      </c>
      <c r="K96" s="199"/>
      <c r="L96" s="200"/>
      <c r="M96" s="198" t="str">
        <f>TEXT($G$1+1, "[$-ko-KR]yyyy-mm-dd(ddd) ") &amp; "오전 00:00"</f>
        <v>2021-05-04(화) 오전 00:00</v>
      </c>
      <c r="N96" s="199"/>
      <c r="O96" s="200"/>
      <c r="Q96" s="184"/>
      <c r="R96" s="184"/>
      <c r="S96" s="184"/>
    </row>
    <row r="97" spans="1:19" ht="17.25" thickBot="1">
      <c r="A97" s="19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84"/>
      <c r="R98" s="184"/>
      <c r="S98" s="18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84"/>
      <c r="R99" s="184"/>
      <c r="S99" s="18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74"/>
      <c r="R100" s="174"/>
      <c r="S100" s="174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74"/>
      <c r="R101" s="174"/>
      <c r="S101" s="174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74"/>
      <c r="R102" s="174"/>
      <c r="S102" s="174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74"/>
      <c r="R103" s="174"/>
      <c r="S103" s="174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74"/>
      <c r="R104" s="174"/>
      <c r="S104" s="174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74"/>
      <c r="R105" s="174"/>
      <c r="S105" s="174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75"/>
      <c r="R107" s="176"/>
      <c r="S107" s="177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178"/>
      <c r="R108" s="179"/>
      <c r="S108" s="180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181"/>
      <c r="R109" s="182"/>
      <c r="S109" s="183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74"/>
      <c r="R110" s="174"/>
      <c r="S110" s="174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84"/>
      <c r="R111" s="184"/>
      <c r="S111" s="18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84"/>
      <c r="R112" s="184"/>
      <c r="S112" s="184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74"/>
      <c r="R113" s="174"/>
      <c r="S113" s="174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74"/>
      <c r="R114" s="174"/>
      <c r="S114" s="174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74"/>
      <c r="R115" s="174"/>
      <c r="S115" s="174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63"/>
      <c r="R116" s="164"/>
      <c r="S116" s="16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166"/>
      <c r="R117" s="167"/>
      <c r="S117" s="168"/>
    </row>
    <row r="118" spans="1:19" ht="17.25" thickBot="1">
      <c r="A118" s="26" t="s">
        <v>301</v>
      </c>
      <c r="B118" s="172">
        <f>$B$37</f>
        <v>300000</v>
      </c>
      <c r="C118" s="17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1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67285000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-3.8730784599999998E-2</v>
      </c>
      <c r="N122" s="192"/>
      <c r="O122" s="193"/>
      <c r="Q122" s="184"/>
      <c r="R122" s="184"/>
      <c r="S122" s="184"/>
    </row>
    <row r="123" spans="1:19" ht="17.25" thickBot="1">
      <c r="A123" s="194" t="s">
        <v>55</v>
      </c>
      <c r="B123" s="196" t="str">
        <f>TEXT($G$1, "[$-ko-KR]yyyy-mm-dd(ddd) ") &amp; "오전 00:00"</f>
        <v>2021-05-03(월) 오전 00:00</v>
      </c>
      <c r="C123" s="197"/>
      <c r="D123" s="198" t="str">
        <f>TEXT($G$1, "[$-ko-KR]yyyy-mm-dd(ddd) ") &amp; "오후 14:00"</f>
        <v>2021-05-03(월) 오후 14:00</v>
      </c>
      <c r="E123" s="199"/>
      <c r="F123" s="200"/>
      <c r="G123" s="198" t="str">
        <f>TEXT($G$1, "[$-ko-KR]yyyy-mm-dd(ddd) ") &amp; "오후 19:00"</f>
        <v>2021-05-03(월) 오후 19:00</v>
      </c>
      <c r="H123" s="199"/>
      <c r="I123" s="200"/>
      <c r="J123" s="198" t="str">
        <f>TEXT($G$1, "[$-ko-KR]yyyy-mm-dd(ddd) ") &amp; "오후 21:00"</f>
        <v>2021-05-03(월) 오후 21:00</v>
      </c>
      <c r="K123" s="199"/>
      <c r="L123" s="200"/>
      <c r="M123" s="198" t="str">
        <f>TEXT($G$1+1, "[$-ko-KR]yyyy-mm-dd(ddd) ") &amp; "오전 00:00"</f>
        <v>2021-05-04(화) 오전 00:00</v>
      </c>
      <c r="N123" s="199"/>
      <c r="O123" s="200"/>
      <c r="Q123" s="184"/>
      <c r="R123" s="184"/>
      <c r="S123" s="184"/>
    </row>
    <row r="124" spans="1:19" ht="17.25" thickBot="1">
      <c r="A124" s="19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84"/>
      <c r="R125" s="184"/>
      <c r="S125" s="18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84"/>
      <c r="R126" s="184"/>
      <c r="S126" s="18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74"/>
      <c r="R127" s="174"/>
      <c r="S127" s="174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74"/>
      <c r="R128" s="174"/>
      <c r="S128" s="174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74"/>
      <c r="R129" s="174"/>
      <c r="S129" s="174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74"/>
      <c r="R130" s="174"/>
      <c r="S130" s="174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74"/>
      <c r="R131" s="174"/>
      <c r="S131" s="174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74"/>
      <c r="R132" s="174"/>
      <c r="S132" s="174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75"/>
      <c r="R134" s="176"/>
      <c r="S134" s="177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178"/>
      <c r="R135" s="179"/>
      <c r="S135" s="180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181"/>
      <c r="R136" s="182"/>
      <c r="S136" s="183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74"/>
      <c r="R137" s="174"/>
      <c r="S137" s="174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84"/>
      <c r="R138" s="184"/>
      <c r="S138" s="18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84"/>
      <c r="R139" s="184"/>
      <c r="S139" s="184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74"/>
      <c r="R140" s="174"/>
      <c r="S140" s="174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74"/>
      <c r="R141" s="174"/>
      <c r="S141" s="174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74"/>
      <c r="R142" s="174"/>
      <c r="S142" s="174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63"/>
      <c r="R143" s="164"/>
      <c r="S143" s="16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26" t="s">
        <v>301</v>
      </c>
      <c r="B145" s="172">
        <f>$B$37</f>
        <v>300000</v>
      </c>
      <c r="C145" s="17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1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67285000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-3.8730784599999998E-2</v>
      </c>
      <c r="N149" s="192"/>
      <c r="O149" s="193"/>
      <c r="Q149" s="184"/>
      <c r="R149" s="184"/>
      <c r="S149" s="184"/>
    </row>
    <row r="150" spans="1:19" ht="17.25" thickBot="1">
      <c r="A150" s="194" t="s">
        <v>55</v>
      </c>
      <c r="B150" s="196" t="str">
        <f>TEXT($G$1, "[$-ko-KR]yyyy-mm-dd(ddd) ") &amp; "오전 00:00"</f>
        <v>2021-05-03(월) 오전 00:00</v>
      </c>
      <c r="C150" s="197"/>
      <c r="D150" s="198" t="str">
        <f>TEXT($G$1, "[$-ko-KR]yyyy-mm-dd(ddd) ") &amp; "오후 14:00"</f>
        <v>2021-05-03(월) 오후 14:00</v>
      </c>
      <c r="E150" s="199"/>
      <c r="F150" s="200"/>
      <c r="G150" s="198" t="str">
        <f>TEXT($G$1, "[$-ko-KR]yyyy-mm-dd(ddd) ") &amp; "오후 19:00"</f>
        <v>2021-05-03(월) 오후 19:00</v>
      </c>
      <c r="H150" s="199"/>
      <c r="I150" s="200"/>
      <c r="J150" s="198" t="str">
        <f>TEXT($G$1, "[$-ko-KR]yyyy-mm-dd(ddd) ") &amp; "오후 21:00"</f>
        <v>2021-05-03(월) 오후 21:00</v>
      </c>
      <c r="K150" s="199"/>
      <c r="L150" s="200"/>
      <c r="M150" s="198" t="str">
        <f>TEXT($G$1+1, "[$-ko-KR]yyyy-mm-dd(ddd) ") &amp; "오전 00:00"</f>
        <v>2021-05-04(화) 오전 00:00</v>
      </c>
      <c r="N150" s="199"/>
      <c r="O150" s="200"/>
      <c r="Q150" s="184"/>
      <c r="R150" s="184"/>
      <c r="S150" s="184"/>
    </row>
    <row r="151" spans="1:19" ht="17.25" thickBot="1">
      <c r="A151" s="19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84"/>
      <c r="R152" s="184"/>
      <c r="S152" s="18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84"/>
      <c r="R153" s="184"/>
      <c r="S153" s="18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74"/>
      <c r="R154" s="174"/>
      <c r="S154" s="174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74"/>
      <c r="R155" s="174"/>
      <c r="S155" s="174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74"/>
      <c r="R156" s="174"/>
      <c r="S156" s="174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74"/>
      <c r="R157" s="174"/>
      <c r="S157" s="174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74"/>
      <c r="R158" s="174"/>
      <c r="S158" s="174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74"/>
      <c r="R159" s="174"/>
      <c r="S159" s="174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75"/>
      <c r="R161" s="176"/>
      <c r="S161" s="177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178"/>
      <c r="R162" s="179"/>
      <c r="S162" s="180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181"/>
      <c r="R163" s="182"/>
      <c r="S163" s="183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74"/>
      <c r="R164" s="174"/>
      <c r="S164" s="174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84"/>
      <c r="R165" s="184"/>
      <c r="S165" s="18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84"/>
      <c r="R166" s="184"/>
      <c r="S166" s="184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74"/>
      <c r="R167" s="174"/>
      <c r="S167" s="174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74"/>
      <c r="R168" s="174"/>
      <c r="S168" s="174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74"/>
      <c r="R169" s="174"/>
      <c r="S169" s="174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63"/>
      <c r="R170" s="164"/>
      <c r="S170" s="16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166"/>
      <c r="R171" s="167"/>
      <c r="S171" s="168"/>
    </row>
    <row r="172" spans="1:19" ht="17.25" thickBot="1">
      <c r="A172" s="26" t="s">
        <v>301</v>
      </c>
      <c r="B172" s="172">
        <f>$B$37</f>
        <v>300000</v>
      </c>
      <c r="C172" s="17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1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67285000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-3.8730784599999998E-2</v>
      </c>
      <c r="N176" s="192"/>
      <c r="O176" s="193"/>
      <c r="Q176" s="184"/>
      <c r="R176" s="184"/>
      <c r="S176" s="184"/>
    </row>
    <row r="177" spans="1:19" ht="17.25" thickBot="1">
      <c r="A177" s="194" t="s">
        <v>55</v>
      </c>
      <c r="B177" s="196" t="str">
        <f>TEXT($G$1, "[$-ko-KR]yyyy-mm-dd(ddd) ") &amp; "오전 00:00"</f>
        <v>2021-05-03(월) 오전 00:00</v>
      </c>
      <c r="C177" s="197"/>
      <c r="D177" s="198" t="str">
        <f>TEXT($G$1, "[$-ko-KR]yyyy-mm-dd(ddd) ") &amp; "오후 14:00"</f>
        <v>2021-05-03(월) 오후 14:00</v>
      </c>
      <c r="E177" s="199"/>
      <c r="F177" s="200"/>
      <c r="G177" s="198" t="str">
        <f>TEXT($G$1, "[$-ko-KR]yyyy-mm-dd(ddd) ") &amp; "오후 19:00"</f>
        <v>2021-05-03(월) 오후 19:00</v>
      </c>
      <c r="H177" s="199"/>
      <c r="I177" s="200"/>
      <c r="J177" s="198" t="str">
        <f>TEXT($G$1, "[$-ko-KR]yyyy-mm-dd(ddd) ") &amp; "오후 21:00"</f>
        <v>2021-05-03(월) 오후 21:00</v>
      </c>
      <c r="K177" s="199"/>
      <c r="L177" s="200"/>
      <c r="M177" s="198" t="str">
        <f>TEXT($G$1+1, "[$-ko-KR]yyyy-mm-dd(ddd) ") &amp; "오전 00:00"</f>
        <v>2021-05-04(화) 오전 00:00</v>
      </c>
      <c r="N177" s="199"/>
      <c r="O177" s="200"/>
      <c r="Q177" s="184"/>
      <c r="R177" s="184"/>
      <c r="S177" s="184"/>
    </row>
    <row r="178" spans="1:19" ht="17.25" thickBot="1">
      <c r="A178" s="19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84"/>
      <c r="R179" s="184"/>
      <c r="S179" s="18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84"/>
      <c r="R180" s="184"/>
      <c r="S180" s="18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74"/>
      <c r="R181" s="174"/>
      <c r="S181" s="174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74"/>
      <c r="R182" s="174"/>
      <c r="S182" s="174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74"/>
      <c r="R183" s="174"/>
      <c r="S183" s="174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74"/>
      <c r="R184" s="174"/>
      <c r="S184" s="174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74"/>
      <c r="R185" s="174"/>
      <c r="S185" s="174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74"/>
      <c r="R186" s="174"/>
      <c r="S186" s="174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75"/>
      <c r="R188" s="176"/>
      <c r="S188" s="177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178"/>
      <c r="R189" s="179"/>
      <c r="S189" s="180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181"/>
      <c r="R190" s="182"/>
      <c r="S190" s="183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74"/>
      <c r="R191" s="174"/>
      <c r="S191" s="174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84"/>
      <c r="R192" s="184"/>
      <c r="S192" s="18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84"/>
      <c r="R193" s="184"/>
      <c r="S193" s="184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74"/>
      <c r="R194" s="174"/>
      <c r="S194" s="174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74"/>
      <c r="R195" s="174"/>
      <c r="S195" s="174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74"/>
      <c r="R196" s="174"/>
      <c r="S196" s="174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63"/>
      <c r="R197" s="164"/>
      <c r="S197" s="16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166"/>
      <c r="R198" s="167"/>
      <c r="S198" s="168"/>
    </row>
    <row r="199" spans="1:19" ht="17.25" thickBot="1">
      <c r="A199" s="26" t="s">
        <v>301</v>
      </c>
      <c r="B199" s="172">
        <f>$B$37</f>
        <v>300000</v>
      </c>
      <c r="C199" s="17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169"/>
      <c r="R199" s="170"/>
      <c r="S199" s="1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11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44320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20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21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121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121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121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121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121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122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6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67285000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-3.8730784599999998E-2</v>
      </c>
      <c r="N14" s="192"/>
      <c r="O14" s="193"/>
      <c r="Q14" s="184"/>
      <c r="R14" s="184"/>
      <c r="S14" s="184"/>
    </row>
    <row r="15" spans="1:19" ht="17.25" customHeight="1" thickBot="1">
      <c r="A15" s="222" t="s">
        <v>39</v>
      </c>
      <c r="B15" s="223" t="str">
        <f>TEXT($G$1, "[$-ko-KR]yyyy-mm-dd(ddd) ") &amp; "오전 00:00"</f>
        <v>2021-05-04(화) 오전 00:00</v>
      </c>
      <c r="C15" s="224"/>
      <c r="D15" s="198" t="str">
        <f>TEXT($G$1, "[$-ko-KR]yyyy-mm-dd(ddd) ") &amp; "오후 14:00"</f>
        <v>2021-05-04(화) 오후 14:00</v>
      </c>
      <c r="E15" s="199"/>
      <c r="F15" s="200"/>
      <c r="G15" s="198" t="str">
        <f>TEXT($G$1, "[$-ko-KR]yyyy-mm-dd(ddd) ") &amp; "오후 19:00"</f>
        <v>2021-05-04(화) 오후 19:00</v>
      </c>
      <c r="H15" s="199"/>
      <c r="I15" s="200"/>
      <c r="J15" s="198" t="str">
        <f>TEXT($G$1, "[$-ko-KR]yyyy-mm-dd(ddd) ") &amp; "오후 21:00"</f>
        <v>2021-05-04(화) 오후 21:00</v>
      </c>
      <c r="K15" s="199"/>
      <c r="L15" s="200"/>
      <c r="M15" s="198" t="str">
        <f>TEXT($G$1+1, "[$-ko-KR]yyyy-mm-dd(ddd) ") &amp; "오전 00:00"</f>
        <v>2021-05-05(수) 오전 00:00</v>
      </c>
      <c r="N15" s="199"/>
      <c r="O15" s="200"/>
      <c r="Q15" s="184"/>
      <c r="R15" s="184"/>
      <c r="S15" s="184"/>
    </row>
    <row r="16" spans="1:19" ht="17.25" customHeight="1" thickBot="1">
      <c r="A16" s="22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84"/>
      <c r="R17" s="184"/>
      <c r="S17" s="184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84"/>
      <c r="R18" s="184"/>
      <c r="S18" s="184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74"/>
      <c r="R19" s="174"/>
      <c r="S19" s="174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74"/>
      <c r="R20" s="174"/>
      <c r="S20" s="174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74"/>
      <c r="R21" s="174"/>
      <c r="S21" s="174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135" t="s">
        <v>42</v>
      </c>
      <c r="B37" s="227">
        <v>300000</v>
      </c>
      <c r="C37" s="228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6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67285000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-3.8730784599999998E-2</v>
      </c>
      <c r="N41" s="192"/>
      <c r="O41" s="193"/>
      <c r="Q41" s="184"/>
      <c r="R41" s="184"/>
      <c r="S41" s="184"/>
    </row>
    <row r="42" spans="1:19" ht="17.25" customHeight="1" thickBot="1">
      <c r="A42" s="229" t="s">
        <v>55</v>
      </c>
      <c r="B42" s="225" t="str">
        <f>TEXT($G$1, "[$-ko-KR]yyyy-mm-dd(ddd) ") &amp; "오전 00:00"</f>
        <v>2021-05-04(화) 오전 00:00</v>
      </c>
      <c r="C42" s="226"/>
      <c r="D42" s="198" t="str">
        <f>TEXT($G$1, "[$-ko-KR]yyyy-mm-dd(ddd) ") &amp; "오후 14:00"</f>
        <v>2021-05-04(화) 오후 14:00</v>
      </c>
      <c r="E42" s="199"/>
      <c r="F42" s="200"/>
      <c r="G42" s="198" t="str">
        <f>TEXT($G$1, "[$-ko-KR]yyyy-mm-dd(ddd) ") &amp; "오후 19:00"</f>
        <v>2021-05-04(화) 오후 19:00</v>
      </c>
      <c r="H42" s="199"/>
      <c r="I42" s="200"/>
      <c r="J42" s="198" t="str">
        <f>TEXT($G$1, "[$-ko-KR]yyyy-mm-dd(ddd) ") &amp; "오후 21:00"</f>
        <v>2021-05-04(화) 오후 21:00</v>
      </c>
      <c r="K42" s="199"/>
      <c r="L42" s="200"/>
      <c r="M42" s="198" t="str">
        <f>TEXT($G$1+1, "[$-ko-KR]yyyy-mm-dd(ddd) ") &amp; "오전 00:00"</f>
        <v>2021-05-05(수) 오전 00:00</v>
      </c>
      <c r="N42" s="199"/>
      <c r="O42" s="200"/>
      <c r="Q42" s="184"/>
      <c r="R42" s="184"/>
      <c r="S42" s="184"/>
    </row>
    <row r="43" spans="1:19" ht="17.25" customHeight="1" thickBot="1">
      <c r="A43" s="23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84"/>
      <c r="R44" s="184"/>
      <c r="S44" s="184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84"/>
      <c r="R45" s="184"/>
      <c r="S45" s="184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74"/>
      <c r="R46" s="174"/>
      <c r="S46" s="174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74"/>
      <c r="R47" s="174"/>
      <c r="S47" s="174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74"/>
      <c r="R48" s="174"/>
      <c r="S48" s="174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74"/>
      <c r="R49" s="174"/>
      <c r="S49" s="174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74"/>
      <c r="R50" s="174"/>
      <c r="S50" s="174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74"/>
      <c r="R51" s="174"/>
      <c r="S51" s="174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175"/>
      <c r="R53" s="176"/>
      <c r="S53" s="177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178"/>
      <c r="R54" s="179"/>
      <c r="S54" s="180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181"/>
      <c r="R55" s="182"/>
      <c r="S55" s="183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74"/>
      <c r="R56" s="174"/>
      <c r="S56" s="174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84"/>
      <c r="R57" s="184"/>
      <c r="S57" s="184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84"/>
      <c r="R58" s="184"/>
      <c r="S58" s="184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74"/>
      <c r="R59" s="174"/>
      <c r="S59" s="174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74"/>
      <c r="R60" s="174"/>
      <c r="S60" s="174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74"/>
      <c r="R61" s="174"/>
      <c r="S61" s="174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63"/>
      <c r="R62" s="164"/>
      <c r="S62" s="165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135" t="s">
        <v>301</v>
      </c>
      <c r="B64" s="227">
        <f>$B$37</f>
        <v>300000</v>
      </c>
      <c r="C64" s="228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6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67285000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-3.8730784599999998E-2</v>
      </c>
      <c r="N68" s="192"/>
      <c r="O68" s="193"/>
      <c r="Q68" s="184"/>
      <c r="R68" s="184"/>
      <c r="S68" s="184"/>
    </row>
    <row r="69" spans="1:19" ht="17.25" thickBot="1">
      <c r="A69" s="229" t="s">
        <v>55</v>
      </c>
      <c r="B69" s="225" t="str">
        <f>TEXT($G$1, "[$-ko-KR]yyyy-mm-dd(ddd) ") &amp; "오전 00:00"</f>
        <v>2021-05-04(화) 오전 00:00</v>
      </c>
      <c r="C69" s="226"/>
      <c r="D69" s="198" t="str">
        <f>TEXT($G$1, "[$-ko-KR]yyyy-mm-dd(ddd) ") &amp; "오후 14:00"</f>
        <v>2021-05-04(화) 오후 14:00</v>
      </c>
      <c r="E69" s="199"/>
      <c r="F69" s="200"/>
      <c r="G69" s="198" t="str">
        <f>TEXT($G$1, "[$-ko-KR]yyyy-mm-dd(ddd) ") &amp; "오후 19:00"</f>
        <v>2021-05-04(화) 오후 19:00</v>
      </c>
      <c r="H69" s="199"/>
      <c r="I69" s="200"/>
      <c r="J69" s="198" t="str">
        <f>TEXT($G$1, "[$-ko-KR]yyyy-mm-dd(ddd) ") &amp; "오후 21:00"</f>
        <v>2021-05-04(화) 오후 21:00</v>
      </c>
      <c r="K69" s="199"/>
      <c r="L69" s="200"/>
      <c r="M69" s="198" t="str">
        <f>TEXT($G$1+1, "[$-ko-KR]yyyy-mm-dd(ddd) ") &amp; "오전 00:00"</f>
        <v>2021-05-05(수) 오전 00:00</v>
      </c>
      <c r="N69" s="199"/>
      <c r="O69" s="200"/>
      <c r="Q69" s="184"/>
      <c r="R69" s="184"/>
      <c r="S69" s="184"/>
    </row>
    <row r="70" spans="1:19" ht="17.25" thickBot="1">
      <c r="A70" s="23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84"/>
      <c r="R71" s="184"/>
      <c r="S71" s="184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84"/>
      <c r="R72" s="184"/>
      <c r="S72" s="184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74"/>
      <c r="R73" s="174"/>
      <c r="S73" s="174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74"/>
      <c r="R74" s="174"/>
      <c r="S74" s="174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74"/>
      <c r="R75" s="174"/>
      <c r="S75" s="174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74"/>
      <c r="R76" s="174"/>
      <c r="S76" s="174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74"/>
      <c r="R77" s="174"/>
      <c r="S77" s="174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74"/>
      <c r="R78" s="174"/>
      <c r="S78" s="174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175"/>
      <c r="R80" s="176"/>
      <c r="S80" s="177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178"/>
      <c r="R81" s="179"/>
      <c r="S81" s="180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181"/>
      <c r="R82" s="182"/>
      <c r="S82" s="183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74"/>
      <c r="R83" s="174"/>
      <c r="S83" s="174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84"/>
      <c r="R84" s="184"/>
      <c r="S84" s="184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84"/>
      <c r="R85" s="184"/>
      <c r="S85" s="184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74"/>
      <c r="R86" s="174"/>
      <c r="S86" s="174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74"/>
      <c r="R87" s="174"/>
      <c r="S87" s="174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74"/>
      <c r="R88" s="174"/>
      <c r="S88" s="174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163"/>
      <c r="R89" s="164"/>
      <c r="S89" s="165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166"/>
      <c r="R90" s="167"/>
      <c r="S90" s="168"/>
    </row>
    <row r="91" spans="1:19" ht="17.25" thickBot="1">
      <c r="A91" s="135" t="s">
        <v>301</v>
      </c>
      <c r="B91" s="227">
        <f>$B$37</f>
        <v>300000</v>
      </c>
      <c r="C91" s="228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6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67285000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-3.8730784599999998E-2</v>
      </c>
      <c r="N95" s="192"/>
      <c r="O95" s="193"/>
      <c r="Q95" s="184"/>
      <c r="R95" s="184"/>
      <c r="S95" s="184"/>
    </row>
    <row r="96" spans="1:19" ht="17.25" thickBot="1">
      <c r="A96" s="229" t="s">
        <v>55</v>
      </c>
      <c r="B96" s="225" t="str">
        <f>TEXT($G$1, "[$-ko-KR]yyyy-mm-dd(ddd) ") &amp; "오전 00:00"</f>
        <v>2021-05-04(화) 오전 00:00</v>
      </c>
      <c r="C96" s="226"/>
      <c r="D96" s="198" t="str">
        <f>TEXT($G$1, "[$-ko-KR]yyyy-mm-dd(ddd) ") &amp; "오후 14:00"</f>
        <v>2021-05-04(화) 오후 14:00</v>
      </c>
      <c r="E96" s="199"/>
      <c r="F96" s="200"/>
      <c r="G96" s="198" t="str">
        <f>TEXT($G$1, "[$-ko-KR]yyyy-mm-dd(ddd) ") &amp; "오후 19:00"</f>
        <v>2021-05-04(화) 오후 19:00</v>
      </c>
      <c r="H96" s="199"/>
      <c r="I96" s="200"/>
      <c r="J96" s="198" t="str">
        <f>TEXT($G$1, "[$-ko-KR]yyyy-mm-dd(ddd) ") &amp; "오후 21:00"</f>
        <v>2021-05-04(화) 오후 21:00</v>
      </c>
      <c r="K96" s="199"/>
      <c r="L96" s="200"/>
      <c r="M96" s="198" t="str">
        <f>TEXT($G$1+1, "[$-ko-KR]yyyy-mm-dd(ddd) ") &amp; "오전 00:00"</f>
        <v>2021-05-05(수) 오전 00:00</v>
      </c>
      <c r="N96" s="199"/>
      <c r="O96" s="200"/>
      <c r="Q96" s="184"/>
      <c r="R96" s="184"/>
      <c r="S96" s="184"/>
    </row>
    <row r="97" spans="1:19" ht="17.25" thickBot="1">
      <c r="A97" s="23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84"/>
      <c r="R98" s="184"/>
      <c r="S98" s="184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84"/>
      <c r="R99" s="184"/>
      <c r="S99" s="184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74"/>
      <c r="R100" s="174"/>
      <c r="S100" s="174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74"/>
      <c r="R101" s="174"/>
      <c r="S101" s="174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74"/>
      <c r="R102" s="174"/>
      <c r="S102" s="174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74"/>
      <c r="R103" s="174"/>
      <c r="S103" s="174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74"/>
      <c r="R104" s="174"/>
      <c r="S104" s="174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74"/>
      <c r="R105" s="174"/>
      <c r="S105" s="174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175"/>
      <c r="R107" s="176"/>
      <c r="S107" s="177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178"/>
      <c r="R108" s="179"/>
      <c r="S108" s="180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181"/>
      <c r="R109" s="182"/>
      <c r="S109" s="183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74"/>
      <c r="R110" s="174"/>
      <c r="S110" s="174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84"/>
      <c r="R111" s="184"/>
      <c r="S111" s="184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84"/>
      <c r="R112" s="184"/>
      <c r="S112" s="184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74"/>
      <c r="R113" s="174"/>
      <c r="S113" s="174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74"/>
      <c r="R114" s="174"/>
      <c r="S114" s="174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74"/>
      <c r="R115" s="174"/>
      <c r="S115" s="174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163"/>
      <c r="R116" s="164"/>
      <c r="S116" s="165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166"/>
      <c r="R117" s="167"/>
      <c r="S117" s="168"/>
    </row>
    <row r="118" spans="1:19" ht="17.25" thickBot="1">
      <c r="A118" s="135" t="s">
        <v>301</v>
      </c>
      <c r="B118" s="227">
        <f>$B$37</f>
        <v>300000</v>
      </c>
      <c r="C118" s="228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6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67285000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-3.8730784599999998E-2</v>
      </c>
      <c r="N122" s="192"/>
      <c r="O122" s="193"/>
      <c r="Q122" s="184"/>
      <c r="R122" s="184"/>
      <c r="S122" s="184"/>
    </row>
    <row r="123" spans="1:19" ht="17.25" thickBot="1">
      <c r="A123" s="229" t="s">
        <v>55</v>
      </c>
      <c r="B123" s="225" t="str">
        <f>TEXT($G$1, "[$-ko-KR]yyyy-mm-dd(ddd) ") &amp; "오전 00:00"</f>
        <v>2021-05-04(화) 오전 00:00</v>
      </c>
      <c r="C123" s="226"/>
      <c r="D123" s="198" t="str">
        <f>TEXT($G$1, "[$-ko-KR]yyyy-mm-dd(ddd) ") &amp; "오후 14:00"</f>
        <v>2021-05-04(화) 오후 14:00</v>
      </c>
      <c r="E123" s="199"/>
      <c r="F123" s="200"/>
      <c r="G123" s="198" t="str">
        <f>TEXT($G$1, "[$-ko-KR]yyyy-mm-dd(ddd) ") &amp; "오후 19:00"</f>
        <v>2021-05-04(화) 오후 19:00</v>
      </c>
      <c r="H123" s="199"/>
      <c r="I123" s="200"/>
      <c r="J123" s="198" t="str">
        <f>TEXT($G$1, "[$-ko-KR]yyyy-mm-dd(ddd) ") &amp; "오후 21:00"</f>
        <v>2021-05-04(화) 오후 21:00</v>
      </c>
      <c r="K123" s="199"/>
      <c r="L123" s="200"/>
      <c r="M123" s="198" t="str">
        <f>TEXT($G$1+1, "[$-ko-KR]yyyy-mm-dd(ddd) ") &amp; "오전 00:00"</f>
        <v>2021-05-05(수) 오전 00:00</v>
      </c>
      <c r="N123" s="199"/>
      <c r="O123" s="200"/>
      <c r="Q123" s="184"/>
      <c r="R123" s="184"/>
      <c r="S123" s="184"/>
    </row>
    <row r="124" spans="1:19" ht="17.25" thickBot="1">
      <c r="A124" s="23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84"/>
      <c r="R125" s="184"/>
      <c r="S125" s="184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84"/>
      <c r="R126" s="184"/>
      <c r="S126" s="184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74"/>
      <c r="R127" s="174"/>
      <c r="S127" s="174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74"/>
      <c r="R128" s="174"/>
      <c r="S128" s="174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74"/>
      <c r="R129" s="174"/>
      <c r="S129" s="174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74"/>
      <c r="R130" s="174"/>
      <c r="S130" s="174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74"/>
      <c r="R131" s="174"/>
      <c r="S131" s="174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74"/>
      <c r="R132" s="174"/>
      <c r="S132" s="174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175"/>
      <c r="R134" s="176"/>
      <c r="S134" s="177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178"/>
      <c r="R135" s="179"/>
      <c r="S135" s="180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181"/>
      <c r="R136" s="182"/>
      <c r="S136" s="183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74"/>
      <c r="R137" s="174"/>
      <c r="S137" s="174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84"/>
      <c r="R138" s="184"/>
      <c r="S138" s="184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84"/>
      <c r="R139" s="184"/>
      <c r="S139" s="184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74"/>
      <c r="R140" s="174"/>
      <c r="S140" s="174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74"/>
      <c r="R141" s="174"/>
      <c r="S141" s="174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74"/>
      <c r="R142" s="174"/>
      <c r="S142" s="174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63"/>
      <c r="R143" s="164"/>
      <c r="S143" s="165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135" t="s">
        <v>301</v>
      </c>
      <c r="B145" s="227">
        <f>$B$37</f>
        <v>300000</v>
      </c>
      <c r="C145" s="228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6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67285000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-3.8730784599999998E-2</v>
      </c>
      <c r="N149" s="192"/>
      <c r="O149" s="193"/>
      <c r="Q149" s="184"/>
      <c r="R149" s="184"/>
      <c r="S149" s="184"/>
    </row>
    <row r="150" spans="1:19" ht="17.25" thickBot="1">
      <c r="A150" s="229" t="s">
        <v>55</v>
      </c>
      <c r="B150" s="225" t="str">
        <f>TEXT($G$1, "[$-ko-KR]yyyy-mm-dd(ddd) ") &amp; "오전 00:00"</f>
        <v>2021-05-04(화) 오전 00:00</v>
      </c>
      <c r="C150" s="226"/>
      <c r="D150" s="198" t="str">
        <f>TEXT($G$1, "[$-ko-KR]yyyy-mm-dd(ddd) ") &amp; "오후 14:00"</f>
        <v>2021-05-04(화) 오후 14:00</v>
      </c>
      <c r="E150" s="199"/>
      <c r="F150" s="200"/>
      <c r="G150" s="198" t="str">
        <f>TEXT($G$1, "[$-ko-KR]yyyy-mm-dd(ddd) ") &amp; "오후 19:00"</f>
        <v>2021-05-04(화) 오후 19:00</v>
      </c>
      <c r="H150" s="199"/>
      <c r="I150" s="200"/>
      <c r="J150" s="198" t="str">
        <f>TEXT($G$1, "[$-ko-KR]yyyy-mm-dd(ddd) ") &amp; "오후 21:00"</f>
        <v>2021-05-04(화) 오후 21:00</v>
      </c>
      <c r="K150" s="199"/>
      <c r="L150" s="200"/>
      <c r="M150" s="198" t="str">
        <f>TEXT($G$1+1, "[$-ko-KR]yyyy-mm-dd(ddd) ") &amp; "오전 00:00"</f>
        <v>2021-05-05(수) 오전 00:00</v>
      </c>
      <c r="N150" s="199"/>
      <c r="O150" s="200"/>
      <c r="Q150" s="184"/>
      <c r="R150" s="184"/>
      <c r="S150" s="184"/>
    </row>
    <row r="151" spans="1:19" ht="17.25" thickBot="1">
      <c r="A151" s="23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84"/>
      <c r="R152" s="184"/>
      <c r="S152" s="184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84"/>
      <c r="R153" s="184"/>
      <c r="S153" s="184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74"/>
      <c r="R154" s="174"/>
      <c r="S154" s="174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74"/>
      <c r="R155" s="174"/>
      <c r="S155" s="174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74"/>
      <c r="R156" s="174"/>
      <c r="S156" s="174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74"/>
      <c r="R157" s="174"/>
      <c r="S157" s="174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74"/>
      <c r="R158" s="174"/>
      <c r="S158" s="174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74"/>
      <c r="R159" s="174"/>
      <c r="S159" s="174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175"/>
      <c r="R161" s="176"/>
      <c r="S161" s="177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178"/>
      <c r="R162" s="179"/>
      <c r="S162" s="180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181"/>
      <c r="R163" s="182"/>
      <c r="S163" s="183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74"/>
      <c r="R164" s="174"/>
      <c r="S164" s="174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84"/>
      <c r="R165" s="184"/>
      <c r="S165" s="184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84"/>
      <c r="R166" s="184"/>
      <c r="S166" s="184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74"/>
      <c r="R167" s="174"/>
      <c r="S167" s="174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74"/>
      <c r="R168" s="174"/>
      <c r="S168" s="174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74"/>
      <c r="R169" s="174"/>
      <c r="S169" s="174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163"/>
      <c r="R170" s="164"/>
      <c r="S170" s="165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166"/>
      <c r="R171" s="167"/>
      <c r="S171" s="168"/>
    </row>
    <row r="172" spans="1:19" ht="17.25" thickBot="1">
      <c r="A172" s="135" t="s">
        <v>301</v>
      </c>
      <c r="B172" s="227">
        <f>$B$37</f>
        <v>300000</v>
      </c>
      <c r="C172" s="228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6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67285000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-3.8730784599999998E-2</v>
      </c>
      <c r="N176" s="192"/>
      <c r="O176" s="193"/>
      <c r="Q176" s="184"/>
      <c r="R176" s="184"/>
      <c r="S176" s="184"/>
    </row>
    <row r="177" spans="1:19" ht="17.25" thickBot="1">
      <c r="A177" s="229" t="s">
        <v>55</v>
      </c>
      <c r="B177" s="225" t="str">
        <f>TEXT($G$1, "[$-ko-KR]yyyy-mm-dd(ddd) ") &amp; "오전 00:00"</f>
        <v>2021-05-04(화) 오전 00:00</v>
      </c>
      <c r="C177" s="226"/>
      <c r="D177" s="198" t="str">
        <f>TEXT($G$1, "[$-ko-KR]yyyy-mm-dd(ddd) ") &amp; "오후 14:00"</f>
        <v>2021-05-04(화) 오후 14:00</v>
      </c>
      <c r="E177" s="199"/>
      <c r="F177" s="200"/>
      <c r="G177" s="198" t="str">
        <f>TEXT($G$1, "[$-ko-KR]yyyy-mm-dd(ddd) ") &amp; "오후 19:00"</f>
        <v>2021-05-04(화) 오후 19:00</v>
      </c>
      <c r="H177" s="199"/>
      <c r="I177" s="200"/>
      <c r="J177" s="198" t="str">
        <f>TEXT($G$1, "[$-ko-KR]yyyy-mm-dd(ddd) ") &amp; "오후 21:00"</f>
        <v>2021-05-04(화) 오후 21:00</v>
      </c>
      <c r="K177" s="199"/>
      <c r="L177" s="200"/>
      <c r="M177" s="198" t="str">
        <f>TEXT($G$1+1, "[$-ko-KR]yyyy-mm-dd(ddd) ") &amp; "오전 00:00"</f>
        <v>2021-05-05(수) 오전 00:00</v>
      </c>
      <c r="N177" s="199"/>
      <c r="O177" s="200"/>
      <c r="Q177" s="184"/>
      <c r="R177" s="184"/>
      <c r="S177" s="184"/>
    </row>
    <row r="178" spans="1:19" ht="17.25" thickBot="1">
      <c r="A178" s="23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84"/>
      <c r="R179" s="184"/>
      <c r="S179" s="184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84"/>
      <c r="R180" s="184"/>
      <c r="S180" s="184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74"/>
      <c r="R181" s="174"/>
      <c r="S181" s="174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74"/>
      <c r="R182" s="174"/>
      <c r="S182" s="174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74"/>
      <c r="R183" s="174"/>
      <c r="S183" s="174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74"/>
      <c r="R184" s="174"/>
      <c r="S184" s="174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74"/>
      <c r="R185" s="174"/>
      <c r="S185" s="174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74"/>
      <c r="R186" s="174"/>
      <c r="S186" s="174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175"/>
      <c r="R188" s="176"/>
      <c r="S188" s="177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178"/>
      <c r="R189" s="179"/>
      <c r="S189" s="180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181"/>
      <c r="R190" s="182"/>
      <c r="S190" s="183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74"/>
      <c r="R191" s="174"/>
      <c r="S191" s="174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84"/>
      <c r="R192" s="184"/>
      <c r="S192" s="184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84"/>
      <c r="R193" s="184"/>
      <c r="S193" s="184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74"/>
      <c r="R194" s="174"/>
      <c r="S194" s="174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74"/>
      <c r="R195" s="174"/>
      <c r="S195" s="174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74"/>
      <c r="R196" s="174"/>
      <c r="S196" s="174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163"/>
      <c r="R197" s="164"/>
      <c r="S197" s="165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166"/>
      <c r="R198" s="167"/>
      <c r="S198" s="168"/>
    </row>
    <row r="199" spans="1:19" ht="17.25" thickBot="1">
      <c r="A199" s="135" t="s">
        <v>301</v>
      </c>
      <c r="B199" s="227">
        <f>$B$37</f>
        <v>300000</v>
      </c>
      <c r="C199" s="228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169"/>
      <c r="R199" s="170"/>
      <c r="S199" s="17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44321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20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21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-81,195 KRW (-2.71%)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-69,224 KRW (-2.71%)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121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121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-67,600 KRW (-2.25%)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121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121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-64,491 KRW (-2.15%)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121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122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-81,195 KRW (-2.71%)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53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67285000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-3.8730784599999998E-2</v>
      </c>
      <c r="N14" s="192"/>
      <c r="O14" s="193"/>
      <c r="Q14" s="184"/>
      <c r="R14" s="184"/>
      <c r="S14" s="184"/>
    </row>
    <row r="15" spans="1:19" ht="17.25" customHeight="1" thickBot="1">
      <c r="A15" s="222" t="s">
        <v>39</v>
      </c>
      <c r="B15" s="223" t="str">
        <f>TEXT($G$1, "[$-ko-KR]yyyy-mm-dd(ddd) ") &amp; "오전 00:00"</f>
        <v>2021-05-05(수) 오전 00:00</v>
      </c>
      <c r="C15" s="224"/>
      <c r="D15" s="198" t="str">
        <f>TEXT($G$1, "[$-ko-KR]yyyy-mm-dd(ddd) ") &amp; "오후 14:00"</f>
        <v>2021-05-05(수) 오후 14:00</v>
      </c>
      <c r="E15" s="199"/>
      <c r="F15" s="200"/>
      <c r="G15" s="198" t="str">
        <f>TEXT($G$1, "[$-ko-KR]yyyy-mm-dd(ddd) ") &amp; "오후 19:00"</f>
        <v>2021-05-05(수) 오후 19:00</v>
      </c>
      <c r="H15" s="199"/>
      <c r="I15" s="200"/>
      <c r="J15" s="198" t="str">
        <f>TEXT($G$1, "[$-ko-KR]yyyy-mm-dd(ddd) ") &amp; "오후 21:00"</f>
        <v>2021-05-05(수) 오후 21:00</v>
      </c>
      <c r="K15" s="199"/>
      <c r="L15" s="200"/>
      <c r="M15" s="198" t="str">
        <f>TEXT($G$1+1, "[$-ko-KR]yyyy-mm-dd(ddd) ") &amp; "오전 00:00"</f>
        <v>2021-05-06(목) 오전 00:00</v>
      </c>
      <c r="N15" s="199"/>
      <c r="O15" s="200"/>
      <c r="Q15" s="184"/>
      <c r="R15" s="184"/>
      <c r="S15" s="184"/>
    </row>
    <row r="16" spans="1:19" ht="17.25" customHeight="1" thickBot="1">
      <c r="A16" s="22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6" t="s">
        <v>296</v>
      </c>
      <c r="B17" s="127">
        <f>IF(NOT(ISBLANK(_xlfn.IFNA(VLOOKUP($A17, $A$40:$O$199, 2, FALSE), ))), _xlfn.IFNA(VLOOKUP($A17, $A$40:$O$199, 2, FALSE), ), "")</f>
        <v>664</v>
      </c>
      <c r="C17" s="76">
        <f>IF(NOT(ISBLANK(_xlfn.IFNA(VLOOKUP($A17, $A$40:$O$199, 3, FALSE), ))), _xlfn.IFNA(VLOOKUP($A17, $A$40:$O$199, 3, FALSE), ), "")</f>
        <v>0.2319109462</v>
      </c>
      <c r="D17" s="13">
        <f>IF(NOT(ISBLANK(_xlfn.IFNA(VLOOKUP($A17, $A$40:$O$199, 4, FALSE), ))), _xlfn.IFNA(VLOOKUP($A17, $A$40:$O$199, 4, FALSE), ), "")</f>
        <v>700</v>
      </c>
      <c r="E17" s="14">
        <f>IF(NOT(ISBLANK(_xlfn.IFNA(VLOOKUP($A17, $A$40:$O$199, 5, FALSE), ))), _xlfn.IFNA(VLOOKUP($A17, $A$40:$O$199, 5, FALSE), ), "")</f>
        <v>5.4216867469879519E-2</v>
      </c>
      <c r="F17" s="16">
        <f>IF(NOT(ISBLANK(_xlfn.IFNA(VLOOKUP($A17, $A$40:$O$199, 6, FALSE), ))), _xlfn.IFNA(VLOOKUP($A17, $A$40:$O$199, 6, FALSE), ), "")</f>
        <v>8132.530120481928</v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75100</v>
      </c>
      <c r="C18" s="77">
        <f t="shared" ref="C18:C36" si="1">IF(NOT(ISBLANK(_xlfn.IFNA(VLOOKUP($A18, $A$40:$O$199, 3, FALSE), ))), _xlfn.IFNA(VLOOKUP($A18, $A$40:$O$199, 3, FALSE), ), "")</f>
        <v>0.1789638932</v>
      </c>
      <c r="D18" s="15">
        <f t="shared" ref="D18:D36" si="2">IF(NOT(ISBLANK(_xlfn.IFNA(VLOOKUP($A18, $A$40:$O$199, 4, FALSE), ))), _xlfn.IFNA(VLOOKUP($A18, $A$40:$O$199, 4, FALSE), ), "")</f>
        <v>75900</v>
      </c>
      <c r="E18" s="32">
        <f t="shared" ref="E18:E36" si="3">IF(NOT(ISBLANK(_xlfn.IFNA(VLOOKUP($A18, $A$40:$O$199, 5, FALSE), ))), _xlfn.IFNA(VLOOKUP($A18, $A$40:$O$199, 5, FALSE), ), "")</f>
        <v>1.0652463382157125E-2</v>
      </c>
      <c r="F18" s="18">
        <f t="shared" ref="F18:F36" si="4">IF(NOT(ISBLANK(_xlfn.IFNA(VLOOKUP($A18, $A$40:$O$199, 6, FALSE), ))), _xlfn.IFNA(VLOOKUP($A18, $A$40:$O$199, 6, FALSE), ), "")</f>
        <v>1597.8695073235688</v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28" t="s">
        <v>164</v>
      </c>
      <c r="B19" s="129">
        <f t="shared" si="0"/>
        <v>44090</v>
      </c>
      <c r="C19" s="77">
        <f t="shared" si="1"/>
        <v>9.0796635299999998E-2</v>
      </c>
      <c r="D19" s="15">
        <f t="shared" si="2"/>
        <v>43300</v>
      </c>
      <c r="E19" s="32">
        <f t="shared" si="3"/>
        <v>-1.7917895214334317E-2</v>
      </c>
      <c r="F19" s="18">
        <f t="shared" si="4"/>
        <v>-2687.6842821501477</v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4"/>
      <c r="R19" s="174"/>
      <c r="S19" s="174"/>
    </row>
    <row r="20" spans="1:19" ht="17.25" customHeight="1" thickBot="1">
      <c r="A20" s="128" t="s">
        <v>94</v>
      </c>
      <c r="B20" s="129">
        <f t="shared" si="0"/>
        <v>127600</v>
      </c>
      <c r="C20" s="77">
        <f t="shared" si="1"/>
        <v>8.3191850600000006E-2</v>
      </c>
      <c r="D20" s="15">
        <f t="shared" si="2"/>
        <v>126650</v>
      </c>
      <c r="E20" s="32">
        <f t="shared" si="3"/>
        <v>-7.4451410658307208E-3</v>
      </c>
      <c r="F20" s="18">
        <f t="shared" si="4"/>
        <v>-1116.7711598746082</v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4"/>
      <c r="R20" s="174"/>
      <c r="S20" s="174"/>
    </row>
    <row r="21" spans="1:19" ht="17.25" customHeight="1" thickBot="1">
      <c r="A21" s="130" t="s">
        <v>206</v>
      </c>
      <c r="B21" s="131">
        <f t="shared" si="0"/>
        <v>40910</v>
      </c>
      <c r="C21" s="78">
        <f t="shared" si="1"/>
        <v>6.8146214100000005E-2</v>
      </c>
      <c r="D21" s="20">
        <f t="shared" si="2"/>
        <v>39420</v>
      </c>
      <c r="E21" s="21">
        <f t="shared" si="3"/>
        <v>-3.6421412857492057E-2</v>
      </c>
      <c r="F21" s="22">
        <f t="shared" si="4"/>
        <v>-5463.2119286238085</v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4"/>
      <c r="R21" s="174"/>
      <c r="S21" s="174"/>
    </row>
    <row r="22" spans="1:19" ht="17.25" customHeight="1" thickBot="1">
      <c r="A22" s="128" t="s">
        <v>130</v>
      </c>
      <c r="B22" s="132">
        <f t="shared" si="0"/>
        <v>383950</v>
      </c>
      <c r="C22" s="80">
        <f t="shared" si="1"/>
        <v>6.2984496099999995E-2</v>
      </c>
      <c r="D22" s="106">
        <f t="shared" si="2"/>
        <v>375750</v>
      </c>
      <c r="E22" s="107">
        <f t="shared" si="3"/>
        <v>-2.135694751920823E-2</v>
      </c>
      <c r="F22" s="108">
        <f t="shared" si="4"/>
        <v>-3203.5421278812346</v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28" t="s">
        <v>266</v>
      </c>
      <c r="B23" s="129">
        <f t="shared" si="0"/>
        <v>104</v>
      </c>
      <c r="C23" s="77">
        <f t="shared" si="1"/>
        <v>5.6910569100000002E-2</v>
      </c>
      <c r="D23" s="15">
        <f t="shared" si="2"/>
        <v>104</v>
      </c>
      <c r="E23" s="32">
        <f t="shared" si="3"/>
        <v>0</v>
      </c>
      <c r="F23" s="18">
        <f t="shared" si="4"/>
        <v>0</v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28" t="s">
        <v>76</v>
      </c>
      <c r="B24" s="129">
        <f t="shared" si="0"/>
        <v>54200</v>
      </c>
      <c r="C24" s="77">
        <f t="shared" si="1"/>
        <v>5.3245239E-2</v>
      </c>
      <c r="D24" s="15">
        <f t="shared" si="2"/>
        <v>53500</v>
      </c>
      <c r="E24" s="32">
        <f t="shared" si="3"/>
        <v>-1.2915129151291513E-2</v>
      </c>
      <c r="F24" s="18">
        <f t="shared" si="4"/>
        <v>-1937.2693726937271</v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28" t="s">
        <v>108</v>
      </c>
      <c r="B25" s="129">
        <f t="shared" si="0"/>
        <v>54400</v>
      </c>
      <c r="C25" s="77">
        <f t="shared" si="1"/>
        <v>3.8167938899999997E-2</v>
      </c>
      <c r="D25" s="15">
        <f t="shared" si="2"/>
        <v>52840</v>
      </c>
      <c r="E25" s="32">
        <f t="shared" si="3"/>
        <v>-2.8676470588235293E-2</v>
      </c>
      <c r="F25" s="18">
        <f t="shared" si="4"/>
        <v>-4301.4705882352937</v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176</v>
      </c>
      <c r="B26" s="134">
        <f t="shared" si="0"/>
        <v>2645</v>
      </c>
      <c r="C26" s="79">
        <f t="shared" si="1"/>
        <v>3.7254901999999999E-2</v>
      </c>
      <c r="D26" s="24">
        <f t="shared" si="2"/>
        <v>2560</v>
      </c>
      <c r="E26" s="25">
        <f t="shared" si="3"/>
        <v>-3.2136105860113423E-2</v>
      </c>
      <c r="F26" s="104">
        <f t="shared" si="4"/>
        <v>-4820.4158790170131</v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6" t="s">
        <v>220</v>
      </c>
      <c r="B27" s="127">
        <f t="shared" si="0"/>
        <v>23.5</v>
      </c>
      <c r="C27" s="76">
        <f t="shared" si="1"/>
        <v>2.1739130400000001E-2</v>
      </c>
      <c r="D27" s="13">
        <f t="shared" si="2"/>
        <v>22.1</v>
      </c>
      <c r="E27" s="14">
        <f t="shared" si="3"/>
        <v>-5.9574468085106323E-2</v>
      </c>
      <c r="F27" s="16">
        <f t="shared" si="4"/>
        <v>-8936.1702127659482</v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28" t="s">
        <v>276</v>
      </c>
      <c r="B28" s="129">
        <f t="shared" si="0"/>
        <v>4535</v>
      </c>
      <c r="C28" s="77">
        <f t="shared" si="1"/>
        <v>1.00222717E-2</v>
      </c>
      <c r="D28" s="15">
        <f t="shared" si="2"/>
        <v>4400</v>
      </c>
      <c r="E28" s="32">
        <f t="shared" si="3"/>
        <v>-2.9768467475192944E-2</v>
      </c>
      <c r="F28" s="18">
        <f t="shared" si="4"/>
        <v>-4465.2701212789416</v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28" t="s">
        <v>144</v>
      </c>
      <c r="B29" s="129">
        <f t="shared" si="0"/>
        <v>11590</v>
      </c>
      <c r="C29" s="77">
        <f t="shared" si="1"/>
        <v>7.8260870000000007E-3</v>
      </c>
      <c r="D29" s="15">
        <f t="shared" si="2"/>
        <v>11030</v>
      </c>
      <c r="E29" s="32">
        <f t="shared" si="3"/>
        <v>-4.8317515099223468E-2</v>
      </c>
      <c r="F29" s="18">
        <f t="shared" si="4"/>
        <v>-7247.6272648835202</v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28" t="s">
        <v>90</v>
      </c>
      <c r="B30" s="129">
        <f t="shared" si="0"/>
        <v>451000</v>
      </c>
      <c r="C30" s="77">
        <f t="shared" si="1"/>
        <v>2.6678524000000002E-3</v>
      </c>
      <c r="D30" s="15">
        <f t="shared" si="2"/>
        <v>410400</v>
      </c>
      <c r="E30" s="32">
        <f t="shared" si="3"/>
        <v>-9.0022172949002222E-2</v>
      </c>
      <c r="F30" s="18">
        <f t="shared" si="4"/>
        <v>-13503.325942350333</v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 t="s">
        <v>86</v>
      </c>
      <c r="B31" s="131">
        <f t="shared" si="0"/>
        <v>8340</v>
      </c>
      <c r="C31" s="78">
        <f t="shared" si="1"/>
        <v>0</v>
      </c>
      <c r="D31" s="20">
        <f t="shared" si="2"/>
        <v>8095</v>
      </c>
      <c r="E31" s="21">
        <f t="shared" si="3"/>
        <v>-2.9376498800959234E-2</v>
      </c>
      <c r="F31" s="22">
        <f t="shared" si="4"/>
        <v>-4406.4748201438852</v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 t="s">
        <v>96</v>
      </c>
      <c r="B32" s="132">
        <f t="shared" si="0"/>
        <v>4211000</v>
      </c>
      <c r="C32" s="80">
        <f t="shared" si="1"/>
        <v>-3.5494557999999998E-3</v>
      </c>
      <c r="D32" s="106">
        <f t="shared" si="2"/>
        <v>4089000</v>
      </c>
      <c r="E32" s="107">
        <f t="shared" si="3"/>
        <v>-2.8971740679173592E-2</v>
      </c>
      <c r="F32" s="108">
        <f t="shared" si="4"/>
        <v>-4345.761101876039</v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28" t="s">
        <v>78</v>
      </c>
      <c r="B33" s="129">
        <f t="shared" si="0"/>
        <v>1241500</v>
      </c>
      <c r="C33" s="77">
        <f t="shared" si="1"/>
        <v>-4.0112313999999998E-3</v>
      </c>
      <c r="D33" s="15">
        <f t="shared" si="2"/>
        <v>1193000</v>
      </c>
      <c r="E33" s="32">
        <f t="shared" si="3"/>
        <v>-3.9065646395489324E-2</v>
      </c>
      <c r="F33" s="18">
        <f t="shared" si="4"/>
        <v>-5859.8469593233986</v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28" t="s">
        <v>74</v>
      </c>
      <c r="B34" s="129">
        <f t="shared" si="0"/>
        <v>28010</v>
      </c>
      <c r="C34" s="77">
        <f t="shared" si="1"/>
        <v>-4.2659083000000002E-3</v>
      </c>
      <c r="D34" s="15">
        <f t="shared" si="2"/>
        <v>26820</v>
      </c>
      <c r="E34" s="32">
        <f t="shared" si="3"/>
        <v>-4.2484826847554447E-2</v>
      </c>
      <c r="F34" s="18">
        <f t="shared" si="4"/>
        <v>-6372.7240271331666</v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28" t="s">
        <v>242</v>
      </c>
      <c r="B35" s="129">
        <f t="shared" si="0"/>
        <v>7190</v>
      </c>
      <c r="C35" s="77">
        <f t="shared" si="1"/>
        <v>-9.6418732999999993E-3</v>
      </c>
      <c r="D35" s="15">
        <f t="shared" si="2"/>
        <v>6895</v>
      </c>
      <c r="E35" s="32">
        <f t="shared" si="3"/>
        <v>-4.1029207232267037E-2</v>
      </c>
      <c r="F35" s="18">
        <f t="shared" si="4"/>
        <v>-6154.3810848400553</v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133" t="s">
        <v>98</v>
      </c>
      <c r="B36" s="134">
        <f t="shared" si="0"/>
        <v>7250</v>
      </c>
      <c r="C36" s="79">
        <f t="shared" si="1"/>
        <v>-1.42760027E-2</v>
      </c>
      <c r="D36" s="24">
        <f t="shared" si="2"/>
        <v>6955</v>
      </c>
      <c r="E36" s="25">
        <f t="shared" si="3"/>
        <v>-4.068965517241379E-2</v>
      </c>
      <c r="F36" s="104">
        <f t="shared" si="4"/>
        <v>-6103.4482758620688</v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135" t="s">
        <v>42</v>
      </c>
      <c r="B37" s="227">
        <v>150000</v>
      </c>
      <c r="C37" s="228"/>
      <c r="D37" s="26" t="s">
        <v>43</v>
      </c>
      <c r="E37" s="27">
        <f>IF(COUNT(E17:E36), SUM(E17:E36) / COUNT(E17:E36), 0)</f>
        <v>-2.7064998507042561E-2</v>
      </c>
      <c r="F37" s="28">
        <f>SUM(F17:F36)</f>
        <v>-81194.995521127697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53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67285000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-3.8730784599999998E-2</v>
      </c>
      <c r="N41" s="192"/>
      <c r="O41" s="193"/>
      <c r="Q41" s="184"/>
      <c r="R41" s="184"/>
      <c r="S41" s="184"/>
    </row>
    <row r="42" spans="1:19" ht="17.25" customHeight="1" thickBot="1">
      <c r="A42" s="229" t="s">
        <v>55</v>
      </c>
      <c r="B42" s="225" t="str">
        <f>TEXT($G$1, "[$-ko-KR]yyyy-mm-dd(ddd) ") &amp; "오전 00:00"</f>
        <v>2021-05-05(수) 오전 00:00</v>
      </c>
      <c r="C42" s="226"/>
      <c r="D42" s="198" t="str">
        <f>TEXT($G$1, "[$-ko-KR]yyyy-mm-dd(ddd) ") &amp; "오후 14:00"</f>
        <v>2021-05-05(수) 오후 14:00</v>
      </c>
      <c r="E42" s="199"/>
      <c r="F42" s="200"/>
      <c r="G42" s="198" t="str">
        <f>TEXT($G$1, "[$-ko-KR]yyyy-mm-dd(ddd) ") &amp; "오후 19:00"</f>
        <v>2021-05-05(수) 오후 19:00</v>
      </c>
      <c r="H42" s="199"/>
      <c r="I42" s="200"/>
      <c r="J42" s="198" t="str">
        <f>TEXT($G$1, "[$-ko-KR]yyyy-mm-dd(ddd) ") &amp; "오후 21:00"</f>
        <v>2021-05-05(수) 오후 21:00</v>
      </c>
      <c r="K42" s="199"/>
      <c r="L42" s="200"/>
      <c r="M42" s="198" t="str">
        <f>TEXT($G$1+1, "[$-ko-KR]yyyy-mm-dd(ddd) ") &amp; "오전 00:00"</f>
        <v>2021-05-06(목) 오전 00:00</v>
      </c>
      <c r="N42" s="199"/>
      <c r="O42" s="200"/>
      <c r="Q42" s="184"/>
      <c r="R42" s="184"/>
      <c r="S42" s="184"/>
    </row>
    <row r="43" spans="1:19" ht="17.25" customHeight="1" thickBot="1">
      <c r="A43" s="23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22.1</v>
      </c>
      <c r="E44" s="14">
        <f>IF(ISNUMBER(D44), (D44 - $B44) / $B44, "")</f>
        <v>-5.9574468085106323E-2</v>
      </c>
      <c r="F44" s="16">
        <f>IF(ISNUMBER(D44), $B64 * E44, "")</f>
        <v>-8936.1702127659482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21.9</v>
      </c>
      <c r="E45" s="32">
        <f t="shared" ref="E45:E48" si="14">IF(ISNUMBER(D45), (D45 - $B45) / $B45, "")</f>
        <v>-4.3668122270742363E-2</v>
      </c>
      <c r="F45" s="18">
        <f>IF(ISNUMBER(D45), $B64 * E45, "")</f>
        <v>-6550.2183406113545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7.98</v>
      </c>
      <c r="E46" s="32">
        <f t="shared" si="14"/>
        <v>-1.2376237623762332E-2</v>
      </c>
      <c r="F46" s="18">
        <f>IF(ISNUMBER(D46), $B64 * E46, "")</f>
        <v>-1856.4356435643497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4"/>
      <c r="R46" s="174"/>
      <c r="S46" s="174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20.7</v>
      </c>
      <c r="E47" s="32">
        <f t="shared" si="14"/>
        <v>-1.895734597156408E-2</v>
      </c>
      <c r="F47" s="18">
        <f>IF(ISNUMBER(D47), $B64 * E47, "")</f>
        <v>-2843.6018957346118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4"/>
      <c r="R47" s="174"/>
      <c r="S47" s="174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71.7</v>
      </c>
      <c r="E48" s="21">
        <f t="shared" si="14"/>
        <v>-2.3160762942779328E-2</v>
      </c>
      <c r="F48" s="22">
        <f>IF(ISNUMBER(D48), $B64 * E48, "")</f>
        <v>-3474.1144414168994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4"/>
      <c r="R48" s="174"/>
      <c r="S48" s="174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91</v>
      </c>
      <c r="E49" s="107">
        <f>IF(ISNUMBER(D49), (D49 - $B49) / $B49, "")</f>
        <v>-2.0452099031216423E-2</v>
      </c>
      <c r="F49" s="108">
        <f>IF(ISNUMBER(D49), $B64 * E49, "")</f>
        <v>-3067.8148546824636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4"/>
      <c r="R49" s="174"/>
      <c r="S49" s="174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34.700000000000003</v>
      </c>
      <c r="E50" s="32">
        <f t="shared" ref="E50:E53" si="18">IF(ISNUMBER(D50), (D50 - $B50) / $B50, "")</f>
        <v>-2.5280898876404452E-2</v>
      </c>
      <c r="F50" s="18">
        <f>IF(ISNUMBER(D50), $B64 * E50, "")</f>
        <v>-3792.134831460668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4"/>
      <c r="R50" s="174"/>
      <c r="S50" s="174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22.6</v>
      </c>
      <c r="E51" s="32">
        <f t="shared" si="18"/>
        <v>-3.8297872340425469E-2</v>
      </c>
      <c r="F51" s="18">
        <f>IF(ISNUMBER(D51), $B64 * E51, "")</f>
        <v>-5744.6808510638202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4"/>
      <c r="R51" s="174"/>
      <c r="S51" s="174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25.9</v>
      </c>
      <c r="E52" s="32">
        <f t="shared" si="18"/>
        <v>-2.2641509433962318E-2</v>
      </c>
      <c r="F52" s="18">
        <f>IF(ISNUMBER(D52), $B64 * E52, "")</f>
        <v>-3396.2264150943479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18.899999999999999</v>
      </c>
      <c r="E53" s="25">
        <f t="shared" si="18"/>
        <v>-3.0769230769230844E-2</v>
      </c>
      <c r="F53" s="104">
        <f>IF(ISNUMBER(D53), $B64 * E53, "")</f>
        <v>-4615.3846153846262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5"/>
      <c r="R53" s="176"/>
      <c r="S53" s="177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18.899999999999999</v>
      </c>
      <c r="E54" s="14">
        <f>IF(ISNUMBER(D54), (D54 - $B54) / $B54, "")</f>
        <v>-2.0725388601036378E-2</v>
      </c>
      <c r="F54" s="16">
        <f>IF(ISNUMBER(D54), $B64 * E54, "")</f>
        <v>-3108.8082901554567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8"/>
      <c r="R54" s="179"/>
      <c r="S54" s="180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70.7</v>
      </c>
      <c r="E55" s="32">
        <f t="shared" ref="E55:E58" si="22">IF(ISNUMBER(D55), (D55 - $B55) / $B55, "")</f>
        <v>-2.077562326869806E-2</v>
      </c>
      <c r="F55" s="18">
        <f>IF(ISNUMBER(D55), $B64 * E55, "")</f>
        <v>-3116.3434903047091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1"/>
      <c r="R55" s="182"/>
      <c r="S55" s="183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29.8</v>
      </c>
      <c r="E56" s="32">
        <f t="shared" si="22"/>
        <v>-1.65016501650165E-2</v>
      </c>
      <c r="F56" s="18">
        <f>IF(ISNUMBER(D56), $B64 * E56, "")</f>
        <v>-2475.2475247524749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4"/>
      <c r="R56" s="174"/>
      <c r="S56" s="174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25.8</v>
      </c>
      <c r="E57" s="32">
        <f t="shared" si="22"/>
        <v>-4.7970479704797071E-2</v>
      </c>
      <c r="F57" s="18">
        <f>IF(ISNUMBER(D57), $B64 * E57, "")</f>
        <v>-7195.5719557195607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29.2</v>
      </c>
      <c r="E58" s="21">
        <f t="shared" si="22"/>
        <v>-2.3411371237458171E-2</v>
      </c>
      <c r="F58" s="22">
        <f>IF(ISNUMBER(D58), $B64 * E58, "")</f>
        <v>-3511.7056856187255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</v>
      </c>
      <c r="E59" s="107">
        <f>IF(ISNUMBER(D59), (D59 - $B59) / $B59, "")</f>
        <v>-1.3157894736842136E-2</v>
      </c>
      <c r="F59" s="108">
        <f>IF(ISNUMBER(D59), $B64 * E59, "")</f>
        <v>-1973.6842105263204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4"/>
      <c r="R59" s="174"/>
      <c r="S59" s="174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61.6</v>
      </c>
      <c r="E60" s="32">
        <f t="shared" ref="E60:E63" si="26">IF(ISNUMBER(D60), (D60 - $B60) / $B60, "")</f>
        <v>-2.3771790808240888E-2</v>
      </c>
      <c r="F60" s="18">
        <f>IF(ISNUMBER(D60), $B64 * E60, "")</f>
        <v>-3565.7686212361332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4"/>
      <c r="R60" s="174"/>
      <c r="S60" s="174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4"/>
      <c r="R61" s="174"/>
      <c r="S61" s="174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3"/>
      <c r="R62" s="164"/>
      <c r="S62" s="165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135" t="s">
        <v>301</v>
      </c>
      <c r="B64" s="227">
        <f>$B$37</f>
        <v>150000</v>
      </c>
      <c r="C64" s="228"/>
      <c r="D64" s="26" t="s">
        <v>302</v>
      </c>
      <c r="E64" s="27">
        <f>IF(COUNT(E44:E63), SUM(E44:E63) / COUNT(E44:E63), 0)</f>
        <v>-2.7146632109840186E-2</v>
      </c>
      <c r="F64" s="28">
        <f>SUM(F44:F63)</f>
        <v>-69223.911880092477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53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67285000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-3.8730784599999998E-2</v>
      </c>
      <c r="N68" s="192"/>
      <c r="O68" s="193"/>
      <c r="Q68" s="184"/>
      <c r="R68" s="184"/>
      <c r="S68" s="184"/>
    </row>
    <row r="69" spans="1:19" ht="17.25" thickBot="1">
      <c r="A69" s="229" t="s">
        <v>55</v>
      </c>
      <c r="B69" s="225" t="str">
        <f>TEXT($G$1, "[$-ko-KR]yyyy-mm-dd(ddd) ") &amp; "오전 00:00"</f>
        <v>2021-05-05(수) 오전 00:00</v>
      </c>
      <c r="C69" s="226"/>
      <c r="D69" s="198" t="str">
        <f>TEXT($G$1, "[$-ko-KR]yyyy-mm-dd(ddd) ") &amp; "오후 14:00"</f>
        <v>2021-05-05(수) 오후 14:00</v>
      </c>
      <c r="E69" s="199"/>
      <c r="F69" s="200"/>
      <c r="G69" s="198" t="str">
        <f>TEXT($G$1, "[$-ko-KR]yyyy-mm-dd(ddd) ") &amp; "오후 19:00"</f>
        <v>2021-05-05(수) 오후 19:00</v>
      </c>
      <c r="H69" s="199"/>
      <c r="I69" s="200"/>
      <c r="J69" s="198" t="str">
        <f>TEXT($G$1, "[$-ko-KR]yyyy-mm-dd(ddd) ") &amp; "오후 21:00"</f>
        <v>2021-05-05(수) 오후 21:00</v>
      </c>
      <c r="K69" s="199"/>
      <c r="L69" s="200"/>
      <c r="M69" s="198" t="str">
        <f>TEXT($G$1+1, "[$-ko-KR]yyyy-mm-dd(ddd) ") &amp; "오전 00:00"</f>
        <v>2021-05-06(목) 오전 00:00</v>
      </c>
      <c r="N69" s="199"/>
      <c r="O69" s="200"/>
      <c r="Q69" s="184"/>
      <c r="R69" s="184"/>
      <c r="S69" s="184"/>
    </row>
    <row r="70" spans="1:19" ht="17.25" thickBot="1">
      <c r="A70" s="23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700</v>
      </c>
      <c r="E71" s="14">
        <f>IF(ISNUMBER(D71), (D71 - $B71) / $B71, "")</f>
        <v>5.4216867469879519E-2</v>
      </c>
      <c r="F71" s="16">
        <f>IF(ISNUMBER(D71), $B91 * E71, "")</f>
        <v>8132.530120481928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104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244</v>
      </c>
      <c r="E73" s="32">
        <f t="shared" si="30"/>
        <v>-3.937007874015748E-2</v>
      </c>
      <c r="F73" s="18">
        <f>IF(ISNUMBER(D73), $B91 * E73, "")</f>
        <v>-5905.5118110236217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4"/>
      <c r="R73" s="174"/>
      <c r="S73" s="174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4"/>
      <c r="R74" s="174"/>
      <c r="S74" s="174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4"/>
      <c r="R75" s="174"/>
      <c r="S75" s="174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628</v>
      </c>
      <c r="E76" s="107">
        <f>IF(ISNUMBER(D76), (D76 - $B76) / $B76, "")</f>
        <v>-3.6809815950920248E-2</v>
      </c>
      <c r="F76" s="108">
        <f>IF(ISNUMBER(D76), $B91 * E76, "")</f>
        <v>-5521.4723926380375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4"/>
      <c r="R76" s="174"/>
      <c r="S76" s="174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150</v>
      </c>
      <c r="E77" s="32">
        <f t="shared" ref="E77:E80" si="34">IF(ISNUMBER(D77), (D77 - $B77) / $B77, "")</f>
        <v>-3.8461538461538464E-2</v>
      </c>
      <c r="F77" s="18">
        <f>IF(ISNUMBER(D77), $B91 * E77, "")</f>
        <v>-5769.2307692307695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4"/>
      <c r="R77" s="174"/>
      <c r="S77" s="174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151</v>
      </c>
      <c r="E78" s="32">
        <f t="shared" si="34"/>
        <v>-2.5806451612903226E-2</v>
      </c>
      <c r="F78" s="18">
        <f>IF(ISNUMBER(D78), $B91 * E78, "")</f>
        <v>-3870.9677419354839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4"/>
      <c r="R78" s="174"/>
      <c r="S78" s="174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660</v>
      </c>
      <c r="E79" s="32">
        <f t="shared" si="34"/>
        <v>-2.5110782865583457E-2</v>
      </c>
      <c r="F79" s="18">
        <f>IF(ISNUMBER(D79), $B91 * E79, "")</f>
        <v>-3766.6174298375186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102</v>
      </c>
      <c r="E80" s="25">
        <f t="shared" si="34"/>
        <v>-2.8571428571428571E-2</v>
      </c>
      <c r="F80" s="104">
        <f>IF(ISNUMBER(D80), $B91 * E80, "")</f>
        <v>-4285.7142857142853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5"/>
      <c r="R80" s="176"/>
      <c r="S80" s="177"/>
    </row>
    <row r="81" spans="1:19">
      <c r="A81" s="126" t="s">
        <v>148</v>
      </c>
      <c r="B81" s="127">
        <v>198</v>
      </c>
      <c r="C81" s="76">
        <v>-5.71428571E-2</v>
      </c>
      <c r="D81" s="13">
        <v>195</v>
      </c>
      <c r="E81" s="14">
        <f>IF(ISNUMBER(D81), (D81 - $B81) / $B81, "")</f>
        <v>-1.5151515151515152E-2</v>
      </c>
      <c r="F81" s="16">
        <f>IF(ISNUMBER(D81), $B91 * E81, "")</f>
        <v>-2272.727272727273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8"/>
      <c r="R81" s="179"/>
      <c r="S81" s="180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392</v>
      </c>
      <c r="E82" s="32">
        <f t="shared" ref="E82:E85" si="38">IF(ISNUMBER(D82), (D82 - $B82) / $B82, "")</f>
        <v>-1.7543859649122806E-2</v>
      </c>
      <c r="F82" s="18">
        <f>IF(ISNUMBER(D82), $B91 * E82, "")</f>
        <v>-2631.5789473684208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1"/>
      <c r="R82" s="182"/>
      <c r="S82" s="183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212</v>
      </c>
      <c r="E83" s="32">
        <f t="shared" si="38"/>
        <v>-1.8518518518518517E-2</v>
      </c>
      <c r="F83" s="18">
        <f>IF(ISNUMBER(D83), $B91 * E83, "")</f>
        <v>-2777.7777777777778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4"/>
      <c r="R83" s="174"/>
      <c r="S83" s="174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168</v>
      </c>
      <c r="E84" s="32">
        <f t="shared" si="38"/>
        <v>-2.3255813953488372E-2</v>
      </c>
      <c r="F84" s="18">
        <f>IF(ISNUMBER(D84), $B91 * E84, "")</f>
        <v>-3488.3720930232557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237</v>
      </c>
      <c r="E85" s="21">
        <f t="shared" si="38"/>
        <v>-1.2500000000000001E-2</v>
      </c>
      <c r="F85" s="22">
        <f>IF(ISNUMBER(D85), $B91 * E85, "")</f>
        <v>-1875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378</v>
      </c>
      <c r="E86" s="107">
        <f>IF(ISNUMBER(D86), (D86 - $B86) / $B86, "")</f>
        <v>-2.072538860103627E-2</v>
      </c>
      <c r="F86" s="108">
        <f>IF(ISNUMBER(D86), $B91 * E86, "")</f>
        <v>-3108.8082901554403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4"/>
      <c r="R86" s="174"/>
      <c r="S86" s="174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148</v>
      </c>
      <c r="E87" s="32">
        <f t="shared" ref="E87:E90" si="42">IF(ISNUMBER(D87), (D87 - $B87) / $B87, "")</f>
        <v>-3.2679738562091505E-2</v>
      </c>
      <c r="F87" s="18">
        <f>IF(ISNUMBER(D87), $B91 * E87, "")</f>
        <v>-4901.9607843137255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4"/>
      <c r="R87" s="174"/>
      <c r="S87" s="174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533</v>
      </c>
      <c r="E88" s="32">
        <f t="shared" si="42"/>
        <v>-4.8214285714285716E-2</v>
      </c>
      <c r="F88" s="18">
        <f>IF(ISNUMBER(D88), $B91 * E88, "")</f>
        <v>-7232.1428571428578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4"/>
      <c r="R88" s="174"/>
      <c r="S88" s="174"/>
    </row>
    <row r="89" spans="1:19">
      <c r="A89" s="128" t="s">
        <v>238</v>
      </c>
      <c r="B89" s="129">
        <v>309</v>
      </c>
      <c r="C89" s="77">
        <v>-7.48502994E-2</v>
      </c>
      <c r="D89" s="15">
        <v>300</v>
      </c>
      <c r="E89" s="32">
        <f t="shared" si="42"/>
        <v>-2.9126213592233011E-2</v>
      </c>
      <c r="F89" s="18">
        <f>IF(ISNUMBER(D89), $B91 * E89, "")</f>
        <v>-4368.9320388349515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3"/>
      <c r="R89" s="164"/>
      <c r="S89" s="165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409</v>
      </c>
      <c r="E90" s="25">
        <f t="shared" si="42"/>
        <v>-2.6190476190476191E-2</v>
      </c>
      <c r="F90" s="104">
        <f>IF(ISNUMBER(D90), $B91 * E90, "")</f>
        <v>-3928.5714285714284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6"/>
      <c r="R90" s="167"/>
      <c r="S90" s="168"/>
    </row>
    <row r="91" spans="1:19" ht="17.25" thickBot="1">
      <c r="A91" s="135" t="s">
        <v>301</v>
      </c>
      <c r="B91" s="227">
        <f>$B$37</f>
        <v>150000</v>
      </c>
      <c r="C91" s="228"/>
      <c r="D91" s="26" t="s">
        <v>302</v>
      </c>
      <c r="E91" s="27">
        <f>IF(COUNT(E71:E90), SUM(E71:E90) / COUNT(E71:E90), 0)</f>
        <v>-2.253344277576182E-2</v>
      </c>
      <c r="F91" s="28">
        <f>SUM(F71:F90)</f>
        <v>-67600.328327285446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53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67285000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-3.8730784599999998E-2</v>
      </c>
      <c r="N95" s="192"/>
      <c r="O95" s="193"/>
      <c r="Q95" s="184"/>
      <c r="R95" s="184"/>
      <c r="S95" s="184"/>
    </row>
    <row r="96" spans="1:19" ht="17.25" thickBot="1">
      <c r="A96" s="229" t="s">
        <v>55</v>
      </c>
      <c r="B96" s="225" t="str">
        <f>TEXT($G$1, "[$-ko-KR]yyyy-mm-dd(ddd) ") &amp; "오전 00:00"</f>
        <v>2021-05-05(수) 오전 00:00</v>
      </c>
      <c r="C96" s="226"/>
      <c r="D96" s="198" t="str">
        <f>TEXT($G$1, "[$-ko-KR]yyyy-mm-dd(ddd) ") &amp; "오후 14:00"</f>
        <v>2021-05-05(수) 오후 14:00</v>
      </c>
      <c r="E96" s="199"/>
      <c r="F96" s="200"/>
      <c r="G96" s="198" t="str">
        <f>TEXT($G$1, "[$-ko-KR]yyyy-mm-dd(ddd) ") &amp; "오후 19:00"</f>
        <v>2021-05-05(수) 오후 19:00</v>
      </c>
      <c r="H96" s="199"/>
      <c r="I96" s="200"/>
      <c r="J96" s="198" t="str">
        <f>TEXT($G$1, "[$-ko-KR]yyyy-mm-dd(ddd) ") &amp; "오후 21:00"</f>
        <v>2021-05-05(수) 오후 21:00</v>
      </c>
      <c r="K96" s="199"/>
      <c r="L96" s="200"/>
      <c r="M96" s="198" t="str">
        <f>TEXT($G$1+1, "[$-ko-KR]yyyy-mm-dd(ddd) ") &amp; "오전 00:00"</f>
        <v>2021-05-06(목) 오전 00:00</v>
      </c>
      <c r="N96" s="199"/>
      <c r="O96" s="200"/>
      <c r="Q96" s="184"/>
      <c r="R96" s="184"/>
      <c r="S96" s="184"/>
    </row>
    <row r="97" spans="1:19" ht="17.25" thickBot="1">
      <c r="A97" s="23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700</v>
      </c>
      <c r="E98" s="14">
        <f>IF(ISNUMBER(D98), (D98 - $B98) / $B98, "")</f>
        <v>5.4216867469879519E-2</v>
      </c>
      <c r="F98" s="16">
        <f>IF(ISNUMBER(D98), $B118 * E98, "")</f>
        <v>8132.530120481928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75900</v>
      </c>
      <c r="E99" s="32">
        <f t="shared" ref="E99:E102" si="46">IF(ISNUMBER(D99), (D99 - $B99) / $B99, "")</f>
        <v>1.0652463382157125E-2</v>
      </c>
      <c r="F99" s="18">
        <f>IF(ISNUMBER(D99), $B118 * E99, "")</f>
        <v>1597.8695073235688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43300</v>
      </c>
      <c r="E100" s="32">
        <f t="shared" si="46"/>
        <v>-1.7917895214334317E-2</v>
      </c>
      <c r="F100" s="18">
        <f>IF(ISNUMBER(D100), $B118 * E100, "")</f>
        <v>-2687.6842821501477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4"/>
      <c r="R100" s="174"/>
      <c r="S100" s="174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126650</v>
      </c>
      <c r="E101" s="32">
        <f t="shared" si="46"/>
        <v>-7.4451410658307208E-3</v>
      </c>
      <c r="F101" s="18">
        <f>IF(ISNUMBER(D101), $B118 * E101, "")</f>
        <v>-1116.7711598746082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4"/>
      <c r="R101" s="174"/>
      <c r="S101" s="174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39420</v>
      </c>
      <c r="E102" s="21">
        <f t="shared" si="46"/>
        <v>-3.6421412857492057E-2</v>
      </c>
      <c r="F102" s="22">
        <f>IF(ISNUMBER(D102), $B118 * E102, "")</f>
        <v>-5463.2119286238085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4"/>
      <c r="R102" s="174"/>
      <c r="S102" s="174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375750</v>
      </c>
      <c r="E103" s="107">
        <f>IF(ISNUMBER(D103), (D103 - $B103) / $B103, "")</f>
        <v>-2.135694751920823E-2</v>
      </c>
      <c r="F103" s="108">
        <f>IF(ISNUMBER(D103), $B118 * E103, "")</f>
        <v>-3203.5421278812346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4"/>
      <c r="R103" s="174"/>
      <c r="S103" s="174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104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4"/>
      <c r="R104" s="174"/>
      <c r="S104" s="174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53500</v>
      </c>
      <c r="E105" s="32">
        <f t="shared" si="50"/>
        <v>-1.2915129151291513E-2</v>
      </c>
      <c r="F105" s="18">
        <f>IF(ISNUMBER(D105), $B118 * E105, "")</f>
        <v>-1937.2693726937271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4"/>
      <c r="R105" s="174"/>
      <c r="S105" s="174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52840</v>
      </c>
      <c r="E106" s="32">
        <f t="shared" si="50"/>
        <v>-2.8676470588235293E-2</v>
      </c>
      <c r="F106" s="18">
        <f>IF(ISNUMBER(D106), $B118 * E106, "")</f>
        <v>-4301.4705882352937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2560</v>
      </c>
      <c r="E107" s="25">
        <f t="shared" si="50"/>
        <v>-3.2136105860113423E-2</v>
      </c>
      <c r="F107" s="104">
        <f>IF(ISNUMBER(D107), $B118 * E107, "")</f>
        <v>-4820.4158790170131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5"/>
      <c r="R107" s="176"/>
      <c r="S107" s="177"/>
    </row>
    <row r="108" spans="1:19">
      <c r="A108" s="126" t="s">
        <v>220</v>
      </c>
      <c r="B108" s="127">
        <v>23.5</v>
      </c>
      <c r="C108" s="76">
        <v>2.1739130400000001E-2</v>
      </c>
      <c r="D108" s="13">
        <v>22.1</v>
      </c>
      <c r="E108" s="14">
        <f>IF(ISNUMBER(D108), (D108 - $B108) / $B108, "")</f>
        <v>-5.9574468085106323E-2</v>
      </c>
      <c r="F108" s="16">
        <f>IF(ISNUMBER(D108), $B118 * E108, "")</f>
        <v>-8936.1702127659482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8"/>
      <c r="R108" s="179"/>
      <c r="S108" s="180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4400</v>
      </c>
      <c r="E109" s="32">
        <f t="shared" ref="E109:E112" si="54">IF(ISNUMBER(D109), (D109 - $B109) / $B109, "")</f>
        <v>-2.9768467475192944E-2</v>
      </c>
      <c r="F109" s="18">
        <f>IF(ISNUMBER(D109), $B118 * E109, "")</f>
        <v>-4465.2701212789416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1"/>
      <c r="R109" s="182"/>
      <c r="S109" s="183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11030</v>
      </c>
      <c r="E110" s="32">
        <f t="shared" si="54"/>
        <v>-4.8317515099223468E-2</v>
      </c>
      <c r="F110" s="18">
        <f>IF(ISNUMBER(D110), $B118 * E110, "")</f>
        <v>-7247.6272648835202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4"/>
      <c r="R110" s="174"/>
      <c r="S110" s="174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410400</v>
      </c>
      <c r="E111" s="32">
        <f t="shared" si="54"/>
        <v>-9.0022172949002222E-2</v>
      </c>
      <c r="F111" s="18">
        <f>IF(ISNUMBER(D111), $B118 * E111, "")</f>
        <v>-13503.325942350333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8095</v>
      </c>
      <c r="E112" s="21">
        <f t="shared" si="54"/>
        <v>-2.9376498800959234E-2</v>
      </c>
      <c r="F112" s="22">
        <f>IF(ISNUMBER(D112), $B118 * E112, "")</f>
        <v>-4406.4748201438852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4089000</v>
      </c>
      <c r="E113" s="107">
        <f>IF(ISNUMBER(D113), (D113 - $B113) / $B113, "")</f>
        <v>-2.8971740679173592E-2</v>
      </c>
      <c r="F113" s="108">
        <f>IF(ISNUMBER(D113), $B118 * E113, "")</f>
        <v>-4345.761101876039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4"/>
      <c r="R113" s="174"/>
      <c r="S113" s="174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1193000</v>
      </c>
      <c r="E114" s="32">
        <f t="shared" ref="E114:E117" si="58">IF(ISNUMBER(D114), (D114 - $B114) / $B114, "")</f>
        <v>-3.9065646395489324E-2</v>
      </c>
      <c r="F114" s="18">
        <f>IF(ISNUMBER(D114), $B118 * E114, "")</f>
        <v>-5859.8469593233986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4"/>
      <c r="R114" s="174"/>
      <c r="S114" s="174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26820</v>
      </c>
      <c r="E115" s="32">
        <f t="shared" si="58"/>
        <v>-4.2484826847554447E-2</v>
      </c>
      <c r="F115" s="18">
        <f>IF(ISNUMBER(D115), $B118 * E115, "")</f>
        <v>-6372.7240271331666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4"/>
      <c r="R115" s="174"/>
      <c r="S115" s="174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6895</v>
      </c>
      <c r="E116" s="32">
        <f t="shared" si="58"/>
        <v>-4.1029207232267037E-2</v>
      </c>
      <c r="F116" s="18">
        <f>IF(ISNUMBER(D116), $B118 * E116, "")</f>
        <v>-6154.3810848400553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3"/>
      <c r="R116" s="164"/>
      <c r="S116" s="165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6955</v>
      </c>
      <c r="E117" s="25">
        <f t="shared" si="58"/>
        <v>-4.068965517241379E-2</v>
      </c>
      <c r="F117" s="104">
        <f>IF(ISNUMBER(D117), $B118 * E117, "")</f>
        <v>-6103.4482758620688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6"/>
      <c r="R117" s="167"/>
      <c r="S117" s="168"/>
    </row>
    <row r="118" spans="1:19" ht="17.25" thickBot="1">
      <c r="A118" s="135" t="s">
        <v>301</v>
      </c>
      <c r="B118" s="227">
        <f>$B$37</f>
        <v>150000</v>
      </c>
      <c r="C118" s="228"/>
      <c r="D118" s="26" t="s">
        <v>302</v>
      </c>
      <c r="E118" s="27">
        <f>IF(COUNT(E98:E117), SUM(E98:E117) / COUNT(E98:E117), 0)</f>
        <v>-2.7064998507042561E-2</v>
      </c>
      <c r="F118" s="28">
        <f>SUM(F98:F117)</f>
        <v>-81194.995521127697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53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67285000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-3.8730784599999998E-2</v>
      </c>
      <c r="N122" s="192"/>
      <c r="O122" s="193"/>
      <c r="Q122" s="184"/>
      <c r="R122" s="184"/>
      <c r="S122" s="184"/>
    </row>
    <row r="123" spans="1:19" ht="17.25" thickBot="1">
      <c r="A123" s="229" t="s">
        <v>55</v>
      </c>
      <c r="B123" s="225" t="str">
        <f>TEXT($G$1, "[$-ko-KR]yyyy-mm-dd(ddd) ") &amp; "오전 00:00"</f>
        <v>2021-05-05(수) 오전 00:00</v>
      </c>
      <c r="C123" s="226"/>
      <c r="D123" s="198" t="str">
        <f>TEXT($G$1, "[$-ko-KR]yyyy-mm-dd(ddd) ") &amp; "오후 14:00"</f>
        <v>2021-05-05(수) 오후 14:00</v>
      </c>
      <c r="E123" s="199"/>
      <c r="F123" s="200"/>
      <c r="G123" s="198" t="str">
        <f>TEXT($G$1, "[$-ko-KR]yyyy-mm-dd(ddd) ") &amp; "오후 19:00"</f>
        <v>2021-05-05(수) 오후 19:00</v>
      </c>
      <c r="H123" s="199"/>
      <c r="I123" s="200"/>
      <c r="J123" s="198" t="str">
        <f>TEXT($G$1, "[$-ko-KR]yyyy-mm-dd(ddd) ") &amp; "오후 21:00"</f>
        <v>2021-05-05(수) 오후 21:00</v>
      </c>
      <c r="K123" s="199"/>
      <c r="L123" s="200"/>
      <c r="M123" s="198" t="str">
        <f>TEXT($G$1+1, "[$-ko-KR]yyyy-mm-dd(ddd) ") &amp; "오전 00:00"</f>
        <v>2021-05-06(목) 오전 00:00</v>
      </c>
      <c r="N123" s="199"/>
      <c r="O123" s="200"/>
      <c r="Q123" s="184"/>
      <c r="R123" s="184"/>
      <c r="S123" s="184"/>
    </row>
    <row r="124" spans="1:19" ht="17.25" thickBot="1">
      <c r="A124" s="23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22.1</v>
      </c>
      <c r="E125" s="14">
        <f>IF(ISNUMBER(D125), (D125 - $B125) / $B125, "")</f>
        <v>-5.9574468085106323E-2</v>
      </c>
      <c r="F125" s="16">
        <f>IF(ISNUMBER(D125), $B145 * E125, "")</f>
        <v>-8936.1702127659482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21.9</v>
      </c>
      <c r="E126" s="32">
        <f t="shared" ref="E126:E129" si="62">IF(ISNUMBER(D126), (D126 - $B126) / $B126, "")</f>
        <v>-4.3668122270742363E-2</v>
      </c>
      <c r="F126" s="18">
        <f>IF(ISNUMBER(D126), $B145 * E126, "")</f>
        <v>-6550.2183406113545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7.98</v>
      </c>
      <c r="E127" s="32">
        <f t="shared" si="62"/>
        <v>-1.2376237623762332E-2</v>
      </c>
      <c r="F127" s="18">
        <f>IF(ISNUMBER(D127), $B145 * E127, "")</f>
        <v>-1856.4356435643497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4"/>
      <c r="R127" s="174"/>
      <c r="S127" s="174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20.7</v>
      </c>
      <c r="E128" s="32">
        <f t="shared" si="62"/>
        <v>-1.895734597156408E-2</v>
      </c>
      <c r="F128" s="18">
        <f>IF(ISNUMBER(D128), $B145 * E128, "")</f>
        <v>-2843.6018957346118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4"/>
      <c r="R128" s="174"/>
      <c r="S128" s="174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71.7</v>
      </c>
      <c r="E129" s="21">
        <f t="shared" si="62"/>
        <v>-2.3160762942779328E-2</v>
      </c>
      <c r="F129" s="22">
        <f>IF(ISNUMBER(D129), $B145 * E129, "")</f>
        <v>-3474.1144414168994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4"/>
      <c r="R129" s="174"/>
      <c r="S129" s="174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91</v>
      </c>
      <c r="E130" s="107">
        <f>IF(ISNUMBER(D130), (D130 - $B130) / $B130, "")</f>
        <v>-2.0452099031216423E-2</v>
      </c>
      <c r="F130" s="108">
        <f>IF(ISNUMBER(D130), $B145 * E130, "")</f>
        <v>-3067.8148546824636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4"/>
      <c r="R130" s="174"/>
      <c r="S130" s="174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34.700000000000003</v>
      </c>
      <c r="E131" s="32">
        <f t="shared" ref="E131:E134" si="66">IF(ISNUMBER(D131), (D131 - $B131) / $B131, "")</f>
        <v>-2.5280898876404452E-2</v>
      </c>
      <c r="F131" s="18">
        <f>IF(ISNUMBER(D131), $B145 * E131, "")</f>
        <v>-3792.134831460668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4"/>
      <c r="R131" s="174"/>
      <c r="S131" s="174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22.6</v>
      </c>
      <c r="E132" s="32">
        <f t="shared" si="66"/>
        <v>-3.8297872340425469E-2</v>
      </c>
      <c r="F132" s="18">
        <f>IF(ISNUMBER(D132), $B145 * E132, "")</f>
        <v>-5744.6808510638202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4"/>
      <c r="R132" s="174"/>
      <c r="S132" s="174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25.9</v>
      </c>
      <c r="E133" s="32">
        <f t="shared" si="66"/>
        <v>-2.2641509433962318E-2</v>
      </c>
      <c r="F133" s="18">
        <f>IF(ISNUMBER(D133), $B145 * E133, "")</f>
        <v>-3396.2264150943479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18.899999999999999</v>
      </c>
      <c r="E134" s="25">
        <f t="shared" si="66"/>
        <v>-3.0769230769230844E-2</v>
      </c>
      <c r="F134" s="104">
        <f>IF(ISNUMBER(D134), $B145 * E134, "")</f>
        <v>-4615.3846153846262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5"/>
      <c r="R134" s="176"/>
      <c r="S134" s="177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18.899999999999999</v>
      </c>
      <c r="E135" s="14">
        <f>IF(ISNUMBER(D135), (D135 - $B135) / $B135, "")</f>
        <v>-2.0725388601036378E-2</v>
      </c>
      <c r="F135" s="16">
        <f>IF(ISNUMBER(D135), $B145 * E135, "")</f>
        <v>-3108.8082901554567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8"/>
      <c r="R135" s="179"/>
      <c r="S135" s="180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70.7</v>
      </c>
      <c r="E136" s="32">
        <f t="shared" ref="E136:E139" si="70">IF(ISNUMBER(D136), (D136 - $B136) / $B136, "")</f>
        <v>-2.077562326869806E-2</v>
      </c>
      <c r="F136" s="18">
        <f>IF(ISNUMBER(D136), $B145 * E136, "")</f>
        <v>-3116.3434903047091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1"/>
      <c r="R136" s="182"/>
      <c r="S136" s="183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29.8</v>
      </c>
      <c r="E137" s="32">
        <f t="shared" si="70"/>
        <v>-1.65016501650165E-2</v>
      </c>
      <c r="F137" s="18">
        <f>IF(ISNUMBER(D137), $B145 * E137, "")</f>
        <v>-2475.2475247524749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4"/>
      <c r="R137" s="174"/>
      <c r="S137" s="174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25.8</v>
      </c>
      <c r="E138" s="32">
        <f t="shared" si="70"/>
        <v>-4.7970479704797071E-2</v>
      </c>
      <c r="F138" s="18">
        <f>IF(ISNUMBER(D138), $B145 * E138, "")</f>
        <v>-7195.5719557195607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29.2</v>
      </c>
      <c r="E139" s="21">
        <f t="shared" si="70"/>
        <v>-2.3411371237458171E-2</v>
      </c>
      <c r="F139" s="22">
        <f>IF(ISNUMBER(D139), $B145 * E139, "")</f>
        <v>-3511.7056856187255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</v>
      </c>
      <c r="E140" s="107">
        <f>IF(ISNUMBER(D140), (D140 - $B140) / $B140, "")</f>
        <v>-1.3157894736842136E-2</v>
      </c>
      <c r="F140" s="108">
        <f>IF(ISNUMBER(D140), $B145 * E140, "")</f>
        <v>-1973.6842105263204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4"/>
      <c r="R140" s="174"/>
      <c r="S140" s="174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61.6</v>
      </c>
      <c r="E141" s="32">
        <f t="shared" ref="E141:E144" si="74">IF(ISNUMBER(D141), (D141 - $B141) / $B141, "")</f>
        <v>-2.3771790808240888E-2</v>
      </c>
      <c r="F141" s="18">
        <f>IF(ISNUMBER(D141), $B145 * E141, "")</f>
        <v>-3565.7686212361332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4"/>
      <c r="R141" s="174"/>
      <c r="S141" s="174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4"/>
      <c r="R142" s="174"/>
      <c r="S142" s="174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3"/>
      <c r="R143" s="164"/>
      <c r="S143" s="165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135" t="s">
        <v>301</v>
      </c>
      <c r="B145" s="227">
        <f>$B$37</f>
        <v>150000</v>
      </c>
      <c r="C145" s="228"/>
      <c r="D145" s="26" t="s">
        <v>302</v>
      </c>
      <c r="E145" s="27">
        <f>IF(COUNT(E125:E144), SUM(E125:E144) / COUNT(E125:E144), 0)</f>
        <v>-2.7146632109840186E-2</v>
      </c>
      <c r="F145" s="28">
        <f>SUM(F125:F144)</f>
        <v>-69223.911880092477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53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67285000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-3.8730784599999998E-2</v>
      </c>
      <c r="N149" s="192"/>
      <c r="O149" s="193"/>
      <c r="Q149" s="184"/>
      <c r="R149" s="184"/>
      <c r="S149" s="184"/>
    </row>
    <row r="150" spans="1:19" ht="17.25" thickBot="1">
      <c r="A150" s="229" t="s">
        <v>55</v>
      </c>
      <c r="B150" s="225" t="str">
        <f>TEXT($G$1, "[$-ko-KR]yyyy-mm-dd(ddd) ") &amp; "오전 00:00"</f>
        <v>2021-05-05(수) 오전 00:00</v>
      </c>
      <c r="C150" s="226"/>
      <c r="D150" s="198" t="str">
        <f>TEXT($G$1, "[$-ko-KR]yyyy-mm-dd(ddd) ") &amp; "오후 14:00"</f>
        <v>2021-05-05(수) 오후 14:00</v>
      </c>
      <c r="E150" s="199"/>
      <c r="F150" s="200"/>
      <c r="G150" s="198" t="str">
        <f>TEXT($G$1, "[$-ko-KR]yyyy-mm-dd(ddd) ") &amp; "오후 19:00"</f>
        <v>2021-05-05(수) 오후 19:00</v>
      </c>
      <c r="H150" s="199"/>
      <c r="I150" s="200"/>
      <c r="J150" s="198" t="str">
        <f>TEXT($G$1, "[$-ko-KR]yyyy-mm-dd(ddd) ") &amp; "오후 21:00"</f>
        <v>2021-05-05(수) 오후 21:00</v>
      </c>
      <c r="K150" s="199"/>
      <c r="L150" s="200"/>
      <c r="M150" s="198" t="str">
        <f>TEXT($G$1+1, "[$-ko-KR]yyyy-mm-dd(ddd) ") &amp; "오전 00:00"</f>
        <v>2021-05-06(목) 오전 00:00</v>
      </c>
      <c r="N150" s="199"/>
      <c r="O150" s="200"/>
      <c r="Q150" s="184"/>
      <c r="R150" s="184"/>
      <c r="S150" s="184"/>
    </row>
    <row r="151" spans="1:19" ht="17.25" thickBot="1">
      <c r="A151" s="23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470</v>
      </c>
      <c r="E152" s="14">
        <f>IF(ISNUMBER(D152), (D152 - $B152) / $B152, "")</f>
        <v>2.1321961620469083E-3</v>
      </c>
      <c r="F152" s="16">
        <f>IF(ISNUMBER(D152), $B172 * E152, "")</f>
        <v>319.82942430703622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282</v>
      </c>
      <c r="E153" s="32">
        <f t="shared" ref="E153:E156" si="78">IF(ISNUMBER(D153), (D153 - $B153) / $B153, "")</f>
        <v>-7.0422535211267607E-3</v>
      </c>
      <c r="F153" s="18">
        <f>IF(ISNUMBER(D153), $B172 * E153, "")</f>
        <v>-1056.338028169014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199</v>
      </c>
      <c r="E154" s="32">
        <f t="shared" si="78"/>
        <v>-2.4509803921568627E-2</v>
      </c>
      <c r="F154" s="18">
        <f>IF(ISNUMBER(D154), $B172 * E154, "")</f>
        <v>-3676.4705882352941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4"/>
      <c r="R154" s="174"/>
      <c r="S154" s="174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121</v>
      </c>
      <c r="E155" s="32">
        <f t="shared" si="78"/>
        <v>-2.4193548387096774E-2</v>
      </c>
      <c r="F155" s="18">
        <f>IF(ISNUMBER(D155), $B172 * E155, "")</f>
        <v>-3629.0322580645161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4"/>
      <c r="R155" s="174"/>
      <c r="S155" s="174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732</v>
      </c>
      <c r="E156" s="21">
        <f t="shared" si="78"/>
        <v>-2.0080321285140562E-2</v>
      </c>
      <c r="F156" s="22">
        <f>IF(ISNUMBER(D156), $B172 * E156, "")</f>
        <v>-3012.0481927710844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4"/>
      <c r="R156" s="174"/>
      <c r="S156" s="174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504</v>
      </c>
      <c r="E157" s="107">
        <f>IF(ISNUMBER(D157), (D157 - $B157) / $B157, "")</f>
        <v>-2.8901734104046242E-2</v>
      </c>
      <c r="F157" s="108">
        <f>IF(ISNUMBER(D157), $B172 * E157, "")</f>
        <v>-4335.2601156069368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4"/>
      <c r="R157" s="174"/>
      <c r="S157" s="174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180</v>
      </c>
      <c r="E158" s="32">
        <f t="shared" ref="E158:E161" si="82">IF(ISNUMBER(D158), (D158 - $B158) / $B158, "")</f>
        <v>-2.7027027027027029E-2</v>
      </c>
      <c r="F158" s="18">
        <f>IF(ISNUMBER(D158), $B172 * E158, "")</f>
        <v>-4054.0540540540542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4"/>
      <c r="R158" s="174"/>
      <c r="S158" s="174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439</v>
      </c>
      <c r="E159" s="32">
        <f t="shared" si="82"/>
        <v>-3.9387308533916851E-2</v>
      </c>
      <c r="F159" s="18">
        <f>IF(ISNUMBER(D159), $B172 * E159, "")</f>
        <v>-5908.0962800875277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4"/>
      <c r="R159" s="174"/>
      <c r="S159" s="174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500</v>
      </c>
      <c r="E160" s="32">
        <f t="shared" si="82"/>
        <v>-2.1526418786692758E-2</v>
      </c>
      <c r="F160" s="18">
        <f>IF(ISNUMBER(D160), $B172 * E160, "")</f>
        <v>-3228.9628180039135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516</v>
      </c>
      <c r="E161" s="25">
        <f t="shared" si="82"/>
        <v>-9.5969289827255271E-3</v>
      </c>
      <c r="F161" s="104">
        <f>IF(ISNUMBER(D161), $B172 * E161, "")</f>
        <v>-1439.5393474088291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5"/>
      <c r="R161" s="176"/>
      <c r="S161" s="177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125</v>
      </c>
      <c r="E162" s="14">
        <f>IF(ISNUMBER(D162), (D162 - $B162) / $B162, "")</f>
        <v>-3.1007751937984496E-2</v>
      </c>
      <c r="F162" s="16">
        <f>IF(ISNUMBER(D162), $B172 * E162, "")</f>
        <v>-4651.1627906976746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8"/>
      <c r="R162" s="179"/>
      <c r="S162" s="180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220</v>
      </c>
      <c r="E163" s="32">
        <f t="shared" ref="E163:E166" si="86">IF(ISNUMBER(D163), (D163 - $B163) / $B163, "")</f>
        <v>-1.7857142857142856E-2</v>
      </c>
      <c r="F163" s="18">
        <f>IF(ISNUMBER(D163), $B172 * E163, "")</f>
        <v>-2678.5714285714284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1"/>
      <c r="R163" s="182"/>
      <c r="S163" s="183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174</v>
      </c>
      <c r="E164" s="32">
        <f t="shared" si="86"/>
        <v>-2.7932960893854747E-2</v>
      </c>
      <c r="F164" s="18">
        <f>IF(ISNUMBER(D164), $B172 * E164, "")</f>
        <v>-4189.9441340782123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4"/>
      <c r="R164" s="174"/>
      <c r="S164" s="174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192</v>
      </c>
      <c r="E165" s="32">
        <f t="shared" si="86"/>
        <v>-2.0408163265306121E-2</v>
      </c>
      <c r="F165" s="18">
        <f>IF(ISNUMBER(D165), $B172 * E165, "")</f>
        <v>-3061.2244897959181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261</v>
      </c>
      <c r="E166" s="21">
        <f t="shared" si="86"/>
        <v>-1.1363636363636364E-2</v>
      </c>
      <c r="F166" s="22">
        <f>IF(ISNUMBER(D166), $B172 * E166, "")</f>
        <v>-1704.5454545454545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355</v>
      </c>
      <c r="E167" s="107">
        <f>IF(ISNUMBER(D167), (D167 - $B167) / $B167, "")</f>
        <v>-2.4725274725274724E-2</v>
      </c>
      <c r="F167" s="108">
        <f>IF(ISNUMBER(D167), $B172 * E167, "")</f>
        <v>-3708.7912087912086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4"/>
      <c r="R167" s="174"/>
      <c r="S167" s="174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220</v>
      </c>
      <c r="E168" s="32">
        <f t="shared" ref="E168:E171" si="90">IF(ISNUMBER(D168), (D168 - $B168) / $B168, "")</f>
        <v>-2.6548672566371681E-2</v>
      </c>
      <c r="F168" s="18">
        <f>IF(ISNUMBER(D168), $B172 * E168, "")</f>
        <v>-3982.3008849557523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4"/>
      <c r="R168" s="174"/>
      <c r="S168" s="174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181</v>
      </c>
      <c r="E169" s="32">
        <f t="shared" si="90"/>
        <v>-2.1621621621621623E-2</v>
      </c>
      <c r="F169" s="18">
        <f>IF(ISNUMBER(D169), $B172 * E169, "")</f>
        <v>-3243.2432432432433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4"/>
      <c r="R169" s="174"/>
      <c r="S169" s="174"/>
    </row>
    <row r="170" spans="1:19">
      <c r="A170" s="128" t="s">
        <v>210</v>
      </c>
      <c r="B170" s="129">
        <v>203</v>
      </c>
      <c r="C170" s="77">
        <v>-9.375E-2</v>
      </c>
      <c r="D170" s="15">
        <v>202</v>
      </c>
      <c r="E170" s="32">
        <f t="shared" si="90"/>
        <v>-4.9261083743842365E-3</v>
      </c>
      <c r="F170" s="18">
        <f>IF(ISNUMBER(D170), $B172 * E170, "")</f>
        <v>-738.91625615763553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3"/>
      <c r="R170" s="164"/>
      <c r="S170" s="165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156</v>
      </c>
      <c r="E171" s="25">
        <f t="shared" si="90"/>
        <v>-2.5000000000000001E-2</v>
      </c>
      <c r="F171" s="104">
        <f>IF(ISNUMBER(D171), $B172 * E171, "")</f>
        <v>-3750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6"/>
      <c r="R171" s="167"/>
      <c r="S171" s="168"/>
    </row>
    <row r="172" spans="1:19" ht="17.25" thickBot="1">
      <c r="A172" s="135" t="s">
        <v>301</v>
      </c>
      <c r="B172" s="227">
        <f>$B$37</f>
        <v>150000</v>
      </c>
      <c r="C172" s="228"/>
      <c r="D172" s="26" t="s">
        <v>302</v>
      </c>
      <c r="E172" s="27">
        <f>IF(COUNT(E152:E171), SUM(E152:E171) / COUNT(E152:E171), 0)</f>
        <v>-2.0576224049643557E-2</v>
      </c>
      <c r="F172" s="28">
        <f>SUM(F152:F171)</f>
        <v>-61728.672148930666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53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67285000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-3.8730784599999998E-2</v>
      </c>
      <c r="N176" s="192"/>
      <c r="O176" s="193"/>
      <c r="Q176" s="184"/>
      <c r="R176" s="184"/>
      <c r="S176" s="184"/>
    </row>
    <row r="177" spans="1:19" ht="17.25" thickBot="1">
      <c r="A177" s="229" t="s">
        <v>55</v>
      </c>
      <c r="B177" s="225" t="str">
        <f>TEXT($G$1, "[$-ko-KR]yyyy-mm-dd(ddd) ") &amp; "오전 00:00"</f>
        <v>2021-05-05(수) 오전 00:00</v>
      </c>
      <c r="C177" s="226"/>
      <c r="D177" s="198" t="str">
        <f>TEXT($G$1, "[$-ko-KR]yyyy-mm-dd(ddd) ") &amp; "오후 14:00"</f>
        <v>2021-05-05(수) 오후 14:00</v>
      </c>
      <c r="E177" s="199"/>
      <c r="F177" s="200"/>
      <c r="G177" s="198" t="str">
        <f>TEXT($G$1, "[$-ko-KR]yyyy-mm-dd(ddd) ") &amp; "오후 19:00"</f>
        <v>2021-05-05(수) 오후 19:00</v>
      </c>
      <c r="H177" s="199"/>
      <c r="I177" s="200"/>
      <c r="J177" s="198" t="str">
        <f>TEXT($G$1, "[$-ko-KR]yyyy-mm-dd(ddd) ") &amp; "오후 21:00"</f>
        <v>2021-05-05(수) 오후 21:00</v>
      </c>
      <c r="K177" s="199"/>
      <c r="L177" s="200"/>
      <c r="M177" s="198" t="str">
        <f>TEXT($G$1+1, "[$-ko-KR]yyyy-mm-dd(ddd) ") &amp; "오전 00:00"</f>
        <v>2021-05-06(목) 오전 00:00</v>
      </c>
      <c r="N177" s="199"/>
      <c r="O177" s="200"/>
      <c r="Q177" s="184"/>
      <c r="R177" s="184"/>
      <c r="S177" s="184"/>
    </row>
    <row r="178" spans="1:19" ht="17.25" thickBot="1">
      <c r="A178" s="23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125</v>
      </c>
      <c r="E179" s="14">
        <f>IF(ISNUMBER(D179), (D179 - $B179) / $B179, "")</f>
        <v>-3.1007751937984496E-2</v>
      </c>
      <c r="F179" s="16">
        <f>IF(ISNUMBER(D179), $B199 * E179, "")</f>
        <v>-4651.1627906976746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18020</v>
      </c>
      <c r="E180" s="32">
        <f t="shared" ref="E180:E183" si="94">IF(ISNUMBER(D180), (D180 - $B180) / $B180, "")</f>
        <v>-1.7448200654307525E-2</v>
      </c>
      <c r="F180" s="18">
        <f>IF(ISNUMBER(D180), $B199 * E180, "")</f>
        <v>-2617.230098146129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1100</v>
      </c>
      <c r="E181" s="32">
        <f t="shared" si="94"/>
        <v>-2.2222222222222223E-2</v>
      </c>
      <c r="F181" s="18">
        <f>IF(ISNUMBER(D181), $B199 * E181, "")</f>
        <v>-3333.3333333333335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4"/>
      <c r="R181" s="174"/>
      <c r="S181" s="174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220</v>
      </c>
      <c r="E182" s="32">
        <f t="shared" si="94"/>
        <v>-1.7857142857142856E-2</v>
      </c>
      <c r="F182" s="18">
        <f>IF(ISNUMBER(D182), $B199 * E182, "")</f>
        <v>-2678.5714285714284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4"/>
      <c r="R182" s="174"/>
      <c r="S182" s="174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174</v>
      </c>
      <c r="E183" s="21">
        <f t="shared" si="94"/>
        <v>-2.7932960893854747E-2</v>
      </c>
      <c r="F183" s="22">
        <f>IF(ISNUMBER(D183), $B199 * E183, "")</f>
        <v>-4189.9441340782123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4"/>
      <c r="R183" s="174"/>
      <c r="S183" s="174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70.7</v>
      </c>
      <c r="E184" s="107">
        <f>IF(ISNUMBER(D184), (D184 - $B184) / $B184, "")</f>
        <v>-2.077562326869806E-2</v>
      </c>
      <c r="F184" s="108">
        <f>IF(ISNUMBER(D184), $B199 * E184, "")</f>
        <v>-3116.3434903047091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4"/>
      <c r="R184" s="174"/>
      <c r="S184" s="174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29.8</v>
      </c>
      <c r="E185" s="32">
        <f t="shared" ref="E185:E188" si="98">IF(ISNUMBER(D185), (D185 - $B185) / $B185, "")</f>
        <v>-1.65016501650165E-2</v>
      </c>
      <c r="F185" s="18">
        <f>IF(ISNUMBER(D185), $B199 * E185, "")</f>
        <v>-2475.2475247524749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4"/>
      <c r="R185" s="174"/>
      <c r="S185" s="174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25.8</v>
      </c>
      <c r="E186" s="32">
        <f t="shared" si="98"/>
        <v>-4.7970479704797071E-2</v>
      </c>
      <c r="F186" s="18">
        <f>IF(ISNUMBER(D186), $B199 * E186, "")</f>
        <v>-7195.5719557195607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4"/>
      <c r="R186" s="174"/>
      <c r="S186" s="174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192</v>
      </c>
      <c r="E187" s="32">
        <f t="shared" si="98"/>
        <v>-2.0408163265306121E-2</v>
      </c>
      <c r="F187" s="18">
        <f>IF(ISNUMBER(D187), $B199 * E187, "")</f>
        <v>-3061.2244897959181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29.2</v>
      </c>
      <c r="E188" s="25">
        <f t="shared" si="98"/>
        <v>-2.3411371237458171E-2</v>
      </c>
      <c r="F188" s="104">
        <f>IF(ISNUMBER(D188), $B199 * E188, "")</f>
        <v>-3511.7056856187255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5"/>
      <c r="R188" s="176"/>
      <c r="S188" s="177"/>
    </row>
    <row r="189" spans="1:19">
      <c r="A189" s="126" t="s">
        <v>112</v>
      </c>
      <c r="B189" s="127">
        <v>264</v>
      </c>
      <c r="C189" s="76">
        <v>-8.9655172399999997E-2</v>
      </c>
      <c r="D189" s="13">
        <v>261</v>
      </c>
      <c r="E189" s="14">
        <f>IF(ISNUMBER(D189), (D189 - $B189) / $B189, "")</f>
        <v>-1.1363636363636364E-2</v>
      </c>
      <c r="F189" s="16">
        <f>IF(ISNUMBER(D189), $B199 * E189, "")</f>
        <v>-1704.5454545454545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8"/>
      <c r="R189" s="179"/>
      <c r="S189" s="180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</v>
      </c>
      <c r="E190" s="32">
        <f t="shared" ref="E190:E193" si="102">IF(ISNUMBER(D190), (D190 - $B190) / $B190, "")</f>
        <v>-1.3157894736842136E-2</v>
      </c>
      <c r="F190" s="18">
        <f>IF(ISNUMBER(D190), $B199 * E190, "")</f>
        <v>-1973.6842105263204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1"/>
      <c r="R190" s="182"/>
      <c r="S190" s="183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355</v>
      </c>
      <c r="E191" s="32">
        <f t="shared" si="102"/>
        <v>-2.4725274725274724E-2</v>
      </c>
      <c r="F191" s="18">
        <f>IF(ISNUMBER(D191), $B199 * E191, "")</f>
        <v>-3708.7912087912086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4"/>
      <c r="R191" s="174"/>
      <c r="S191" s="174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7100</v>
      </c>
      <c r="E192" s="32">
        <f t="shared" si="102"/>
        <v>-1.8659295093296474E-2</v>
      </c>
      <c r="F192" s="18">
        <f>IF(ISNUMBER(D192), $B199 * E192, "")</f>
        <v>-2798.8942639944712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3705</v>
      </c>
      <c r="E193" s="21">
        <f t="shared" si="102"/>
        <v>-1.4627659574468085E-2</v>
      </c>
      <c r="F193" s="22">
        <f>IF(ISNUMBER(D193), $B199 * E193, "")</f>
        <v>-2194.1489361702129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220</v>
      </c>
      <c r="E194" s="107">
        <f>IF(ISNUMBER(D194), (D194 - $B194) / $B194, "")</f>
        <v>-2.6548672566371681E-2</v>
      </c>
      <c r="F194" s="108">
        <f>IF(ISNUMBER(D194), $B199 * E194, "")</f>
        <v>-3982.3008849557523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4"/>
      <c r="R194" s="174"/>
      <c r="S194" s="174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181</v>
      </c>
      <c r="E195" s="32">
        <f t="shared" ref="E195:E198" si="106">IF(ISNUMBER(D195), (D195 - $B195) / $B195, "")</f>
        <v>-2.1621621621621623E-2</v>
      </c>
      <c r="F195" s="18">
        <f>IF(ISNUMBER(D195), $B199 * E195, "")</f>
        <v>-3243.2432432432433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4"/>
      <c r="R195" s="174"/>
      <c r="S195" s="174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202</v>
      </c>
      <c r="E196" s="32">
        <f t="shared" si="106"/>
        <v>-4.9261083743842365E-3</v>
      </c>
      <c r="F196" s="18">
        <f>IF(ISNUMBER(D196), $B199 * E196, "")</f>
        <v>-738.91625615763553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4"/>
      <c r="R196" s="174"/>
      <c r="S196" s="174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61.6</v>
      </c>
      <c r="E197" s="32">
        <f t="shared" si="106"/>
        <v>-2.3771790808240888E-2</v>
      </c>
      <c r="F197" s="18">
        <f>IF(ISNUMBER(D197), $B199 * E197, "")</f>
        <v>-3565.7686212361332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3"/>
      <c r="R197" s="164"/>
      <c r="S197" s="165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156</v>
      </c>
      <c r="E198" s="25">
        <f t="shared" si="106"/>
        <v>-2.5000000000000001E-2</v>
      </c>
      <c r="F198" s="104">
        <f>IF(ISNUMBER(D198), $B199 * E198, "")</f>
        <v>-3750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6"/>
      <c r="R198" s="167"/>
      <c r="S198" s="168"/>
    </row>
    <row r="199" spans="1:19" ht="17.25" thickBot="1">
      <c r="A199" s="135" t="s">
        <v>301</v>
      </c>
      <c r="B199" s="227">
        <f>$B$37</f>
        <v>150000</v>
      </c>
      <c r="C199" s="228"/>
      <c r="D199" s="26" t="s">
        <v>302</v>
      </c>
      <c r="E199" s="27">
        <f>IF(COUNT(E179:E198), SUM(E179:E198) / COUNT(E179:E198), 0)</f>
        <v>-2.1496876003546203E-2</v>
      </c>
      <c r="F199" s="28">
        <f>SUM(F179:F198)</f>
        <v>-64490.628010638597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69"/>
      <c r="R199" s="170"/>
      <c r="S199" s="1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2021-05-04T17:32:16Z</dcterms:modified>
</cp:coreProperties>
</file>