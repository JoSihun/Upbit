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drawings/drawing4.xml" ContentType="application/vnd.openxmlformats-officedocument.drawing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5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drawings/drawing6.xml" ContentType="application/vnd.openxmlformats-officedocument.drawing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drawings/drawing7.xml" ContentType="application/vnd.openxmlformats-officedocument.drawing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A483CECE-6724-48C8-95ED-DA798934E2CD}" xr6:coauthVersionLast="46" xr6:coauthVersionMax="46" xr10:uidLastSave="{00000000-0000-0000-0000-000000000000}"/>
  <bookViews>
    <workbookView xWindow="28680" yWindow="-120" windowWidth="29040" windowHeight="15840" firstSheet="1" activeTab="7" xr2:uid="{6DFA4163-58A4-446A-8567-281C8DD649E3}"/>
  </bookViews>
  <sheets>
    <sheet name="투자전략(조건부서식초기화)" sheetId="23" state="hidden" r:id="rId1"/>
    <sheet name="투자전략" sheetId="6" r:id="rId2"/>
    <sheet name="월말정산" sheetId="9" r:id="rId3"/>
    <sheet name="현재가테이블" sheetId="3" r:id="rId4"/>
    <sheet name="종목선정" sheetId="5" r:id="rId5"/>
    <sheet name="2021.05.01" sheetId="24" r:id="rId6"/>
    <sheet name="2021.05.02" sheetId="25" r:id="rId7"/>
    <sheet name="2021.05.03" sheetId="26" r:id="rId8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4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3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6" l="1"/>
  <c r="O198" i="26"/>
  <c r="N198" i="26"/>
  <c r="L198" i="26"/>
  <c r="K198" i="26"/>
  <c r="I198" i="26"/>
  <c r="H198" i="26"/>
  <c r="F198" i="26"/>
  <c r="E198" i="26"/>
  <c r="O197" i="26"/>
  <c r="N197" i="26"/>
  <c r="L197" i="26"/>
  <c r="K197" i="26"/>
  <c r="I197" i="26"/>
  <c r="H197" i="26"/>
  <c r="F197" i="26"/>
  <c r="E197" i="26"/>
  <c r="O196" i="26"/>
  <c r="N196" i="26"/>
  <c r="L196" i="26"/>
  <c r="K196" i="26"/>
  <c r="I196" i="26"/>
  <c r="H196" i="26"/>
  <c r="F196" i="26"/>
  <c r="E196" i="26"/>
  <c r="O195" i="26"/>
  <c r="N195" i="26"/>
  <c r="L195" i="26"/>
  <c r="K195" i="26"/>
  <c r="I195" i="26"/>
  <c r="H195" i="26"/>
  <c r="F195" i="26"/>
  <c r="E195" i="26"/>
  <c r="O194" i="26"/>
  <c r="N194" i="26"/>
  <c r="L194" i="26"/>
  <c r="K194" i="26"/>
  <c r="I194" i="26"/>
  <c r="H194" i="26"/>
  <c r="F194" i="26"/>
  <c r="E194" i="26"/>
  <c r="O193" i="26"/>
  <c r="N193" i="26"/>
  <c r="L193" i="26"/>
  <c r="K193" i="26"/>
  <c r="I193" i="26"/>
  <c r="H193" i="26"/>
  <c r="F193" i="26"/>
  <c r="E193" i="26"/>
  <c r="O192" i="26"/>
  <c r="N192" i="26"/>
  <c r="L192" i="26"/>
  <c r="K192" i="26"/>
  <c r="I192" i="26"/>
  <c r="H192" i="26"/>
  <c r="F192" i="26"/>
  <c r="E192" i="26"/>
  <c r="O191" i="26"/>
  <c r="N191" i="26"/>
  <c r="L191" i="26"/>
  <c r="K191" i="26"/>
  <c r="I191" i="26"/>
  <c r="H191" i="26"/>
  <c r="F191" i="26"/>
  <c r="E191" i="26"/>
  <c r="O190" i="26"/>
  <c r="N190" i="26"/>
  <c r="L190" i="26"/>
  <c r="K190" i="26"/>
  <c r="I190" i="26"/>
  <c r="H190" i="26"/>
  <c r="F190" i="26"/>
  <c r="E190" i="26"/>
  <c r="O189" i="26"/>
  <c r="N189" i="26"/>
  <c r="L189" i="26"/>
  <c r="K189" i="26"/>
  <c r="I189" i="26"/>
  <c r="H189" i="26"/>
  <c r="F189" i="26"/>
  <c r="E189" i="26"/>
  <c r="O188" i="26"/>
  <c r="N188" i="26"/>
  <c r="L188" i="26"/>
  <c r="K188" i="26"/>
  <c r="I188" i="26"/>
  <c r="H188" i="26"/>
  <c r="F188" i="26"/>
  <c r="E188" i="26"/>
  <c r="O187" i="26"/>
  <c r="N187" i="26"/>
  <c r="L187" i="26"/>
  <c r="K187" i="26"/>
  <c r="I187" i="26"/>
  <c r="H187" i="26"/>
  <c r="F187" i="26"/>
  <c r="E187" i="26"/>
  <c r="O186" i="26"/>
  <c r="N186" i="26"/>
  <c r="L186" i="26"/>
  <c r="K186" i="26"/>
  <c r="I186" i="26"/>
  <c r="H186" i="26"/>
  <c r="F186" i="26"/>
  <c r="E186" i="26"/>
  <c r="O185" i="26"/>
  <c r="N185" i="26"/>
  <c r="L185" i="26"/>
  <c r="K185" i="26"/>
  <c r="I185" i="26"/>
  <c r="H185" i="26"/>
  <c r="F185" i="26"/>
  <c r="E185" i="26"/>
  <c r="O184" i="26"/>
  <c r="N184" i="26"/>
  <c r="L184" i="26"/>
  <c r="K184" i="26"/>
  <c r="I184" i="26"/>
  <c r="H184" i="26"/>
  <c r="F184" i="26"/>
  <c r="E184" i="26"/>
  <c r="O183" i="26"/>
  <c r="N183" i="26"/>
  <c r="L183" i="26"/>
  <c r="K183" i="26"/>
  <c r="I183" i="26"/>
  <c r="H183" i="26"/>
  <c r="F183" i="26"/>
  <c r="E183" i="26"/>
  <c r="O182" i="26"/>
  <c r="N182" i="26"/>
  <c r="L182" i="26"/>
  <c r="K182" i="26"/>
  <c r="I182" i="26"/>
  <c r="H182" i="26"/>
  <c r="F182" i="26"/>
  <c r="E182" i="26"/>
  <c r="O181" i="26"/>
  <c r="N181" i="26"/>
  <c r="L181" i="26"/>
  <c r="K181" i="26"/>
  <c r="I181" i="26"/>
  <c r="H181" i="26"/>
  <c r="F181" i="26"/>
  <c r="E181" i="26"/>
  <c r="O180" i="26"/>
  <c r="N180" i="26"/>
  <c r="L180" i="26"/>
  <c r="K180" i="26"/>
  <c r="I180" i="26"/>
  <c r="H180" i="26"/>
  <c r="F180" i="26"/>
  <c r="E180" i="26"/>
  <c r="O179" i="26"/>
  <c r="O199" i="26" s="1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O170" i="26"/>
  <c r="N170" i="26"/>
  <c r="L170" i="26"/>
  <c r="K170" i="26"/>
  <c r="I170" i="26"/>
  <c r="H170" i="26"/>
  <c r="F170" i="26"/>
  <c r="E170" i="26"/>
  <c r="O169" i="26"/>
  <c r="N169" i="26"/>
  <c r="L169" i="26"/>
  <c r="K169" i="26"/>
  <c r="I169" i="26"/>
  <c r="H169" i="26"/>
  <c r="F169" i="26"/>
  <c r="E169" i="26"/>
  <c r="O168" i="26"/>
  <c r="N168" i="26"/>
  <c r="L168" i="26"/>
  <c r="K168" i="26"/>
  <c r="I168" i="26"/>
  <c r="H168" i="26"/>
  <c r="F168" i="26"/>
  <c r="E168" i="26"/>
  <c r="O167" i="26"/>
  <c r="N167" i="26"/>
  <c r="L167" i="26"/>
  <c r="K167" i="26"/>
  <c r="I167" i="26"/>
  <c r="H167" i="26"/>
  <c r="F167" i="26"/>
  <c r="E167" i="26"/>
  <c r="O166" i="26"/>
  <c r="N166" i="26"/>
  <c r="L166" i="26"/>
  <c r="K166" i="26"/>
  <c r="I166" i="26"/>
  <c r="H166" i="26"/>
  <c r="F166" i="26"/>
  <c r="E166" i="26"/>
  <c r="O165" i="26"/>
  <c r="N165" i="26"/>
  <c r="L165" i="26"/>
  <c r="K165" i="26"/>
  <c r="I165" i="26"/>
  <c r="H165" i="26"/>
  <c r="F165" i="26"/>
  <c r="E165" i="26"/>
  <c r="O164" i="26"/>
  <c r="N164" i="26"/>
  <c r="L164" i="26"/>
  <c r="K164" i="26"/>
  <c r="I164" i="26"/>
  <c r="H164" i="26"/>
  <c r="F164" i="26"/>
  <c r="E164" i="26"/>
  <c r="O163" i="26"/>
  <c r="N163" i="26"/>
  <c r="L163" i="26"/>
  <c r="K163" i="26"/>
  <c r="I163" i="26"/>
  <c r="H163" i="26"/>
  <c r="F163" i="26"/>
  <c r="E163" i="26"/>
  <c r="O162" i="26"/>
  <c r="N162" i="26"/>
  <c r="L162" i="26"/>
  <c r="K162" i="26"/>
  <c r="I162" i="26"/>
  <c r="H162" i="26"/>
  <c r="F162" i="26"/>
  <c r="E162" i="26"/>
  <c r="O161" i="26"/>
  <c r="N161" i="26"/>
  <c r="L161" i="26"/>
  <c r="K161" i="26"/>
  <c r="I161" i="26"/>
  <c r="H161" i="26"/>
  <c r="F161" i="26"/>
  <c r="E161" i="26"/>
  <c r="O160" i="26"/>
  <c r="N160" i="26"/>
  <c r="L160" i="26"/>
  <c r="K160" i="26"/>
  <c r="I160" i="26"/>
  <c r="H160" i="26"/>
  <c r="F160" i="26"/>
  <c r="E160" i="26"/>
  <c r="O159" i="26"/>
  <c r="N159" i="26"/>
  <c r="L159" i="26"/>
  <c r="K159" i="26"/>
  <c r="I159" i="26"/>
  <c r="H159" i="26"/>
  <c r="F159" i="26"/>
  <c r="E159" i="26"/>
  <c r="O158" i="26"/>
  <c r="N158" i="26"/>
  <c r="L158" i="26"/>
  <c r="K158" i="26"/>
  <c r="I158" i="26"/>
  <c r="H158" i="26"/>
  <c r="F158" i="26"/>
  <c r="E158" i="26"/>
  <c r="O157" i="26"/>
  <c r="N157" i="26"/>
  <c r="L157" i="26"/>
  <c r="K157" i="26"/>
  <c r="I157" i="26"/>
  <c r="H157" i="26"/>
  <c r="F157" i="26"/>
  <c r="E157" i="26"/>
  <c r="O156" i="26"/>
  <c r="N156" i="26"/>
  <c r="L156" i="26"/>
  <c r="K156" i="26"/>
  <c r="I156" i="26"/>
  <c r="H156" i="26"/>
  <c r="F156" i="26"/>
  <c r="E156" i="26"/>
  <c r="O155" i="26"/>
  <c r="N155" i="26"/>
  <c r="L155" i="26"/>
  <c r="K155" i="26"/>
  <c r="I155" i="26"/>
  <c r="H155" i="26"/>
  <c r="F155" i="26"/>
  <c r="E155" i="26"/>
  <c r="O154" i="26"/>
  <c r="N154" i="26"/>
  <c r="L154" i="26"/>
  <c r="K154" i="26"/>
  <c r="I154" i="26"/>
  <c r="H154" i="26"/>
  <c r="F154" i="26"/>
  <c r="E154" i="26"/>
  <c r="O153" i="26"/>
  <c r="N153" i="26"/>
  <c r="L153" i="26"/>
  <c r="K153" i="26"/>
  <c r="I153" i="26"/>
  <c r="H153" i="26"/>
  <c r="F153" i="26"/>
  <c r="E153" i="26"/>
  <c r="O152" i="26"/>
  <c r="O172" i="26" s="1"/>
  <c r="N152" i="26"/>
  <c r="N172" i="26" s="1"/>
  <c r="L152" i="26"/>
  <c r="L172" i="26" s="1"/>
  <c r="K152" i="26"/>
  <c r="K172" i="26" s="1"/>
  <c r="I152" i="26"/>
  <c r="I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O141" i="26"/>
  <c r="N141" i="26"/>
  <c r="L141" i="26"/>
  <c r="K141" i="26"/>
  <c r="I141" i="26"/>
  <c r="H141" i="26"/>
  <c r="F141" i="26"/>
  <c r="E141" i="26"/>
  <c r="O140" i="26"/>
  <c r="N140" i="26"/>
  <c r="L140" i="26"/>
  <c r="K140" i="26"/>
  <c r="I140" i="26"/>
  <c r="H140" i="26"/>
  <c r="F140" i="26"/>
  <c r="E140" i="26"/>
  <c r="O139" i="26"/>
  <c r="N139" i="26"/>
  <c r="L139" i="26"/>
  <c r="K139" i="26"/>
  <c r="I139" i="26"/>
  <c r="H139" i="26"/>
  <c r="F139" i="26"/>
  <c r="E139" i="26"/>
  <c r="O138" i="26"/>
  <c r="N138" i="26"/>
  <c r="L138" i="26"/>
  <c r="K138" i="26"/>
  <c r="I138" i="26"/>
  <c r="H138" i="26"/>
  <c r="F138" i="26"/>
  <c r="E138" i="26"/>
  <c r="O137" i="26"/>
  <c r="N137" i="26"/>
  <c r="L137" i="26"/>
  <c r="K137" i="26"/>
  <c r="I137" i="26"/>
  <c r="H137" i="26"/>
  <c r="F137" i="26"/>
  <c r="E137" i="26"/>
  <c r="O136" i="26"/>
  <c r="N136" i="26"/>
  <c r="L136" i="26"/>
  <c r="K136" i="26"/>
  <c r="I136" i="26"/>
  <c r="H136" i="26"/>
  <c r="F136" i="26"/>
  <c r="E136" i="26"/>
  <c r="O135" i="26"/>
  <c r="N135" i="26"/>
  <c r="L135" i="26"/>
  <c r="K135" i="26"/>
  <c r="I135" i="26"/>
  <c r="H135" i="26"/>
  <c r="F135" i="26"/>
  <c r="E135" i="26"/>
  <c r="O134" i="26"/>
  <c r="N134" i="26"/>
  <c r="L134" i="26"/>
  <c r="K134" i="26"/>
  <c r="I134" i="26"/>
  <c r="H134" i="26"/>
  <c r="F134" i="26"/>
  <c r="E134" i="26"/>
  <c r="O133" i="26"/>
  <c r="N133" i="26"/>
  <c r="L133" i="26"/>
  <c r="K133" i="26"/>
  <c r="I133" i="26"/>
  <c r="H133" i="26"/>
  <c r="F133" i="26"/>
  <c r="E133" i="26"/>
  <c r="O132" i="26"/>
  <c r="N132" i="26"/>
  <c r="L132" i="26"/>
  <c r="K132" i="26"/>
  <c r="I132" i="26"/>
  <c r="H132" i="26"/>
  <c r="F132" i="26"/>
  <c r="E132" i="26"/>
  <c r="O131" i="26"/>
  <c r="N131" i="26"/>
  <c r="L131" i="26"/>
  <c r="K131" i="26"/>
  <c r="I131" i="26"/>
  <c r="H131" i="26"/>
  <c r="F131" i="26"/>
  <c r="E131" i="26"/>
  <c r="O130" i="26"/>
  <c r="N130" i="26"/>
  <c r="L130" i="26"/>
  <c r="K130" i="26"/>
  <c r="I130" i="26"/>
  <c r="H130" i="26"/>
  <c r="F130" i="26"/>
  <c r="E130" i="26"/>
  <c r="O129" i="26"/>
  <c r="N129" i="26"/>
  <c r="L129" i="26"/>
  <c r="K129" i="26"/>
  <c r="I129" i="26"/>
  <c r="H129" i="26"/>
  <c r="F129" i="26"/>
  <c r="E129" i="26"/>
  <c r="O128" i="26"/>
  <c r="N128" i="26"/>
  <c r="L128" i="26"/>
  <c r="K128" i="26"/>
  <c r="I128" i="26"/>
  <c r="H128" i="26"/>
  <c r="F128" i="26"/>
  <c r="E128" i="26"/>
  <c r="O127" i="26"/>
  <c r="N127" i="26"/>
  <c r="L127" i="26"/>
  <c r="K127" i="26"/>
  <c r="I127" i="26"/>
  <c r="H127" i="26"/>
  <c r="F127" i="26"/>
  <c r="E127" i="26"/>
  <c r="O126" i="26"/>
  <c r="N126" i="26"/>
  <c r="L126" i="26"/>
  <c r="K126" i="26"/>
  <c r="I126" i="26"/>
  <c r="H126" i="26"/>
  <c r="F126" i="26"/>
  <c r="E126" i="26"/>
  <c r="O125" i="26"/>
  <c r="O145" i="26" s="1"/>
  <c r="N125" i="26"/>
  <c r="N145" i="26" s="1"/>
  <c r="L125" i="26"/>
  <c r="L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L117" i="26"/>
  <c r="K117" i="26"/>
  <c r="I117" i="26"/>
  <c r="H117" i="26"/>
  <c r="F117" i="26"/>
  <c r="E117" i="26"/>
  <c r="O116" i="26"/>
  <c r="N116" i="26"/>
  <c r="L116" i="26"/>
  <c r="K116" i="26"/>
  <c r="I116" i="26"/>
  <c r="H116" i="26"/>
  <c r="F116" i="26"/>
  <c r="E116" i="26"/>
  <c r="O115" i="26"/>
  <c r="N115" i="26"/>
  <c r="L115" i="26"/>
  <c r="K115" i="26"/>
  <c r="I115" i="26"/>
  <c r="H115" i="26"/>
  <c r="F115" i="26"/>
  <c r="E115" i="26"/>
  <c r="O114" i="26"/>
  <c r="N114" i="26"/>
  <c r="L114" i="26"/>
  <c r="K114" i="26"/>
  <c r="I114" i="26"/>
  <c r="H114" i="26"/>
  <c r="F114" i="26"/>
  <c r="E114" i="26"/>
  <c r="O113" i="26"/>
  <c r="N113" i="26"/>
  <c r="L113" i="26"/>
  <c r="K113" i="26"/>
  <c r="I113" i="26"/>
  <c r="H113" i="26"/>
  <c r="F113" i="26"/>
  <c r="E113" i="26"/>
  <c r="O112" i="26"/>
  <c r="N112" i="26"/>
  <c r="L112" i="26"/>
  <c r="K112" i="26"/>
  <c r="I112" i="26"/>
  <c r="H112" i="26"/>
  <c r="F112" i="26"/>
  <c r="E112" i="26"/>
  <c r="O111" i="26"/>
  <c r="N111" i="26"/>
  <c r="L111" i="26"/>
  <c r="K111" i="26"/>
  <c r="I111" i="26"/>
  <c r="H111" i="26"/>
  <c r="F111" i="26"/>
  <c r="E111" i="26"/>
  <c r="O110" i="26"/>
  <c r="N110" i="26"/>
  <c r="L110" i="26"/>
  <c r="K110" i="26"/>
  <c r="I110" i="26"/>
  <c r="H110" i="26"/>
  <c r="F110" i="26"/>
  <c r="E110" i="26"/>
  <c r="O109" i="26"/>
  <c r="N109" i="26"/>
  <c r="L109" i="26"/>
  <c r="K109" i="26"/>
  <c r="I109" i="26"/>
  <c r="H109" i="26"/>
  <c r="F109" i="26"/>
  <c r="E109" i="26"/>
  <c r="O108" i="26"/>
  <c r="N108" i="26"/>
  <c r="L108" i="26"/>
  <c r="K108" i="26"/>
  <c r="I108" i="26"/>
  <c r="H108" i="26"/>
  <c r="F108" i="26"/>
  <c r="E108" i="26"/>
  <c r="O107" i="26"/>
  <c r="N107" i="26"/>
  <c r="L107" i="26"/>
  <c r="K107" i="26"/>
  <c r="I107" i="26"/>
  <c r="H107" i="26"/>
  <c r="F107" i="26"/>
  <c r="E107" i="26"/>
  <c r="O106" i="26"/>
  <c r="N106" i="26"/>
  <c r="L106" i="26"/>
  <c r="K106" i="26"/>
  <c r="I106" i="26"/>
  <c r="H106" i="26"/>
  <c r="F106" i="26"/>
  <c r="E106" i="26"/>
  <c r="O105" i="26"/>
  <c r="N105" i="26"/>
  <c r="L105" i="26"/>
  <c r="K105" i="26"/>
  <c r="I105" i="26"/>
  <c r="H105" i="26"/>
  <c r="F105" i="26"/>
  <c r="E105" i="26"/>
  <c r="O104" i="26"/>
  <c r="N104" i="26"/>
  <c r="L104" i="26"/>
  <c r="K104" i="26"/>
  <c r="I104" i="26"/>
  <c r="H104" i="26"/>
  <c r="F104" i="26"/>
  <c r="E104" i="26"/>
  <c r="O103" i="26"/>
  <c r="N103" i="26"/>
  <c r="L103" i="26"/>
  <c r="K103" i="26"/>
  <c r="I103" i="26"/>
  <c r="H103" i="26"/>
  <c r="F103" i="26"/>
  <c r="E103" i="26"/>
  <c r="O102" i="26"/>
  <c r="N102" i="26"/>
  <c r="L102" i="26"/>
  <c r="K102" i="26"/>
  <c r="I102" i="26"/>
  <c r="H102" i="26"/>
  <c r="F102" i="26"/>
  <c r="E102" i="26"/>
  <c r="O101" i="26"/>
  <c r="N101" i="26"/>
  <c r="L101" i="26"/>
  <c r="K101" i="26"/>
  <c r="I101" i="26"/>
  <c r="H101" i="26"/>
  <c r="F101" i="26"/>
  <c r="E101" i="26"/>
  <c r="O100" i="26"/>
  <c r="N100" i="26"/>
  <c r="L100" i="26"/>
  <c r="K100" i="26"/>
  <c r="I100" i="26"/>
  <c r="H100" i="26"/>
  <c r="F100" i="26"/>
  <c r="E100" i="26"/>
  <c r="O99" i="26"/>
  <c r="N99" i="26"/>
  <c r="L99" i="26"/>
  <c r="K99" i="26"/>
  <c r="I99" i="26"/>
  <c r="H99" i="26"/>
  <c r="F99" i="26"/>
  <c r="E99" i="26"/>
  <c r="O98" i="26"/>
  <c r="O118" i="26" s="1"/>
  <c r="N98" i="26"/>
  <c r="N118" i="26" s="1"/>
  <c r="L98" i="26"/>
  <c r="L118" i="26" s="1"/>
  <c r="K98" i="26"/>
  <c r="K118" i="26" s="1"/>
  <c r="I98" i="26"/>
  <c r="I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L90" i="26"/>
  <c r="K90" i="26"/>
  <c r="I90" i="26"/>
  <c r="H90" i="26"/>
  <c r="F90" i="26"/>
  <c r="E90" i="26"/>
  <c r="O89" i="26"/>
  <c r="N89" i="26"/>
  <c r="L89" i="26"/>
  <c r="K89" i="26"/>
  <c r="I89" i="26"/>
  <c r="H89" i="26"/>
  <c r="F89" i="26"/>
  <c r="E89" i="26"/>
  <c r="O88" i="26"/>
  <c r="N88" i="26"/>
  <c r="L88" i="26"/>
  <c r="K88" i="26"/>
  <c r="I88" i="26"/>
  <c r="H88" i="26"/>
  <c r="F88" i="26"/>
  <c r="E88" i="26"/>
  <c r="O87" i="26"/>
  <c r="N87" i="26"/>
  <c r="L87" i="26"/>
  <c r="K87" i="26"/>
  <c r="I87" i="26"/>
  <c r="H87" i="26"/>
  <c r="F87" i="26"/>
  <c r="E87" i="26"/>
  <c r="O86" i="26"/>
  <c r="N86" i="26"/>
  <c r="L86" i="26"/>
  <c r="K86" i="26"/>
  <c r="I86" i="26"/>
  <c r="H86" i="26"/>
  <c r="F86" i="26"/>
  <c r="E86" i="26"/>
  <c r="O85" i="26"/>
  <c r="N85" i="26"/>
  <c r="L85" i="26"/>
  <c r="K85" i="26"/>
  <c r="I85" i="26"/>
  <c r="H85" i="26"/>
  <c r="F85" i="26"/>
  <c r="E85" i="26"/>
  <c r="O84" i="26"/>
  <c r="N84" i="26"/>
  <c r="L84" i="26"/>
  <c r="K84" i="26"/>
  <c r="I84" i="26"/>
  <c r="H84" i="26"/>
  <c r="F84" i="26"/>
  <c r="E84" i="26"/>
  <c r="O83" i="26"/>
  <c r="N83" i="26"/>
  <c r="L83" i="26"/>
  <c r="K83" i="26"/>
  <c r="I83" i="26"/>
  <c r="H83" i="26"/>
  <c r="F83" i="26"/>
  <c r="E83" i="26"/>
  <c r="O82" i="26"/>
  <c r="N82" i="26"/>
  <c r="L82" i="26"/>
  <c r="K82" i="26"/>
  <c r="I82" i="26"/>
  <c r="H82" i="26"/>
  <c r="F82" i="26"/>
  <c r="E82" i="26"/>
  <c r="O81" i="26"/>
  <c r="N81" i="26"/>
  <c r="L81" i="26"/>
  <c r="K81" i="26"/>
  <c r="I81" i="26"/>
  <c r="H81" i="26"/>
  <c r="F81" i="26"/>
  <c r="E81" i="26"/>
  <c r="O80" i="26"/>
  <c r="N80" i="26"/>
  <c r="L80" i="26"/>
  <c r="K80" i="26"/>
  <c r="I80" i="26"/>
  <c r="H80" i="26"/>
  <c r="F80" i="26"/>
  <c r="E80" i="26"/>
  <c r="O79" i="26"/>
  <c r="N79" i="26"/>
  <c r="L79" i="26"/>
  <c r="K79" i="26"/>
  <c r="I79" i="26"/>
  <c r="H79" i="26"/>
  <c r="F79" i="26"/>
  <c r="E79" i="26"/>
  <c r="O78" i="26"/>
  <c r="N78" i="26"/>
  <c r="L78" i="26"/>
  <c r="K78" i="26"/>
  <c r="I78" i="26"/>
  <c r="H78" i="26"/>
  <c r="F78" i="26"/>
  <c r="E78" i="26"/>
  <c r="O77" i="26"/>
  <c r="N77" i="26"/>
  <c r="L77" i="26"/>
  <c r="K77" i="26"/>
  <c r="I77" i="26"/>
  <c r="H77" i="26"/>
  <c r="F77" i="26"/>
  <c r="E77" i="26"/>
  <c r="O76" i="26"/>
  <c r="N76" i="26"/>
  <c r="L76" i="26"/>
  <c r="K76" i="26"/>
  <c r="I76" i="26"/>
  <c r="H76" i="26"/>
  <c r="F76" i="26"/>
  <c r="E76" i="26"/>
  <c r="O75" i="26"/>
  <c r="N75" i="26"/>
  <c r="L75" i="26"/>
  <c r="K75" i="26"/>
  <c r="I75" i="26"/>
  <c r="H75" i="26"/>
  <c r="F75" i="26"/>
  <c r="E75" i="26"/>
  <c r="O74" i="26"/>
  <c r="N74" i="26"/>
  <c r="L74" i="26"/>
  <c r="K74" i="26"/>
  <c r="I74" i="26"/>
  <c r="H74" i="26"/>
  <c r="F74" i="26"/>
  <c r="E74" i="26"/>
  <c r="O73" i="26"/>
  <c r="N73" i="26"/>
  <c r="L73" i="26"/>
  <c r="K73" i="26"/>
  <c r="I73" i="26"/>
  <c r="H73" i="26"/>
  <c r="F73" i="26"/>
  <c r="E73" i="26"/>
  <c r="O72" i="26"/>
  <c r="N72" i="26"/>
  <c r="L72" i="26"/>
  <c r="K72" i="26"/>
  <c r="I72" i="26"/>
  <c r="H72" i="26"/>
  <c r="F72" i="26"/>
  <c r="E72" i="26"/>
  <c r="O71" i="26"/>
  <c r="O91" i="26" s="1"/>
  <c r="N71" i="26"/>
  <c r="N91" i="26" s="1"/>
  <c r="L71" i="26"/>
  <c r="L91" i="26" s="1"/>
  <c r="K71" i="26"/>
  <c r="K91" i="26" s="1"/>
  <c r="I71" i="26"/>
  <c r="I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O60" i="26"/>
  <c r="N60" i="26"/>
  <c r="L60" i="26"/>
  <c r="K60" i="26"/>
  <c r="I60" i="26"/>
  <c r="H60" i="26"/>
  <c r="F60" i="26"/>
  <c r="E60" i="26"/>
  <c r="O59" i="26"/>
  <c r="N59" i="26"/>
  <c r="L59" i="26"/>
  <c r="K59" i="26"/>
  <c r="I59" i="26"/>
  <c r="H59" i="26"/>
  <c r="F59" i="26"/>
  <c r="E59" i="26"/>
  <c r="O58" i="26"/>
  <c r="N58" i="26"/>
  <c r="L58" i="26"/>
  <c r="K58" i="26"/>
  <c r="I58" i="26"/>
  <c r="H58" i="26"/>
  <c r="F58" i="26"/>
  <c r="E58" i="26"/>
  <c r="O57" i="26"/>
  <c r="N57" i="26"/>
  <c r="L57" i="26"/>
  <c r="K57" i="26"/>
  <c r="I57" i="26"/>
  <c r="H57" i="26"/>
  <c r="F57" i="26"/>
  <c r="E57" i="26"/>
  <c r="O56" i="26"/>
  <c r="N56" i="26"/>
  <c r="L56" i="26"/>
  <c r="K56" i="26"/>
  <c r="I56" i="26"/>
  <c r="H56" i="26"/>
  <c r="F56" i="26"/>
  <c r="E56" i="26"/>
  <c r="O55" i="26"/>
  <c r="N55" i="26"/>
  <c r="L55" i="26"/>
  <c r="K55" i="26"/>
  <c r="I55" i="26"/>
  <c r="H55" i="26"/>
  <c r="F55" i="26"/>
  <c r="E55" i="26"/>
  <c r="O54" i="26"/>
  <c r="N54" i="26"/>
  <c r="L54" i="26"/>
  <c r="K54" i="26"/>
  <c r="I54" i="26"/>
  <c r="H54" i="26"/>
  <c r="F54" i="26"/>
  <c r="E54" i="26"/>
  <c r="O53" i="26"/>
  <c r="N53" i="26"/>
  <c r="L53" i="26"/>
  <c r="K53" i="26"/>
  <c r="I53" i="26"/>
  <c r="H53" i="26"/>
  <c r="F53" i="26"/>
  <c r="E53" i="26"/>
  <c r="O52" i="26"/>
  <c r="N52" i="26"/>
  <c r="L52" i="26"/>
  <c r="K52" i="26"/>
  <c r="I52" i="26"/>
  <c r="H52" i="26"/>
  <c r="F52" i="26"/>
  <c r="E52" i="26"/>
  <c r="O51" i="26"/>
  <c r="N51" i="26"/>
  <c r="L51" i="26"/>
  <c r="K51" i="26"/>
  <c r="I51" i="26"/>
  <c r="H51" i="26"/>
  <c r="F51" i="26"/>
  <c r="E51" i="26"/>
  <c r="O50" i="26"/>
  <c r="N50" i="26"/>
  <c r="L50" i="26"/>
  <c r="K50" i="26"/>
  <c r="I50" i="26"/>
  <c r="H50" i="26"/>
  <c r="F50" i="26"/>
  <c r="E50" i="26"/>
  <c r="O49" i="26"/>
  <c r="N49" i="26"/>
  <c r="L49" i="26"/>
  <c r="K49" i="26"/>
  <c r="I49" i="26"/>
  <c r="H49" i="26"/>
  <c r="F49" i="26"/>
  <c r="E49" i="26"/>
  <c r="O48" i="26"/>
  <c r="N48" i="26"/>
  <c r="L48" i="26"/>
  <c r="K48" i="26"/>
  <c r="I48" i="26"/>
  <c r="H48" i="26"/>
  <c r="F48" i="26"/>
  <c r="E48" i="26"/>
  <c r="O47" i="26"/>
  <c r="N47" i="26"/>
  <c r="L47" i="26"/>
  <c r="K47" i="26"/>
  <c r="I47" i="26"/>
  <c r="H47" i="26"/>
  <c r="F47" i="26"/>
  <c r="E47" i="26"/>
  <c r="O46" i="26"/>
  <c r="N46" i="26"/>
  <c r="L46" i="26"/>
  <c r="K46" i="26"/>
  <c r="I46" i="26"/>
  <c r="H46" i="26"/>
  <c r="F46" i="26"/>
  <c r="E46" i="26"/>
  <c r="O45" i="26"/>
  <c r="N45" i="26"/>
  <c r="L45" i="26"/>
  <c r="K45" i="26"/>
  <c r="I45" i="26"/>
  <c r="H45" i="26"/>
  <c r="F45" i="26"/>
  <c r="E45" i="26"/>
  <c r="O44" i="26"/>
  <c r="O64" i="26" s="1"/>
  <c r="N44" i="26"/>
  <c r="N64" i="26" s="1"/>
  <c r="L44" i="26"/>
  <c r="L64" i="26" s="1"/>
  <c r="K44" i="26"/>
  <c r="K64" i="26" s="1"/>
  <c r="I44" i="26"/>
  <c r="I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O145" i="6" s="1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I91" i="6" s="1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F64" i="6" s="1"/>
  <c r="H44" i="6"/>
  <c r="I44" i="6"/>
  <c r="K44" i="6"/>
  <c r="K64" i="6" s="1"/>
  <c r="L44" i="6"/>
  <c r="L64" i="6" s="1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F37" i="23" l="1"/>
  <c r="N37" i="23"/>
  <c r="E37" i="23"/>
  <c r="K37" i="23"/>
  <c r="O37" i="23"/>
  <c r="I37" i="23"/>
  <c r="H37" i="23"/>
  <c r="L37" i="23"/>
  <c r="F37" i="26"/>
  <c r="N37" i="26"/>
  <c r="K37" i="26"/>
  <c r="O37" i="26"/>
  <c r="E37" i="26"/>
  <c r="H37" i="26"/>
  <c r="L37" i="26"/>
  <c r="I37" i="26"/>
  <c r="G5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37" i="6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11" i="26"/>
  <c r="G9" i="25"/>
  <c r="G3" i="25"/>
  <c r="G5" i="25"/>
  <c r="G11" i="25"/>
  <c r="G9" i="24"/>
  <c r="O91" i="24"/>
  <c r="O37" i="24"/>
  <c r="I37" i="24"/>
  <c r="I91" i="24"/>
  <c r="G5" i="24"/>
  <c r="G3" i="6"/>
  <c r="G7" i="6"/>
  <c r="I37" i="6"/>
  <c r="O37" i="6"/>
  <c r="K37" i="6"/>
  <c r="L37" i="6"/>
  <c r="F37" i="6"/>
  <c r="E37" i="6"/>
  <c r="N3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24" l="1"/>
  <c r="G7" i="24"/>
  <c r="G9" i="6"/>
  <c r="G11" i="6"/>
  <c r="O66" i="3"/>
  <c r="G60" i="3"/>
  <c r="K19" i="5"/>
  <c r="G65" i="3"/>
  <c r="K49" i="3"/>
  <c r="G56" i="3"/>
  <c r="K39" i="3"/>
  <c r="K9" i="3"/>
  <c r="K36" i="3"/>
  <c r="K20" i="5"/>
  <c r="O40" i="3"/>
  <c r="O74" i="3"/>
  <c r="O42" i="3"/>
  <c r="O67" i="3"/>
  <c r="K7" i="5"/>
  <c r="K50" i="3"/>
  <c r="O70" i="3"/>
  <c r="K12" i="3"/>
  <c r="K74" i="3"/>
  <c r="K20" i="3"/>
  <c r="O36" i="3"/>
  <c r="K11" i="5"/>
  <c r="K17" i="3"/>
  <c r="O68" i="3"/>
  <c r="G70" i="3"/>
  <c r="K64" i="3"/>
  <c r="G66" i="3"/>
  <c r="G61" i="3"/>
  <c r="K15" i="5"/>
  <c r="K14" i="5"/>
  <c r="G34" i="3"/>
  <c r="K46" i="3"/>
  <c r="O31" i="3"/>
  <c r="K23" i="5"/>
  <c r="K65" i="3"/>
  <c r="O57" i="3"/>
  <c r="K10" i="3"/>
  <c r="O33" i="3"/>
  <c r="K37" i="3"/>
  <c r="G75" i="3"/>
  <c r="K8" i="5"/>
  <c r="K44" i="3"/>
  <c r="O56" i="3"/>
  <c r="K62" i="3"/>
  <c r="K21" i="5"/>
  <c r="G46" i="3"/>
  <c r="K56" i="3"/>
  <c r="G71" i="3"/>
  <c r="O38" i="3"/>
  <c r="O65" i="3"/>
  <c r="K13" i="5"/>
  <c r="G45" i="3"/>
  <c r="K58" i="3"/>
  <c r="K18" i="3"/>
  <c r="K61" i="3"/>
  <c r="G40" i="3"/>
  <c r="G48" i="3"/>
  <c r="O75" i="3"/>
  <c r="K24" i="3"/>
  <c r="G42" i="3"/>
  <c r="K6" i="5"/>
  <c r="K60" i="3"/>
  <c r="G59" i="3"/>
  <c r="O58" i="3"/>
  <c r="K41" i="3"/>
  <c r="O41" i="3"/>
  <c r="O37" i="3"/>
  <c r="K38" i="3"/>
  <c r="G33" i="3"/>
  <c r="O69" i="3"/>
  <c r="K8" i="3"/>
  <c r="K18" i="5"/>
  <c r="K59" i="3"/>
  <c r="K21" i="3"/>
  <c r="G43" i="3"/>
  <c r="K45" i="3"/>
  <c r="K14" i="3"/>
  <c r="K42" i="3"/>
  <c r="G50" i="3"/>
  <c r="K75" i="3"/>
  <c r="K73" i="3"/>
  <c r="G49" i="3"/>
  <c r="O63" i="3"/>
  <c r="G58" i="3"/>
  <c r="O46" i="3"/>
  <c r="K34" i="3"/>
  <c r="K6" i="3"/>
  <c r="O35" i="3"/>
  <c r="G69" i="3"/>
  <c r="K25" i="5"/>
  <c r="G41" i="3"/>
  <c r="K47" i="3"/>
  <c r="K70" i="3"/>
  <c r="G31" i="3"/>
  <c r="G72" i="3"/>
  <c r="G62" i="3"/>
  <c r="K72" i="3"/>
  <c r="O62" i="3"/>
  <c r="O71" i="3"/>
  <c r="O45" i="3"/>
  <c r="O73" i="3"/>
  <c r="O64" i="3"/>
  <c r="K9" i="5"/>
  <c r="K43" i="3"/>
  <c r="K23" i="3"/>
  <c r="O39" i="3"/>
  <c r="O50" i="3"/>
  <c r="O32" i="3"/>
  <c r="G68" i="3"/>
  <c r="O34" i="3"/>
  <c r="K66" i="3"/>
  <c r="K71" i="3"/>
  <c r="G44" i="3"/>
  <c r="G38" i="3"/>
  <c r="K15" i="3"/>
  <c r="G64" i="3"/>
  <c r="O43" i="3"/>
  <c r="K31" i="3"/>
  <c r="K19" i="3"/>
  <c r="K57" i="3"/>
  <c r="K25" i="3"/>
  <c r="G39" i="3"/>
  <c r="G57" i="3"/>
  <c r="K32" i="3"/>
  <c r="G32" i="3"/>
  <c r="G74" i="3"/>
  <c r="K69" i="3"/>
  <c r="G63" i="3"/>
  <c r="G67" i="3"/>
  <c r="K16" i="3"/>
  <c r="K40" i="3"/>
  <c r="G37" i="3"/>
  <c r="K63" i="3"/>
  <c r="K16" i="5"/>
  <c r="O49" i="3"/>
  <c r="K17" i="5"/>
  <c r="K33" i="3"/>
  <c r="K13" i="3"/>
  <c r="O61" i="3"/>
  <c r="O48" i="3"/>
  <c r="O44" i="3"/>
  <c r="K35" i="3"/>
  <c r="K22" i="5"/>
  <c r="G36" i="3"/>
  <c r="K24" i="5"/>
  <c r="K12" i="5"/>
  <c r="G73" i="3"/>
  <c r="O72" i="3"/>
  <c r="K7" i="3"/>
  <c r="K11" i="3"/>
  <c r="K10" i="5"/>
  <c r="O47" i="3"/>
  <c r="O59" i="3"/>
  <c r="K48" i="3"/>
  <c r="G47" i="3"/>
  <c r="K22" i="3"/>
  <c r="O60" i="3"/>
  <c r="K67" i="3"/>
  <c r="K68" i="3"/>
  <c r="G35" i="3"/>
  <c r="N6" i="3" l="1"/>
  <c r="M6" i="3"/>
  <c r="L6" i="3"/>
  <c r="N24" i="5"/>
  <c r="M24" i="5"/>
  <c r="L24" i="5"/>
  <c r="N63" i="3"/>
  <c r="L63" i="3"/>
  <c r="M63" i="3"/>
  <c r="N20" i="5"/>
  <c r="L20" i="5"/>
  <c r="M20" i="5"/>
  <c r="L23" i="5"/>
  <c r="N23" i="5"/>
  <c r="M23" i="5"/>
  <c r="R72" i="3"/>
  <c r="P72" i="3"/>
  <c r="Q72" i="3"/>
  <c r="N22" i="3"/>
  <c r="L22" i="3"/>
  <c r="M22" i="3"/>
  <c r="N70" i="3"/>
  <c r="L70" i="3"/>
  <c r="M70" i="3"/>
  <c r="H38" i="3"/>
  <c r="I38" i="3"/>
  <c r="J38" i="3"/>
  <c r="J60" i="3"/>
  <c r="I60" i="3"/>
  <c r="H60" i="3"/>
  <c r="N9" i="3"/>
  <c r="M9" i="3"/>
  <c r="L9" i="3"/>
  <c r="J44" i="3"/>
  <c r="H44" i="3"/>
  <c r="I44" i="3"/>
  <c r="I74" i="3"/>
  <c r="J74" i="3"/>
  <c r="H74" i="3"/>
  <c r="L60" i="3"/>
  <c r="M60" i="3"/>
  <c r="N60" i="3"/>
  <c r="N42" i="3"/>
  <c r="M42" i="3"/>
  <c r="L42" i="3"/>
  <c r="R33" i="3"/>
  <c r="Q33" i="3"/>
  <c r="P33" i="3"/>
  <c r="R48" i="3"/>
  <c r="Q48" i="3"/>
  <c r="P48" i="3"/>
  <c r="N11" i="5"/>
  <c r="L11" i="5"/>
  <c r="M11" i="5"/>
  <c r="L15" i="3"/>
  <c r="N15" i="3"/>
  <c r="M15" i="3"/>
  <c r="R62" i="3"/>
  <c r="Q62" i="3"/>
  <c r="P62" i="3"/>
  <c r="N16" i="5"/>
  <c r="M16" i="5"/>
  <c r="L16" i="5"/>
  <c r="H40" i="3"/>
  <c r="I40" i="3"/>
  <c r="J40" i="3"/>
  <c r="L46" i="3"/>
  <c r="N46" i="3"/>
  <c r="M46" i="3"/>
  <c r="N48" i="3"/>
  <c r="L48" i="3"/>
  <c r="M48" i="3"/>
  <c r="R56" i="3"/>
  <c r="Q56" i="3"/>
  <c r="P56" i="3"/>
  <c r="M47" i="3"/>
  <c r="L47" i="3"/>
  <c r="N47" i="3"/>
  <c r="L18" i="5"/>
  <c r="N18" i="5"/>
  <c r="M18" i="5"/>
  <c r="H71" i="3"/>
  <c r="J71" i="3"/>
  <c r="I71" i="3"/>
  <c r="N14" i="3"/>
  <c r="L14" i="3"/>
  <c r="M14" i="3"/>
  <c r="M36" i="3"/>
  <c r="L36" i="3"/>
  <c r="N36" i="3"/>
  <c r="H66" i="3"/>
  <c r="J66" i="3"/>
  <c r="I66" i="3"/>
  <c r="L61" i="3"/>
  <c r="M61" i="3"/>
  <c r="N61" i="3"/>
  <c r="L20" i="3"/>
  <c r="M20" i="3"/>
  <c r="N20" i="3"/>
  <c r="Q57" i="3"/>
  <c r="R57" i="3"/>
  <c r="P57" i="3"/>
  <c r="P43" i="3"/>
  <c r="Q43" i="3"/>
  <c r="R43" i="3"/>
  <c r="H73" i="3"/>
  <c r="I73" i="3"/>
  <c r="J73" i="3"/>
  <c r="N19" i="3"/>
  <c r="L19" i="3"/>
  <c r="M19" i="3"/>
  <c r="L19" i="5"/>
  <c r="N19" i="5"/>
  <c r="M19" i="5"/>
  <c r="Q68" i="3"/>
  <c r="R68" i="3"/>
  <c r="P68" i="3"/>
  <c r="I67" i="3"/>
  <c r="H67" i="3"/>
  <c r="J67" i="3"/>
  <c r="P37" i="3"/>
  <c r="Q37" i="3"/>
  <c r="R37" i="3"/>
  <c r="M73" i="3"/>
  <c r="N73" i="3"/>
  <c r="L73" i="3"/>
  <c r="L9" i="5"/>
  <c r="M9" i="5"/>
  <c r="N9" i="5"/>
  <c r="L33" i="3"/>
  <c r="M33" i="3"/>
  <c r="N33" i="3"/>
  <c r="H64" i="3"/>
  <c r="J64" i="3"/>
  <c r="I64" i="3"/>
  <c r="L72" i="3"/>
  <c r="M72" i="3"/>
  <c r="N72" i="3"/>
  <c r="N31" i="3"/>
  <c r="L31" i="3"/>
  <c r="M31" i="3"/>
  <c r="N17" i="3"/>
  <c r="L17" i="3"/>
  <c r="M17" i="3"/>
  <c r="R32" i="3"/>
  <c r="Q32" i="3"/>
  <c r="P32" i="3"/>
  <c r="N65" i="3"/>
  <c r="M65" i="3"/>
  <c r="L65" i="3"/>
  <c r="Q46" i="3"/>
  <c r="P46" i="3"/>
  <c r="R46" i="3"/>
  <c r="M18" i="3"/>
  <c r="N18" i="3"/>
  <c r="L18" i="3"/>
  <c r="H46" i="3"/>
  <c r="I46" i="3"/>
  <c r="J46" i="3"/>
  <c r="Q61" i="3"/>
  <c r="P61" i="3"/>
  <c r="R61" i="3"/>
  <c r="J68" i="3"/>
  <c r="H68" i="3"/>
  <c r="I68" i="3"/>
  <c r="H36" i="3"/>
  <c r="I36" i="3"/>
  <c r="J36" i="3"/>
  <c r="P64" i="3"/>
  <c r="Q64" i="3"/>
  <c r="R64" i="3"/>
  <c r="I45" i="3"/>
  <c r="H45" i="3"/>
  <c r="J45" i="3"/>
  <c r="N75" i="3"/>
  <c r="M75" i="3"/>
  <c r="L75" i="3"/>
  <c r="M71" i="3"/>
  <c r="N71" i="3"/>
  <c r="L71" i="3"/>
  <c r="N67" i="3"/>
  <c r="M67" i="3"/>
  <c r="L67" i="3"/>
  <c r="J49" i="3"/>
  <c r="H49" i="3"/>
  <c r="I49" i="3"/>
  <c r="J47" i="3"/>
  <c r="I47" i="3"/>
  <c r="H47" i="3"/>
  <c r="N25" i="5"/>
  <c r="M25" i="5"/>
  <c r="L25" i="5"/>
  <c r="R42" i="3"/>
  <c r="P42" i="3"/>
  <c r="Q42" i="3"/>
  <c r="N15" i="5"/>
  <c r="M15" i="5"/>
  <c r="L15" i="5"/>
  <c r="L21" i="5"/>
  <c r="M21" i="5"/>
  <c r="N21" i="5"/>
  <c r="N8" i="5"/>
  <c r="M8" i="5"/>
  <c r="L8" i="5"/>
  <c r="J43" i="3"/>
  <c r="H43" i="3"/>
  <c r="I43" i="3"/>
  <c r="M62" i="3"/>
  <c r="L62" i="3"/>
  <c r="N62" i="3"/>
  <c r="L44" i="3"/>
  <c r="M44" i="3"/>
  <c r="N44" i="3"/>
  <c r="N17" i="5"/>
  <c r="M17" i="5"/>
  <c r="L17" i="5"/>
  <c r="M10" i="5"/>
  <c r="L10" i="5"/>
  <c r="N10" i="5"/>
  <c r="R66" i="3"/>
  <c r="P66" i="3"/>
  <c r="Q66" i="3"/>
  <c r="H62" i="3"/>
  <c r="I62" i="3"/>
  <c r="J62" i="3"/>
  <c r="M32" i="3"/>
  <c r="L32" i="3"/>
  <c r="N32" i="3"/>
  <c r="P59" i="3"/>
  <c r="R59" i="3"/>
  <c r="Q59" i="3"/>
  <c r="M43" i="3"/>
  <c r="N43" i="3"/>
  <c r="L43" i="3"/>
  <c r="N8" i="3"/>
  <c r="L8" i="3"/>
  <c r="M8" i="3"/>
  <c r="R36" i="3"/>
  <c r="P36" i="3"/>
  <c r="Q36" i="3"/>
  <c r="P73" i="3"/>
  <c r="Q73" i="3"/>
  <c r="R73" i="3"/>
  <c r="J39" i="3"/>
  <c r="I39" i="3"/>
  <c r="H39" i="3"/>
  <c r="R69" i="3"/>
  <c r="Q69" i="3"/>
  <c r="P69" i="3"/>
  <c r="H34" i="3"/>
  <c r="I34" i="3"/>
  <c r="J34" i="3"/>
  <c r="N74" i="3"/>
  <c r="M74" i="3"/>
  <c r="L74" i="3"/>
  <c r="R65" i="3"/>
  <c r="Q65" i="3"/>
  <c r="P65" i="3"/>
  <c r="L41" i="3"/>
  <c r="N41" i="3"/>
  <c r="M41" i="3"/>
  <c r="J57" i="3"/>
  <c r="H57" i="3"/>
  <c r="I57" i="3"/>
  <c r="Q41" i="3"/>
  <c r="P41" i="3"/>
  <c r="R41" i="3"/>
  <c r="H41" i="3"/>
  <c r="I41" i="3"/>
  <c r="J41" i="3"/>
  <c r="M14" i="5"/>
  <c r="L14" i="5"/>
  <c r="N14" i="5"/>
  <c r="P31" i="3"/>
  <c r="R31" i="3"/>
  <c r="Q31" i="3"/>
  <c r="N35" i="3"/>
  <c r="L35" i="3"/>
  <c r="M35" i="3"/>
  <c r="M59" i="3"/>
  <c r="L59" i="3"/>
  <c r="N59" i="3"/>
  <c r="M12" i="3"/>
  <c r="L12" i="3"/>
  <c r="N12" i="3"/>
  <c r="N68" i="3"/>
  <c r="M68" i="3"/>
  <c r="L68" i="3"/>
  <c r="N37" i="3"/>
  <c r="L37" i="3"/>
  <c r="M37" i="3"/>
  <c r="N56" i="3"/>
  <c r="L56" i="3"/>
  <c r="M56" i="3"/>
  <c r="N38" i="3"/>
  <c r="M38" i="3"/>
  <c r="L38" i="3"/>
  <c r="L11" i="3"/>
  <c r="N11" i="3"/>
  <c r="M11" i="3"/>
  <c r="R50" i="3"/>
  <c r="P50" i="3"/>
  <c r="Q50" i="3"/>
  <c r="J50" i="3"/>
  <c r="I50" i="3"/>
  <c r="H50" i="3"/>
  <c r="P63" i="3"/>
  <c r="R63" i="3"/>
  <c r="Q63" i="3"/>
  <c r="R60" i="3"/>
  <c r="Q60" i="3"/>
  <c r="P60" i="3"/>
  <c r="R67" i="3"/>
  <c r="Q67" i="3"/>
  <c r="P67" i="3"/>
  <c r="L13" i="5"/>
  <c r="M13" i="5"/>
  <c r="N13" i="5"/>
  <c r="N10" i="3"/>
  <c r="M10" i="3"/>
  <c r="L10" i="3"/>
  <c r="L13" i="3"/>
  <c r="M13" i="3"/>
  <c r="N13" i="3"/>
  <c r="H33" i="3"/>
  <c r="I33" i="3"/>
  <c r="J33" i="3"/>
  <c r="I35" i="3"/>
  <c r="J35" i="3"/>
  <c r="H35" i="3"/>
  <c r="I58" i="3"/>
  <c r="J58" i="3"/>
  <c r="H58" i="3"/>
  <c r="M22" i="5"/>
  <c r="N22" i="5"/>
  <c r="L22" i="5"/>
  <c r="H48" i="3"/>
  <c r="J48" i="3"/>
  <c r="I48" i="3"/>
  <c r="L45" i="3"/>
  <c r="M45" i="3"/>
  <c r="N45" i="3"/>
  <c r="P70" i="3"/>
  <c r="R70" i="3"/>
  <c r="Q70" i="3"/>
  <c r="I63" i="3"/>
  <c r="J63" i="3"/>
  <c r="H63" i="3"/>
  <c r="P74" i="3"/>
  <c r="R74" i="3"/>
  <c r="Q74" i="3"/>
  <c r="R49" i="3"/>
  <c r="Q49" i="3"/>
  <c r="P49" i="3"/>
  <c r="R75" i="3"/>
  <c r="P75" i="3"/>
  <c r="Q75" i="3"/>
  <c r="R44" i="3"/>
  <c r="P44" i="3"/>
  <c r="Q44" i="3"/>
  <c r="N12" i="5"/>
  <c r="M12" i="5"/>
  <c r="L12" i="5"/>
  <c r="N34" i="3"/>
  <c r="L34" i="3"/>
  <c r="M34" i="3"/>
  <c r="H32" i="3"/>
  <c r="J32" i="3"/>
  <c r="I32" i="3"/>
  <c r="R35" i="3"/>
  <c r="Q35" i="3"/>
  <c r="P35" i="3"/>
  <c r="J37" i="3"/>
  <c r="I37" i="3"/>
  <c r="H37" i="3"/>
  <c r="M69" i="3"/>
  <c r="N69" i="3"/>
  <c r="L69" i="3"/>
  <c r="R40" i="3"/>
  <c r="P40" i="3"/>
  <c r="Q40" i="3"/>
  <c r="H61" i="3"/>
  <c r="I61" i="3"/>
  <c r="J61" i="3"/>
  <c r="J65" i="3"/>
  <c r="I65" i="3"/>
  <c r="H65" i="3"/>
  <c r="N40" i="3"/>
  <c r="M40" i="3"/>
  <c r="L40" i="3"/>
  <c r="H59" i="3"/>
  <c r="J59" i="3"/>
  <c r="I59" i="3"/>
  <c r="H69" i="3"/>
  <c r="J69" i="3"/>
  <c r="I69" i="3"/>
  <c r="R45" i="3"/>
  <c r="Q45" i="3"/>
  <c r="P45" i="3"/>
  <c r="L25" i="3"/>
  <c r="M25" i="3"/>
  <c r="N25" i="3"/>
  <c r="M49" i="3"/>
  <c r="L49" i="3"/>
  <c r="N49" i="3"/>
  <c r="H70" i="3"/>
  <c r="I70" i="3"/>
  <c r="J70" i="3"/>
  <c r="N58" i="3"/>
  <c r="L58" i="3"/>
  <c r="M58" i="3"/>
  <c r="N21" i="3"/>
  <c r="L21" i="3"/>
  <c r="M21" i="3"/>
  <c r="M66" i="3"/>
  <c r="N66" i="3"/>
  <c r="L66" i="3"/>
  <c r="N64" i="3"/>
  <c r="L64" i="3"/>
  <c r="M64" i="3"/>
  <c r="R58" i="3"/>
  <c r="P58" i="3"/>
  <c r="Q58" i="3"/>
  <c r="R38" i="3"/>
  <c r="P38" i="3"/>
  <c r="Q38" i="3"/>
  <c r="Q71" i="3"/>
  <c r="P71" i="3"/>
  <c r="R71" i="3"/>
  <c r="L57" i="3"/>
  <c r="M57" i="3"/>
  <c r="N57" i="3"/>
  <c r="M16" i="3"/>
  <c r="L16" i="3"/>
  <c r="N16" i="3"/>
  <c r="Q34" i="3"/>
  <c r="P34" i="3"/>
  <c r="R34" i="3"/>
  <c r="P47" i="3"/>
  <c r="Q47" i="3"/>
  <c r="R47" i="3"/>
  <c r="N7" i="3"/>
  <c r="M7" i="3"/>
  <c r="L7" i="3"/>
  <c r="L24" i="3"/>
  <c r="M24" i="3"/>
  <c r="N24" i="3"/>
  <c r="H56" i="3"/>
  <c r="I56" i="3"/>
  <c r="J56" i="3"/>
  <c r="I31" i="3"/>
  <c r="J31" i="3"/>
  <c r="H31" i="3"/>
  <c r="N23" i="3"/>
  <c r="M23" i="3"/>
  <c r="L23" i="3"/>
  <c r="M6" i="5"/>
  <c r="N6" i="5"/>
  <c r="L6" i="5"/>
  <c r="L50" i="3"/>
  <c r="M50" i="3"/>
  <c r="N50" i="3"/>
  <c r="Q39" i="3"/>
  <c r="P39" i="3"/>
  <c r="R39" i="3"/>
  <c r="J75" i="3"/>
  <c r="H75" i="3"/>
  <c r="I75" i="3"/>
  <c r="H42" i="3"/>
  <c r="I42" i="3"/>
  <c r="J42" i="3"/>
  <c r="N39" i="3"/>
  <c r="L39" i="3"/>
  <c r="M39" i="3"/>
  <c r="H72" i="3"/>
  <c r="I72" i="3"/>
  <c r="J72" i="3"/>
  <c r="L7" i="5"/>
  <c r="N7" i="5"/>
  <c r="M7" i="5"/>
  <c r="G5" i="6" l="1"/>
</calcChain>
</file>

<file path=xl/sharedStrings.xml><?xml version="1.0" encoding="utf-8"?>
<sst xmlns="http://schemas.openxmlformats.org/spreadsheetml/2006/main" count="2230" uniqueCount="304">
  <si>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</si>
  <si>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</si>
  <si>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</si>
  <si>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</si>
  <si>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</si>
  <si>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</si>
  <si>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</si>
  <si>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</si>
  <si>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</si>
  <si>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</si>
  <si>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</si>
  <si>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</si>
  <si>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</si>
  <si>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</si>
  <si>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</si>
  <si>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</si>
  <si>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</si>
  <si>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</si>
  <si>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</si>
  <si>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</si>
  <si>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</si>
  <si>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</si>
  <si>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</si>
  <si>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</si>
  <si>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</si>
  <si>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</si>
  <si>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</si>
  <si>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</si>
  <si>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</si>
  <si>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</si>
  <si>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</si>
  <si>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</si>
  <si>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</si>
  <si>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</si>
  <si>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</si>
  <si>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</si>
  <si>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</si>
  <si>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</si>
  <si>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</si>
  <si>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</si>
  <si>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</si>
  <si>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</si>
  <si>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</si>
  <si>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</si>
  <si>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</si>
  <si>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</si>
  <si>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</si>
  <si>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</si>
  <si>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</si>
  <si>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</si>
  <si>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</si>
  <si>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</si>
  <si>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</si>
  <si>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</si>
  <si>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</si>
  <si>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</si>
  <si>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</si>
  <si>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</si>
  <si>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</si>
  <si>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</si>
  <si>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</si>
  <si>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</si>
  <si>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</si>
  <si>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</si>
  <si>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</si>
  <si>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</si>
  <si>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</si>
  <si>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</si>
  <si>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</si>
  <si>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</si>
  <si>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</si>
  <si>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</si>
  <si>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</si>
  <si>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</si>
  <si>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</si>
  <si>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</si>
  <si>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</si>
  <si>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</si>
  <si>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</si>
  <si>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</si>
  <si>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</si>
  <si>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</si>
  <si>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</si>
  <si>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</si>
  <si>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</si>
  <si>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</si>
  <si>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</si>
  <si>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</si>
  <si>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</si>
  <si>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</si>
  <si>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</si>
  <si>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</si>
  <si>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</si>
  <si>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</si>
  <si>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</si>
  <si>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</si>
  <si>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</si>
  <si>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</si>
  <si>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</si>
  <si>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</si>
  <si>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</si>
  <si>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</si>
  <si>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</si>
  <si>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</si>
  <si>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</si>
  <si>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</si>
  <si>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</si>
  <si>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</si>
  <si>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</si>
  <si>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</si>
  <si>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</si>
  <si>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</si>
  <si>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</si>
  <si>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</si>
  <si>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</si>
  <si>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</si>
  <si>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</si>
  <si>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</si>
  <si>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</si>
  <si>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</si>
  <si>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</si>
  <si>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</si>
  <si>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</si>
  <si>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</si>
  <si>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</si>
  <si>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</si>
  <si>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</si>
  <si>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</si>
  <si>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</si>
  <si>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</si>
  <si>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</si>
  <si>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</si>
  <si>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</si>
  <si>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</si>
  <si>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</si>
  <si>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</si>
  <si>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</si>
  <si>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</si>
  <si>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</si>
  <si>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</si>
  <si>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</si>
  <si>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</si>
  <si>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</si>
  <si>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</si>
  <si>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</si>
  <si>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</si>
  <si>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</si>
  <si>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</si>
  <si>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</si>
  <si>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</si>
  <si>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</si>
  <si>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</si>
  <si>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</si>
  <si>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</si>
  <si>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</si>
  <si>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</si>
  <si>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</si>
  <si>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</si>
  <si>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</si>
  <si>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</si>
  <si>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</si>
  <si>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</si>
  <si>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</si>
  <si>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</si>
  <si>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</si>
  <si>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</si>
  <si>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</si>
  <si>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</si>
  <si>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</si>
  <si>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</si>
  <si>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</si>
  <si>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</si>
  <si>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</si>
  <si>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</si>
  <si>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</si>
  <si>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</si>
  <si>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</si>
  <si>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</si>
  <si>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</si>
  <si>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</si>
  <si>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</si>
  <si>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</si>
  <si>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</si>
  <si>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</si>
  <si>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</si>
  <si>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</si>
  <si>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</si>
  <si>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</si>
  <si>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</si>
  <si>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</si>
  <si>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</si>
  <si>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</si>
  <si>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</si>
  <si>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</si>
  <si>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</si>
  <si>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</si>
  <si>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</si>
  <si>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</si>
  <si>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</si>
  <si>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</si>
  <si>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</si>
  <si>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</si>
  <si>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</si>
  <si>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</si>
  <si>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</si>
  <si>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</si>
  <si>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</si>
  <si>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</si>
  <si>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</si>
  <si>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</si>
  <si>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</si>
  <si>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</si>
  <si>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</si>
  <si>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</si>
  <si>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</si>
  <si>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</si>
  <si>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</si>
  <si>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</si>
  <si>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</si>
  <si>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</si>
  <si>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</si>
  <si>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</si>
  <si>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</si>
  <si>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</si>
  <si>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</si>
  <si>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</si>
  <si>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</si>
  <si>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</si>
  <si>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</si>
  <si>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</si>
  <si>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</si>
  <si>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</si>
  <si>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</si>
  <si>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</si>
  <si>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</si>
  <si>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</si>
  <si>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</si>
  <si>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</si>
  <si>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</si>
  <si>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</si>
  <si>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</si>
  <si>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</si>
  <si>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</si>
  <si>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</si>
  <si>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</si>
  <si>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</si>
  <si>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</si>
  <si>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</si>
  <si>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</si>
  <si>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</si>
  <si>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</si>
  <si>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</si>
  <si>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</si>
  <si>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</si>
  <si>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</si>
  <si>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</si>
  <si>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</si>
  <si>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</si>
  <si>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</si>
  <si>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</si>
  <si>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</si>
  <si>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</si>
  <si>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</si>
  <si>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</si>
  <si>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</si>
  <si>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</si>
  <si>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</si>
  <si>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</si>
  <si>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</si>
  <si>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</si>
  <si>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</si>
  <si>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</si>
  <si>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</si>
  <si>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</si>
  <si>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</si>
  <si>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</si>
  <si>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</si>
  <si>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</si>
  <si>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</si>
  <si>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</si>
  <si>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</si>
  <si>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</si>
  <si>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</si>
  <si>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</si>
  <si>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</si>
  <si>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</si>
  <si>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</si>
  <si>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</si>
  <si>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</si>
  <si>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</si>
  <si>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</si>
  <si>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</si>
  <si>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</si>
  <si>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</si>
  <si>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</si>
  <si>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</si>
  <si>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</si>
  <si>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</si>
  <si>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</si>
  <si>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</si>
  <si>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</si>
  <si>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</si>
  <si>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</si>
  <si>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2021.05.03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</si>
</sst>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191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39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auto="1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auto="1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auto="1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auto="1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auto="1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auto="1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9D3418F6-58BF-462F-890B-849761CDEE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77F9C906-7825-4FF8-8CEA-AA808A8DD5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56739FA6-B2A6-4ED9-A726-CD03D7C9CE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65FE9097-44D6-4ED0-BF13-D4AA4AE221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B45394BB-11E1-4AE6-8E43-9BD1CC852C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6824C46D-8AA3-40F0-9B38-930AF34838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E67F34BF-99EA-4AD1-8E71-BC188EEF4E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87590EF5-5175-4A03-AE8F-F6DF763F2F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70DF64C1-2386-44F7-BF0A-CEC62EA98C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FD5A522D-E0E1-4A3E-A812-212696E542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6631734C-8E88-4306-9F2C-8565C355A4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25A5C9E2-6D56-4D80-AB3B-A0A9365C2A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32CACF8C-94AB-4D5D-8640-5F115BD3AD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8BA44CE2-52CA-4713-ABD2-1F18EDDEE4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685249E3-F8FE-4577-8DBF-125CC702AA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1B1C7928-7794-4416-975B-6FE624A4DC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DFEAC602-57F3-4B77-B8E3-015D6EA6CF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9A157754-440D-4837-9916-ABA067182E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73A91AEB-E2EE-44E5-8A21-09A9EBF356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46E6CD76-ED87-447C-97B8-5CDED5EC17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C4AF021B-D601-433F-9B1A-364C63718E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C920CFBB-A46D-4A7A-8769-AF61AB6198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D7F7359E-C54B-45A5-BF0C-333F23863A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467DDF33-651D-457F-BC28-3E88E1656C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37C94A66-35AB-445C-91C2-7F17413F82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D6EB3B18-C37E-4139-B591-3FD7367218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944F2196-8635-4B47-8C04-EEAF998D2B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C3E11CEB-48FD-46F2-9DF4-13F89782F0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7C147FD1-3233-4B59-BEFB-2367216F53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5591DBF1-D3F9-4F1E-9FE9-72F431BCF3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EC9221E7-675C-4017-BF09-280082443C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29894882-9EFA-4D5A-A75D-09B236DA49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261EA771-BBEC-462C-8EDA-E008680253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581A7671-575B-4C36-BA6A-E7E0F1BF3B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7B144EB0-CF0E-42D0-81F8-175F6B59D6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FE8A26-C75E-4F28-84D5-9F250F1CD2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16E05CBF-AA73-4BBC-8F78-76A3FF236B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B97A9DA1-347D-4C52-9461-41F971ADFF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89C99FE8-540B-42FA-91DE-F6A6BEF179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2C79B42A-1EBF-4323-9A03-12B23576B5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68B2F665-CC1A-4360-9E3F-042E245B55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7955FD3D-A889-48E8-9D63-423B17B479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BCE6712B-9A99-4E36-84B3-C817D2785C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396A374-E36B-455D-91AA-3F73D708D5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F3FB44D3-BBFC-4F3A-B505-2B780AA9D7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C99EB2A7-944B-41C9-88B9-45527885E5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5CBDD56E-0497-4A3D-B1B2-4D3D682D4A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D446F6A3-33B0-47F1-8554-3362213A03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2F5ECA0-A14A-417B-909F-AF96BDBA1A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AFE11710-D655-4F1E-ADDF-FF38606865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388AAFC4-D340-4917-B1D6-DFD48F132F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BAEE9060-6EFB-4348-9B67-1E876E4D02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7FF62390-A417-4733-A7E2-859F8EC9EE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20B2EDB0-8225-4B6D-9D4C-247945A3F9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CD78E673-3A64-4B03-B759-9F2148BFE1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46C33009-9C6B-4ED3-B63D-7B129A0324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D94EB4F4-2740-4CF8-9E66-FE53096206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2EA62947-3C99-407E-8D5E-F188EE285B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E9201D5E-0EDE-42A3-A85B-FA2013013C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68C3DA95-D697-4B97-BF75-E2F3586A98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557C0399-8E2F-4C4A-B291-9A553BBB9E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55237185-C165-4D8E-9F7C-E3B24799C5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76075BE-8704-49DA-8237-D5BAB7D6AC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966AB532-1EE0-46F2-B77E-3FEA4E254C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E985CC0D-B129-4E9E-92F1-76D075142C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55E465EB-C1E4-4A55-BA92-CC405FD42B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DF26C8F1-26F3-42BA-962D-6D6553C0A5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47D01C3D-F0C6-4AB6-AF91-D4B8AC0789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514CA78-A48E-427A-B3C1-43F35787C4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AE4935A1-690C-47E5-9CA4-9AFCD703B6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C721D9BF-0DC2-45A6-9031-D33C1AAB80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1E4081AC-498B-4481-92FD-32637AC5D7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F8ED951C-92EC-48C8-A87A-9406C3350B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8E165D82-F03B-4666-A7E8-90DACE39AC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ED8C13CB-3F8A-41D0-9E62-5FB60D93F2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81E15A90-3ECB-45EA-9532-16F5FBFECB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A0EF3882-99F3-4F2A-B0BC-03F15426C5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EA389269-1FD7-42A5-B232-295678AEBF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17C6965E-862F-47E9-BE4F-55B1F488F0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553A7B9E-906E-4AFE-93BD-22DEF68DF1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74B36FF5-DE44-4C58-8A46-FD1FC96988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F63B846E-E6C9-4D2A-9C06-B3D1B410DB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67A6CE2E-606F-44BF-B7CD-D72E32EBB5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138D58C1-C2D8-4C35-AA8E-7759553728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C4B1E8F7-E44F-4D53-BF36-EBD882F34E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361E3F42-B607-44CC-9815-266389C348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FDFFAD96-688E-4653-A047-CBE6C68BD0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E01F19A8-C068-498F-9B8B-ED184F3190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7B6F388F-26E9-407F-AD80-0D8B46768F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1817A9F0-CC2C-4F5D-BC30-ED8C8383ED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D526310C-DEC2-4FE2-81E1-43DC31C6FC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E9B6D658-067B-490A-9F45-1235E9ED71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B8CE0864-52B9-4B3B-A5A8-71D0842069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C44DA1F9-379A-4F1D-9CA6-23D0C74F7B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5C7CE58C-F8A8-4239-A2BF-63A10DE9DC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A52A7A4E-948E-43E4-9484-81C8BE104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E472A692-F69E-4DDD-90D3-6B87D96D9E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89E721B2-650E-4B67-B5B4-A9F80636F2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2D1CB231-CC5E-492C-A6E9-CCCC5111CE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A3CC3C67-E690-454A-8961-BB1E7B9B13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892D29CF-9BEE-4E5B-A779-F36E7DB62F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436AEFE8-76CA-4D74-BA68-8084D441A8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88CD484B-CDA0-4473-AA24-DF05DDA86C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C6B60440-A627-4E36-AFA8-BE4719A23A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A6E58F5F-BD76-453C-929E-7C1EB41F17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F6CD853A-9169-43B3-8EAC-5AE382447A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84CD4BF-A049-40DF-BCE8-4D63693768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2557333-0C95-478F-B6D7-009A34EC9A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8FBD75FE-F040-4BB1-AA7A-D42B5EC6B8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63626DF8-14FD-4B61-A11F-6759037CF8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1DA068E-DBEE-4066-B194-4F5BE9B3ED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239863E6-0E96-49E7-83E6-218B45F338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6C023608-49CA-4ABE-A77B-E4E40DA413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3C81491A-9297-4E17-8BA6-F920665D46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3E070FA3-D691-411D-B535-DD9A164D89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88C6DC4A-7105-4C10-8919-00AC6CAB2A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73436EA6-AD50-425F-BA03-7BCE49AD2D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35707D81-BBCB-42D5-A6F2-C84F0B3DC3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C4E38965-6144-4703-8DEC-C6C7734309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70B2B784-129F-4891-A714-8022D973B5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8BBDFD66-BE25-49E0-B0AC-8CF0EF883B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41112846-B23C-4864-A363-DB474EBF1F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6249FC9E-F354-4F50-A428-60AA279B41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BA4A587F-19D2-40EA-955D-62A48AE380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44A1C2A8-4ABA-442F-A9E4-599CDC3F8F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A72C7E08-33E0-49F4-ACC6-E6E3361CBF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CAB16240-A32E-4A92-8220-B9384E2BE6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81D4BB8F-D7A6-4DBC-A455-E30A9FF9E1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E74A56DB-75C7-4931-B15C-1B63F38B73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A3D8EFB-2A6A-4BA4-AF4F-E3D004F98C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7ECC7CFB-BCE4-4B2E-96FD-2293EE3176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69B5DA2A-0168-4BF6-A772-C583F68B70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1065A994-F03D-4DB0-9F60-9567C2CF4B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9F0231D9-96D5-445C-A0DF-CC21F03640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D2CBB8D3-E156-4632-B105-9D8F7C09C8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B1649A44-C925-4136-B15B-6C3D02CB63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44A1922C-5D00-4F8C-BBDC-C320A5D05A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FF259A0A-4954-4EE2-8CFF-461AFCB743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AF77E686-5627-4348-86B3-0BE80AD424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F4821A18-CB0B-46F7-8EB5-467439D8B8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0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0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0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0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0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0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0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0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0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0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0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0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0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0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0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0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0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0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0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0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0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0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0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0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0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0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0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0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0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0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0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0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0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0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0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0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0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0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0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0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0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0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0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0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0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0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0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0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0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0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0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0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0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0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0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0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0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0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0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0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0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0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0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0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0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0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0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0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0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0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0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0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0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0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0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0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0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0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0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0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0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0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0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0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0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0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0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0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0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0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0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0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0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0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0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0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0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0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0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0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0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0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0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0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0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0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0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0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0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0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0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0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0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0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0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0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0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0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0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0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0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0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0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0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0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0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0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0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0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0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0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0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BF8BF29-071F-45EB-B441-AE8C809BB7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7FA65C23-00CD-4A3C-B6C8-D800D596C2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D09C7645-663A-4BD2-A7F5-4C4E75AC9E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71F7E41E-CF06-4092-84F0-693253C945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1B47CF9A-D3D4-4A44-A162-0ACA0396D2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7CED8988-C24C-4837-A1FC-F0FB3E6B61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67DE945E-7978-42D6-B123-3A778DDB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486C069B-70C7-4153-9C2B-7D5364A194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C012DEF5-7659-4E68-B720-6B728D2B65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5A925F6D-A8F3-45B0-B1E6-4DD4FE20DD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B8CD9E86-9714-4606-81B7-E55997C7C8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FAAC30D1-F6AE-443F-AFEC-4FE98493ED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2241F28C-F099-4C3C-B511-B2F9D8A713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5BD939EC-5FAB-4CCD-A786-34BE3F3872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47145043-CE0A-4AD3-B105-481647CC46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5A417CA-56BE-4C26-859C-6F679FEB8E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25107DA8-208E-4545-9AB4-034BBC4EDF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1B64CB3-CACD-4074-8048-A1082A19C8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B6C4753B-793B-4D53-BA4E-882088E86F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D0175942-F1C8-4713-ABE2-69D70C23CD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42017B2F-3F86-455D-9503-08658A79F1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DBB5B37F-7BEF-4F49-B56C-76A9999958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16C9A018-A1A8-4237-BE92-E69AAA6B6D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3109B023-671B-497A-883F-1E0A6CBC0A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E78DEDD1-7C0C-494D-BD2E-9545C450A6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299222FF-A8B3-492C-B530-DE5A36100B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4760369-8752-4E6C-9261-08AD60C673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8F3395B6-4AC3-43BA-AD8A-C0CFCAC192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23611BE4-8EDC-439D-B1FB-252007C0A4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F660E796-2A4D-4339-924A-BC770C359E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66CE6B03-CA95-4EA7-9A13-81F1C345B0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57D8E7A5-F339-4BE8-B560-C0A88B968D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DE362717-A325-483A-8084-95BE6356B8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63DBE356-CC3C-49A1-B128-932310F159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FF0BCF2D-7EBD-4F67-890A-9741EEC9D1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256C1305-FF7D-4D9A-9F72-81CDB81AEA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9750C161-FCBA-40B9-876A-9A81278564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E3E10445-60B9-40BA-B7C0-EC63E04FA4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9E8CB590-FBA5-42DB-846B-02AE8737D3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2643F960-8C3D-46DF-AEFA-BF5C2E767B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A3193FDC-8136-45A1-A504-24F1E94454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DED43CD8-2FCC-41EF-91DD-E238B245FC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6698B09C-3534-4759-8291-1A39043F27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585E56B3-903C-4E15-B4BA-D4FD29528E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162E86DC-72A0-43F4-815C-3F5B95BE84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CE134122-66FC-4464-9578-23C75C7B02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18DA3DA-5866-45C9-AC61-D55529CA6A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5384A3C7-A7AD-40B4-9F48-2705CAB22E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748CCA33-FD4B-4927-BDC1-D41AB8D368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ED64180E-281D-48B0-B779-20907CF7A6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EC91C548-E7B6-4DBC-8CE9-B776F738C0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1DAB733A-9288-404C-A898-43D06D55C1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3BE82070-AF23-4766-9565-B163079C79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2DFC5369-7E7E-4723-B71D-AE64D4B545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E523EC42-0EF8-4992-A672-993609D226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92051594-AACE-4489-957A-58321F5DDF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1142C657-26E2-41E0-93A4-F7FD5E0377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360289B2-2B04-4AC3-AAB4-0867053B6E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D8198B18-A14C-49A9-B67D-D1B8553085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F0183F2B-45BF-483E-BA52-704A557BF9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23AC3712-36D8-40C5-AC25-E7105A5816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E4F4EF1-B55D-4A4B-8698-DE326E908F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652166F0-4BD5-4BBF-8AEC-6BCC91F08F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983B06F6-7C87-41CB-BC39-1E20147B1C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8FFC7E6A-CA0A-4867-B415-1EB2B138BB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E42F9C5B-B13E-4EDE-8F9C-D557964254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6AFE2BAF-B603-4236-92E6-828856A9AC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8B8ED175-12DC-4A66-AE4B-BE56685D6F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1DBC1074-9761-4CFA-A574-9AED51F874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F2C353D-D30E-447B-A926-AEF4875825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67CBE8E5-CDDB-495F-8FC9-8ECAE62C9F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FBC2A557-A667-4F9A-BFB7-09625F1939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E853344D-CB4B-4B42-B788-E107BD3DB6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83A1518B-3844-4AF1-90EE-2AF6C6873A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FA8C0644-1F06-483F-90B4-B19A1288CE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597F1D42-1FE4-44F8-B03B-27A53F049C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A0BD637B-776F-4CE4-B507-F807C0CEF3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4256FA08-0833-4E67-8ED2-4F656F33A3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2342437C-D7CA-40A5-83FF-76954680E1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C731D6CD-16B7-48A3-A8F8-D028E619AC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5FFC6465-9761-4ECC-A049-6E726591A2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FDA11E7A-5D7D-4D6E-8C81-637ECC260C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6E2AF96E-685B-47AA-87E6-C4B2552333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557661D6-146D-485C-80AB-20B438CD21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3EE27DC5-7C8A-4636-85F0-7C97BB3D83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AB92B54F-AE70-4364-8280-B5D41AF577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B633CD98-8F6A-4090-9B84-363F9860C3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D45B4BCB-3CB0-432F-A511-2107D45F20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AD8A0E87-1BB6-4B00-97A0-879038E3F0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4AB2DF9D-3224-48B4-8730-A8DD879BDB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D0F7F68E-2BBB-4D76-AD37-0B862F9EA8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976CDCC-7B6C-4930-91AE-95B6C3D565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765117B1-4254-4D6A-9216-4C7652840E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44584CBA-9BDC-48D3-ABAE-845078375A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8884377D-B53D-4830-96AF-B60290C4AD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47975466-541F-42A9-AEFD-370E5EBF92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B05E83E3-4A2B-436B-AEF4-2BF54C1922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4C0D54C6-0DAE-4E46-904F-F6ADB0DBDC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BBE19866-D6D6-4B5B-B307-4109E9CA15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702F5C2B-41C3-41DA-851F-AD6B3BC8B6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636654E7-DFAF-4149-B06A-8C9C393EE9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13DEBC42-7463-4D1C-8AFA-2E0F22F1AF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7F43482B-3D34-467B-82AE-6A91184C75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65C2802F-86AB-47CF-9F6E-A298FE7C80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D8F3268B-023A-4FB7-925E-DBB7E19268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8FEF20A1-97D0-41C5-A48D-F113AA29BD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1FBAA55-239A-497D-A152-F9C0039BA5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5C1F6958-5D60-48DF-8A85-69B1AFD9A0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74BF9863-1407-416F-91A0-445487F89C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F4CF2C51-76C8-4E4E-9B44-AA4B37C8C4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1CE062EC-452B-4446-BE33-086DAA467C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DDABDBB5-1BAA-414D-B312-C8D79A01BC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929C6854-68FE-47E2-B9FE-202A7F3045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9150FB5B-27F8-45F9-A633-84ABE0EFDE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780217FC-AB6A-4677-9DC1-329C56C8BD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15760823-F879-4CD7-A6BD-BD9F225563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1CDDAB85-632A-46B6-A85D-B18AC2C4D8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1D2EC029-9CA0-4C9E-BC07-9A9D3C8971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B2145808-9288-4EC7-B92F-8C49ECD595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8EC86D98-B9C6-41E0-A746-ACECEDE9B4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5C05A11F-FB3E-4106-80FD-9C0C297C95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DECB17E1-6E9F-474A-B97C-8A70ED56A6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9A365F32-EF49-440D-8439-275C7DF51F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2C105DC6-EFC9-4798-8ECF-FB4B127914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AB12BB24-96C6-474C-961D-14B559672E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C999E310-5DED-4340-94CB-29669B4377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6FCCF172-0BF9-4CDB-B565-7592742B39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BC57EC53-8E7F-420D-A537-39904431F0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D6D0A8FC-B9BF-4C70-B03D-CB3403269D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6D6F598C-93EB-4E44-8DFE-EB65DE16C5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AD9AF772-1259-4D72-8EE1-A210CA9682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64955FD3-C050-4E72-AF48-2916ADC9DE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6C119908-3A1B-4E2F-978B-143EBD9E8E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ED784518-78D1-4B08-899A-C0FB57D9D7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74B80652-CF55-4EEE-8F86-8FBF926689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5F85A6DA-AF8F-4B84-AB84-4AE425E0EA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C20924C9-0BF7-4D4E-B9FA-58353DCB70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F2B5D0FD-6CA6-4928-A60B-EF7675F4EB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1C7316B0-E5DE-44E8-95E7-548EA6EF3D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60960A9D-DB3B-4FC2-94F3-17CFD78456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18D195C1-7754-4A83-B218-29B3367FFE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704FB874-20C8-40CC-A136-FEA638386A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6970FD0F-7AA0-45CA-8730-C0B442BEB4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8DECCD52-7D4D-4FBF-9D1E-3DF6001E57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4305F8B8-E714-47C3-8B55-0AE9DE2C37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D381EA85-DFC2-4B14-B794-84F92BB065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6AB13A3D-D3C2-4544-AD2F-05328CC32E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A7A0A834-EBD7-428E-B3CA-7BFE8714B2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D75D8886-7A9C-4733-AED1-C9986E8FB8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69FC99CD-7CB0-4457-AFA7-B036B0E18A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D076EFE4-EB2F-455D-B912-909A8F01B1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1D70684B-1685-436B-A66F-2F0104B5D9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70B6B304-E6D3-4F3C-9442-86B3D89338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F656854E-842B-4A57-8C1A-8992A4D288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6CBF339A-206E-4108-A54C-92727D6947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18BAA7A4-62DA-4327-960C-648478869E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3E76925F-C73E-4A23-8AD4-E72BFB4096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41DDB5FF-FCCA-4BE1-8149-8E5AC4EA5B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AE967EC2-F552-4D0A-A7D6-5B5E51FEBA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530F3D6C-EAF9-4766-80EE-869B19B648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DA6BEDA4-4DE2-4B0F-AF4C-BB426574FF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48DA3F31-97AF-4828-AD5D-6C970F966A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9AEA9009-7F5A-44ED-90D6-6D861D8960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8846E3B1-1F71-4DE6-8C1D-8A42A4E639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1E2562E1-FE31-420D-8A92-D79391F1E0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3FE045C-7D8A-46A2-8D8F-D25B02B01F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E12440DA-6D52-4B0E-AF7F-3571F15C7F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6910DEBC-312C-4845-B6B9-634970DE42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358E8A88-3CDF-442F-8A50-792133E1FA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286B06D6-17B1-4CEB-897C-13C762C8EB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F494EDAD-7D2B-4383-9483-E9FEEA1DF6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BB5D778-5E12-4BF6-9EE8-47F18BE0ED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408FDBBF-519F-4E19-A46D-D6243E10EB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326BDBF2-6309-4F59-B46D-384855D491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148EB69F-6BC2-4124-9920-87DA9122AE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CBBFD434-567E-42B3-BF0D-B58A634F24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754CAA57-185C-4C06-BAFC-8257A174A1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F0C92AE3-C653-4168-AC30-70846C480A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E781682B-EE5D-46B1-A4B4-E57416E502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3EB523BB-AF82-43A7-B206-595C6FEB60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2286F564-A2E5-4177-93F0-20435679DF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FDB5F5CD-C9D8-4CFB-9F2A-E54DFB6B35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E1D1676A-19EC-48E9-BE60-D1A1D01777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9F04081B-61E6-44E6-ACA0-A89A0985D0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5AB2A3AA-24D2-41A4-A105-C56B013540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29CB2A3D-AB39-42FE-A11B-5DC2DC6325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3464AFAF-9EA2-44C8-9387-849F95497D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53B6D023-2F57-46E1-B845-1AA6B02BBA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CF0E397D-9E86-4511-BE2E-FE452242EC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C2994C92-793A-4E43-8358-8A8DF745C1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CB1C3C68-7DB4-44B2-B4AA-1D9DE4C1EA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B6C03CCA-7425-4FD7-8079-F447C64065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50BA86C0-C571-46B1-95DB-E6FCB8911F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A0337681-8FB7-41C0-B3F8-FD78CDDFBC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D938C488-3F27-4EEF-ABED-325D85EF05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8D583A77-E26D-48F3-A9BA-8CDD8DB975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13FF1A65-56BD-45ED-B856-F8F8938F1D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C286C3F2-1F4E-482E-9E2D-3AB2F60DAA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E7F4C0E0-BAD1-40EC-B8B1-A226A6CAE7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B7A350ED-489C-4683-9DD1-C7A6872928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85F6E5BD-75FB-4429-8C31-2874DCFE3C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7E38F439-E853-492C-9046-0F4F45B706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3B6BC66F-1D04-409D-B1E1-349ED1ECD9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5FE55399-2243-4E5A-BC43-A0A3B5E039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35FF14B3-B686-464A-9B89-B44DAEF112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1F321925-2460-4465-BCB9-7E8F84A299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2F4FF199-E5A3-4CD8-8C9C-C798749A87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17398998-9F37-498B-8D70-D13A60AE2C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78C58E18-055B-46A5-A63B-A5F1845B3C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44753E28-ECDC-41A6-8159-E58E30CBA9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15923032-A1FD-45B2-97E2-DC245CB32D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32C2F4AF-0728-4088-A5D0-05F3C952CC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821223E0-E19B-40A0-B91B-71348FDDED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5571A4FB-5DC3-43B6-94D6-FBEDFF19BB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D23872BF-6E4F-44D7-B533-B930442A6A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7AA7C56B-B450-4134-9BFF-57200105AD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4707983-9E7A-40FE-A80D-50AE142D32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5D6FC486-0FAB-479A-9DB2-B186B40ECC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1D27E0B0-3565-4B5C-911C-AF688DDFDB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95DB9B88-983B-4498-95D8-229A31EFBA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FB3B8973-8B04-4210-BC2C-9BDFF07E3C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34754EB6-F067-48A3-B1F7-13C1FC1BE4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9E5E9EDA-EA96-4CF0-A3B3-5BB5349864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729418F0-9D0B-41BA-A1C4-1B8864AEDC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B9046B4E-3801-435F-B25D-4474F03F5E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9FD020D9-0F81-4FDA-8EF0-C20F35FC51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6E5D5DAB-6D34-455A-A08D-78D5DD4EB7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837005D9-63CE-40B5-8700-4CFC8AA35F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15F1C4EF-D57C-45D5-9F7A-86A4E0832D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49C47A17-BF4D-49E9-A81B-9551B462F4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861CDCC-F7D6-4DC3-9110-51D47724B8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5050E784-2CEB-47B9-B78A-839DFDFAE8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FC8D53B1-A9B2-4FA2-BD73-641C772633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1D10DA32-1A53-4296-B2C2-A8FF16AB0E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37F72BF1-C59D-4F05-8965-2F7E374B66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A3F833C8-74EE-48CB-B080-417FD50146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16EE3FD4-2913-419B-8853-E3F91C8F66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4CB6560E-EE66-4C68-AC71-B5114CF58B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B9DA70C-8771-40C1-906D-02F9280E74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6E168A67-DE9B-47CA-8EAC-10CB7976E2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F2AF0B3D-71D1-40F0-A6F9-E76CF8AF22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22607610-645D-4130-B5B1-3FCE9FD736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3EF724A5-8BF0-4109-81E7-2CA63E8D50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CC557BED-029E-42FE-A363-C41A82AA15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1554B0EC-8EC7-4F1A-91A4-77F674BA08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23BF05D6-18E6-4BC3-8E20-A83FA8B146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161CDA1D-C622-403E-B226-F4A763466D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56AB6269-3A03-4123-9C33-E301CD9479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6FE6B813-DDFC-4BBA-9A57-154C6DFEBD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CD8E08CA-85D6-43BD-9B47-D83ED27C7A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C4C6FFDE-7016-4179-93DE-6F436851BD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57F53BE1-A0CD-4392-BBF3-4F6F5E5167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83F85263-BE36-4D54-A609-DF1262B79A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B0B035B9-73EB-4B34-9877-5F0F566766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499B963F-D441-42DA-98C9-E06DF22479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1EF1A370-9905-4B6B-9ED4-8A6E14CCFD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539F91FE-00A3-47B1-897C-4E4F4CEBDD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71E92A76-0C0F-4531-A336-DE1EC71F3C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A9E3336F-8666-4FB5-A8B8-E3287077AC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81ED63E4-99D2-4259-91F9-134C56AC36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1E34023F-3622-46A7-A276-7CEB455E3F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8C007D89-6570-4B2C-AA3E-4EB712E245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5000BC64-7AFF-4E85-8533-857FA116C4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B3B5C80C-EDCD-43AB-935B-46CE1D4BB6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7EC54984-590D-4310-AD53-44A189A98E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4A2BB46C-321B-40FF-BCDE-537E2705B6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804AFE8C-4C81-437F-AA85-B4D6A5C5C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523ED311-3FA5-48DA-9DB3-B8013CD521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71AC2A80-9F0D-4623-B669-128F7E7BBA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A15C29F-AEF8-4436-9CD4-58F8118078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EEF44D0-F2DC-4336-959B-63A7EE541F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71E18960-DD2A-42B9-B80D-F650DEA373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E685740F-9861-47A6-BF17-80399A81BC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45D8465C-0A36-4072-98B1-6D969EB9B8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6DEEF624-1896-4EB3-A25F-8D78E1BFB0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5D23DC0D-AC8B-443A-B1C5-4E9F5C5964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5462776C-6954-4E9A-9C52-DBF422833B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BF48C3B3-273D-4655-9B98-04CF22B9F5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BE6F27C5-1BE8-4B9C-963D-25BBF7CCB7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EA198156-510A-4DEF-AE4A-1271B222F1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CCBB723B-90EA-4471-9C72-59DCF9AB31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671B41CE-820C-4CA8-B83F-0E2F912F9B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E5DC0507-BDB8-4A56-BC38-F169DFDC55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D323227B-A2C0-496F-B131-0E58A0442C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ED1DD86C-2794-4CBA-B0B8-20ECC75F15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1D97C483-8D7E-4E6C-A2CE-5319C81648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280B6E37-4F58-4034-A7EC-97D1A36547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6E12CA45-326D-4FF7-83B5-9560ACB857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A0A1704F-3E3E-477E-A68F-7310053B8F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F6B6E65-ED70-438D-9C58-052A662899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9445D9AF-C4BC-4617-A3F2-7D0795F14B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B786C6A8-B1FC-46E3-9414-A04341F54C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47A23DA-8DC8-4770-AD25-378F654EBE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C41EE1F1-C62E-487A-A745-D20AFC1A55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96355421-EBA2-400E-A52E-1686C7F989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FA5BB1E4-20EE-4D66-B048-D42D6D0FAD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E2A88F03-6C11-4119-8A27-2256E8D36D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1F30B53B-C48C-4151-902D-EB86A68B9E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5F98E829-BED8-4ECC-A551-2D9A33A0AD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41D8B29-05C9-43FA-9C83-E11F08BEFC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CF4EF62D-0E9C-4D56-BCFF-6C44BFEA5F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F234255A-4FC1-4118-BE6E-3057F6B775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4C9A47AC-B88F-45AF-A7E3-2FF49F6C8B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5900D90-F891-4AD7-959B-BB35595144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85318039-5EBE-4765-B9F7-EFE1F928D4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347072B5-C83C-4F59-8F89-05D62FC6A4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9FE891B6-2AB7-4625-9643-2D32E4EF56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986738A0-8CCA-467C-8C67-2F136433A9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9824F609-D939-4F2D-91CE-B1C7908BBE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78F027C3-BD49-4FE1-BF14-C972FFB266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955177BC-3ED6-445A-94BF-7BBFA3E4AA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85430366-1E6B-4D1D-BB6F-D455B7EB9A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34778408-8DFE-476C-8370-75BFE475B4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CAFC32AA-5E3B-4700-B697-5A893E8745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F0E2F1EA-3162-4269-99F0-80BBC84986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C806B305-F2EB-4040-AE37-F49EA59D13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F2A0CB36-D909-40DF-A523-642674D39F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623809C2-7514-43D9-8F9C-A7A015FAAC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BEE9CE83-D509-48FB-ADA2-EFAAD188BB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39BFA7C9-33C9-4F91-AE2A-AD8C4C4FA2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8E3D6A5A-F09A-4D3E-BFE4-56629A214D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9231AD59-FF6E-4CD3-BB8C-587F084830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ACF2FCF2-A57F-4357-BAAE-21B064228A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F8C75EDE-B100-464C-B91A-B420524319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4343BA25-2CCB-43C3-B093-134B6DF3A1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A932DBB-1294-478D-B020-0871C42D62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D104F7C5-897E-445E-AAA6-2E06766010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38D623B4-FD4F-4CA7-ADFC-D0294F9098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5C7C8D3B-F816-486C-A66F-13C535C88A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3BF4187E-9D02-44BF-AFF5-1474525A95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E7D9B779-99B1-4DF6-9601-BCE472F83A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7F5C68C2-3AD4-4A5B-B87A-AE89AFC809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94ED79B0-4991-4D82-BDAB-B6241530F5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9B702FF5-FBF7-420F-BBFD-12CD0C9161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9DC40B48-8A7D-4C37-9F2D-114D99EFF5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93A13FFD-31C5-4CCF-BD5C-F00FA33B37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74CBC785-4BD3-4A78-AE1F-2C174CFC57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D958D686-9C4C-4CAF-9CE7-C58B336607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2138090E-0790-4A14-A817-13CF7CC674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74B955D4-D927-498F-816A-F0416F5664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47FF5788-E4D1-47E9-BD02-A587BE13B5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6D887150-D003-4A6D-843E-B4068C294F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E654C212-9627-4B69-BD3D-009720C1DE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B67A188A-E4DD-4175-A116-B1D936E24C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1A1D891A-FA07-4FDD-AE0E-152589D926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19CB26A8-3666-4DDB-B33C-04199D3A6C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EE3DBB1C-A7E6-496A-8640-326AF1DC8A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3AC6C660-8634-4209-B077-C16213E0BF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526ED56C-3046-44F2-AA91-0EA367B306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9A70A3CE-9647-4B47-A735-F661E85CBB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F1BD4195-263D-421C-B243-9108BB0BA5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8C00A1F2-6DD2-4802-9242-7065FFE277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7DB7D5D0-F8A6-4245-8D6A-7BB64DA04F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FBD18FCE-7AEF-450B-B362-16A953074A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3AAABDFB-5780-43AA-B4A1-922F41E93D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CBFA7601-6F8B-4D63-BA2E-A7119B1999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6899066B-001B-4D05-BCE3-C0FBF1B47A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457438BF-CBC1-4AE8-92FA-C5558FBC14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CD06DD53-168E-47C8-8DBE-EA72C44063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433D2359-508D-46B4-8EEC-E667A07462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D712D5F2-2B28-4490-AB4A-A16BCE8C95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23DDF472-3F79-4917-A7AC-1C414ECA11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EA8813DD-3325-40CF-B2E7-A23BCFCA1A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F1B4FCC4-DDED-48C4-9092-5E906D91C6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E7D1B488-D306-4130-AED9-E3108D1C18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D0E7CDEC-ABEE-4076-8AB6-607BE2C632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CF1D932B-15EC-4DBD-AEE8-B9840E448E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16B15104-1019-458F-878E-59ED2FF4DA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F19655D5-24E0-4DDF-8F98-852DBA9FD0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EAF5D365-6042-4D85-9F21-85681883A2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465FD6C7-2A3B-47E8-906A-22D394DD05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9EE1D29B-5B52-49ED-87A1-2C611F493A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DBC92DDA-C681-4472-A229-6F5E8322FB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543688C-F932-4BC2-B524-1575EE4549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46008469-0F5F-4240-AC80-5A6F6076E4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3777EEEC-9978-4323-BFFF-42F3CB9AE7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C3E86324-8917-4780-8F64-1B1891FABD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2D378004-BD7A-4BC0-BBAC-1A9D14CAF4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85523184-5EB7-41CD-A924-3E8C5BEA40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69B306C2-F61E-44DB-94C0-B91866079D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4BBBEC3C-E1B9-4B03-901C-07CE880B4A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C8D8EB54-41EC-4CC9-92EE-84B1C17ED6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E7E5BA35-3B75-4F57-9FC1-C27B0FC1CC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EA79A376-8E89-4B9B-829F-15962A8440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7BC72D18-2831-4869-9ACF-FB7D7E2E54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681E5874-6397-4145-9EDB-6233CCD359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8EF6B-391D-4E51-B693-84DF2B97DF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A97C1A2F-C67F-4F98-8750-EB8793D223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EF375F9B-8D93-4A9A-9C8B-E901428019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CAB7CD5C-440F-475F-B1B8-9A0618AE64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975F608F-4594-4A01-96A0-69B3CFA1DC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3A7130CE-34ED-4123-8BCB-3715FD32B1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770BCC00-C31B-45B5-BEAE-990DB1BD72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AF236AA8-C2B7-4B5B-84DF-FAA424353F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5132F13-270E-4AA2-B634-FF6F7AA136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E44EED48-D72D-4C89-BF1A-1B1E8194E8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443E362C-E2E3-49E1-8F66-04DC524F9B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4E46F4BD-EF78-416E-92D5-2B95FA58E4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A5504C90-AF22-41A6-90F3-A2F587848B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CDD05D5A-1AEC-4949-B29C-C75E727E87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9AD19996-7F3F-4BBB-A4B1-CDFF5CFBA4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747A430E-D1CB-4E8D-963F-732F993A58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3CBB882F-777A-49A4-9F2C-7E60A0D403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A45F6370-A795-48C3-8A6B-B5C7BC4419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F8B8F79-D743-4714-8529-538DDD086F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CE1BFD0A-BEAA-4F8D-8F7B-35BF3FE5D5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BE173155-809E-464B-82A5-0E17429A35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E3D3B012-1BCB-43EC-9D34-8336B0563A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F1D88761-92EC-44EF-9FF4-52E3E30602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24EF7DD1-BD74-4225-8AAC-5B2C1532ED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B5F9ED8E-DD42-40DE-9DBA-DF3FF62B37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EB2C6C33-B0BC-4213-A917-EAEC2FEFA9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93498F6D-46E8-47F8-A946-6F719CEFE4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5D3251D0-9A07-4F90-845F-06031B1C32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BF00A07A-D263-43DF-AA54-7D6A910183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603EA03A-DBE6-4DAE-BA45-1978531113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EACF6145-BD11-4B20-8289-F4447F64E4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EB643C0-64FA-4F60-9306-582AE3CEFF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AEF57389-1649-4CEE-8089-835EFB9C02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E42BDA1D-CF57-4EE4-9ABA-A2B1DE3690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7.xml"/><Relationship Id="rId5" Type="http://schemas.openxmlformats.org/officeDocument/2006/relationships/ctrlProp" Target="../ctrlProps/ctrlProp286.xml"/><Relationship Id="rId4" Type="http://schemas.openxmlformats.org/officeDocument/2006/relationships/ctrlProp" Target="../ctrlProps/ctrlProp2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02.xml"/><Relationship Id="rId21" Type="http://schemas.openxmlformats.org/officeDocument/2006/relationships/ctrlProp" Target="../ctrlProps/ctrlProp306.xml"/><Relationship Id="rId42" Type="http://schemas.openxmlformats.org/officeDocument/2006/relationships/ctrlProp" Target="../ctrlProps/ctrlProp327.xml"/><Relationship Id="rId63" Type="http://schemas.openxmlformats.org/officeDocument/2006/relationships/ctrlProp" Target="../ctrlProps/ctrlProp348.xml"/><Relationship Id="rId84" Type="http://schemas.openxmlformats.org/officeDocument/2006/relationships/ctrlProp" Target="../ctrlProps/ctrlProp369.xml"/><Relationship Id="rId138" Type="http://schemas.openxmlformats.org/officeDocument/2006/relationships/ctrlProp" Target="../ctrlProps/ctrlProp423.xml"/><Relationship Id="rId107" Type="http://schemas.openxmlformats.org/officeDocument/2006/relationships/ctrlProp" Target="../ctrlProps/ctrlProp392.xml"/><Relationship Id="rId11" Type="http://schemas.openxmlformats.org/officeDocument/2006/relationships/ctrlProp" Target="../ctrlProps/ctrlProp296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3" Type="http://schemas.openxmlformats.org/officeDocument/2006/relationships/ctrlProp" Target="../ctrlProps/ctrlProp338.xml"/><Relationship Id="rId58" Type="http://schemas.openxmlformats.org/officeDocument/2006/relationships/ctrlProp" Target="../ctrlProps/ctrlProp343.xml"/><Relationship Id="rId74" Type="http://schemas.openxmlformats.org/officeDocument/2006/relationships/ctrlProp" Target="../ctrlProps/ctrlProp359.xml"/><Relationship Id="rId79" Type="http://schemas.openxmlformats.org/officeDocument/2006/relationships/ctrlProp" Target="../ctrlProps/ctrlProp364.xml"/><Relationship Id="rId102" Type="http://schemas.openxmlformats.org/officeDocument/2006/relationships/ctrlProp" Target="../ctrlProps/ctrlProp387.xml"/><Relationship Id="rId123" Type="http://schemas.openxmlformats.org/officeDocument/2006/relationships/ctrlProp" Target="../ctrlProps/ctrlProp408.xml"/><Relationship Id="rId128" Type="http://schemas.openxmlformats.org/officeDocument/2006/relationships/ctrlProp" Target="../ctrlProps/ctrlProp413.xml"/><Relationship Id="rId5" Type="http://schemas.openxmlformats.org/officeDocument/2006/relationships/ctrlProp" Target="../ctrlProps/ctrlProp290.xml"/><Relationship Id="rId90" Type="http://schemas.openxmlformats.org/officeDocument/2006/relationships/ctrlProp" Target="../ctrlProps/ctrlProp375.xml"/><Relationship Id="rId95" Type="http://schemas.openxmlformats.org/officeDocument/2006/relationships/ctrlProp" Target="../ctrlProps/ctrlProp380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43" Type="http://schemas.openxmlformats.org/officeDocument/2006/relationships/ctrlProp" Target="../ctrlProps/ctrlProp328.xml"/><Relationship Id="rId48" Type="http://schemas.openxmlformats.org/officeDocument/2006/relationships/ctrlProp" Target="../ctrlProps/ctrlProp333.xml"/><Relationship Id="rId64" Type="http://schemas.openxmlformats.org/officeDocument/2006/relationships/ctrlProp" Target="../ctrlProps/ctrlProp349.xml"/><Relationship Id="rId69" Type="http://schemas.openxmlformats.org/officeDocument/2006/relationships/ctrlProp" Target="../ctrlProps/ctrlProp354.xml"/><Relationship Id="rId113" Type="http://schemas.openxmlformats.org/officeDocument/2006/relationships/ctrlProp" Target="../ctrlProps/ctrlProp398.xml"/><Relationship Id="rId118" Type="http://schemas.openxmlformats.org/officeDocument/2006/relationships/ctrlProp" Target="../ctrlProps/ctrlProp403.xml"/><Relationship Id="rId134" Type="http://schemas.openxmlformats.org/officeDocument/2006/relationships/ctrlProp" Target="../ctrlProps/ctrlProp419.xml"/><Relationship Id="rId139" Type="http://schemas.openxmlformats.org/officeDocument/2006/relationships/ctrlProp" Target="../ctrlProps/ctrlProp424.xml"/><Relationship Id="rId80" Type="http://schemas.openxmlformats.org/officeDocument/2006/relationships/ctrlProp" Target="../ctrlProps/ctrlProp365.xml"/><Relationship Id="rId85" Type="http://schemas.openxmlformats.org/officeDocument/2006/relationships/ctrlProp" Target="../ctrlProps/ctrlProp370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59" Type="http://schemas.openxmlformats.org/officeDocument/2006/relationships/ctrlProp" Target="../ctrlProps/ctrlProp344.xml"/><Relationship Id="rId103" Type="http://schemas.openxmlformats.org/officeDocument/2006/relationships/ctrlProp" Target="../ctrlProps/ctrlProp388.xml"/><Relationship Id="rId108" Type="http://schemas.openxmlformats.org/officeDocument/2006/relationships/ctrlProp" Target="../ctrlProps/ctrlProp393.xml"/><Relationship Id="rId124" Type="http://schemas.openxmlformats.org/officeDocument/2006/relationships/ctrlProp" Target="../ctrlProps/ctrlProp409.xml"/><Relationship Id="rId129" Type="http://schemas.openxmlformats.org/officeDocument/2006/relationships/ctrlProp" Target="../ctrlProps/ctrlProp414.xml"/><Relationship Id="rId54" Type="http://schemas.openxmlformats.org/officeDocument/2006/relationships/ctrlProp" Target="../ctrlProps/ctrlProp339.xml"/><Relationship Id="rId70" Type="http://schemas.openxmlformats.org/officeDocument/2006/relationships/ctrlProp" Target="../ctrlProps/ctrlProp355.xml"/><Relationship Id="rId75" Type="http://schemas.openxmlformats.org/officeDocument/2006/relationships/ctrlProp" Target="../ctrlProps/ctrlProp360.xml"/><Relationship Id="rId91" Type="http://schemas.openxmlformats.org/officeDocument/2006/relationships/ctrlProp" Target="../ctrlProps/ctrlProp376.xml"/><Relationship Id="rId96" Type="http://schemas.openxmlformats.org/officeDocument/2006/relationships/ctrlProp" Target="../ctrlProps/ctrlProp381.xml"/><Relationship Id="rId140" Type="http://schemas.openxmlformats.org/officeDocument/2006/relationships/ctrlProp" Target="../ctrlProps/ctrlProp42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1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49" Type="http://schemas.openxmlformats.org/officeDocument/2006/relationships/ctrlProp" Target="../ctrlProps/ctrlProp334.xml"/><Relationship Id="rId114" Type="http://schemas.openxmlformats.org/officeDocument/2006/relationships/ctrlProp" Target="../ctrlProps/ctrlProp399.xml"/><Relationship Id="rId119" Type="http://schemas.openxmlformats.org/officeDocument/2006/relationships/ctrlProp" Target="../ctrlProps/ctrlProp404.xml"/><Relationship Id="rId44" Type="http://schemas.openxmlformats.org/officeDocument/2006/relationships/ctrlProp" Target="../ctrlProps/ctrlProp329.xml"/><Relationship Id="rId60" Type="http://schemas.openxmlformats.org/officeDocument/2006/relationships/ctrlProp" Target="../ctrlProps/ctrlProp345.xml"/><Relationship Id="rId65" Type="http://schemas.openxmlformats.org/officeDocument/2006/relationships/ctrlProp" Target="../ctrlProps/ctrlProp350.xml"/><Relationship Id="rId81" Type="http://schemas.openxmlformats.org/officeDocument/2006/relationships/ctrlProp" Target="../ctrlProps/ctrlProp366.xml"/><Relationship Id="rId86" Type="http://schemas.openxmlformats.org/officeDocument/2006/relationships/ctrlProp" Target="../ctrlProps/ctrlProp371.xml"/><Relationship Id="rId130" Type="http://schemas.openxmlformats.org/officeDocument/2006/relationships/ctrlProp" Target="../ctrlProps/ctrlProp415.xml"/><Relationship Id="rId135" Type="http://schemas.openxmlformats.org/officeDocument/2006/relationships/ctrlProp" Target="../ctrlProps/ctrlProp420.xml"/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39" Type="http://schemas.openxmlformats.org/officeDocument/2006/relationships/ctrlProp" Target="../ctrlProps/ctrlProp324.xml"/><Relationship Id="rId109" Type="http://schemas.openxmlformats.org/officeDocument/2006/relationships/ctrlProp" Target="../ctrlProps/ctrlProp394.xml"/><Relationship Id="rId34" Type="http://schemas.openxmlformats.org/officeDocument/2006/relationships/ctrlProp" Target="../ctrlProps/ctrlProp319.xml"/><Relationship Id="rId50" Type="http://schemas.openxmlformats.org/officeDocument/2006/relationships/ctrlProp" Target="../ctrlProps/ctrlProp335.xml"/><Relationship Id="rId55" Type="http://schemas.openxmlformats.org/officeDocument/2006/relationships/ctrlProp" Target="../ctrlProps/ctrlProp340.xml"/><Relationship Id="rId76" Type="http://schemas.openxmlformats.org/officeDocument/2006/relationships/ctrlProp" Target="../ctrlProps/ctrlProp361.xml"/><Relationship Id="rId97" Type="http://schemas.openxmlformats.org/officeDocument/2006/relationships/ctrlProp" Target="../ctrlProps/ctrlProp382.xml"/><Relationship Id="rId104" Type="http://schemas.openxmlformats.org/officeDocument/2006/relationships/ctrlProp" Target="../ctrlProps/ctrlProp389.xml"/><Relationship Id="rId120" Type="http://schemas.openxmlformats.org/officeDocument/2006/relationships/ctrlProp" Target="../ctrlProps/ctrlProp405.xml"/><Relationship Id="rId125" Type="http://schemas.openxmlformats.org/officeDocument/2006/relationships/ctrlProp" Target="../ctrlProps/ctrlProp410.xml"/><Relationship Id="rId141" Type="http://schemas.openxmlformats.org/officeDocument/2006/relationships/ctrlProp" Target="../ctrlProps/ctrlProp426.xml"/><Relationship Id="rId7" Type="http://schemas.openxmlformats.org/officeDocument/2006/relationships/ctrlProp" Target="../ctrlProps/ctrlProp292.xml"/><Relationship Id="rId71" Type="http://schemas.openxmlformats.org/officeDocument/2006/relationships/ctrlProp" Target="../ctrlProps/ctrlProp356.xml"/><Relationship Id="rId92" Type="http://schemas.openxmlformats.org/officeDocument/2006/relationships/ctrlProp" Target="../ctrlProps/ctrlProp377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4.xml"/><Relationship Id="rId24" Type="http://schemas.openxmlformats.org/officeDocument/2006/relationships/ctrlProp" Target="../ctrlProps/ctrlProp309.xml"/><Relationship Id="rId40" Type="http://schemas.openxmlformats.org/officeDocument/2006/relationships/ctrlProp" Target="../ctrlProps/ctrlProp325.xml"/><Relationship Id="rId45" Type="http://schemas.openxmlformats.org/officeDocument/2006/relationships/ctrlProp" Target="../ctrlProps/ctrlProp330.xml"/><Relationship Id="rId66" Type="http://schemas.openxmlformats.org/officeDocument/2006/relationships/ctrlProp" Target="../ctrlProps/ctrlProp351.xml"/><Relationship Id="rId87" Type="http://schemas.openxmlformats.org/officeDocument/2006/relationships/ctrlProp" Target="../ctrlProps/ctrlProp372.xml"/><Relationship Id="rId110" Type="http://schemas.openxmlformats.org/officeDocument/2006/relationships/ctrlProp" Target="../ctrlProps/ctrlProp395.xml"/><Relationship Id="rId115" Type="http://schemas.openxmlformats.org/officeDocument/2006/relationships/ctrlProp" Target="../ctrlProps/ctrlProp400.xml"/><Relationship Id="rId131" Type="http://schemas.openxmlformats.org/officeDocument/2006/relationships/ctrlProp" Target="../ctrlProps/ctrlProp416.xml"/><Relationship Id="rId136" Type="http://schemas.openxmlformats.org/officeDocument/2006/relationships/ctrlProp" Target="../ctrlProps/ctrlProp421.xml"/><Relationship Id="rId61" Type="http://schemas.openxmlformats.org/officeDocument/2006/relationships/ctrlProp" Target="../ctrlProps/ctrlProp346.xml"/><Relationship Id="rId82" Type="http://schemas.openxmlformats.org/officeDocument/2006/relationships/ctrlProp" Target="../ctrlProps/ctrlProp367.xml"/><Relationship Id="rId19" Type="http://schemas.openxmlformats.org/officeDocument/2006/relationships/ctrlProp" Target="../ctrlProps/ctrlProp304.xml"/><Relationship Id="rId14" Type="http://schemas.openxmlformats.org/officeDocument/2006/relationships/ctrlProp" Target="../ctrlProps/ctrlProp299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56" Type="http://schemas.openxmlformats.org/officeDocument/2006/relationships/ctrlProp" Target="../ctrlProps/ctrlProp341.xml"/><Relationship Id="rId77" Type="http://schemas.openxmlformats.org/officeDocument/2006/relationships/ctrlProp" Target="../ctrlProps/ctrlProp362.xml"/><Relationship Id="rId100" Type="http://schemas.openxmlformats.org/officeDocument/2006/relationships/ctrlProp" Target="../ctrlProps/ctrlProp385.xml"/><Relationship Id="rId105" Type="http://schemas.openxmlformats.org/officeDocument/2006/relationships/ctrlProp" Target="../ctrlProps/ctrlProp390.xml"/><Relationship Id="rId126" Type="http://schemas.openxmlformats.org/officeDocument/2006/relationships/ctrlProp" Target="../ctrlProps/ctrlProp411.xml"/><Relationship Id="rId8" Type="http://schemas.openxmlformats.org/officeDocument/2006/relationships/ctrlProp" Target="../ctrlProps/ctrlProp293.xml"/><Relationship Id="rId51" Type="http://schemas.openxmlformats.org/officeDocument/2006/relationships/ctrlProp" Target="../ctrlProps/ctrlProp336.xml"/><Relationship Id="rId72" Type="http://schemas.openxmlformats.org/officeDocument/2006/relationships/ctrlProp" Target="../ctrlProps/ctrlProp357.xml"/><Relationship Id="rId93" Type="http://schemas.openxmlformats.org/officeDocument/2006/relationships/ctrlProp" Target="../ctrlProps/ctrlProp378.xml"/><Relationship Id="rId98" Type="http://schemas.openxmlformats.org/officeDocument/2006/relationships/ctrlProp" Target="../ctrlProps/ctrlProp383.xml"/><Relationship Id="rId121" Type="http://schemas.openxmlformats.org/officeDocument/2006/relationships/ctrlProp" Target="../ctrlProps/ctrlProp406.xml"/><Relationship Id="rId142" Type="http://schemas.openxmlformats.org/officeDocument/2006/relationships/ctrlProp" Target="../ctrlProps/ctrlProp427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10.xml"/><Relationship Id="rId46" Type="http://schemas.openxmlformats.org/officeDocument/2006/relationships/ctrlProp" Target="../ctrlProps/ctrlProp331.xml"/><Relationship Id="rId67" Type="http://schemas.openxmlformats.org/officeDocument/2006/relationships/ctrlProp" Target="../ctrlProps/ctrlProp352.xml"/><Relationship Id="rId116" Type="http://schemas.openxmlformats.org/officeDocument/2006/relationships/ctrlProp" Target="../ctrlProps/ctrlProp401.xml"/><Relationship Id="rId137" Type="http://schemas.openxmlformats.org/officeDocument/2006/relationships/ctrlProp" Target="../ctrlProps/ctrlProp422.xml"/><Relationship Id="rId20" Type="http://schemas.openxmlformats.org/officeDocument/2006/relationships/ctrlProp" Target="../ctrlProps/ctrlProp305.xml"/><Relationship Id="rId41" Type="http://schemas.openxmlformats.org/officeDocument/2006/relationships/ctrlProp" Target="../ctrlProps/ctrlProp326.xml"/><Relationship Id="rId62" Type="http://schemas.openxmlformats.org/officeDocument/2006/relationships/ctrlProp" Target="../ctrlProps/ctrlProp347.xml"/><Relationship Id="rId83" Type="http://schemas.openxmlformats.org/officeDocument/2006/relationships/ctrlProp" Target="../ctrlProps/ctrlProp368.xml"/><Relationship Id="rId88" Type="http://schemas.openxmlformats.org/officeDocument/2006/relationships/ctrlProp" Target="../ctrlProps/ctrlProp373.xml"/><Relationship Id="rId111" Type="http://schemas.openxmlformats.org/officeDocument/2006/relationships/ctrlProp" Target="../ctrlProps/ctrlProp396.xml"/><Relationship Id="rId132" Type="http://schemas.openxmlformats.org/officeDocument/2006/relationships/ctrlProp" Target="../ctrlProps/ctrlProp417.xml"/><Relationship Id="rId15" Type="http://schemas.openxmlformats.org/officeDocument/2006/relationships/ctrlProp" Target="../ctrlProps/ctrlProp300.xml"/><Relationship Id="rId36" Type="http://schemas.openxmlformats.org/officeDocument/2006/relationships/ctrlProp" Target="../ctrlProps/ctrlProp321.xml"/><Relationship Id="rId57" Type="http://schemas.openxmlformats.org/officeDocument/2006/relationships/ctrlProp" Target="../ctrlProps/ctrlProp342.xml"/><Relationship Id="rId106" Type="http://schemas.openxmlformats.org/officeDocument/2006/relationships/ctrlProp" Target="../ctrlProps/ctrlProp391.xml"/><Relationship Id="rId127" Type="http://schemas.openxmlformats.org/officeDocument/2006/relationships/ctrlProp" Target="../ctrlProps/ctrlProp412.xml"/><Relationship Id="rId10" Type="http://schemas.openxmlformats.org/officeDocument/2006/relationships/ctrlProp" Target="../ctrlProps/ctrlProp295.xml"/><Relationship Id="rId31" Type="http://schemas.openxmlformats.org/officeDocument/2006/relationships/ctrlProp" Target="../ctrlProps/ctrlProp316.xml"/><Relationship Id="rId52" Type="http://schemas.openxmlformats.org/officeDocument/2006/relationships/ctrlProp" Target="../ctrlProps/ctrlProp337.xml"/><Relationship Id="rId73" Type="http://schemas.openxmlformats.org/officeDocument/2006/relationships/ctrlProp" Target="../ctrlProps/ctrlProp358.xml"/><Relationship Id="rId78" Type="http://schemas.openxmlformats.org/officeDocument/2006/relationships/ctrlProp" Target="../ctrlProps/ctrlProp363.xml"/><Relationship Id="rId94" Type="http://schemas.openxmlformats.org/officeDocument/2006/relationships/ctrlProp" Target="../ctrlProps/ctrlProp379.xml"/><Relationship Id="rId99" Type="http://schemas.openxmlformats.org/officeDocument/2006/relationships/ctrlProp" Target="../ctrlProps/ctrlProp384.xml"/><Relationship Id="rId101" Type="http://schemas.openxmlformats.org/officeDocument/2006/relationships/ctrlProp" Target="../ctrlProps/ctrlProp386.xml"/><Relationship Id="rId122" Type="http://schemas.openxmlformats.org/officeDocument/2006/relationships/ctrlProp" Target="../ctrlProps/ctrlProp407.xml"/><Relationship Id="rId143" Type="http://schemas.openxmlformats.org/officeDocument/2006/relationships/ctrlProp" Target="../ctrlProps/ctrlProp428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26" Type="http://schemas.openxmlformats.org/officeDocument/2006/relationships/ctrlProp" Target="../ctrlProps/ctrlProp311.xml"/><Relationship Id="rId47" Type="http://schemas.openxmlformats.org/officeDocument/2006/relationships/ctrlProp" Target="../ctrlProps/ctrlProp332.xml"/><Relationship Id="rId68" Type="http://schemas.openxmlformats.org/officeDocument/2006/relationships/ctrlProp" Target="../ctrlProps/ctrlProp353.xml"/><Relationship Id="rId89" Type="http://schemas.openxmlformats.org/officeDocument/2006/relationships/ctrlProp" Target="../ctrlProps/ctrlProp374.xml"/><Relationship Id="rId112" Type="http://schemas.openxmlformats.org/officeDocument/2006/relationships/ctrlProp" Target="../ctrlProps/ctrlProp397.xml"/><Relationship Id="rId133" Type="http://schemas.openxmlformats.org/officeDocument/2006/relationships/ctrlProp" Target="../ctrlProps/ctrlProp418.xml"/><Relationship Id="rId16" Type="http://schemas.openxmlformats.org/officeDocument/2006/relationships/ctrlProp" Target="../ctrlProps/ctrlProp301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2.xml"/><Relationship Id="rId21" Type="http://schemas.openxmlformats.org/officeDocument/2006/relationships/ctrlProp" Target="../ctrlProps/ctrlProp446.xml"/><Relationship Id="rId42" Type="http://schemas.openxmlformats.org/officeDocument/2006/relationships/ctrlProp" Target="../ctrlProps/ctrlProp467.xml"/><Relationship Id="rId63" Type="http://schemas.openxmlformats.org/officeDocument/2006/relationships/ctrlProp" Target="../ctrlProps/ctrlProp488.xml"/><Relationship Id="rId84" Type="http://schemas.openxmlformats.org/officeDocument/2006/relationships/ctrlProp" Target="../ctrlProps/ctrlProp509.xml"/><Relationship Id="rId138" Type="http://schemas.openxmlformats.org/officeDocument/2006/relationships/ctrlProp" Target="../ctrlProps/ctrlProp563.xml"/><Relationship Id="rId107" Type="http://schemas.openxmlformats.org/officeDocument/2006/relationships/ctrlProp" Target="../ctrlProps/ctrlProp532.xml"/><Relationship Id="rId11" Type="http://schemas.openxmlformats.org/officeDocument/2006/relationships/ctrlProp" Target="../ctrlProps/ctrlProp436.xml"/><Relationship Id="rId32" Type="http://schemas.openxmlformats.org/officeDocument/2006/relationships/ctrlProp" Target="../ctrlProps/ctrlProp457.xml"/><Relationship Id="rId37" Type="http://schemas.openxmlformats.org/officeDocument/2006/relationships/ctrlProp" Target="../ctrlProps/ctrlProp462.xml"/><Relationship Id="rId53" Type="http://schemas.openxmlformats.org/officeDocument/2006/relationships/ctrlProp" Target="../ctrlProps/ctrlProp478.xml"/><Relationship Id="rId58" Type="http://schemas.openxmlformats.org/officeDocument/2006/relationships/ctrlProp" Target="../ctrlProps/ctrlProp483.xml"/><Relationship Id="rId74" Type="http://schemas.openxmlformats.org/officeDocument/2006/relationships/ctrlProp" Target="../ctrlProps/ctrlProp499.xml"/><Relationship Id="rId79" Type="http://schemas.openxmlformats.org/officeDocument/2006/relationships/ctrlProp" Target="../ctrlProps/ctrlProp504.xml"/><Relationship Id="rId102" Type="http://schemas.openxmlformats.org/officeDocument/2006/relationships/ctrlProp" Target="../ctrlProps/ctrlProp527.xml"/><Relationship Id="rId123" Type="http://schemas.openxmlformats.org/officeDocument/2006/relationships/ctrlProp" Target="../ctrlProps/ctrlProp548.xml"/><Relationship Id="rId128" Type="http://schemas.openxmlformats.org/officeDocument/2006/relationships/ctrlProp" Target="../ctrlProps/ctrlProp553.xml"/><Relationship Id="rId5" Type="http://schemas.openxmlformats.org/officeDocument/2006/relationships/ctrlProp" Target="../ctrlProps/ctrlProp430.xml"/><Relationship Id="rId90" Type="http://schemas.openxmlformats.org/officeDocument/2006/relationships/ctrlProp" Target="../ctrlProps/ctrlProp515.xml"/><Relationship Id="rId95" Type="http://schemas.openxmlformats.org/officeDocument/2006/relationships/ctrlProp" Target="../ctrlProps/ctrlProp520.xml"/><Relationship Id="rId22" Type="http://schemas.openxmlformats.org/officeDocument/2006/relationships/ctrlProp" Target="../ctrlProps/ctrlProp447.xml"/><Relationship Id="rId27" Type="http://schemas.openxmlformats.org/officeDocument/2006/relationships/ctrlProp" Target="../ctrlProps/ctrlProp452.xml"/><Relationship Id="rId43" Type="http://schemas.openxmlformats.org/officeDocument/2006/relationships/ctrlProp" Target="../ctrlProps/ctrlProp468.xml"/><Relationship Id="rId48" Type="http://schemas.openxmlformats.org/officeDocument/2006/relationships/ctrlProp" Target="../ctrlProps/ctrlProp473.xml"/><Relationship Id="rId64" Type="http://schemas.openxmlformats.org/officeDocument/2006/relationships/ctrlProp" Target="../ctrlProps/ctrlProp489.xml"/><Relationship Id="rId69" Type="http://schemas.openxmlformats.org/officeDocument/2006/relationships/ctrlProp" Target="../ctrlProps/ctrlProp494.xml"/><Relationship Id="rId113" Type="http://schemas.openxmlformats.org/officeDocument/2006/relationships/ctrlProp" Target="../ctrlProps/ctrlProp538.xml"/><Relationship Id="rId118" Type="http://schemas.openxmlformats.org/officeDocument/2006/relationships/ctrlProp" Target="../ctrlProps/ctrlProp543.xml"/><Relationship Id="rId134" Type="http://schemas.openxmlformats.org/officeDocument/2006/relationships/ctrlProp" Target="../ctrlProps/ctrlProp559.xml"/><Relationship Id="rId139" Type="http://schemas.openxmlformats.org/officeDocument/2006/relationships/ctrlProp" Target="../ctrlProps/ctrlProp564.xml"/><Relationship Id="rId80" Type="http://schemas.openxmlformats.org/officeDocument/2006/relationships/ctrlProp" Target="../ctrlProps/ctrlProp505.xml"/><Relationship Id="rId85" Type="http://schemas.openxmlformats.org/officeDocument/2006/relationships/ctrlProp" Target="../ctrlProps/ctrlProp510.xml"/><Relationship Id="rId12" Type="http://schemas.openxmlformats.org/officeDocument/2006/relationships/ctrlProp" Target="../ctrlProps/ctrlProp437.xml"/><Relationship Id="rId17" Type="http://schemas.openxmlformats.org/officeDocument/2006/relationships/ctrlProp" Target="../ctrlProps/ctrlProp442.xml"/><Relationship Id="rId33" Type="http://schemas.openxmlformats.org/officeDocument/2006/relationships/ctrlProp" Target="../ctrlProps/ctrlProp458.xml"/><Relationship Id="rId38" Type="http://schemas.openxmlformats.org/officeDocument/2006/relationships/ctrlProp" Target="../ctrlProps/ctrlProp463.xml"/><Relationship Id="rId59" Type="http://schemas.openxmlformats.org/officeDocument/2006/relationships/ctrlProp" Target="../ctrlProps/ctrlProp484.xml"/><Relationship Id="rId103" Type="http://schemas.openxmlformats.org/officeDocument/2006/relationships/ctrlProp" Target="../ctrlProps/ctrlProp528.xml"/><Relationship Id="rId108" Type="http://schemas.openxmlformats.org/officeDocument/2006/relationships/ctrlProp" Target="../ctrlProps/ctrlProp533.xml"/><Relationship Id="rId124" Type="http://schemas.openxmlformats.org/officeDocument/2006/relationships/ctrlProp" Target="../ctrlProps/ctrlProp549.xml"/><Relationship Id="rId129" Type="http://schemas.openxmlformats.org/officeDocument/2006/relationships/ctrlProp" Target="../ctrlProps/ctrlProp554.xml"/><Relationship Id="rId54" Type="http://schemas.openxmlformats.org/officeDocument/2006/relationships/ctrlProp" Target="../ctrlProps/ctrlProp479.xml"/><Relationship Id="rId70" Type="http://schemas.openxmlformats.org/officeDocument/2006/relationships/ctrlProp" Target="../ctrlProps/ctrlProp495.xml"/><Relationship Id="rId75" Type="http://schemas.openxmlformats.org/officeDocument/2006/relationships/ctrlProp" Target="../ctrlProps/ctrlProp500.xml"/><Relationship Id="rId91" Type="http://schemas.openxmlformats.org/officeDocument/2006/relationships/ctrlProp" Target="../ctrlProps/ctrlProp516.xml"/><Relationship Id="rId96" Type="http://schemas.openxmlformats.org/officeDocument/2006/relationships/ctrlProp" Target="../ctrlProps/ctrlProp521.xml"/><Relationship Id="rId140" Type="http://schemas.openxmlformats.org/officeDocument/2006/relationships/ctrlProp" Target="../ctrlProps/ctrlProp56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31.xml"/><Relationship Id="rId23" Type="http://schemas.openxmlformats.org/officeDocument/2006/relationships/ctrlProp" Target="../ctrlProps/ctrlProp448.xml"/><Relationship Id="rId28" Type="http://schemas.openxmlformats.org/officeDocument/2006/relationships/ctrlProp" Target="../ctrlProps/ctrlProp453.xml"/><Relationship Id="rId49" Type="http://schemas.openxmlformats.org/officeDocument/2006/relationships/ctrlProp" Target="../ctrlProps/ctrlProp474.xml"/><Relationship Id="rId114" Type="http://schemas.openxmlformats.org/officeDocument/2006/relationships/ctrlProp" Target="../ctrlProps/ctrlProp539.xml"/><Relationship Id="rId119" Type="http://schemas.openxmlformats.org/officeDocument/2006/relationships/ctrlProp" Target="../ctrlProps/ctrlProp544.xml"/><Relationship Id="rId44" Type="http://schemas.openxmlformats.org/officeDocument/2006/relationships/ctrlProp" Target="../ctrlProps/ctrlProp469.xml"/><Relationship Id="rId60" Type="http://schemas.openxmlformats.org/officeDocument/2006/relationships/ctrlProp" Target="../ctrlProps/ctrlProp485.xml"/><Relationship Id="rId65" Type="http://schemas.openxmlformats.org/officeDocument/2006/relationships/ctrlProp" Target="../ctrlProps/ctrlProp490.xml"/><Relationship Id="rId81" Type="http://schemas.openxmlformats.org/officeDocument/2006/relationships/ctrlProp" Target="../ctrlProps/ctrlProp506.xml"/><Relationship Id="rId86" Type="http://schemas.openxmlformats.org/officeDocument/2006/relationships/ctrlProp" Target="../ctrlProps/ctrlProp511.xml"/><Relationship Id="rId130" Type="http://schemas.openxmlformats.org/officeDocument/2006/relationships/ctrlProp" Target="../ctrlProps/ctrlProp555.xml"/><Relationship Id="rId135" Type="http://schemas.openxmlformats.org/officeDocument/2006/relationships/ctrlProp" Target="../ctrlProps/ctrlProp560.xml"/><Relationship Id="rId13" Type="http://schemas.openxmlformats.org/officeDocument/2006/relationships/ctrlProp" Target="../ctrlProps/ctrlProp438.xml"/><Relationship Id="rId18" Type="http://schemas.openxmlformats.org/officeDocument/2006/relationships/ctrlProp" Target="../ctrlProps/ctrlProp443.xml"/><Relationship Id="rId39" Type="http://schemas.openxmlformats.org/officeDocument/2006/relationships/ctrlProp" Target="../ctrlProps/ctrlProp464.xml"/><Relationship Id="rId109" Type="http://schemas.openxmlformats.org/officeDocument/2006/relationships/ctrlProp" Target="../ctrlProps/ctrlProp534.xml"/><Relationship Id="rId34" Type="http://schemas.openxmlformats.org/officeDocument/2006/relationships/ctrlProp" Target="../ctrlProps/ctrlProp459.xml"/><Relationship Id="rId50" Type="http://schemas.openxmlformats.org/officeDocument/2006/relationships/ctrlProp" Target="../ctrlProps/ctrlProp475.xml"/><Relationship Id="rId55" Type="http://schemas.openxmlformats.org/officeDocument/2006/relationships/ctrlProp" Target="../ctrlProps/ctrlProp480.xml"/><Relationship Id="rId76" Type="http://schemas.openxmlformats.org/officeDocument/2006/relationships/ctrlProp" Target="../ctrlProps/ctrlProp501.xml"/><Relationship Id="rId97" Type="http://schemas.openxmlformats.org/officeDocument/2006/relationships/ctrlProp" Target="../ctrlProps/ctrlProp522.xml"/><Relationship Id="rId104" Type="http://schemas.openxmlformats.org/officeDocument/2006/relationships/ctrlProp" Target="../ctrlProps/ctrlProp529.xml"/><Relationship Id="rId120" Type="http://schemas.openxmlformats.org/officeDocument/2006/relationships/ctrlProp" Target="../ctrlProps/ctrlProp545.xml"/><Relationship Id="rId125" Type="http://schemas.openxmlformats.org/officeDocument/2006/relationships/ctrlProp" Target="../ctrlProps/ctrlProp550.xml"/><Relationship Id="rId141" Type="http://schemas.openxmlformats.org/officeDocument/2006/relationships/ctrlProp" Target="../ctrlProps/ctrlProp566.xml"/><Relationship Id="rId7" Type="http://schemas.openxmlformats.org/officeDocument/2006/relationships/ctrlProp" Target="../ctrlProps/ctrlProp432.xml"/><Relationship Id="rId71" Type="http://schemas.openxmlformats.org/officeDocument/2006/relationships/ctrlProp" Target="../ctrlProps/ctrlProp496.xml"/><Relationship Id="rId92" Type="http://schemas.openxmlformats.org/officeDocument/2006/relationships/ctrlProp" Target="../ctrlProps/ctrlProp517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54.xml"/><Relationship Id="rId24" Type="http://schemas.openxmlformats.org/officeDocument/2006/relationships/ctrlProp" Target="../ctrlProps/ctrlProp449.xml"/><Relationship Id="rId40" Type="http://schemas.openxmlformats.org/officeDocument/2006/relationships/ctrlProp" Target="../ctrlProps/ctrlProp465.xml"/><Relationship Id="rId45" Type="http://schemas.openxmlformats.org/officeDocument/2006/relationships/ctrlProp" Target="../ctrlProps/ctrlProp470.xml"/><Relationship Id="rId66" Type="http://schemas.openxmlformats.org/officeDocument/2006/relationships/ctrlProp" Target="../ctrlProps/ctrlProp491.xml"/><Relationship Id="rId87" Type="http://schemas.openxmlformats.org/officeDocument/2006/relationships/ctrlProp" Target="../ctrlProps/ctrlProp512.xml"/><Relationship Id="rId110" Type="http://schemas.openxmlformats.org/officeDocument/2006/relationships/ctrlProp" Target="../ctrlProps/ctrlProp535.xml"/><Relationship Id="rId115" Type="http://schemas.openxmlformats.org/officeDocument/2006/relationships/ctrlProp" Target="../ctrlProps/ctrlProp540.xml"/><Relationship Id="rId131" Type="http://schemas.openxmlformats.org/officeDocument/2006/relationships/ctrlProp" Target="../ctrlProps/ctrlProp556.xml"/><Relationship Id="rId136" Type="http://schemas.openxmlformats.org/officeDocument/2006/relationships/ctrlProp" Target="../ctrlProps/ctrlProp561.xml"/><Relationship Id="rId61" Type="http://schemas.openxmlformats.org/officeDocument/2006/relationships/ctrlProp" Target="../ctrlProps/ctrlProp486.xml"/><Relationship Id="rId82" Type="http://schemas.openxmlformats.org/officeDocument/2006/relationships/ctrlProp" Target="../ctrlProps/ctrlProp507.xml"/><Relationship Id="rId19" Type="http://schemas.openxmlformats.org/officeDocument/2006/relationships/ctrlProp" Target="../ctrlProps/ctrlProp444.xml"/><Relationship Id="rId14" Type="http://schemas.openxmlformats.org/officeDocument/2006/relationships/ctrlProp" Target="../ctrlProps/ctrlProp439.xml"/><Relationship Id="rId30" Type="http://schemas.openxmlformats.org/officeDocument/2006/relationships/ctrlProp" Target="../ctrlProps/ctrlProp455.xml"/><Relationship Id="rId35" Type="http://schemas.openxmlformats.org/officeDocument/2006/relationships/ctrlProp" Target="../ctrlProps/ctrlProp460.xml"/><Relationship Id="rId56" Type="http://schemas.openxmlformats.org/officeDocument/2006/relationships/ctrlProp" Target="../ctrlProps/ctrlProp481.xml"/><Relationship Id="rId77" Type="http://schemas.openxmlformats.org/officeDocument/2006/relationships/ctrlProp" Target="../ctrlProps/ctrlProp502.xml"/><Relationship Id="rId100" Type="http://schemas.openxmlformats.org/officeDocument/2006/relationships/ctrlProp" Target="../ctrlProps/ctrlProp525.xml"/><Relationship Id="rId105" Type="http://schemas.openxmlformats.org/officeDocument/2006/relationships/ctrlProp" Target="../ctrlProps/ctrlProp530.xml"/><Relationship Id="rId126" Type="http://schemas.openxmlformats.org/officeDocument/2006/relationships/ctrlProp" Target="../ctrlProps/ctrlProp551.xml"/><Relationship Id="rId8" Type="http://schemas.openxmlformats.org/officeDocument/2006/relationships/ctrlProp" Target="../ctrlProps/ctrlProp433.xml"/><Relationship Id="rId51" Type="http://schemas.openxmlformats.org/officeDocument/2006/relationships/ctrlProp" Target="../ctrlProps/ctrlProp476.xml"/><Relationship Id="rId72" Type="http://schemas.openxmlformats.org/officeDocument/2006/relationships/ctrlProp" Target="../ctrlProps/ctrlProp497.xml"/><Relationship Id="rId93" Type="http://schemas.openxmlformats.org/officeDocument/2006/relationships/ctrlProp" Target="../ctrlProps/ctrlProp518.xml"/><Relationship Id="rId98" Type="http://schemas.openxmlformats.org/officeDocument/2006/relationships/ctrlProp" Target="../ctrlProps/ctrlProp523.xml"/><Relationship Id="rId121" Type="http://schemas.openxmlformats.org/officeDocument/2006/relationships/ctrlProp" Target="../ctrlProps/ctrlProp546.xml"/><Relationship Id="rId142" Type="http://schemas.openxmlformats.org/officeDocument/2006/relationships/ctrlProp" Target="../ctrlProps/ctrlProp567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50.xml"/><Relationship Id="rId46" Type="http://schemas.openxmlformats.org/officeDocument/2006/relationships/ctrlProp" Target="../ctrlProps/ctrlProp471.xml"/><Relationship Id="rId67" Type="http://schemas.openxmlformats.org/officeDocument/2006/relationships/ctrlProp" Target="../ctrlProps/ctrlProp492.xml"/><Relationship Id="rId116" Type="http://schemas.openxmlformats.org/officeDocument/2006/relationships/ctrlProp" Target="../ctrlProps/ctrlProp541.xml"/><Relationship Id="rId137" Type="http://schemas.openxmlformats.org/officeDocument/2006/relationships/ctrlProp" Target="../ctrlProps/ctrlProp562.xml"/><Relationship Id="rId20" Type="http://schemas.openxmlformats.org/officeDocument/2006/relationships/ctrlProp" Target="../ctrlProps/ctrlProp445.xml"/><Relationship Id="rId41" Type="http://schemas.openxmlformats.org/officeDocument/2006/relationships/ctrlProp" Target="../ctrlProps/ctrlProp466.xml"/><Relationship Id="rId62" Type="http://schemas.openxmlformats.org/officeDocument/2006/relationships/ctrlProp" Target="../ctrlProps/ctrlProp487.xml"/><Relationship Id="rId83" Type="http://schemas.openxmlformats.org/officeDocument/2006/relationships/ctrlProp" Target="../ctrlProps/ctrlProp508.xml"/><Relationship Id="rId88" Type="http://schemas.openxmlformats.org/officeDocument/2006/relationships/ctrlProp" Target="../ctrlProps/ctrlProp513.xml"/><Relationship Id="rId111" Type="http://schemas.openxmlformats.org/officeDocument/2006/relationships/ctrlProp" Target="../ctrlProps/ctrlProp536.xml"/><Relationship Id="rId132" Type="http://schemas.openxmlformats.org/officeDocument/2006/relationships/ctrlProp" Target="../ctrlProps/ctrlProp557.xml"/><Relationship Id="rId15" Type="http://schemas.openxmlformats.org/officeDocument/2006/relationships/ctrlProp" Target="../ctrlProps/ctrlProp440.xml"/><Relationship Id="rId36" Type="http://schemas.openxmlformats.org/officeDocument/2006/relationships/ctrlProp" Target="../ctrlProps/ctrlProp461.xml"/><Relationship Id="rId57" Type="http://schemas.openxmlformats.org/officeDocument/2006/relationships/ctrlProp" Target="../ctrlProps/ctrlProp482.xml"/><Relationship Id="rId106" Type="http://schemas.openxmlformats.org/officeDocument/2006/relationships/ctrlProp" Target="../ctrlProps/ctrlProp531.xml"/><Relationship Id="rId127" Type="http://schemas.openxmlformats.org/officeDocument/2006/relationships/ctrlProp" Target="../ctrlProps/ctrlProp552.xml"/><Relationship Id="rId10" Type="http://schemas.openxmlformats.org/officeDocument/2006/relationships/ctrlProp" Target="../ctrlProps/ctrlProp435.xml"/><Relationship Id="rId31" Type="http://schemas.openxmlformats.org/officeDocument/2006/relationships/ctrlProp" Target="../ctrlProps/ctrlProp456.xml"/><Relationship Id="rId52" Type="http://schemas.openxmlformats.org/officeDocument/2006/relationships/ctrlProp" Target="../ctrlProps/ctrlProp477.xml"/><Relationship Id="rId73" Type="http://schemas.openxmlformats.org/officeDocument/2006/relationships/ctrlProp" Target="../ctrlProps/ctrlProp498.xml"/><Relationship Id="rId78" Type="http://schemas.openxmlformats.org/officeDocument/2006/relationships/ctrlProp" Target="../ctrlProps/ctrlProp503.xml"/><Relationship Id="rId94" Type="http://schemas.openxmlformats.org/officeDocument/2006/relationships/ctrlProp" Target="../ctrlProps/ctrlProp519.xml"/><Relationship Id="rId99" Type="http://schemas.openxmlformats.org/officeDocument/2006/relationships/ctrlProp" Target="../ctrlProps/ctrlProp524.xml"/><Relationship Id="rId101" Type="http://schemas.openxmlformats.org/officeDocument/2006/relationships/ctrlProp" Target="../ctrlProps/ctrlProp526.xml"/><Relationship Id="rId122" Type="http://schemas.openxmlformats.org/officeDocument/2006/relationships/ctrlProp" Target="../ctrlProps/ctrlProp547.xml"/><Relationship Id="rId143" Type="http://schemas.openxmlformats.org/officeDocument/2006/relationships/ctrlProp" Target="../ctrlProps/ctrlProp568.xml"/><Relationship Id="rId4" Type="http://schemas.openxmlformats.org/officeDocument/2006/relationships/ctrlProp" Target="../ctrlProps/ctrlProp429.xml"/><Relationship Id="rId9" Type="http://schemas.openxmlformats.org/officeDocument/2006/relationships/ctrlProp" Target="../ctrlProps/ctrlProp434.xml"/><Relationship Id="rId26" Type="http://schemas.openxmlformats.org/officeDocument/2006/relationships/ctrlProp" Target="../ctrlProps/ctrlProp451.xml"/><Relationship Id="rId47" Type="http://schemas.openxmlformats.org/officeDocument/2006/relationships/ctrlProp" Target="../ctrlProps/ctrlProp472.xml"/><Relationship Id="rId68" Type="http://schemas.openxmlformats.org/officeDocument/2006/relationships/ctrlProp" Target="../ctrlProps/ctrlProp493.xml"/><Relationship Id="rId89" Type="http://schemas.openxmlformats.org/officeDocument/2006/relationships/ctrlProp" Target="../ctrlProps/ctrlProp514.xml"/><Relationship Id="rId112" Type="http://schemas.openxmlformats.org/officeDocument/2006/relationships/ctrlProp" Target="../ctrlProps/ctrlProp537.xml"/><Relationship Id="rId133" Type="http://schemas.openxmlformats.org/officeDocument/2006/relationships/ctrlProp" Target="../ctrlProps/ctrlProp558.xml"/><Relationship Id="rId16" Type="http://schemas.openxmlformats.org/officeDocument/2006/relationships/ctrlProp" Target="../ctrlProps/ctrlProp441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82.xml"/><Relationship Id="rId21" Type="http://schemas.openxmlformats.org/officeDocument/2006/relationships/ctrlProp" Target="../ctrlProps/ctrlProp586.xml"/><Relationship Id="rId42" Type="http://schemas.openxmlformats.org/officeDocument/2006/relationships/ctrlProp" Target="../ctrlProps/ctrlProp607.xml"/><Relationship Id="rId63" Type="http://schemas.openxmlformats.org/officeDocument/2006/relationships/ctrlProp" Target="../ctrlProps/ctrlProp628.xml"/><Relationship Id="rId84" Type="http://schemas.openxmlformats.org/officeDocument/2006/relationships/ctrlProp" Target="../ctrlProps/ctrlProp649.xml"/><Relationship Id="rId138" Type="http://schemas.openxmlformats.org/officeDocument/2006/relationships/ctrlProp" Target="../ctrlProps/ctrlProp703.xml"/><Relationship Id="rId107" Type="http://schemas.openxmlformats.org/officeDocument/2006/relationships/ctrlProp" Target="../ctrlProps/ctrlProp672.xml"/><Relationship Id="rId11" Type="http://schemas.openxmlformats.org/officeDocument/2006/relationships/ctrlProp" Target="../ctrlProps/ctrlProp576.xml"/><Relationship Id="rId32" Type="http://schemas.openxmlformats.org/officeDocument/2006/relationships/ctrlProp" Target="../ctrlProps/ctrlProp597.xml"/><Relationship Id="rId37" Type="http://schemas.openxmlformats.org/officeDocument/2006/relationships/ctrlProp" Target="../ctrlProps/ctrlProp602.xml"/><Relationship Id="rId53" Type="http://schemas.openxmlformats.org/officeDocument/2006/relationships/ctrlProp" Target="../ctrlProps/ctrlProp618.xml"/><Relationship Id="rId58" Type="http://schemas.openxmlformats.org/officeDocument/2006/relationships/ctrlProp" Target="../ctrlProps/ctrlProp623.xml"/><Relationship Id="rId74" Type="http://schemas.openxmlformats.org/officeDocument/2006/relationships/ctrlProp" Target="../ctrlProps/ctrlProp639.xml"/><Relationship Id="rId79" Type="http://schemas.openxmlformats.org/officeDocument/2006/relationships/ctrlProp" Target="../ctrlProps/ctrlProp644.xml"/><Relationship Id="rId102" Type="http://schemas.openxmlformats.org/officeDocument/2006/relationships/ctrlProp" Target="../ctrlProps/ctrlProp667.xml"/><Relationship Id="rId123" Type="http://schemas.openxmlformats.org/officeDocument/2006/relationships/ctrlProp" Target="../ctrlProps/ctrlProp688.xml"/><Relationship Id="rId128" Type="http://schemas.openxmlformats.org/officeDocument/2006/relationships/ctrlProp" Target="../ctrlProps/ctrlProp693.xml"/><Relationship Id="rId5" Type="http://schemas.openxmlformats.org/officeDocument/2006/relationships/ctrlProp" Target="../ctrlProps/ctrlProp570.xml"/><Relationship Id="rId90" Type="http://schemas.openxmlformats.org/officeDocument/2006/relationships/ctrlProp" Target="../ctrlProps/ctrlProp655.xml"/><Relationship Id="rId95" Type="http://schemas.openxmlformats.org/officeDocument/2006/relationships/ctrlProp" Target="../ctrlProps/ctrlProp660.xml"/><Relationship Id="rId22" Type="http://schemas.openxmlformats.org/officeDocument/2006/relationships/ctrlProp" Target="../ctrlProps/ctrlProp587.xml"/><Relationship Id="rId27" Type="http://schemas.openxmlformats.org/officeDocument/2006/relationships/ctrlProp" Target="../ctrlProps/ctrlProp592.xml"/><Relationship Id="rId43" Type="http://schemas.openxmlformats.org/officeDocument/2006/relationships/ctrlProp" Target="../ctrlProps/ctrlProp608.xml"/><Relationship Id="rId48" Type="http://schemas.openxmlformats.org/officeDocument/2006/relationships/ctrlProp" Target="../ctrlProps/ctrlProp613.xml"/><Relationship Id="rId64" Type="http://schemas.openxmlformats.org/officeDocument/2006/relationships/ctrlProp" Target="../ctrlProps/ctrlProp629.xml"/><Relationship Id="rId69" Type="http://schemas.openxmlformats.org/officeDocument/2006/relationships/ctrlProp" Target="../ctrlProps/ctrlProp634.xml"/><Relationship Id="rId113" Type="http://schemas.openxmlformats.org/officeDocument/2006/relationships/ctrlProp" Target="../ctrlProps/ctrlProp678.xml"/><Relationship Id="rId118" Type="http://schemas.openxmlformats.org/officeDocument/2006/relationships/ctrlProp" Target="../ctrlProps/ctrlProp683.xml"/><Relationship Id="rId134" Type="http://schemas.openxmlformats.org/officeDocument/2006/relationships/ctrlProp" Target="../ctrlProps/ctrlProp699.xml"/><Relationship Id="rId139" Type="http://schemas.openxmlformats.org/officeDocument/2006/relationships/ctrlProp" Target="../ctrlProps/ctrlProp704.xml"/><Relationship Id="rId80" Type="http://schemas.openxmlformats.org/officeDocument/2006/relationships/ctrlProp" Target="../ctrlProps/ctrlProp645.xml"/><Relationship Id="rId85" Type="http://schemas.openxmlformats.org/officeDocument/2006/relationships/ctrlProp" Target="../ctrlProps/ctrlProp650.xml"/><Relationship Id="rId12" Type="http://schemas.openxmlformats.org/officeDocument/2006/relationships/ctrlProp" Target="../ctrlProps/ctrlProp577.xml"/><Relationship Id="rId17" Type="http://schemas.openxmlformats.org/officeDocument/2006/relationships/ctrlProp" Target="../ctrlProps/ctrlProp582.xml"/><Relationship Id="rId33" Type="http://schemas.openxmlformats.org/officeDocument/2006/relationships/ctrlProp" Target="../ctrlProps/ctrlProp598.xml"/><Relationship Id="rId38" Type="http://schemas.openxmlformats.org/officeDocument/2006/relationships/ctrlProp" Target="../ctrlProps/ctrlProp603.xml"/><Relationship Id="rId59" Type="http://schemas.openxmlformats.org/officeDocument/2006/relationships/ctrlProp" Target="../ctrlProps/ctrlProp624.xml"/><Relationship Id="rId103" Type="http://schemas.openxmlformats.org/officeDocument/2006/relationships/ctrlProp" Target="../ctrlProps/ctrlProp668.xml"/><Relationship Id="rId108" Type="http://schemas.openxmlformats.org/officeDocument/2006/relationships/ctrlProp" Target="../ctrlProps/ctrlProp673.xml"/><Relationship Id="rId124" Type="http://schemas.openxmlformats.org/officeDocument/2006/relationships/ctrlProp" Target="../ctrlProps/ctrlProp689.xml"/><Relationship Id="rId129" Type="http://schemas.openxmlformats.org/officeDocument/2006/relationships/ctrlProp" Target="../ctrlProps/ctrlProp694.xml"/><Relationship Id="rId54" Type="http://schemas.openxmlformats.org/officeDocument/2006/relationships/ctrlProp" Target="../ctrlProps/ctrlProp619.xml"/><Relationship Id="rId70" Type="http://schemas.openxmlformats.org/officeDocument/2006/relationships/ctrlProp" Target="../ctrlProps/ctrlProp635.xml"/><Relationship Id="rId75" Type="http://schemas.openxmlformats.org/officeDocument/2006/relationships/ctrlProp" Target="../ctrlProps/ctrlProp640.xml"/><Relationship Id="rId91" Type="http://schemas.openxmlformats.org/officeDocument/2006/relationships/ctrlProp" Target="../ctrlProps/ctrlProp656.xml"/><Relationship Id="rId96" Type="http://schemas.openxmlformats.org/officeDocument/2006/relationships/ctrlProp" Target="../ctrlProps/ctrlProp661.xml"/><Relationship Id="rId140" Type="http://schemas.openxmlformats.org/officeDocument/2006/relationships/ctrlProp" Target="../ctrlProps/ctrlProp70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71.xml"/><Relationship Id="rId23" Type="http://schemas.openxmlformats.org/officeDocument/2006/relationships/ctrlProp" Target="../ctrlProps/ctrlProp588.xml"/><Relationship Id="rId28" Type="http://schemas.openxmlformats.org/officeDocument/2006/relationships/ctrlProp" Target="../ctrlProps/ctrlProp593.xml"/><Relationship Id="rId49" Type="http://schemas.openxmlformats.org/officeDocument/2006/relationships/ctrlProp" Target="../ctrlProps/ctrlProp614.xml"/><Relationship Id="rId114" Type="http://schemas.openxmlformats.org/officeDocument/2006/relationships/ctrlProp" Target="../ctrlProps/ctrlProp679.xml"/><Relationship Id="rId119" Type="http://schemas.openxmlformats.org/officeDocument/2006/relationships/ctrlProp" Target="../ctrlProps/ctrlProp684.xml"/><Relationship Id="rId44" Type="http://schemas.openxmlformats.org/officeDocument/2006/relationships/ctrlProp" Target="../ctrlProps/ctrlProp609.xml"/><Relationship Id="rId60" Type="http://schemas.openxmlformats.org/officeDocument/2006/relationships/ctrlProp" Target="../ctrlProps/ctrlProp625.xml"/><Relationship Id="rId65" Type="http://schemas.openxmlformats.org/officeDocument/2006/relationships/ctrlProp" Target="../ctrlProps/ctrlProp630.xml"/><Relationship Id="rId81" Type="http://schemas.openxmlformats.org/officeDocument/2006/relationships/ctrlProp" Target="../ctrlProps/ctrlProp646.xml"/><Relationship Id="rId86" Type="http://schemas.openxmlformats.org/officeDocument/2006/relationships/ctrlProp" Target="../ctrlProps/ctrlProp651.xml"/><Relationship Id="rId130" Type="http://schemas.openxmlformats.org/officeDocument/2006/relationships/ctrlProp" Target="../ctrlProps/ctrlProp695.xml"/><Relationship Id="rId135" Type="http://schemas.openxmlformats.org/officeDocument/2006/relationships/ctrlProp" Target="../ctrlProps/ctrlProp700.xml"/><Relationship Id="rId13" Type="http://schemas.openxmlformats.org/officeDocument/2006/relationships/ctrlProp" Target="../ctrlProps/ctrlProp578.xml"/><Relationship Id="rId18" Type="http://schemas.openxmlformats.org/officeDocument/2006/relationships/ctrlProp" Target="../ctrlProps/ctrlProp583.xml"/><Relationship Id="rId39" Type="http://schemas.openxmlformats.org/officeDocument/2006/relationships/ctrlProp" Target="../ctrlProps/ctrlProp604.xml"/><Relationship Id="rId109" Type="http://schemas.openxmlformats.org/officeDocument/2006/relationships/ctrlProp" Target="../ctrlProps/ctrlProp674.xml"/><Relationship Id="rId34" Type="http://schemas.openxmlformats.org/officeDocument/2006/relationships/ctrlProp" Target="../ctrlProps/ctrlProp599.xml"/><Relationship Id="rId50" Type="http://schemas.openxmlformats.org/officeDocument/2006/relationships/ctrlProp" Target="../ctrlProps/ctrlProp615.xml"/><Relationship Id="rId55" Type="http://schemas.openxmlformats.org/officeDocument/2006/relationships/ctrlProp" Target="../ctrlProps/ctrlProp620.xml"/><Relationship Id="rId76" Type="http://schemas.openxmlformats.org/officeDocument/2006/relationships/ctrlProp" Target="../ctrlProps/ctrlProp641.xml"/><Relationship Id="rId97" Type="http://schemas.openxmlformats.org/officeDocument/2006/relationships/ctrlProp" Target="../ctrlProps/ctrlProp662.xml"/><Relationship Id="rId104" Type="http://schemas.openxmlformats.org/officeDocument/2006/relationships/ctrlProp" Target="../ctrlProps/ctrlProp669.xml"/><Relationship Id="rId120" Type="http://schemas.openxmlformats.org/officeDocument/2006/relationships/ctrlProp" Target="../ctrlProps/ctrlProp685.xml"/><Relationship Id="rId125" Type="http://schemas.openxmlformats.org/officeDocument/2006/relationships/ctrlProp" Target="../ctrlProps/ctrlProp690.xml"/><Relationship Id="rId141" Type="http://schemas.openxmlformats.org/officeDocument/2006/relationships/ctrlProp" Target="../ctrlProps/ctrlProp706.xml"/><Relationship Id="rId7" Type="http://schemas.openxmlformats.org/officeDocument/2006/relationships/ctrlProp" Target="../ctrlProps/ctrlProp572.xml"/><Relationship Id="rId71" Type="http://schemas.openxmlformats.org/officeDocument/2006/relationships/ctrlProp" Target="../ctrlProps/ctrlProp636.xml"/><Relationship Id="rId92" Type="http://schemas.openxmlformats.org/officeDocument/2006/relationships/ctrlProp" Target="../ctrlProps/ctrlProp657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94.xml"/><Relationship Id="rId24" Type="http://schemas.openxmlformats.org/officeDocument/2006/relationships/ctrlProp" Target="../ctrlProps/ctrlProp589.xml"/><Relationship Id="rId40" Type="http://schemas.openxmlformats.org/officeDocument/2006/relationships/ctrlProp" Target="../ctrlProps/ctrlProp605.xml"/><Relationship Id="rId45" Type="http://schemas.openxmlformats.org/officeDocument/2006/relationships/ctrlProp" Target="../ctrlProps/ctrlProp610.xml"/><Relationship Id="rId66" Type="http://schemas.openxmlformats.org/officeDocument/2006/relationships/ctrlProp" Target="../ctrlProps/ctrlProp631.xml"/><Relationship Id="rId87" Type="http://schemas.openxmlformats.org/officeDocument/2006/relationships/ctrlProp" Target="../ctrlProps/ctrlProp652.xml"/><Relationship Id="rId110" Type="http://schemas.openxmlformats.org/officeDocument/2006/relationships/ctrlProp" Target="../ctrlProps/ctrlProp675.xml"/><Relationship Id="rId115" Type="http://schemas.openxmlformats.org/officeDocument/2006/relationships/ctrlProp" Target="../ctrlProps/ctrlProp680.xml"/><Relationship Id="rId131" Type="http://schemas.openxmlformats.org/officeDocument/2006/relationships/ctrlProp" Target="../ctrlProps/ctrlProp696.xml"/><Relationship Id="rId136" Type="http://schemas.openxmlformats.org/officeDocument/2006/relationships/ctrlProp" Target="../ctrlProps/ctrlProp701.xml"/><Relationship Id="rId61" Type="http://schemas.openxmlformats.org/officeDocument/2006/relationships/ctrlProp" Target="../ctrlProps/ctrlProp626.xml"/><Relationship Id="rId82" Type="http://schemas.openxmlformats.org/officeDocument/2006/relationships/ctrlProp" Target="../ctrlProps/ctrlProp647.xml"/><Relationship Id="rId19" Type="http://schemas.openxmlformats.org/officeDocument/2006/relationships/ctrlProp" Target="../ctrlProps/ctrlProp584.xml"/><Relationship Id="rId14" Type="http://schemas.openxmlformats.org/officeDocument/2006/relationships/ctrlProp" Target="../ctrlProps/ctrlProp579.xml"/><Relationship Id="rId30" Type="http://schemas.openxmlformats.org/officeDocument/2006/relationships/ctrlProp" Target="../ctrlProps/ctrlProp595.xml"/><Relationship Id="rId35" Type="http://schemas.openxmlformats.org/officeDocument/2006/relationships/ctrlProp" Target="../ctrlProps/ctrlProp600.xml"/><Relationship Id="rId56" Type="http://schemas.openxmlformats.org/officeDocument/2006/relationships/ctrlProp" Target="../ctrlProps/ctrlProp621.xml"/><Relationship Id="rId77" Type="http://schemas.openxmlformats.org/officeDocument/2006/relationships/ctrlProp" Target="../ctrlProps/ctrlProp642.xml"/><Relationship Id="rId100" Type="http://schemas.openxmlformats.org/officeDocument/2006/relationships/ctrlProp" Target="../ctrlProps/ctrlProp665.xml"/><Relationship Id="rId105" Type="http://schemas.openxmlformats.org/officeDocument/2006/relationships/ctrlProp" Target="../ctrlProps/ctrlProp670.xml"/><Relationship Id="rId126" Type="http://schemas.openxmlformats.org/officeDocument/2006/relationships/ctrlProp" Target="../ctrlProps/ctrlProp691.xml"/><Relationship Id="rId8" Type="http://schemas.openxmlformats.org/officeDocument/2006/relationships/ctrlProp" Target="../ctrlProps/ctrlProp573.xml"/><Relationship Id="rId51" Type="http://schemas.openxmlformats.org/officeDocument/2006/relationships/ctrlProp" Target="../ctrlProps/ctrlProp616.xml"/><Relationship Id="rId72" Type="http://schemas.openxmlformats.org/officeDocument/2006/relationships/ctrlProp" Target="../ctrlProps/ctrlProp637.xml"/><Relationship Id="rId93" Type="http://schemas.openxmlformats.org/officeDocument/2006/relationships/ctrlProp" Target="../ctrlProps/ctrlProp658.xml"/><Relationship Id="rId98" Type="http://schemas.openxmlformats.org/officeDocument/2006/relationships/ctrlProp" Target="../ctrlProps/ctrlProp663.xml"/><Relationship Id="rId121" Type="http://schemas.openxmlformats.org/officeDocument/2006/relationships/ctrlProp" Target="../ctrlProps/ctrlProp686.xml"/><Relationship Id="rId142" Type="http://schemas.openxmlformats.org/officeDocument/2006/relationships/ctrlProp" Target="../ctrlProps/ctrlProp707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90.xml"/><Relationship Id="rId46" Type="http://schemas.openxmlformats.org/officeDocument/2006/relationships/ctrlProp" Target="../ctrlProps/ctrlProp611.xml"/><Relationship Id="rId67" Type="http://schemas.openxmlformats.org/officeDocument/2006/relationships/ctrlProp" Target="../ctrlProps/ctrlProp632.xml"/><Relationship Id="rId116" Type="http://schemas.openxmlformats.org/officeDocument/2006/relationships/ctrlProp" Target="../ctrlProps/ctrlProp681.xml"/><Relationship Id="rId137" Type="http://schemas.openxmlformats.org/officeDocument/2006/relationships/ctrlProp" Target="../ctrlProps/ctrlProp702.xml"/><Relationship Id="rId20" Type="http://schemas.openxmlformats.org/officeDocument/2006/relationships/ctrlProp" Target="../ctrlProps/ctrlProp585.xml"/><Relationship Id="rId41" Type="http://schemas.openxmlformats.org/officeDocument/2006/relationships/ctrlProp" Target="../ctrlProps/ctrlProp606.xml"/><Relationship Id="rId62" Type="http://schemas.openxmlformats.org/officeDocument/2006/relationships/ctrlProp" Target="../ctrlProps/ctrlProp627.xml"/><Relationship Id="rId83" Type="http://schemas.openxmlformats.org/officeDocument/2006/relationships/ctrlProp" Target="../ctrlProps/ctrlProp648.xml"/><Relationship Id="rId88" Type="http://schemas.openxmlformats.org/officeDocument/2006/relationships/ctrlProp" Target="../ctrlProps/ctrlProp653.xml"/><Relationship Id="rId111" Type="http://schemas.openxmlformats.org/officeDocument/2006/relationships/ctrlProp" Target="../ctrlProps/ctrlProp676.xml"/><Relationship Id="rId132" Type="http://schemas.openxmlformats.org/officeDocument/2006/relationships/ctrlProp" Target="../ctrlProps/ctrlProp697.xml"/><Relationship Id="rId15" Type="http://schemas.openxmlformats.org/officeDocument/2006/relationships/ctrlProp" Target="../ctrlProps/ctrlProp580.xml"/><Relationship Id="rId36" Type="http://schemas.openxmlformats.org/officeDocument/2006/relationships/ctrlProp" Target="../ctrlProps/ctrlProp601.xml"/><Relationship Id="rId57" Type="http://schemas.openxmlformats.org/officeDocument/2006/relationships/ctrlProp" Target="../ctrlProps/ctrlProp622.xml"/><Relationship Id="rId106" Type="http://schemas.openxmlformats.org/officeDocument/2006/relationships/ctrlProp" Target="../ctrlProps/ctrlProp671.xml"/><Relationship Id="rId127" Type="http://schemas.openxmlformats.org/officeDocument/2006/relationships/ctrlProp" Target="../ctrlProps/ctrlProp692.xml"/><Relationship Id="rId10" Type="http://schemas.openxmlformats.org/officeDocument/2006/relationships/ctrlProp" Target="../ctrlProps/ctrlProp575.xml"/><Relationship Id="rId31" Type="http://schemas.openxmlformats.org/officeDocument/2006/relationships/ctrlProp" Target="../ctrlProps/ctrlProp596.xml"/><Relationship Id="rId52" Type="http://schemas.openxmlformats.org/officeDocument/2006/relationships/ctrlProp" Target="../ctrlProps/ctrlProp617.xml"/><Relationship Id="rId73" Type="http://schemas.openxmlformats.org/officeDocument/2006/relationships/ctrlProp" Target="../ctrlProps/ctrlProp638.xml"/><Relationship Id="rId78" Type="http://schemas.openxmlformats.org/officeDocument/2006/relationships/ctrlProp" Target="../ctrlProps/ctrlProp643.xml"/><Relationship Id="rId94" Type="http://schemas.openxmlformats.org/officeDocument/2006/relationships/ctrlProp" Target="../ctrlProps/ctrlProp659.xml"/><Relationship Id="rId99" Type="http://schemas.openxmlformats.org/officeDocument/2006/relationships/ctrlProp" Target="../ctrlProps/ctrlProp664.xml"/><Relationship Id="rId101" Type="http://schemas.openxmlformats.org/officeDocument/2006/relationships/ctrlProp" Target="../ctrlProps/ctrlProp666.xml"/><Relationship Id="rId122" Type="http://schemas.openxmlformats.org/officeDocument/2006/relationships/ctrlProp" Target="../ctrlProps/ctrlProp687.xml"/><Relationship Id="rId143" Type="http://schemas.openxmlformats.org/officeDocument/2006/relationships/ctrlProp" Target="../ctrlProps/ctrlProp708.xml"/><Relationship Id="rId4" Type="http://schemas.openxmlformats.org/officeDocument/2006/relationships/ctrlProp" Target="../ctrlProps/ctrlProp569.xml"/><Relationship Id="rId9" Type="http://schemas.openxmlformats.org/officeDocument/2006/relationships/ctrlProp" Target="../ctrlProps/ctrlProp574.xml"/><Relationship Id="rId26" Type="http://schemas.openxmlformats.org/officeDocument/2006/relationships/ctrlProp" Target="../ctrlProps/ctrlProp591.xml"/><Relationship Id="rId47" Type="http://schemas.openxmlformats.org/officeDocument/2006/relationships/ctrlProp" Target="../ctrlProps/ctrlProp612.xml"/><Relationship Id="rId68" Type="http://schemas.openxmlformats.org/officeDocument/2006/relationships/ctrlProp" Target="../ctrlProps/ctrlProp633.xml"/><Relationship Id="rId89" Type="http://schemas.openxmlformats.org/officeDocument/2006/relationships/ctrlProp" Target="../ctrlProps/ctrlProp654.xml"/><Relationship Id="rId112" Type="http://schemas.openxmlformats.org/officeDocument/2006/relationships/ctrlProp" Target="../ctrlProps/ctrlProp677.xml"/><Relationship Id="rId133" Type="http://schemas.openxmlformats.org/officeDocument/2006/relationships/ctrlProp" Target="../ctrlProps/ctrlProp698.xml"/><Relationship Id="rId16" Type="http://schemas.openxmlformats.org/officeDocument/2006/relationships/ctrlProp" Target="../ctrlProps/ctrlProp58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9" t="s">
        <v>0</v>
      </c>
      <c r="B1" s="140"/>
      <c r="C1" s="140"/>
      <c r="D1" s="140"/>
      <c r="E1" s="140"/>
      <c r="F1" s="141"/>
      <c r="G1" s="169">
        <v>44287</v>
      </c>
      <c r="H1" s="170"/>
      <c r="I1" s="171"/>
      <c r="J1" s="139" t="s">
        <v>1</v>
      </c>
      <c r="K1" s="140"/>
      <c r="L1" s="140"/>
      <c r="M1" s="140"/>
      <c r="N1" s="140"/>
      <c r="O1" s="141"/>
      <c r="Q1" s="139" t="s">
        <v>2</v>
      </c>
      <c r="R1" s="141"/>
    </row>
    <row r="2" spans="1:19" ht="17.25" customHeight="1">
      <c r="A2" s="1" t="s">
        <v>3</v>
      </c>
      <c r="B2" s="166" t="s">
        <v>4</v>
      </c>
      <c r="C2" s="167"/>
      <c r="D2" s="167"/>
      <c r="E2" s="167"/>
      <c r="F2" s="168"/>
      <c r="G2" s="163" t="s">
        <v>46</v>
      </c>
      <c r="H2" s="164"/>
      <c r="I2" s="165"/>
      <c r="J2" s="1" t="s">
        <v>3</v>
      </c>
      <c r="K2" s="166" t="s">
        <v>5</v>
      </c>
      <c r="L2" s="167"/>
      <c r="M2" s="167"/>
      <c r="N2" s="167"/>
      <c r="O2" s="168"/>
      <c r="Q2" s="2" t="s">
        <v>6</v>
      </c>
      <c r="R2" s="3">
        <v>0.375</v>
      </c>
    </row>
    <row r="3" spans="1:19" ht="17.25" customHeight="1" thickBot="1">
      <c r="A3" s="4" t="s">
        <v>7</v>
      </c>
      <c r="B3" s="160" t="s">
        <v>8</v>
      </c>
      <c r="C3" s="161"/>
      <c r="D3" s="161"/>
      <c r="E3" s="161"/>
      <c r="F3" s="162"/>
      <c r="G3" s="15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58"/>
      <c r="I3" s="159"/>
      <c r="J3" s="4" t="s">
        <v>7</v>
      </c>
      <c r="K3" s="160" t="s">
        <v>9</v>
      </c>
      <c r="L3" s="161"/>
      <c r="M3" s="161"/>
      <c r="N3" s="161"/>
      <c r="O3" s="16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60" t="s">
        <v>12</v>
      </c>
      <c r="C4" s="161"/>
      <c r="D4" s="161"/>
      <c r="E4" s="161"/>
      <c r="F4" s="162"/>
      <c r="G4" s="163" t="s">
        <v>44</v>
      </c>
      <c r="H4" s="164"/>
      <c r="I4" s="165"/>
      <c r="J4" s="4" t="s">
        <v>11</v>
      </c>
      <c r="K4" s="160" t="s">
        <v>13</v>
      </c>
      <c r="L4" s="161"/>
      <c r="M4" s="161"/>
      <c r="N4" s="161"/>
      <c r="O4" s="162"/>
      <c r="Q4" s="66" t="s">
        <v>14</v>
      </c>
      <c r="R4" s="5">
        <v>0.95833333333333337</v>
      </c>
    </row>
    <row r="5" spans="1:19" ht="17.25" customHeight="1" thickBot="1">
      <c r="A5" s="4" t="s">
        <v>15</v>
      </c>
      <c r="B5" s="160" t="s">
        <v>16</v>
      </c>
      <c r="C5" s="161"/>
      <c r="D5" s="161"/>
      <c r="E5" s="161"/>
      <c r="F5" s="162"/>
      <c r="G5" s="15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58"/>
      <c r="I5" s="159"/>
      <c r="J5" s="4" t="s">
        <v>15</v>
      </c>
      <c r="K5" s="160" t="s">
        <v>17</v>
      </c>
      <c r="L5" s="161"/>
      <c r="M5" s="161"/>
      <c r="N5" s="161"/>
      <c r="O5" s="162"/>
    </row>
    <row r="6" spans="1:19">
      <c r="A6" s="4" t="s">
        <v>18</v>
      </c>
      <c r="B6" s="160" t="s">
        <v>19</v>
      </c>
      <c r="C6" s="161"/>
      <c r="D6" s="161"/>
      <c r="E6" s="161"/>
      <c r="F6" s="162"/>
      <c r="G6" s="163" t="s">
        <v>45</v>
      </c>
      <c r="H6" s="164"/>
      <c r="I6" s="165"/>
      <c r="J6" s="4" t="s">
        <v>18</v>
      </c>
      <c r="K6" s="160" t="s">
        <v>20</v>
      </c>
      <c r="L6" s="161"/>
      <c r="M6" s="161"/>
      <c r="N6" s="161"/>
      <c r="O6" s="162"/>
    </row>
    <row r="7" spans="1:19" ht="17.25" thickBot="1">
      <c r="A7" s="4" t="s">
        <v>21</v>
      </c>
      <c r="B7" s="160" t="s">
        <v>22</v>
      </c>
      <c r="C7" s="161"/>
      <c r="D7" s="161"/>
      <c r="E7" s="161"/>
      <c r="F7" s="162"/>
      <c r="G7" s="15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58"/>
      <c r="I7" s="159"/>
      <c r="J7" s="4" t="s">
        <v>21</v>
      </c>
      <c r="K7" s="160" t="s">
        <v>23</v>
      </c>
      <c r="L7" s="161"/>
      <c r="M7" s="161"/>
      <c r="N7" s="161"/>
      <c r="O7" s="162"/>
    </row>
    <row r="8" spans="1:19" ht="17.25" thickBot="1">
      <c r="A8" s="4" t="s">
        <v>24</v>
      </c>
      <c r="B8" s="160" t="s">
        <v>25</v>
      </c>
      <c r="C8" s="161"/>
      <c r="D8" s="161"/>
      <c r="E8" s="161"/>
      <c r="F8" s="162"/>
      <c r="G8" s="163" t="s">
        <v>285</v>
      </c>
      <c r="H8" s="164"/>
      <c r="I8" s="165"/>
      <c r="J8" s="4" t="s">
        <v>24</v>
      </c>
      <c r="K8" s="160" t="s">
        <v>26</v>
      </c>
      <c r="L8" s="161"/>
      <c r="M8" s="161"/>
      <c r="N8" s="161"/>
      <c r="O8" s="162"/>
      <c r="Q8" s="139" t="s">
        <v>27</v>
      </c>
      <c r="R8" s="141"/>
    </row>
    <row r="9" spans="1:19" ht="17.25" thickBot="1">
      <c r="A9" s="4" t="s">
        <v>28</v>
      </c>
      <c r="B9" s="160"/>
      <c r="C9" s="161"/>
      <c r="D9" s="161"/>
      <c r="E9" s="161"/>
      <c r="F9" s="162"/>
      <c r="G9" s="15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58"/>
      <c r="I9" s="159"/>
      <c r="J9" s="4" t="s">
        <v>28</v>
      </c>
      <c r="K9" s="160" t="s">
        <v>293</v>
      </c>
      <c r="L9" s="161"/>
      <c r="M9" s="161"/>
      <c r="N9" s="161"/>
      <c r="O9" s="162"/>
      <c r="Q9" s="2" t="s">
        <v>29</v>
      </c>
      <c r="R9" s="6">
        <v>10</v>
      </c>
    </row>
    <row r="10" spans="1:19">
      <c r="A10" s="4" t="s">
        <v>30</v>
      </c>
      <c r="B10" s="160"/>
      <c r="C10" s="161"/>
      <c r="D10" s="161"/>
      <c r="E10" s="161"/>
      <c r="F10" s="162"/>
      <c r="G10" s="163" t="s">
        <v>47</v>
      </c>
      <c r="H10" s="164"/>
      <c r="I10" s="165"/>
      <c r="J10" s="4" t="s">
        <v>30</v>
      </c>
      <c r="K10" s="160"/>
      <c r="L10" s="161"/>
      <c r="M10" s="161"/>
      <c r="N10" s="161"/>
      <c r="O10" s="162"/>
      <c r="Q10" s="2" t="s">
        <v>31</v>
      </c>
      <c r="R10" s="6">
        <v>100</v>
      </c>
    </row>
    <row r="11" spans="1:19" ht="17.25" thickBot="1">
      <c r="A11" s="7" t="s">
        <v>32</v>
      </c>
      <c r="B11" s="154"/>
      <c r="C11" s="155"/>
      <c r="D11" s="155"/>
      <c r="E11" s="155"/>
      <c r="F11" s="156"/>
      <c r="G11" s="15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8"/>
      <c r="I11" s="159"/>
      <c r="J11" s="7" t="s">
        <v>32</v>
      </c>
      <c r="K11" s="154"/>
      <c r="L11" s="155"/>
      <c r="M11" s="155"/>
      <c r="N11" s="155"/>
      <c r="O11" s="156"/>
      <c r="Q11" s="66" t="s">
        <v>33</v>
      </c>
      <c r="R11" s="8">
        <v>1000</v>
      </c>
    </row>
    <row r="12" spans="1:19" ht="17.25" thickBot="1"/>
    <row r="13" spans="1:19" ht="17.25" customHeight="1" thickBot="1">
      <c r="A13" s="139" t="s">
        <v>34</v>
      </c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1"/>
      <c r="Q13" s="138"/>
      <c r="R13" s="138"/>
      <c r="S13" s="138"/>
    </row>
    <row r="14" spans="1:19" ht="17.25" customHeight="1" thickBot="1">
      <c r="A14" s="112" t="s">
        <v>35</v>
      </c>
      <c r="B14" s="139" t="s">
        <v>36</v>
      </c>
      <c r="C14" s="141"/>
      <c r="D14" s="139" t="s">
        <v>37</v>
      </c>
      <c r="E14" s="140"/>
      <c r="F14" s="141"/>
      <c r="G14" s="142">
        <f>_xlfn.IFNA(VLOOKUP(B14, 현재가테이블!$B$2:$D$200, 2, FALSE), "-")</f>
        <v>68103000</v>
      </c>
      <c r="H14" s="143"/>
      <c r="I14" s="144"/>
      <c r="J14" s="139" t="s">
        <v>38</v>
      </c>
      <c r="K14" s="140"/>
      <c r="L14" s="141"/>
      <c r="M14" s="145">
        <f>_xlfn.IFNA(VLOOKUP(B14, 현재가테이블!$B$2:$D$200, 3, FALSE), "-")</f>
        <v>-1.37004156E-2</v>
      </c>
      <c r="N14" s="146"/>
      <c r="O14" s="147"/>
      <c r="Q14" s="138"/>
      <c r="R14" s="138"/>
      <c r="S14" s="138"/>
    </row>
    <row r="15" spans="1:19" ht="17.25" customHeight="1" thickBot="1">
      <c r="A15" s="148" t="s">
        <v>39</v>
      </c>
      <c r="B15" s="149" t="str">
        <f>TEXT($G$1, "[$-ko-KR]yyyy-mm-dd(ddd) ") &amp; "오전 00:00"</f>
        <v>2021-04-01(목) 오전 00:00</v>
      </c>
      <c r="C15" s="150"/>
      <c r="D15" s="151" t="str">
        <f>TEXT($G$1, "[$-ko-KR]yyyy-mm-dd(ddd) ") &amp; "오후 14:00"</f>
        <v>2021-04-01(목) 오후 14:00</v>
      </c>
      <c r="E15" s="152"/>
      <c r="F15" s="153"/>
      <c r="G15" s="151" t="str">
        <f>TEXT($G$1, "[$-ko-KR]yyyy-mm-dd(ddd) ") &amp; "오후 19:00"</f>
        <v>2021-04-01(목) 오후 19:00</v>
      </c>
      <c r="H15" s="152"/>
      <c r="I15" s="153"/>
      <c r="J15" s="151" t="str">
        <f>TEXT($G$1, "[$-ko-KR]yyyy-mm-dd(ddd) ") &amp; "오후 21:00"</f>
        <v>2021-04-01(목) 오후 21:00</v>
      </c>
      <c r="K15" s="152"/>
      <c r="L15" s="153"/>
      <c r="M15" s="151" t="str">
        <f>TEXT($G$1+1, "[$-ko-KR]yyyy-mm-dd(ddd) ") &amp; "오전 00:00"</f>
        <v>2021-04-02(금) 오전 00:00</v>
      </c>
      <c r="N15" s="152"/>
      <c r="O15" s="153"/>
      <c r="Q15" s="138"/>
      <c r="R15" s="138"/>
      <c r="S15" s="138"/>
    </row>
    <row r="16" spans="1:19" ht="17.25" customHeight="1" thickBot="1">
      <c r="A16" s="148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6" t="s">
        <v>41</v>
      </c>
      <c r="M16" s="2" t="s">
        <v>37</v>
      </c>
      <c r="N16" s="10" t="s">
        <v>40</v>
      </c>
      <c r="O16" s="67" t="s">
        <v>41</v>
      </c>
      <c r="Q16" s="117"/>
      <c r="R16" s="117"/>
      <c r="S16" s="117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1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38"/>
      <c r="R17" s="138"/>
      <c r="S17" s="13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2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38"/>
      <c r="R18" s="138"/>
      <c r="S18" s="13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2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17"/>
      <c r="R19" s="117"/>
      <c r="S19" s="117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2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17"/>
      <c r="R20" s="117"/>
      <c r="S20" s="117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6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17"/>
      <c r="R21" s="117"/>
      <c r="S21" s="117"/>
    </row>
    <row r="22" spans="1:19" ht="17.25" customHeight="1" thickBot="1">
      <c r="A22" s="17"/>
      <c r="B22" s="107" t="str">
        <f t="shared" si="0"/>
        <v/>
      </c>
      <c r="C22" s="108" t="str">
        <f t="shared" si="1"/>
        <v/>
      </c>
      <c r="D22" s="107" t="str">
        <f t="shared" si="2"/>
        <v/>
      </c>
      <c r="E22" s="108" t="str">
        <f t="shared" si="3"/>
        <v/>
      </c>
      <c r="F22" s="109" t="str">
        <f t="shared" si="4"/>
        <v/>
      </c>
      <c r="G22" s="110" t="str">
        <f t="shared" si="5"/>
        <v/>
      </c>
      <c r="H22" s="108" t="str">
        <f t="shared" si="6"/>
        <v/>
      </c>
      <c r="I22" s="111" t="str">
        <f t="shared" si="7"/>
        <v/>
      </c>
      <c r="J22" s="107" t="str">
        <f t="shared" si="8"/>
        <v/>
      </c>
      <c r="K22" s="108" t="str">
        <f t="shared" si="9"/>
        <v/>
      </c>
      <c r="L22" s="109" t="str">
        <f t="shared" si="10"/>
        <v/>
      </c>
      <c r="M22" s="110" t="str">
        <f t="shared" si="11"/>
        <v/>
      </c>
      <c r="N22" s="108" t="str">
        <f t="shared" si="12"/>
        <v/>
      </c>
      <c r="O22" s="109" t="str">
        <f t="shared" si="13"/>
        <v/>
      </c>
      <c r="Q22" s="117"/>
      <c r="R22" s="117"/>
      <c r="S22" s="11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2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17"/>
      <c r="R23" s="117"/>
      <c r="S23" s="11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2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17"/>
      <c r="R24" s="117"/>
      <c r="S24" s="11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2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5" t="str">
        <f t="shared" si="4"/>
        <v/>
      </c>
      <c r="G26" s="103" t="str">
        <f t="shared" si="5"/>
        <v/>
      </c>
      <c r="H26" s="25" t="str">
        <f t="shared" si="6"/>
        <v/>
      </c>
      <c r="I26" s="104" t="str">
        <f t="shared" si="7"/>
        <v/>
      </c>
      <c r="J26" s="24" t="str">
        <f t="shared" si="8"/>
        <v/>
      </c>
      <c r="K26" s="25" t="str">
        <f t="shared" si="9"/>
        <v/>
      </c>
      <c r="L26" s="105" t="str">
        <f t="shared" si="10"/>
        <v/>
      </c>
      <c r="M26" s="103" t="str">
        <f t="shared" si="11"/>
        <v/>
      </c>
      <c r="N26" s="25" t="str">
        <f t="shared" si="12"/>
        <v/>
      </c>
      <c r="O26" s="105" t="str">
        <f t="shared" si="13"/>
        <v/>
      </c>
      <c r="Q26" s="129"/>
      <c r="R26" s="130"/>
      <c r="S26" s="13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1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32"/>
      <c r="R27" s="133"/>
      <c r="S27" s="13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2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35"/>
      <c r="R28" s="136"/>
      <c r="S28" s="13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2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17"/>
      <c r="R29" s="117"/>
      <c r="S29" s="11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2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38"/>
      <c r="R30" s="138"/>
      <c r="S30" s="13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6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38"/>
      <c r="R31" s="138"/>
      <c r="S31" s="138"/>
    </row>
    <row r="32" spans="1:19" ht="17.25" customHeight="1" thickBot="1">
      <c r="A32" s="17"/>
      <c r="B32" s="107" t="str">
        <f t="shared" si="0"/>
        <v/>
      </c>
      <c r="C32" s="108" t="str">
        <f t="shared" si="1"/>
        <v/>
      </c>
      <c r="D32" s="107" t="str">
        <f t="shared" si="2"/>
        <v/>
      </c>
      <c r="E32" s="108" t="str">
        <f t="shared" si="3"/>
        <v/>
      </c>
      <c r="F32" s="109" t="str">
        <f t="shared" si="4"/>
        <v/>
      </c>
      <c r="G32" s="110" t="str">
        <f t="shared" si="5"/>
        <v/>
      </c>
      <c r="H32" s="108" t="str">
        <f t="shared" si="6"/>
        <v/>
      </c>
      <c r="I32" s="111" t="str">
        <f t="shared" si="7"/>
        <v/>
      </c>
      <c r="J32" s="107" t="str">
        <f t="shared" si="8"/>
        <v/>
      </c>
      <c r="K32" s="108" t="str">
        <f t="shared" si="9"/>
        <v/>
      </c>
      <c r="L32" s="109" t="str">
        <f t="shared" si="10"/>
        <v/>
      </c>
      <c r="M32" s="110" t="str">
        <f t="shared" si="11"/>
        <v/>
      </c>
      <c r="N32" s="108" t="str">
        <f t="shared" si="12"/>
        <v/>
      </c>
      <c r="O32" s="109" t="str">
        <f t="shared" si="13"/>
        <v/>
      </c>
      <c r="Q32" s="117"/>
      <c r="R32" s="117"/>
      <c r="S32" s="11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2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17"/>
      <c r="R33" s="117"/>
      <c r="S33" s="11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2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17"/>
      <c r="R34" s="117"/>
      <c r="S34" s="11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2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18"/>
      <c r="R35" s="119"/>
      <c r="S35" s="120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5" t="str">
        <f t="shared" si="4"/>
        <v/>
      </c>
      <c r="G36" s="103" t="str">
        <f t="shared" si="5"/>
        <v/>
      </c>
      <c r="H36" s="25" t="str">
        <f t="shared" si="6"/>
        <v/>
      </c>
      <c r="I36" s="104" t="str">
        <f t="shared" si="7"/>
        <v/>
      </c>
      <c r="J36" s="24" t="str">
        <f t="shared" si="8"/>
        <v/>
      </c>
      <c r="K36" s="25" t="str">
        <f t="shared" si="9"/>
        <v/>
      </c>
      <c r="L36" s="105" t="str">
        <f t="shared" si="10"/>
        <v/>
      </c>
      <c r="M36" s="103" t="str">
        <f t="shared" si="11"/>
        <v/>
      </c>
      <c r="N36" s="25" t="str">
        <f t="shared" si="12"/>
        <v/>
      </c>
      <c r="O36" s="105" t="str">
        <f t="shared" si="13"/>
        <v/>
      </c>
      <c r="Q36" s="121"/>
      <c r="R36" s="122"/>
      <c r="S36" s="123"/>
    </row>
    <row r="37" spans="1:19" ht="17.25" customHeight="1" thickBot="1">
      <c r="A37" s="26" t="s">
        <v>42</v>
      </c>
      <c r="B37" s="127">
        <v>300000</v>
      </c>
      <c r="C37" s="128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24"/>
      <c r="R37" s="125"/>
      <c r="S37" s="126"/>
    </row>
    <row r="38" spans="1:19" ht="17.25" customHeight="1"/>
    <row r="39" spans="1:19" ht="17.25" customHeight="1" thickBot="1"/>
    <row r="40" spans="1:19" ht="17.25" customHeight="1" thickBot="1">
      <c r="A40" s="139" t="s">
        <v>44</v>
      </c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1"/>
      <c r="Q40" s="138"/>
      <c r="R40" s="138"/>
      <c r="S40" s="138"/>
    </row>
    <row r="41" spans="1:19" ht="17.25" customHeight="1" thickBot="1">
      <c r="A41" s="112" t="s">
        <v>298</v>
      </c>
      <c r="B41" s="139" t="s">
        <v>49</v>
      </c>
      <c r="C41" s="141"/>
      <c r="D41" s="139" t="s">
        <v>58</v>
      </c>
      <c r="E41" s="140"/>
      <c r="F41" s="141"/>
      <c r="G41" s="142">
        <f>_xlfn.IFNA(VLOOKUP(B41, 현재가테이블!$B$2:$D$200, 2, FALSE), "-")</f>
        <v>68103000</v>
      </c>
      <c r="H41" s="143"/>
      <c r="I41" s="144"/>
      <c r="J41" s="139" t="s">
        <v>59</v>
      </c>
      <c r="K41" s="140"/>
      <c r="L41" s="141"/>
      <c r="M41" s="145">
        <f>_xlfn.IFNA(VLOOKUP(B41, 현재가테이블!$B$2:$D$200, 3, FALSE), "-")</f>
        <v>-1.37004156E-2</v>
      </c>
      <c r="N41" s="146"/>
      <c r="O41" s="147"/>
      <c r="Q41" s="138"/>
      <c r="R41" s="138"/>
      <c r="S41" s="138"/>
    </row>
    <row r="42" spans="1:19" ht="17.25" customHeight="1" thickBot="1">
      <c r="A42" s="187" t="s">
        <v>55</v>
      </c>
      <c r="B42" s="189" t="str">
        <f>TEXT($G$1, "[$-ko-KR]yyyy-mm-dd(ddd) ") &amp; "오전 00:00"</f>
        <v>2021-04-01(목) 오전 00:00</v>
      </c>
      <c r="C42" s="190"/>
      <c r="D42" s="151" t="str">
        <f>TEXT($G$1, "[$-ko-KR]yyyy-mm-dd(ddd) ") &amp; "오후 14:00"</f>
        <v>2021-04-01(목) 오후 14:00</v>
      </c>
      <c r="E42" s="152"/>
      <c r="F42" s="153"/>
      <c r="G42" s="151" t="str">
        <f>TEXT($G$1, "[$-ko-KR]yyyy-mm-dd(ddd) ") &amp; "오후 19:00"</f>
        <v>2021-04-01(목) 오후 19:00</v>
      </c>
      <c r="H42" s="152"/>
      <c r="I42" s="153"/>
      <c r="J42" s="151" t="str">
        <f>TEXT($G$1, "[$-ko-KR]yyyy-mm-dd(ddd) ") &amp; "오후 21:00"</f>
        <v>2021-04-01(목) 오후 21:00</v>
      </c>
      <c r="K42" s="152"/>
      <c r="L42" s="153"/>
      <c r="M42" s="151" t="str">
        <f>TEXT($G$1+1, "[$-ko-KR]yyyy-mm-dd(ddd) ") &amp; "오전 00:00"</f>
        <v>2021-04-02(금) 오전 00:00</v>
      </c>
      <c r="N42" s="152"/>
      <c r="O42" s="153"/>
      <c r="Q42" s="138"/>
      <c r="R42" s="138"/>
      <c r="S42" s="138"/>
    </row>
    <row r="43" spans="1:19" ht="17.25" customHeight="1" thickBot="1">
      <c r="A43" s="188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6" t="s">
        <v>300</v>
      </c>
      <c r="M43" s="2" t="s">
        <v>58</v>
      </c>
      <c r="N43" s="10" t="s">
        <v>299</v>
      </c>
      <c r="O43" s="67" t="s">
        <v>300</v>
      </c>
      <c r="Q43" s="117"/>
      <c r="R43" s="117"/>
      <c r="S43" s="117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1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38"/>
      <c r="R44" s="138"/>
      <c r="S44" s="13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2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38"/>
      <c r="R45" s="138"/>
      <c r="S45" s="13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2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17"/>
      <c r="R46" s="117"/>
      <c r="S46" s="117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2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17"/>
      <c r="R47" s="117"/>
      <c r="S47" s="117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6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17"/>
      <c r="R48" s="117"/>
      <c r="S48" s="117"/>
    </row>
    <row r="49" spans="1:19" ht="17.25" customHeight="1" thickBot="1">
      <c r="A49" s="17"/>
      <c r="B49" s="107"/>
      <c r="C49" s="108"/>
      <c r="D49" s="107"/>
      <c r="E49" s="108" t="str">
        <f>IF(ISNUMBER(D49), (D49 - $B49) / $B49, "")</f>
        <v/>
      </c>
      <c r="F49" s="109" t="str">
        <f>IF(ISNUMBER(D49), $B64 * E49, "")</f>
        <v/>
      </c>
      <c r="G49" s="110"/>
      <c r="H49" s="108" t="str">
        <f>IF(ISNUMBER(G49), (G49 - $B49) / $B49, "")</f>
        <v/>
      </c>
      <c r="I49" s="111" t="str">
        <f>IF(ISNUMBER(G49), $B64 * H49, "")</f>
        <v/>
      </c>
      <c r="J49" s="107"/>
      <c r="K49" s="108" t="str">
        <f>IF(ISNUMBER(J49), (J49 - $B49) / $B49, "")</f>
        <v/>
      </c>
      <c r="L49" s="109" t="str">
        <f>IF(ISNUMBER(J49), $B64 * K49, "")</f>
        <v/>
      </c>
      <c r="M49" s="110"/>
      <c r="N49" s="108" t="str">
        <f>IF(ISNUMBER(M49), (M49 - $B49) / $B49, "")</f>
        <v/>
      </c>
      <c r="O49" s="109" t="str">
        <f>IF(ISNUMBER(M49), $B64 * N49, "")</f>
        <v/>
      </c>
      <c r="Q49" s="117"/>
      <c r="R49" s="117"/>
      <c r="S49" s="117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2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17"/>
      <c r="R50" s="117"/>
      <c r="S50" s="117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2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17"/>
      <c r="R51" s="117"/>
      <c r="S51" s="117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2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5" t="str">
        <f>IF(ISNUMBER(D53), $B64 * E53, "")</f>
        <v/>
      </c>
      <c r="G53" s="103"/>
      <c r="H53" s="25" t="str">
        <f t="shared" si="19"/>
        <v/>
      </c>
      <c r="I53" s="104" t="str">
        <f>IF(ISNUMBER(G53), $B64 * H53, "")</f>
        <v/>
      </c>
      <c r="J53" s="24"/>
      <c r="K53" s="25" t="str">
        <f t="shared" si="20"/>
        <v/>
      </c>
      <c r="L53" s="105" t="str">
        <f>IF(ISNUMBER(J53), $B64 * K53, "")</f>
        <v/>
      </c>
      <c r="M53" s="103"/>
      <c r="N53" s="25" t="str">
        <f t="shared" si="21"/>
        <v/>
      </c>
      <c r="O53" s="105" t="str">
        <f>IF(ISNUMBER(M53), $B64 * N53, "")</f>
        <v/>
      </c>
      <c r="Q53" s="129"/>
      <c r="R53" s="130"/>
      <c r="S53" s="131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1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32"/>
      <c r="R54" s="133"/>
      <c r="S54" s="134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2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35"/>
      <c r="R55" s="136"/>
      <c r="S55" s="137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2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17"/>
      <c r="R56" s="117"/>
      <c r="S56" s="117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2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38"/>
      <c r="R57" s="138"/>
      <c r="S57" s="13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6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38"/>
      <c r="R58" s="138"/>
      <c r="S58" s="138"/>
    </row>
    <row r="59" spans="1:19" ht="17.25" customHeight="1" thickBot="1">
      <c r="A59" s="17"/>
      <c r="B59" s="107"/>
      <c r="C59" s="108"/>
      <c r="D59" s="107"/>
      <c r="E59" s="108" t="str">
        <f>IF(ISNUMBER(D59), (D59 - $B59) / $B59, "")</f>
        <v/>
      </c>
      <c r="F59" s="109" t="str">
        <f>IF(ISNUMBER(D59), $B64 * E59, "")</f>
        <v/>
      </c>
      <c r="G59" s="110"/>
      <c r="H59" s="108" t="str">
        <f>IF(ISNUMBER(G59), (G59 - $B59) / $B59, "")</f>
        <v/>
      </c>
      <c r="I59" s="111" t="str">
        <f>IF(ISNUMBER(G59), $B64 * H59, "")</f>
        <v/>
      </c>
      <c r="J59" s="107"/>
      <c r="K59" s="108" t="str">
        <f>IF(ISNUMBER(J59), (J59 - $B59) / $B59, "")</f>
        <v/>
      </c>
      <c r="L59" s="109" t="str">
        <f>IF(ISNUMBER(J59), $B64 * K59, "")</f>
        <v/>
      </c>
      <c r="M59" s="110"/>
      <c r="N59" s="108" t="str">
        <f>IF(ISNUMBER(M59), (M59 - $B59) / $B59, "")</f>
        <v/>
      </c>
      <c r="O59" s="109" t="str">
        <f>IF(ISNUMBER(M59), $B64 * N59, "")</f>
        <v/>
      </c>
      <c r="Q59" s="117"/>
      <c r="R59" s="117"/>
      <c r="S59" s="117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2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17"/>
      <c r="R60" s="117"/>
      <c r="S60" s="117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2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17"/>
      <c r="R61" s="117"/>
      <c r="S61" s="117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2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18"/>
      <c r="R62" s="119"/>
      <c r="S62" s="120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5" t="str">
        <f>IF(ISNUMBER(D63), $B64 * E63, "")</f>
        <v/>
      </c>
      <c r="G63" s="103"/>
      <c r="H63" s="25" t="str">
        <f t="shared" si="27"/>
        <v/>
      </c>
      <c r="I63" s="104" t="str">
        <f>IF(ISNUMBER(G63), $B64 * H63, "")</f>
        <v/>
      </c>
      <c r="J63" s="24"/>
      <c r="K63" s="25" t="str">
        <f t="shared" si="28"/>
        <v/>
      </c>
      <c r="L63" s="105" t="str">
        <f>IF(ISNUMBER(J63), $B64 * K63, "")</f>
        <v/>
      </c>
      <c r="M63" s="103"/>
      <c r="N63" s="25" t="str">
        <f t="shared" si="29"/>
        <v/>
      </c>
      <c r="O63" s="105" t="str">
        <f>IF(ISNUMBER(M63), $B64 * N63, "")</f>
        <v/>
      </c>
      <c r="Q63" s="121"/>
      <c r="R63" s="122"/>
      <c r="S63" s="123"/>
    </row>
    <row r="64" spans="1:19" ht="17.25" customHeight="1" thickBot="1">
      <c r="A64" s="26" t="s">
        <v>301</v>
      </c>
      <c r="B64" s="127">
        <f>$B$37</f>
        <v>300000</v>
      </c>
      <c r="C64" s="128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24"/>
      <c r="R64" s="125"/>
      <c r="S64" s="126"/>
    </row>
    <row r="65" spans="1:19" ht="17.25" customHeight="1"/>
    <row r="66" spans="1:19" ht="17.25" customHeight="1" thickBot="1"/>
    <row r="67" spans="1:19" ht="17.25" thickBot="1">
      <c r="A67" s="139" t="s">
        <v>45</v>
      </c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1"/>
      <c r="Q67" s="138"/>
      <c r="R67" s="138"/>
      <c r="S67" s="138"/>
    </row>
    <row r="68" spans="1:19" ht="17.25" thickBot="1">
      <c r="A68" s="112" t="s">
        <v>298</v>
      </c>
      <c r="B68" s="139" t="s">
        <v>49</v>
      </c>
      <c r="C68" s="141"/>
      <c r="D68" s="139" t="s">
        <v>58</v>
      </c>
      <c r="E68" s="140"/>
      <c r="F68" s="141"/>
      <c r="G68" s="142">
        <f>_xlfn.IFNA(VLOOKUP(B68, 현재가테이블!$B$2:$D$200, 2, FALSE), "-")</f>
        <v>68103000</v>
      </c>
      <c r="H68" s="143"/>
      <c r="I68" s="144"/>
      <c r="J68" s="139" t="s">
        <v>59</v>
      </c>
      <c r="K68" s="140"/>
      <c r="L68" s="141"/>
      <c r="M68" s="145">
        <f>_xlfn.IFNA(VLOOKUP(B68, 현재가테이블!$B$2:$D$200, 3, FALSE), "-")</f>
        <v>-1.37004156E-2</v>
      </c>
      <c r="N68" s="146"/>
      <c r="O68" s="147"/>
      <c r="Q68" s="138"/>
      <c r="R68" s="138"/>
      <c r="S68" s="138"/>
    </row>
    <row r="69" spans="1:19" ht="17.25" thickBot="1">
      <c r="A69" s="187" t="s">
        <v>55</v>
      </c>
      <c r="B69" s="189" t="str">
        <f>TEXT($G$1, "[$-ko-KR]yyyy-mm-dd(ddd) ") &amp; "오전 00:00"</f>
        <v>2021-04-01(목) 오전 00:00</v>
      </c>
      <c r="C69" s="190"/>
      <c r="D69" s="151" t="str">
        <f>TEXT($G$1, "[$-ko-KR]yyyy-mm-dd(ddd) ") &amp; "오후 14:00"</f>
        <v>2021-04-01(목) 오후 14:00</v>
      </c>
      <c r="E69" s="152"/>
      <c r="F69" s="153"/>
      <c r="G69" s="151" t="str">
        <f>TEXT($G$1, "[$-ko-KR]yyyy-mm-dd(ddd) ") &amp; "오후 19:00"</f>
        <v>2021-04-01(목) 오후 19:00</v>
      </c>
      <c r="H69" s="152"/>
      <c r="I69" s="153"/>
      <c r="J69" s="151" t="str">
        <f>TEXT($G$1, "[$-ko-KR]yyyy-mm-dd(ddd) ") &amp; "오후 21:00"</f>
        <v>2021-04-01(목) 오후 21:00</v>
      </c>
      <c r="K69" s="152"/>
      <c r="L69" s="153"/>
      <c r="M69" s="151" t="str">
        <f>TEXT($G$1+1, "[$-ko-KR]yyyy-mm-dd(ddd) ") &amp; "오전 00:00"</f>
        <v>2021-04-02(금) 오전 00:00</v>
      </c>
      <c r="N69" s="152"/>
      <c r="O69" s="153"/>
      <c r="Q69" s="138"/>
      <c r="R69" s="138"/>
      <c r="S69" s="138"/>
    </row>
    <row r="70" spans="1:19" ht="17.25" thickBot="1">
      <c r="A70" s="188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6" t="s">
        <v>300</v>
      </c>
      <c r="M70" s="2" t="s">
        <v>58</v>
      </c>
      <c r="N70" s="10" t="s">
        <v>299</v>
      </c>
      <c r="O70" s="67" t="s">
        <v>300</v>
      </c>
      <c r="Q70" s="117"/>
      <c r="R70" s="117"/>
      <c r="S70" s="117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1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38"/>
      <c r="R71" s="138"/>
      <c r="S71" s="13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2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38"/>
      <c r="R72" s="138"/>
      <c r="S72" s="13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2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17"/>
      <c r="R73" s="117"/>
      <c r="S73" s="117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2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17"/>
      <c r="R74" s="117"/>
      <c r="S74" s="117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6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17"/>
      <c r="R75" s="117"/>
      <c r="S75" s="117"/>
    </row>
    <row r="76" spans="1:19" ht="17.25" thickBot="1">
      <c r="A76" s="17"/>
      <c r="B76" s="107"/>
      <c r="C76" s="108"/>
      <c r="D76" s="107"/>
      <c r="E76" s="108" t="str">
        <f>IF(ISNUMBER(D76), (D76 - $B76) / $B76, "")</f>
        <v/>
      </c>
      <c r="F76" s="109" t="str">
        <f>IF(ISNUMBER(D76), $B91 * E76, "")</f>
        <v/>
      </c>
      <c r="G76" s="110"/>
      <c r="H76" s="108" t="str">
        <f>IF(ISNUMBER(G76), (G76 - $B76) / $B76, "")</f>
        <v/>
      </c>
      <c r="I76" s="111" t="str">
        <f>IF(ISNUMBER(G76), $B91 * H76, "")</f>
        <v/>
      </c>
      <c r="J76" s="107"/>
      <c r="K76" s="108" t="str">
        <f>IF(ISNUMBER(J76), (J76 - $B76) / $B76, "")</f>
        <v/>
      </c>
      <c r="L76" s="109" t="str">
        <f>IF(ISNUMBER(J76), $B91 * K76, "")</f>
        <v/>
      </c>
      <c r="M76" s="110"/>
      <c r="N76" s="108" t="str">
        <f>IF(ISNUMBER(M76), (M76 - $B76) / $B76, "")</f>
        <v/>
      </c>
      <c r="O76" s="109" t="str">
        <f>IF(ISNUMBER(M76), $B91 * N76, "")</f>
        <v/>
      </c>
      <c r="Q76" s="117"/>
      <c r="R76" s="117"/>
      <c r="S76" s="117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2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17"/>
      <c r="R77" s="117"/>
      <c r="S77" s="117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2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17"/>
      <c r="R78" s="117"/>
      <c r="S78" s="117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2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5" t="str">
        <f>IF(ISNUMBER(D80), $B91 * E80, "")</f>
        <v/>
      </c>
      <c r="G80" s="103"/>
      <c r="H80" s="25" t="str">
        <f t="shared" si="35"/>
        <v/>
      </c>
      <c r="I80" s="104" t="str">
        <f>IF(ISNUMBER(G80), $B91 * H80, "")</f>
        <v/>
      </c>
      <c r="J80" s="24"/>
      <c r="K80" s="25" t="str">
        <f t="shared" si="36"/>
        <v/>
      </c>
      <c r="L80" s="105" t="str">
        <f>IF(ISNUMBER(J80), $B91 * K80, "")</f>
        <v/>
      </c>
      <c r="M80" s="103"/>
      <c r="N80" s="25" t="str">
        <f t="shared" si="37"/>
        <v/>
      </c>
      <c r="O80" s="105" t="str">
        <f>IF(ISNUMBER(M80), $B91 * N80, "")</f>
        <v/>
      </c>
      <c r="Q80" s="129"/>
      <c r="R80" s="130"/>
      <c r="S80" s="131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1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32"/>
      <c r="R81" s="133"/>
      <c r="S81" s="134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2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35"/>
      <c r="R82" s="136"/>
      <c r="S82" s="137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2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17"/>
      <c r="R83" s="117"/>
      <c r="S83" s="117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2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38"/>
      <c r="R84" s="138"/>
      <c r="S84" s="13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6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38"/>
      <c r="R85" s="138"/>
      <c r="S85" s="138"/>
    </row>
    <row r="86" spans="1:19" ht="17.25" thickBot="1">
      <c r="A86" s="17"/>
      <c r="B86" s="107"/>
      <c r="C86" s="108"/>
      <c r="D86" s="107"/>
      <c r="E86" s="108" t="str">
        <f>IF(ISNUMBER(D86), (D86 - $B86) / $B86, "")</f>
        <v/>
      </c>
      <c r="F86" s="109" t="str">
        <f>IF(ISNUMBER(D86), $B91 * E86, "")</f>
        <v/>
      </c>
      <c r="G86" s="110"/>
      <c r="H86" s="108" t="str">
        <f>IF(ISNUMBER(G86), (G86 - $B86) / $B86, "")</f>
        <v/>
      </c>
      <c r="I86" s="111" t="str">
        <f>IF(ISNUMBER(G86), $B91 * H86, "")</f>
        <v/>
      </c>
      <c r="J86" s="107"/>
      <c r="K86" s="108" t="str">
        <f>IF(ISNUMBER(J86), (J86 - $B86) / $B86, "")</f>
        <v/>
      </c>
      <c r="L86" s="109" t="str">
        <f>IF(ISNUMBER(J86), $B91 * K86, "")</f>
        <v/>
      </c>
      <c r="M86" s="110"/>
      <c r="N86" s="108" t="str">
        <f>IF(ISNUMBER(M86), (M86 - $B86) / $B86, "")</f>
        <v/>
      </c>
      <c r="O86" s="109" t="str">
        <f>IF(ISNUMBER(M86), $B91 * N86, "")</f>
        <v/>
      </c>
      <c r="Q86" s="117"/>
      <c r="R86" s="117"/>
      <c r="S86" s="117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2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17"/>
      <c r="R87" s="117"/>
      <c r="S87" s="117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2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17"/>
      <c r="R88" s="117"/>
      <c r="S88" s="117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2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18"/>
      <c r="R89" s="119"/>
      <c r="S89" s="120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5" t="str">
        <f>IF(ISNUMBER(D90), $B91 * E90, "")</f>
        <v/>
      </c>
      <c r="G90" s="103"/>
      <c r="H90" s="25" t="str">
        <f t="shared" si="43"/>
        <v/>
      </c>
      <c r="I90" s="104" t="str">
        <f>IF(ISNUMBER(G90), $B91 * H90, "")</f>
        <v/>
      </c>
      <c r="J90" s="24"/>
      <c r="K90" s="25" t="str">
        <f t="shared" si="44"/>
        <v/>
      </c>
      <c r="L90" s="105" t="str">
        <f>IF(ISNUMBER(J90), $B91 * K90, "")</f>
        <v/>
      </c>
      <c r="M90" s="103"/>
      <c r="N90" s="25" t="str">
        <f t="shared" si="45"/>
        <v/>
      </c>
      <c r="O90" s="105" t="str">
        <f>IF(ISNUMBER(M90), $B91 * N90, "")</f>
        <v/>
      </c>
      <c r="Q90" s="121"/>
      <c r="R90" s="122"/>
      <c r="S90" s="123"/>
    </row>
    <row r="91" spans="1:19" ht="17.25" thickBot="1">
      <c r="A91" s="26" t="s">
        <v>301</v>
      </c>
      <c r="B91" s="127">
        <f>$B$37</f>
        <v>300000</v>
      </c>
      <c r="C91" s="128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24"/>
      <c r="R91" s="125"/>
      <c r="S91" s="126"/>
    </row>
    <row r="93" spans="1:19" ht="17.25" thickBot="1"/>
    <row r="94" spans="1:19" ht="17.25" thickBot="1">
      <c r="A94" s="139" t="s">
        <v>46</v>
      </c>
      <c r="B94" s="140"/>
      <c r="C94" s="140"/>
      <c r="D94" s="140"/>
      <c r="E94" s="140"/>
      <c r="F94" s="140"/>
      <c r="G94" s="140"/>
      <c r="H94" s="140"/>
      <c r="I94" s="140"/>
      <c r="J94" s="140"/>
      <c r="K94" s="140"/>
      <c r="L94" s="140"/>
      <c r="M94" s="140"/>
      <c r="N94" s="140"/>
      <c r="O94" s="141"/>
      <c r="Q94" s="138"/>
      <c r="R94" s="138"/>
      <c r="S94" s="138"/>
    </row>
    <row r="95" spans="1:19" ht="17.25" thickBot="1">
      <c r="A95" s="112" t="s">
        <v>298</v>
      </c>
      <c r="B95" s="139" t="s">
        <v>49</v>
      </c>
      <c r="C95" s="141"/>
      <c r="D95" s="139" t="s">
        <v>58</v>
      </c>
      <c r="E95" s="140"/>
      <c r="F95" s="141"/>
      <c r="G95" s="142">
        <f>_xlfn.IFNA(VLOOKUP(B95, 현재가테이블!$B$2:$D$200, 2, FALSE), "-")</f>
        <v>68103000</v>
      </c>
      <c r="H95" s="143"/>
      <c r="I95" s="144"/>
      <c r="J95" s="139" t="s">
        <v>59</v>
      </c>
      <c r="K95" s="140"/>
      <c r="L95" s="141"/>
      <c r="M95" s="145">
        <f>_xlfn.IFNA(VLOOKUP(B95, 현재가테이블!$B$2:$D$200, 3, FALSE), "-")</f>
        <v>-1.37004156E-2</v>
      </c>
      <c r="N95" s="146"/>
      <c r="O95" s="147"/>
      <c r="Q95" s="138"/>
      <c r="R95" s="138"/>
      <c r="S95" s="138"/>
    </row>
    <row r="96" spans="1:19" ht="17.25" thickBot="1">
      <c r="A96" s="187" t="s">
        <v>55</v>
      </c>
      <c r="B96" s="189" t="str">
        <f>TEXT($G$1, "[$-ko-KR]yyyy-mm-dd(ddd) ") &amp; "오전 00:00"</f>
        <v>2021-04-01(목) 오전 00:00</v>
      </c>
      <c r="C96" s="190"/>
      <c r="D96" s="151" t="str">
        <f>TEXT($G$1, "[$-ko-KR]yyyy-mm-dd(ddd) ") &amp; "오후 14:00"</f>
        <v>2021-04-01(목) 오후 14:00</v>
      </c>
      <c r="E96" s="152"/>
      <c r="F96" s="153"/>
      <c r="G96" s="151" t="str">
        <f>TEXT($G$1, "[$-ko-KR]yyyy-mm-dd(ddd) ") &amp; "오후 19:00"</f>
        <v>2021-04-01(목) 오후 19:00</v>
      </c>
      <c r="H96" s="152"/>
      <c r="I96" s="153"/>
      <c r="J96" s="151" t="str">
        <f>TEXT($G$1, "[$-ko-KR]yyyy-mm-dd(ddd) ") &amp; "오후 21:00"</f>
        <v>2021-04-01(목) 오후 21:00</v>
      </c>
      <c r="K96" s="152"/>
      <c r="L96" s="153"/>
      <c r="M96" s="151" t="str">
        <f>TEXT($G$1+1, "[$-ko-KR]yyyy-mm-dd(ddd) ") &amp; "오전 00:00"</f>
        <v>2021-04-02(금) 오전 00:00</v>
      </c>
      <c r="N96" s="152"/>
      <c r="O96" s="153"/>
      <c r="Q96" s="138"/>
      <c r="R96" s="138"/>
      <c r="S96" s="138"/>
    </row>
    <row r="97" spans="1:19" ht="17.25" thickBot="1">
      <c r="A97" s="188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6" t="s">
        <v>300</v>
      </c>
      <c r="M97" s="2" t="s">
        <v>58</v>
      </c>
      <c r="N97" s="10" t="s">
        <v>299</v>
      </c>
      <c r="O97" s="67" t="s">
        <v>300</v>
      </c>
      <c r="Q97" s="117"/>
      <c r="R97" s="117"/>
      <c r="S97" s="117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1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38"/>
      <c r="R98" s="138"/>
      <c r="S98" s="13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2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38"/>
      <c r="R99" s="138"/>
      <c r="S99" s="13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2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17"/>
      <c r="R100" s="117"/>
      <c r="S100" s="117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2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17"/>
      <c r="R101" s="117"/>
      <c r="S101" s="117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6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17"/>
      <c r="R102" s="117"/>
      <c r="S102" s="117"/>
    </row>
    <row r="103" spans="1:19" ht="17.25" thickBot="1">
      <c r="A103" s="17"/>
      <c r="B103" s="107"/>
      <c r="C103" s="108"/>
      <c r="D103" s="107"/>
      <c r="E103" s="108" t="str">
        <f>IF(ISNUMBER(D103), (D103 - $B103) / $B103, "")</f>
        <v/>
      </c>
      <c r="F103" s="109" t="str">
        <f>IF(ISNUMBER(D103), $B118 * E103, "")</f>
        <v/>
      </c>
      <c r="G103" s="110"/>
      <c r="H103" s="108" t="str">
        <f>IF(ISNUMBER(G103), (G103 - $B103) / $B103, "")</f>
        <v/>
      </c>
      <c r="I103" s="111" t="str">
        <f>IF(ISNUMBER(G103), $B118 * H103, "")</f>
        <v/>
      </c>
      <c r="J103" s="107"/>
      <c r="K103" s="108" t="str">
        <f>IF(ISNUMBER(J103), (J103 - $B103) / $B103, "")</f>
        <v/>
      </c>
      <c r="L103" s="109" t="str">
        <f>IF(ISNUMBER(J103), $B118 * K103, "")</f>
        <v/>
      </c>
      <c r="M103" s="110"/>
      <c r="N103" s="108" t="str">
        <f>IF(ISNUMBER(M103), (M103 - $B103) / $B103, "")</f>
        <v/>
      </c>
      <c r="O103" s="109" t="str">
        <f>IF(ISNUMBER(M103), $B118 * N103, "")</f>
        <v/>
      </c>
      <c r="Q103" s="117"/>
      <c r="R103" s="117"/>
      <c r="S103" s="117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2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17"/>
      <c r="R104" s="117"/>
      <c r="S104" s="117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2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17"/>
      <c r="R105" s="117"/>
      <c r="S105" s="117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2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5" t="str">
        <f>IF(ISNUMBER(D107), $B118 * E107, "")</f>
        <v/>
      </c>
      <c r="G107" s="103"/>
      <c r="H107" s="25" t="str">
        <f t="shared" si="51"/>
        <v/>
      </c>
      <c r="I107" s="104" t="str">
        <f>IF(ISNUMBER(G107), $B118 * H107, "")</f>
        <v/>
      </c>
      <c r="J107" s="24"/>
      <c r="K107" s="25" t="str">
        <f t="shared" si="52"/>
        <v/>
      </c>
      <c r="L107" s="105" t="str">
        <f>IF(ISNUMBER(J107), $B118 * K107, "")</f>
        <v/>
      </c>
      <c r="M107" s="103"/>
      <c r="N107" s="25" t="str">
        <f t="shared" si="53"/>
        <v/>
      </c>
      <c r="O107" s="105" t="str">
        <f>IF(ISNUMBER(M107), $B118 * N107, "")</f>
        <v/>
      </c>
      <c r="Q107" s="129"/>
      <c r="R107" s="130"/>
      <c r="S107" s="131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1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32"/>
      <c r="R108" s="133"/>
      <c r="S108" s="134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2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35"/>
      <c r="R109" s="136"/>
      <c r="S109" s="137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2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17"/>
      <c r="R110" s="117"/>
      <c r="S110" s="117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2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38"/>
      <c r="R111" s="138"/>
      <c r="S111" s="13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6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38"/>
      <c r="R112" s="138"/>
      <c r="S112" s="138"/>
    </row>
    <row r="113" spans="1:19" ht="17.25" thickBot="1">
      <c r="A113" s="17"/>
      <c r="B113" s="107"/>
      <c r="C113" s="108"/>
      <c r="D113" s="107"/>
      <c r="E113" s="108" t="str">
        <f>IF(ISNUMBER(D113), (D113 - $B113) / $B113, "")</f>
        <v/>
      </c>
      <c r="F113" s="109" t="str">
        <f>IF(ISNUMBER(D113), $B118 * E113, "")</f>
        <v/>
      </c>
      <c r="G113" s="110"/>
      <c r="H113" s="108" t="str">
        <f>IF(ISNUMBER(G113), (G113 - $B113) / $B113, "")</f>
        <v/>
      </c>
      <c r="I113" s="111" t="str">
        <f>IF(ISNUMBER(G113), $B118 * H113, "")</f>
        <v/>
      </c>
      <c r="J113" s="107"/>
      <c r="K113" s="108" t="str">
        <f>IF(ISNUMBER(J113), (J113 - $B113) / $B113, "")</f>
        <v/>
      </c>
      <c r="L113" s="109" t="str">
        <f>IF(ISNUMBER(J113), $B118 * K113, "")</f>
        <v/>
      </c>
      <c r="M113" s="110"/>
      <c r="N113" s="108" t="str">
        <f>IF(ISNUMBER(M113), (M113 - $B113) / $B113, "")</f>
        <v/>
      </c>
      <c r="O113" s="109" t="str">
        <f>IF(ISNUMBER(M113), $B118 * N113, "")</f>
        <v/>
      </c>
      <c r="Q113" s="117"/>
      <c r="R113" s="117"/>
      <c r="S113" s="117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2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17"/>
      <c r="R114" s="117"/>
      <c r="S114" s="117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2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17"/>
      <c r="R115" s="117"/>
      <c r="S115" s="117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2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18"/>
      <c r="R116" s="119"/>
      <c r="S116" s="120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5" t="str">
        <f>IF(ISNUMBER(D117), $B118 * E117, "")</f>
        <v/>
      </c>
      <c r="G117" s="103"/>
      <c r="H117" s="25" t="str">
        <f t="shared" si="59"/>
        <v/>
      </c>
      <c r="I117" s="104" t="str">
        <f>IF(ISNUMBER(G117), $B118 * H117, "")</f>
        <v/>
      </c>
      <c r="J117" s="24"/>
      <c r="K117" s="25" t="str">
        <f t="shared" si="60"/>
        <v/>
      </c>
      <c r="L117" s="105" t="str">
        <f>IF(ISNUMBER(J117), $B118 * K117, "")</f>
        <v/>
      </c>
      <c r="M117" s="103"/>
      <c r="N117" s="25" t="str">
        <f t="shared" si="61"/>
        <v/>
      </c>
      <c r="O117" s="105" t="str">
        <f>IF(ISNUMBER(M117), $B118 * N117, "")</f>
        <v/>
      </c>
      <c r="Q117" s="121"/>
      <c r="R117" s="122"/>
      <c r="S117" s="123"/>
    </row>
    <row r="118" spans="1:19" ht="17.25" thickBot="1">
      <c r="A118" s="26" t="s">
        <v>301</v>
      </c>
      <c r="B118" s="127">
        <f>$B$37</f>
        <v>300000</v>
      </c>
      <c r="C118" s="128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24"/>
      <c r="R118" s="125"/>
      <c r="S118" s="126"/>
    </row>
    <row r="120" spans="1:19" ht="17.25" thickBot="1"/>
    <row r="121" spans="1:19" ht="17.25" thickBot="1">
      <c r="A121" s="139" t="s">
        <v>288</v>
      </c>
      <c r="B121" s="140"/>
      <c r="C121" s="140"/>
      <c r="D121" s="140"/>
      <c r="E121" s="140"/>
      <c r="F121" s="140"/>
      <c r="G121" s="140"/>
      <c r="H121" s="140"/>
      <c r="I121" s="140"/>
      <c r="J121" s="140"/>
      <c r="K121" s="140"/>
      <c r="L121" s="140"/>
      <c r="M121" s="140"/>
      <c r="N121" s="140"/>
      <c r="O121" s="141"/>
      <c r="Q121" s="138"/>
      <c r="R121" s="138"/>
      <c r="S121" s="138"/>
    </row>
    <row r="122" spans="1:19" ht="17.25" thickBot="1">
      <c r="A122" s="112" t="s">
        <v>298</v>
      </c>
      <c r="B122" s="139" t="s">
        <v>49</v>
      </c>
      <c r="C122" s="141"/>
      <c r="D122" s="139" t="s">
        <v>58</v>
      </c>
      <c r="E122" s="140"/>
      <c r="F122" s="141"/>
      <c r="G122" s="142">
        <f>_xlfn.IFNA(VLOOKUP(B122, 현재가테이블!$B$2:$D$200, 2, FALSE), "-")</f>
        <v>68103000</v>
      </c>
      <c r="H122" s="143"/>
      <c r="I122" s="144"/>
      <c r="J122" s="139" t="s">
        <v>59</v>
      </c>
      <c r="K122" s="140"/>
      <c r="L122" s="141"/>
      <c r="M122" s="145">
        <f>_xlfn.IFNA(VLOOKUP(B122, 현재가테이블!$B$2:$D$200, 3, FALSE), "-")</f>
        <v>-1.37004156E-2</v>
      </c>
      <c r="N122" s="146"/>
      <c r="O122" s="147"/>
      <c r="Q122" s="138"/>
      <c r="R122" s="138"/>
      <c r="S122" s="138"/>
    </row>
    <row r="123" spans="1:19" ht="17.25" thickBot="1">
      <c r="A123" s="187" t="s">
        <v>55</v>
      </c>
      <c r="B123" s="189" t="str">
        <f>TEXT($G$1, "[$-ko-KR]yyyy-mm-dd(ddd) ") &amp; "오전 00:00"</f>
        <v>2021-04-01(목) 오전 00:00</v>
      </c>
      <c r="C123" s="190"/>
      <c r="D123" s="151" t="str">
        <f>TEXT($G$1, "[$-ko-KR]yyyy-mm-dd(ddd) ") &amp; "오후 14:00"</f>
        <v>2021-04-01(목) 오후 14:00</v>
      </c>
      <c r="E123" s="152"/>
      <c r="F123" s="153"/>
      <c r="G123" s="151" t="str">
        <f>TEXT($G$1, "[$-ko-KR]yyyy-mm-dd(ddd) ") &amp; "오후 19:00"</f>
        <v>2021-04-01(목) 오후 19:00</v>
      </c>
      <c r="H123" s="152"/>
      <c r="I123" s="153"/>
      <c r="J123" s="151" t="str">
        <f>TEXT($G$1, "[$-ko-KR]yyyy-mm-dd(ddd) ") &amp; "오후 21:00"</f>
        <v>2021-04-01(목) 오후 21:00</v>
      </c>
      <c r="K123" s="152"/>
      <c r="L123" s="153"/>
      <c r="M123" s="151" t="str">
        <f>TEXT($G$1+1, "[$-ko-KR]yyyy-mm-dd(ddd) ") &amp; "오전 00:00"</f>
        <v>2021-04-02(금) 오전 00:00</v>
      </c>
      <c r="N123" s="152"/>
      <c r="O123" s="153"/>
      <c r="Q123" s="138"/>
      <c r="R123" s="138"/>
      <c r="S123" s="138"/>
    </row>
    <row r="124" spans="1:19" ht="17.25" thickBot="1">
      <c r="A124" s="188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6" t="s">
        <v>300</v>
      </c>
      <c r="M124" s="2" t="s">
        <v>58</v>
      </c>
      <c r="N124" s="10" t="s">
        <v>299</v>
      </c>
      <c r="O124" s="67" t="s">
        <v>300</v>
      </c>
      <c r="Q124" s="117"/>
      <c r="R124" s="117"/>
      <c r="S124" s="117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1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38"/>
      <c r="R125" s="138"/>
      <c r="S125" s="13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2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38"/>
      <c r="R126" s="138"/>
      <c r="S126" s="13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2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17"/>
      <c r="R127" s="117"/>
      <c r="S127" s="117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2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17"/>
      <c r="R128" s="117"/>
      <c r="S128" s="117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6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17"/>
      <c r="R129" s="117"/>
      <c r="S129" s="117"/>
    </row>
    <row r="130" spans="1:19" ht="17.25" thickBot="1">
      <c r="A130" s="17"/>
      <c r="B130" s="107"/>
      <c r="C130" s="108"/>
      <c r="D130" s="107"/>
      <c r="E130" s="108" t="str">
        <f>IF(ISNUMBER(D130), (D130 - $B130) / $B130, "")</f>
        <v/>
      </c>
      <c r="F130" s="109" t="str">
        <f>IF(ISNUMBER(D130), $B145 * E130, "")</f>
        <v/>
      </c>
      <c r="G130" s="110"/>
      <c r="H130" s="108" t="str">
        <f>IF(ISNUMBER(G130), (G130 - $B130) / $B130, "")</f>
        <v/>
      </c>
      <c r="I130" s="111" t="str">
        <f>IF(ISNUMBER(G130), $B145 * H130, "")</f>
        <v/>
      </c>
      <c r="J130" s="107"/>
      <c r="K130" s="108" t="str">
        <f>IF(ISNUMBER(J130), (J130 - $B130) / $B130, "")</f>
        <v/>
      </c>
      <c r="L130" s="109" t="str">
        <f>IF(ISNUMBER(J130), $B145 * K130, "")</f>
        <v/>
      </c>
      <c r="M130" s="110"/>
      <c r="N130" s="108" t="str">
        <f>IF(ISNUMBER(M130), (M130 - $B130) / $B130, "")</f>
        <v/>
      </c>
      <c r="O130" s="109" t="str">
        <f>IF(ISNUMBER(M130), $B145 * N130, "")</f>
        <v/>
      </c>
      <c r="Q130" s="117"/>
      <c r="R130" s="117"/>
      <c r="S130" s="117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2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17"/>
      <c r="R131" s="117"/>
      <c r="S131" s="117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2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17"/>
      <c r="R132" s="117"/>
      <c r="S132" s="117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2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5" t="str">
        <f>IF(ISNUMBER(D134), $B145 * E134, "")</f>
        <v/>
      </c>
      <c r="G134" s="103"/>
      <c r="H134" s="25" t="str">
        <f t="shared" si="67"/>
        <v/>
      </c>
      <c r="I134" s="104" t="str">
        <f>IF(ISNUMBER(G134), $B145 * H134, "")</f>
        <v/>
      </c>
      <c r="J134" s="24"/>
      <c r="K134" s="25" t="str">
        <f t="shared" si="68"/>
        <v/>
      </c>
      <c r="L134" s="105" t="str">
        <f>IF(ISNUMBER(J134), $B145 * K134, "")</f>
        <v/>
      </c>
      <c r="M134" s="103"/>
      <c r="N134" s="25" t="str">
        <f t="shared" si="69"/>
        <v/>
      </c>
      <c r="O134" s="105" t="str">
        <f>IF(ISNUMBER(M134), $B145 * N134, "")</f>
        <v/>
      </c>
      <c r="Q134" s="129"/>
      <c r="R134" s="130"/>
      <c r="S134" s="131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1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32"/>
      <c r="R135" s="133"/>
      <c r="S135" s="134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2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35"/>
      <c r="R136" s="136"/>
      <c r="S136" s="137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2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17"/>
      <c r="R137" s="117"/>
      <c r="S137" s="117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2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38"/>
      <c r="R138" s="138"/>
      <c r="S138" s="13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6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38"/>
      <c r="R139" s="138"/>
      <c r="S139" s="138"/>
    </row>
    <row r="140" spans="1:19" ht="17.25" thickBot="1">
      <c r="A140" s="17"/>
      <c r="B140" s="107"/>
      <c r="C140" s="108"/>
      <c r="D140" s="107"/>
      <c r="E140" s="108" t="str">
        <f>IF(ISNUMBER(D140), (D140 - $B140) / $B140, "")</f>
        <v/>
      </c>
      <c r="F140" s="109" t="str">
        <f>IF(ISNUMBER(D140), $B145 * E140, "")</f>
        <v/>
      </c>
      <c r="G140" s="110"/>
      <c r="H140" s="108" t="str">
        <f>IF(ISNUMBER(G140), (G140 - $B140) / $B140, "")</f>
        <v/>
      </c>
      <c r="I140" s="111" t="str">
        <f>IF(ISNUMBER(G140), $B145 * H140, "")</f>
        <v/>
      </c>
      <c r="J140" s="107"/>
      <c r="K140" s="108" t="str">
        <f>IF(ISNUMBER(J140), (J140 - $B140) / $B140, "")</f>
        <v/>
      </c>
      <c r="L140" s="109" t="str">
        <f>IF(ISNUMBER(J140), $B145 * K140, "")</f>
        <v/>
      </c>
      <c r="M140" s="110"/>
      <c r="N140" s="108" t="str">
        <f>IF(ISNUMBER(M140), (M140 - $B140) / $B140, "")</f>
        <v/>
      </c>
      <c r="O140" s="109" t="str">
        <f>IF(ISNUMBER(M140), $B145 * N140, "")</f>
        <v/>
      </c>
      <c r="Q140" s="117"/>
      <c r="R140" s="117"/>
      <c r="S140" s="117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2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17"/>
      <c r="R141" s="117"/>
      <c r="S141" s="117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2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17"/>
      <c r="R142" s="117"/>
      <c r="S142" s="117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2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18"/>
      <c r="R143" s="119"/>
      <c r="S143" s="120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5" t="str">
        <f>IF(ISNUMBER(D144), $B145 * E144, "")</f>
        <v/>
      </c>
      <c r="G144" s="103"/>
      <c r="H144" s="25" t="str">
        <f t="shared" si="75"/>
        <v/>
      </c>
      <c r="I144" s="104" t="str">
        <f>IF(ISNUMBER(G144), $B145 * H144, "")</f>
        <v/>
      </c>
      <c r="J144" s="24"/>
      <c r="K144" s="25" t="str">
        <f t="shared" si="76"/>
        <v/>
      </c>
      <c r="L144" s="105" t="str">
        <f>IF(ISNUMBER(J144), $B145 * K144, "")</f>
        <v/>
      </c>
      <c r="M144" s="103"/>
      <c r="N144" s="25" t="str">
        <f t="shared" si="77"/>
        <v/>
      </c>
      <c r="O144" s="105" t="str">
        <f>IF(ISNUMBER(M144), $B145 * N144, "")</f>
        <v/>
      </c>
      <c r="Q144" s="121"/>
      <c r="R144" s="122"/>
      <c r="S144" s="123"/>
    </row>
    <row r="145" spans="1:19" ht="17.25" thickBot="1">
      <c r="A145" s="26" t="s">
        <v>301</v>
      </c>
      <c r="B145" s="127">
        <f>$B$37</f>
        <v>300000</v>
      </c>
      <c r="C145" s="128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24"/>
      <c r="R145" s="125"/>
      <c r="S145" s="126"/>
    </row>
    <row r="147" spans="1:19" ht="17.25" thickBot="1"/>
    <row r="148" spans="1:19" ht="17.25" thickBot="1">
      <c r="A148" s="139" t="s">
        <v>289</v>
      </c>
      <c r="B148" s="140"/>
      <c r="C148" s="140"/>
      <c r="D148" s="140"/>
      <c r="E148" s="140"/>
      <c r="F148" s="140"/>
      <c r="G148" s="140"/>
      <c r="H148" s="140"/>
      <c r="I148" s="140"/>
      <c r="J148" s="140"/>
      <c r="K148" s="140"/>
      <c r="L148" s="140"/>
      <c r="M148" s="140"/>
      <c r="N148" s="140"/>
      <c r="O148" s="141"/>
      <c r="Q148" s="138"/>
      <c r="R148" s="138"/>
      <c r="S148" s="138"/>
    </row>
    <row r="149" spans="1:19" ht="17.25" thickBot="1">
      <c r="A149" s="112" t="s">
        <v>298</v>
      </c>
      <c r="B149" s="139" t="s">
        <v>49</v>
      </c>
      <c r="C149" s="141"/>
      <c r="D149" s="139" t="s">
        <v>58</v>
      </c>
      <c r="E149" s="140"/>
      <c r="F149" s="141"/>
      <c r="G149" s="142">
        <f>_xlfn.IFNA(VLOOKUP(B149, 현재가테이블!$B$2:$D$200, 2, FALSE), "-")</f>
        <v>68103000</v>
      </c>
      <c r="H149" s="143"/>
      <c r="I149" s="144"/>
      <c r="J149" s="139" t="s">
        <v>59</v>
      </c>
      <c r="K149" s="140"/>
      <c r="L149" s="141"/>
      <c r="M149" s="145">
        <f>_xlfn.IFNA(VLOOKUP(B149, 현재가테이블!$B$2:$D$200, 3, FALSE), "-")</f>
        <v>-1.37004156E-2</v>
      </c>
      <c r="N149" s="146"/>
      <c r="O149" s="147"/>
      <c r="Q149" s="138"/>
      <c r="R149" s="138"/>
      <c r="S149" s="138"/>
    </row>
    <row r="150" spans="1:19" ht="17.25" thickBot="1">
      <c r="A150" s="187" t="s">
        <v>55</v>
      </c>
      <c r="B150" s="189" t="str">
        <f>TEXT($G$1, "[$-ko-KR]yyyy-mm-dd(ddd) ") &amp; "오전 00:00"</f>
        <v>2021-04-01(목) 오전 00:00</v>
      </c>
      <c r="C150" s="190"/>
      <c r="D150" s="151" t="str">
        <f>TEXT($G$1, "[$-ko-KR]yyyy-mm-dd(ddd) ") &amp; "오후 14:00"</f>
        <v>2021-04-01(목) 오후 14:00</v>
      </c>
      <c r="E150" s="152"/>
      <c r="F150" s="153"/>
      <c r="G150" s="151" t="str">
        <f>TEXT($G$1, "[$-ko-KR]yyyy-mm-dd(ddd) ") &amp; "오후 19:00"</f>
        <v>2021-04-01(목) 오후 19:00</v>
      </c>
      <c r="H150" s="152"/>
      <c r="I150" s="153"/>
      <c r="J150" s="151" t="str">
        <f>TEXT($G$1, "[$-ko-KR]yyyy-mm-dd(ddd) ") &amp; "오후 21:00"</f>
        <v>2021-04-01(목) 오후 21:00</v>
      </c>
      <c r="K150" s="152"/>
      <c r="L150" s="153"/>
      <c r="M150" s="151" t="str">
        <f>TEXT($G$1+1, "[$-ko-KR]yyyy-mm-dd(ddd) ") &amp; "오전 00:00"</f>
        <v>2021-04-02(금) 오전 00:00</v>
      </c>
      <c r="N150" s="152"/>
      <c r="O150" s="153"/>
      <c r="Q150" s="138"/>
      <c r="R150" s="138"/>
      <c r="S150" s="138"/>
    </row>
    <row r="151" spans="1:19" ht="17.25" thickBot="1">
      <c r="A151" s="188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6" t="s">
        <v>300</v>
      </c>
      <c r="M151" s="2" t="s">
        <v>58</v>
      </c>
      <c r="N151" s="10" t="s">
        <v>299</v>
      </c>
      <c r="O151" s="67" t="s">
        <v>300</v>
      </c>
      <c r="Q151" s="117"/>
      <c r="R151" s="117"/>
      <c r="S151" s="117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1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38"/>
      <c r="R152" s="138"/>
      <c r="S152" s="13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2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38"/>
      <c r="R153" s="138"/>
      <c r="S153" s="13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2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17"/>
      <c r="R154" s="117"/>
      <c r="S154" s="117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2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17"/>
      <c r="R155" s="117"/>
      <c r="S155" s="117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6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17"/>
      <c r="R156" s="117"/>
      <c r="S156" s="117"/>
    </row>
    <row r="157" spans="1:19" ht="17.25" thickBot="1">
      <c r="A157" s="17"/>
      <c r="B157" s="107"/>
      <c r="C157" s="108"/>
      <c r="D157" s="107"/>
      <c r="E157" s="108" t="str">
        <f>IF(ISNUMBER(D157), (D157 - $B157) / $B157, "")</f>
        <v/>
      </c>
      <c r="F157" s="109" t="str">
        <f>IF(ISNUMBER(D157), $B172 * E157, "")</f>
        <v/>
      </c>
      <c r="G157" s="110"/>
      <c r="H157" s="108" t="str">
        <f>IF(ISNUMBER(G157), (G157 - $B157) / $B157, "")</f>
        <v/>
      </c>
      <c r="I157" s="111" t="str">
        <f>IF(ISNUMBER(G157), $B172 * H157, "")</f>
        <v/>
      </c>
      <c r="J157" s="107"/>
      <c r="K157" s="108" t="str">
        <f>IF(ISNUMBER(J157), (J157 - $B157) / $B157, "")</f>
        <v/>
      </c>
      <c r="L157" s="109" t="str">
        <f>IF(ISNUMBER(J157), $B172 * K157, "")</f>
        <v/>
      </c>
      <c r="M157" s="110"/>
      <c r="N157" s="108" t="str">
        <f>IF(ISNUMBER(M157), (M157 - $B157) / $B157, "")</f>
        <v/>
      </c>
      <c r="O157" s="109" t="str">
        <f>IF(ISNUMBER(M157), $B172 * N157, "")</f>
        <v/>
      </c>
      <c r="Q157" s="117"/>
      <c r="R157" s="117"/>
      <c r="S157" s="117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2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17"/>
      <c r="R158" s="117"/>
      <c r="S158" s="117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2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17"/>
      <c r="R159" s="117"/>
      <c r="S159" s="117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2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5" t="str">
        <f>IF(ISNUMBER(D161), $B172 * E161, "")</f>
        <v/>
      </c>
      <c r="G161" s="103"/>
      <c r="H161" s="25" t="str">
        <f t="shared" si="83"/>
        <v/>
      </c>
      <c r="I161" s="104" t="str">
        <f>IF(ISNUMBER(G161), $B172 * H161, "")</f>
        <v/>
      </c>
      <c r="J161" s="24"/>
      <c r="K161" s="25" t="str">
        <f t="shared" si="84"/>
        <v/>
      </c>
      <c r="L161" s="105" t="str">
        <f>IF(ISNUMBER(J161), $B172 * K161, "")</f>
        <v/>
      </c>
      <c r="M161" s="103"/>
      <c r="N161" s="25" t="str">
        <f t="shared" si="85"/>
        <v/>
      </c>
      <c r="O161" s="105" t="str">
        <f>IF(ISNUMBER(M161), $B172 * N161, "")</f>
        <v/>
      </c>
      <c r="Q161" s="129"/>
      <c r="R161" s="130"/>
      <c r="S161" s="131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1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32"/>
      <c r="R162" s="133"/>
      <c r="S162" s="134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2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35"/>
      <c r="R163" s="136"/>
      <c r="S163" s="137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2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17"/>
      <c r="R164" s="117"/>
      <c r="S164" s="117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2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38"/>
      <c r="R165" s="138"/>
      <c r="S165" s="13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6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38"/>
      <c r="R166" s="138"/>
      <c r="S166" s="138"/>
    </row>
    <row r="167" spans="1:19" ht="17.25" thickBot="1">
      <c r="A167" s="17"/>
      <c r="B167" s="107"/>
      <c r="C167" s="108"/>
      <c r="D167" s="107"/>
      <c r="E167" s="108" t="str">
        <f>IF(ISNUMBER(D167), (D167 - $B167) / $B167, "")</f>
        <v/>
      </c>
      <c r="F167" s="109" t="str">
        <f>IF(ISNUMBER(D167), $B172 * E167, "")</f>
        <v/>
      </c>
      <c r="G167" s="110"/>
      <c r="H167" s="108" t="str">
        <f>IF(ISNUMBER(G167), (G167 - $B167) / $B167, "")</f>
        <v/>
      </c>
      <c r="I167" s="111" t="str">
        <f>IF(ISNUMBER(G167), $B172 * H167, "")</f>
        <v/>
      </c>
      <c r="J167" s="107"/>
      <c r="K167" s="108" t="str">
        <f>IF(ISNUMBER(J167), (J167 - $B167) / $B167, "")</f>
        <v/>
      </c>
      <c r="L167" s="109" t="str">
        <f>IF(ISNUMBER(J167), $B172 * K167, "")</f>
        <v/>
      </c>
      <c r="M167" s="110"/>
      <c r="N167" s="108" t="str">
        <f>IF(ISNUMBER(M167), (M167 - $B167) / $B167, "")</f>
        <v/>
      </c>
      <c r="O167" s="109" t="str">
        <f>IF(ISNUMBER(M167), $B172 * N167, "")</f>
        <v/>
      </c>
      <c r="Q167" s="117"/>
      <c r="R167" s="117"/>
      <c r="S167" s="117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2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17"/>
      <c r="R168" s="117"/>
      <c r="S168" s="117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2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17"/>
      <c r="R169" s="117"/>
      <c r="S169" s="117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2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18"/>
      <c r="R170" s="119"/>
      <c r="S170" s="120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5" t="str">
        <f>IF(ISNUMBER(D171), $B172 * E171, "")</f>
        <v/>
      </c>
      <c r="G171" s="103"/>
      <c r="H171" s="25" t="str">
        <f t="shared" si="91"/>
        <v/>
      </c>
      <c r="I171" s="104" t="str">
        <f>IF(ISNUMBER(G171), $B172 * H171, "")</f>
        <v/>
      </c>
      <c r="J171" s="24"/>
      <c r="K171" s="25" t="str">
        <f t="shared" si="92"/>
        <v/>
      </c>
      <c r="L171" s="105" t="str">
        <f>IF(ISNUMBER(J171), $B172 * K171, "")</f>
        <v/>
      </c>
      <c r="M171" s="103"/>
      <c r="N171" s="25" t="str">
        <f t="shared" si="93"/>
        <v/>
      </c>
      <c r="O171" s="105" t="str">
        <f>IF(ISNUMBER(M171), $B172 * N171, "")</f>
        <v/>
      </c>
      <c r="Q171" s="121"/>
      <c r="R171" s="122"/>
      <c r="S171" s="123"/>
    </row>
    <row r="172" spans="1:19" ht="17.25" thickBot="1">
      <c r="A172" s="26" t="s">
        <v>301</v>
      </c>
      <c r="B172" s="127">
        <f>$B$37</f>
        <v>300000</v>
      </c>
      <c r="C172" s="128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24"/>
      <c r="R172" s="125"/>
      <c r="S172" s="126"/>
    </row>
    <row r="174" spans="1:19" ht="17.25" thickBot="1"/>
    <row r="175" spans="1:19" ht="17.25" thickBot="1">
      <c r="A175" s="139" t="s">
        <v>285</v>
      </c>
      <c r="B175" s="140"/>
      <c r="C175" s="140"/>
      <c r="D175" s="140"/>
      <c r="E175" s="140"/>
      <c r="F175" s="140"/>
      <c r="G175" s="140"/>
      <c r="H175" s="140"/>
      <c r="I175" s="140"/>
      <c r="J175" s="140"/>
      <c r="K175" s="140"/>
      <c r="L175" s="140"/>
      <c r="M175" s="140"/>
      <c r="N175" s="140"/>
      <c r="O175" s="141"/>
      <c r="Q175" s="138"/>
      <c r="R175" s="138"/>
      <c r="S175" s="138"/>
    </row>
    <row r="176" spans="1:19" ht="17.25" thickBot="1">
      <c r="A176" s="112" t="s">
        <v>298</v>
      </c>
      <c r="B176" s="139" t="s">
        <v>49</v>
      </c>
      <c r="C176" s="141"/>
      <c r="D176" s="139" t="s">
        <v>58</v>
      </c>
      <c r="E176" s="140"/>
      <c r="F176" s="141"/>
      <c r="G176" s="142">
        <f>_xlfn.IFNA(VLOOKUP(B176, 현재가테이블!$B$2:$D$200, 2, FALSE), "-")</f>
        <v>68103000</v>
      </c>
      <c r="H176" s="143"/>
      <c r="I176" s="144"/>
      <c r="J176" s="139" t="s">
        <v>59</v>
      </c>
      <c r="K176" s="140"/>
      <c r="L176" s="141"/>
      <c r="M176" s="145">
        <f>_xlfn.IFNA(VLOOKUP(B176, 현재가테이블!$B$2:$D$200, 3, FALSE), "-")</f>
        <v>-1.37004156E-2</v>
      </c>
      <c r="N176" s="146"/>
      <c r="O176" s="147"/>
      <c r="Q176" s="138"/>
      <c r="R176" s="138"/>
      <c r="S176" s="138"/>
    </row>
    <row r="177" spans="1:19" ht="17.25" thickBot="1">
      <c r="A177" s="187" t="s">
        <v>55</v>
      </c>
      <c r="B177" s="189" t="str">
        <f>TEXT($G$1, "[$-ko-KR]yyyy-mm-dd(ddd) ") &amp; "오전 00:00"</f>
        <v>2021-04-01(목) 오전 00:00</v>
      </c>
      <c r="C177" s="190"/>
      <c r="D177" s="151" t="str">
        <f>TEXT($G$1, "[$-ko-KR]yyyy-mm-dd(ddd) ") &amp; "오후 14:00"</f>
        <v>2021-04-01(목) 오후 14:00</v>
      </c>
      <c r="E177" s="152"/>
      <c r="F177" s="153"/>
      <c r="G177" s="151" t="str">
        <f>TEXT($G$1, "[$-ko-KR]yyyy-mm-dd(ddd) ") &amp; "오후 19:00"</f>
        <v>2021-04-01(목) 오후 19:00</v>
      </c>
      <c r="H177" s="152"/>
      <c r="I177" s="153"/>
      <c r="J177" s="151" t="str">
        <f>TEXT($G$1, "[$-ko-KR]yyyy-mm-dd(ddd) ") &amp; "오후 21:00"</f>
        <v>2021-04-01(목) 오후 21:00</v>
      </c>
      <c r="K177" s="152"/>
      <c r="L177" s="153"/>
      <c r="M177" s="151" t="str">
        <f>TEXT($G$1+1, "[$-ko-KR]yyyy-mm-dd(ddd) ") &amp; "오전 00:00"</f>
        <v>2021-04-02(금) 오전 00:00</v>
      </c>
      <c r="N177" s="152"/>
      <c r="O177" s="153"/>
      <c r="Q177" s="138"/>
      <c r="R177" s="138"/>
      <c r="S177" s="138"/>
    </row>
    <row r="178" spans="1:19" ht="17.25" thickBot="1">
      <c r="A178" s="188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6" t="s">
        <v>300</v>
      </c>
      <c r="M178" s="2" t="s">
        <v>58</v>
      </c>
      <c r="N178" s="10" t="s">
        <v>299</v>
      </c>
      <c r="O178" s="67" t="s">
        <v>300</v>
      </c>
      <c r="Q178" s="117"/>
      <c r="R178" s="117"/>
      <c r="S178" s="117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1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38"/>
      <c r="R179" s="138"/>
      <c r="S179" s="13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2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38"/>
      <c r="R180" s="138"/>
      <c r="S180" s="13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2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17"/>
      <c r="R181" s="117"/>
      <c r="S181" s="117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2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17"/>
      <c r="R182" s="117"/>
      <c r="S182" s="117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6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17"/>
      <c r="R183" s="117"/>
      <c r="S183" s="117"/>
    </row>
    <row r="184" spans="1:19" ht="17.25" thickBot="1">
      <c r="A184" s="17"/>
      <c r="B184" s="107"/>
      <c r="C184" s="108"/>
      <c r="D184" s="107"/>
      <c r="E184" s="108" t="str">
        <f>IF(ISNUMBER(D184), (D184 - $B184) / $B184, "")</f>
        <v/>
      </c>
      <c r="F184" s="109" t="str">
        <f>IF(ISNUMBER(D184), $B199 * E184, "")</f>
        <v/>
      </c>
      <c r="G184" s="110"/>
      <c r="H184" s="108" t="str">
        <f>IF(ISNUMBER(G184), (G184 - $B184) / $B184, "")</f>
        <v/>
      </c>
      <c r="I184" s="111" t="str">
        <f>IF(ISNUMBER(G184), $B199 * H184, "")</f>
        <v/>
      </c>
      <c r="J184" s="107"/>
      <c r="K184" s="108" t="str">
        <f>IF(ISNUMBER(J184), (J184 - $B184) / $B184, "")</f>
        <v/>
      </c>
      <c r="L184" s="109" t="str">
        <f>IF(ISNUMBER(J184), $B199 * K184, "")</f>
        <v/>
      </c>
      <c r="M184" s="110"/>
      <c r="N184" s="108" t="str">
        <f>IF(ISNUMBER(M184), (M184 - $B184) / $B184, "")</f>
        <v/>
      </c>
      <c r="O184" s="109" t="str">
        <f>IF(ISNUMBER(M184), $B199 * N184, "")</f>
        <v/>
      </c>
      <c r="Q184" s="117"/>
      <c r="R184" s="117"/>
      <c r="S184" s="117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2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17"/>
      <c r="R185" s="117"/>
      <c r="S185" s="117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2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17"/>
      <c r="R186" s="117"/>
      <c r="S186" s="117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2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5" t="str">
        <f>IF(ISNUMBER(D188), $B199 * E188, "")</f>
        <v/>
      </c>
      <c r="G188" s="103"/>
      <c r="H188" s="25" t="str">
        <f t="shared" si="99"/>
        <v/>
      </c>
      <c r="I188" s="104" t="str">
        <f>IF(ISNUMBER(G188), $B199 * H188, "")</f>
        <v/>
      </c>
      <c r="J188" s="24"/>
      <c r="K188" s="25" t="str">
        <f t="shared" si="100"/>
        <v/>
      </c>
      <c r="L188" s="105" t="str">
        <f>IF(ISNUMBER(J188), $B199 * K188, "")</f>
        <v/>
      </c>
      <c r="M188" s="103"/>
      <c r="N188" s="25" t="str">
        <f t="shared" si="101"/>
        <v/>
      </c>
      <c r="O188" s="105" t="str">
        <f>IF(ISNUMBER(M188), $B199 * N188, "")</f>
        <v/>
      </c>
      <c r="Q188" s="129"/>
      <c r="R188" s="130"/>
      <c r="S188" s="131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1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32"/>
      <c r="R189" s="133"/>
      <c r="S189" s="134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2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35"/>
      <c r="R190" s="136"/>
      <c r="S190" s="137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2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17"/>
      <c r="R191" s="117"/>
      <c r="S191" s="117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2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38"/>
      <c r="R192" s="138"/>
      <c r="S192" s="13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6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38"/>
      <c r="R193" s="138"/>
      <c r="S193" s="138"/>
    </row>
    <row r="194" spans="1:19" ht="17.25" thickBot="1">
      <c r="A194" s="17"/>
      <c r="B194" s="107"/>
      <c r="C194" s="108"/>
      <c r="D194" s="107"/>
      <c r="E194" s="108" t="str">
        <f>IF(ISNUMBER(D194), (D194 - $B194) / $B194, "")</f>
        <v/>
      </c>
      <c r="F194" s="109" t="str">
        <f>IF(ISNUMBER(D194), $B199 * E194, "")</f>
        <v/>
      </c>
      <c r="G194" s="110"/>
      <c r="H194" s="108" t="str">
        <f>IF(ISNUMBER(G194), (G194 - $B194) / $B194, "")</f>
        <v/>
      </c>
      <c r="I194" s="111" t="str">
        <f>IF(ISNUMBER(G194), $B199 * H194, "")</f>
        <v/>
      </c>
      <c r="J194" s="107"/>
      <c r="K194" s="108" t="str">
        <f>IF(ISNUMBER(J194), (J194 - $B194) / $B194, "")</f>
        <v/>
      </c>
      <c r="L194" s="109" t="str">
        <f>IF(ISNUMBER(J194), $B199 * K194, "")</f>
        <v/>
      </c>
      <c r="M194" s="110"/>
      <c r="N194" s="108" t="str">
        <f>IF(ISNUMBER(M194), (M194 - $B194) / $B194, "")</f>
        <v/>
      </c>
      <c r="O194" s="109" t="str">
        <f>IF(ISNUMBER(M194), $B199 * N194, "")</f>
        <v/>
      </c>
      <c r="Q194" s="117"/>
      <c r="R194" s="117"/>
      <c r="S194" s="117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2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17"/>
      <c r="R195" s="117"/>
      <c r="S195" s="117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2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17"/>
      <c r="R196" s="117"/>
      <c r="S196" s="117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2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18"/>
      <c r="R197" s="119"/>
      <c r="S197" s="120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5" t="str">
        <f>IF(ISNUMBER(D198), $B199 * E198, "")</f>
        <v/>
      </c>
      <c r="G198" s="103"/>
      <c r="H198" s="25" t="str">
        <f t="shared" si="107"/>
        <v/>
      </c>
      <c r="I198" s="104" t="str">
        <f>IF(ISNUMBER(G198), $B199 * H198, "")</f>
        <v/>
      </c>
      <c r="J198" s="24"/>
      <c r="K198" s="25" t="str">
        <f t="shared" si="108"/>
        <v/>
      </c>
      <c r="L198" s="105" t="str">
        <f>IF(ISNUMBER(J198), $B199 * K198, "")</f>
        <v/>
      </c>
      <c r="M198" s="103"/>
      <c r="N198" s="25" t="str">
        <f t="shared" si="109"/>
        <v/>
      </c>
      <c r="O198" s="105" t="str">
        <f>IF(ISNUMBER(M198), $B199 * N198, "")</f>
        <v/>
      </c>
      <c r="Q198" s="121"/>
      <c r="R198" s="122"/>
      <c r="S198" s="123"/>
    </row>
    <row r="199" spans="1:19" ht="17.25" thickBot="1">
      <c r="A199" s="26" t="s">
        <v>301</v>
      </c>
      <c r="B199" s="127">
        <f>$B$37</f>
        <v>300000</v>
      </c>
      <c r="C199" s="128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24"/>
      <c r="R199" s="125"/>
      <c r="S199" s="126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2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199" priority="157">
      <formula>AND($N17 &gt; 0, ISNUMBER($N17))</formula>
    </cfRule>
    <cfRule type="expression" dxfId="1200" priority="158">
      <formula>AND($N17 = 0 * ISNUMBER($N17))</formula>
    </cfRule>
    <cfRule type="expression" dxfId="1201" priority="159">
      <formula>AND($N17 &lt; 0, ISNUMBER($N17))</formula>
    </cfRule>
  </conditionalFormatting>
  <conditionalFormatting sqref="A17:F36">
    <cfRule type="expression" dxfId="1196" priority="166">
      <formula>AND($E17 &gt; 0, ISNUMBER($E17))</formula>
    </cfRule>
    <cfRule type="expression" dxfId="1197" priority="167">
      <formula>AND($E17 = 0 * ISNUMBER($E17))</formula>
    </cfRule>
    <cfRule type="expression" dxfId="1198" priority="168">
      <formula>AND($E17 &lt; 0, ISNUMBER($E17))</formula>
    </cfRule>
  </conditionalFormatting>
  <conditionalFormatting sqref="A17:C36 G17:I36">
    <cfRule type="expression" dxfId="1193" priority="163">
      <formula>AND($H17 &gt; 0, ISNUMBER($H17))</formula>
    </cfRule>
    <cfRule type="expression" dxfId="1194" priority="164">
      <formula>AND($H17 = 0 * ISNUMBER($H17))</formula>
    </cfRule>
    <cfRule type="expression" dxfId="1195" priority="165">
      <formula>AND($H17 &lt; 0, ISNUMBER($H17))</formula>
    </cfRule>
  </conditionalFormatting>
  <conditionalFormatting sqref="A17:C36 J17:L36">
    <cfRule type="expression" dxfId="1192" priority="160">
      <formula>AND($K17 &gt; 0, ISNUMBER($K17))</formula>
    </cfRule>
    <cfRule type="expression" dxfId="1191" priority="161">
      <formula>AND($K17 = 0 * ISNUMBER($K17))</formula>
    </cfRule>
    <cfRule type="expression" dxfId="1190" priority="162">
      <formula>AND($K17 &lt; 0, ISNUMBER($K17))</formula>
    </cfRule>
  </conditionalFormatting>
  <conditionalFormatting sqref="D15:F16 E37:F37">
    <cfRule type="expression" dxfId="1189" priority="154">
      <formula>$E$37 &gt; 0</formula>
    </cfRule>
    <cfRule type="expression" dxfId="1188" priority="155">
      <formula>$E$37 = 0</formula>
    </cfRule>
    <cfRule type="expression" dxfId="1187" priority="156">
      <formula>$E$37 &lt; 0</formula>
    </cfRule>
  </conditionalFormatting>
  <conditionalFormatting sqref="G15:I16 H37:I37">
    <cfRule type="expression" dxfId="1186" priority="151">
      <formula>$H$37 &gt; 0</formula>
    </cfRule>
    <cfRule type="expression" dxfId="1185" priority="152">
      <formula>$H$37 = 0</formula>
    </cfRule>
    <cfRule type="expression" dxfId="1184" priority="153">
      <formula>$H$37 &lt; 0</formula>
    </cfRule>
  </conditionalFormatting>
  <conditionalFormatting sqref="J15:L16 K37:L37">
    <cfRule type="expression" dxfId="1183" priority="148">
      <formula>$K$37 &gt; 0</formula>
    </cfRule>
    <cfRule type="expression" dxfId="1182" priority="149">
      <formula>$K$37 = 0</formula>
    </cfRule>
    <cfRule type="expression" dxfId="1181" priority="150">
      <formula>$K$37 &lt; 0</formula>
    </cfRule>
  </conditionalFormatting>
  <conditionalFormatting sqref="M15:O16 N37:O37">
    <cfRule type="expression" dxfId="1180" priority="145">
      <formula>$N$37 &gt; 0</formula>
    </cfRule>
    <cfRule type="expression" dxfId="1179" priority="146">
      <formula>$N$37 = 0</formula>
    </cfRule>
    <cfRule type="expression" dxfId="1178" priority="147">
      <formula>$N$37 &lt; 0</formula>
    </cfRule>
  </conditionalFormatting>
  <conditionalFormatting sqref="A44:C63 M44:O63">
    <cfRule type="expression" dxfId="1177" priority="133">
      <formula>AND($N44 &gt; 0, ISNUMBER($N44))</formula>
    </cfRule>
    <cfRule type="expression" dxfId="1176" priority="134">
      <formula>AND($N44 = 0 * ISNUMBER($N44))</formula>
    </cfRule>
    <cfRule type="expression" dxfId="1175" priority="135">
      <formula>AND($N44 &lt; 0, ISNUMBER($N44))</formula>
    </cfRule>
  </conditionalFormatting>
  <conditionalFormatting sqref="A44:F63">
    <cfRule type="expression" dxfId="1174" priority="142">
      <formula>AND($E44 &gt; 0, ISNUMBER($E44))</formula>
    </cfRule>
    <cfRule type="expression" dxfId="1173" priority="143">
      <formula>AND($E44 = 0 * ISNUMBER($E44))</formula>
    </cfRule>
    <cfRule type="expression" dxfId="1172" priority="144">
      <formula>AND($E44 &lt; 0, ISNUMBER($E44))</formula>
    </cfRule>
  </conditionalFormatting>
  <conditionalFormatting sqref="A44:C63 G44:I63">
    <cfRule type="expression" dxfId="1171" priority="139">
      <formula>AND($H44 &gt; 0, ISNUMBER($H44))</formula>
    </cfRule>
    <cfRule type="expression" dxfId="1170" priority="140">
      <formula>AND($H44 = 0 * ISNUMBER($H44))</formula>
    </cfRule>
    <cfRule type="expression" dxfId="1169" priority="141">
      <formula>AND($H44 &lt; 0, ISNUMBER($H44))</formula>
    </cfRule>
  </conditionalFormatting>
  <conditionalFormatting sqref="A44:C63 J44:L63">
    <cfRule type="expression" dxfId="1168" priority="136">
      <formula>AND($K44 &gt; 0, ISNUMBER($K44))</formula>
    </cfRule>
    <cfRule type="expression" dxfId="1167" priority="137">
      <formula>AND($K44 = 0 * ISNUMBER($K44))</formula>
    </cfRule>
    <cfRule type="expression" dxfId="1166" priority="138">
      <formula>AND($K44 &lt; 0, ISNUMBER($K44))</formula>
    </cfRule>
  </conditionalFormatting>
  <conditionalFormatting sqref="D42:F43 E64:F64">
    <cfRule type="expression" dxfId="1165" priority="130">
      <formula>$E$64 &gt; 0</formula>
    </cfRule>
    <cfRule type="expression" dxfId="1164" priority="131">
      <formula>$E$64 = 0</formula>
    </cfRule>
    <cfRule type="expression" dxfId="1163" priority="132">
      <formula>$E$64 &lt; 0</formula>
    </cfRule>
  </conditionalFormatting>
  <conditionalFormatting sqref="G42:I43 H64:I64">
    <cfRule type="expression" dxfId="1162" priority="127">
      <formula>$H$64 &gt; 0</formula>
    </cfRule>
    <cfRule type="expression" dxfId="1161" priority="128">
      <formula>$H$64 = 0</formula>
    </cfRule>
    <cfRule type="expression" dxfId="1160" priority="129">
      <formula>$H$64 &lt; 0</formula>
    </cfRule>
  </conditionalFormatting>
  <conditionalFormatting sqref="J42:L43 K64:L64">
    <cfRule type="expression" dxfId="1159" priority="124">
      <formula>$K$64 &gt; 0</formula>
    </cfRule>
    <cfRule type="expression" dxfId="1158" priority="125">
      <formula>$K$64 = 0</formula>
    </cfRule>
    <cfRule type="expression" dxfId="1157" priority="126">
      <formula>$K$64 &lt; 0</formula>
    </cfRule>
  </conditionalFormatting>
  <conditionalFormatting sqref="M42:O43 N64:O64">
    <cfRule type="expression" dxfId="1156" priority="121">
      <formula>$N$64 &gt; 0</formula>
    </cfRule>
    <cfRule type="expression" dxfId="1155" priority="122">
      <formula>$N$64 = 0</formula>
    </cfRule>
    <cfRule type="expression" dxfId="1154" priority="123">
      <formula>$N$64 &lt; 0</formula>
    </cfRule>
  </conditionalFormatting>
  <conditionalFormatting sqref="A71:C90 M71:O90">
    <cfRule type="expression" dxfId="1153" priority="109">
      <formula>AND($N71 &gt; 0, ISNUMBER($N71))</formula>
    </cfRule>
    <cfRule type="expression" dxfId="1152" priority="110">
      <formula>AND($N71 = 0 * ISNUMBER($N71))</formula>
    </cfRule>
    <cfRule type="expression" dxfId="1151" priority="111">
      <formula>AND($N71 &lt; 0, ISNUMBER($N71))</formula>
    </cfRule>
  </conditionalFormatting>
  <conditionalFormatting sqref="A71:F90">
    <cfRule type="expression" dxfId="1150" priority="118">
      <formula>AND($E71 &gt; 0, ISNUMBER($E71))</formula>
    </cfRule>
    <cfRule type="expression" dxfId="1149" priority="119">
      <formula>AND($E71 = 0 * ISNUMBER($E71))</formula>
    </cfRule>
    <cfRule type="expression" dxfId="1148" priority="120">
      <formula>AND($E71 &lt; 0, ISNUMBER($E71))</formula>
    </cfRule>
  </conditionalFormatting>
  <conditionalFormatting sqref="A71:C90 G71:I90">
    <cfRule type="expression" dxfId="1147" priority="115">
      <formula>AND($H71 &gt; 0, ISNUMBER($H71))</formula>
    </cfRule>
    <cfRule type="expression" dxfId="1146" priority="116">
      <formula>AND($H71 = 0 * ISNUMBER($H71))</formula>
    </cfRule>
    <cfRule type="expression" dxfId="1145" priority="117">
      <formula>AND($H71 &lt; 0, ISNUMBER($H71))</formula>
    </cfRule>
  </conditionalFormatting>
  <conditionalFormatting sqref="A71:C90 J71:L90">
    <cfRule type="expression" dxfId="1144" priority="112">
      <formula>AND($K71 &gt; 0, ISNUMBER($K71))</formula>
    </cfRule>
    <cfRule type="expression" dxfId="1143" priority="113">
      <formula>AND($K71 = 0 * ISNUMBER($K71))</formula>
    </cfRule>
    <cfRule type="expression" dxfId="1142" priority="114">
      <formula>AND($K71 &lt; 0, ISNUMBER($K71))</formula>
    </cfRule>
  </conditionalFormatting>
  <conditionalFormatting sqref="D69:F70 E91:F91">
    <cfRule type="expression" dxfId="1141" priority="106">
      <formula>$E$91 &gt; 0</formula>
    </cfRule>
    <cfRule type="expression" dxfId="1140" priority="107">
      <formula>$E$91 = 0</formula>
    </cfRule>
    <cfRule type="expression" dxfId="1139" priority="108">
      <formula>$E$91 &lt; 0</formula>
    </cfRule>
  </conditionalFormatting>
  <conditionalFormatting sqref="G69:I70 H91:I91">
    <cfRule type="expression" dxfId="1138" priority="103">
      <formula>$H$91 &gt; 0</formula>
    </cfRule>
    <cfRule type="expression" dxfId="1137" priority="104">
      <formula>$H$91 = 0</formula>
    </cfRule>
    <cfRule type="expression" dxfId="1136" priority="105">
      <formula>$H$91 &lt; 0</formula>
    </cfRule>
  </conditionalFormatting>
  <conditionalFormatting sqref="J69:L70 K91:L91">
    <cfRule type="expression" dxfId="1135" priority="100">
      <formula>$K$91 &gt; 0</formula>
    </cfRule>
    <cfRule type="expression" dxfId="1134" priority="101">
      <formula>$K$91 = 0</formula>
    </cfRule>
    <cfRule type="expression" dxfId="1133" priority="102">
      <formula>$K$91 &lt; 0</formula>
    </cfRule>
  </conditionalFormatting>
  <conditionalFormatting sqref="M69:O70 N91:O91">
    <cfRule type="expression" dxfId="1132" priority="97">
      <formula>$N$91 &gt; 0</formula>
    </cfRule>
    <cfRule type="expression" dxfId="1131" priority="98">
      <formula>$N$91 = 0</formula>
    </cfRule>
    <cfRule type="expression" dxfId="1130" priority="99">
      <formula>$N$91 &lt; 0</formula>
    </cfRule>
  </conditionalFormatting>
  <conditionalFormatting sqref="A98:C117 M98:O117">
    <cfRule type="expression" dxfId="1129" priority="85">
      <formula>AND($N98 &gt; 0, ISNUMBER($N98))</formula>
    </cfRule>
    <cfRule type="expression" dxfId="1128" priority="86">
      <formula>AND($N98 = 0 * ISNUMBER($N98))</formula>
    </cfRule>
    <cfRule type="expression" dxfId="1127" priority="87">
      <formula>AND($N98 &lt; 0, ISNUMBER($N98))</formula>
    </cfRule>
  </conditionalFormatting>
  <conditionalFormatting sqref="A98:F117">
    <cfRule type="expression" dxfId="1126" priority="94">
      <formula>AND($E98 &gt; 0, ISNUMBER($E98))</formula>
    </cfRule>
    <cfRule type="expression" dxfId="1125" priority="95">
      <formula>AND($E98 = 0 * ISNUMBER($E98))</formula>
    </cfRule>
    <cfRule type="expression" dxfId="1124" priority="96">
      <formula>AND($E98 &lt; 0, ISNUMBER($E98))</formula>
    </cfRule>
  </conditionalFormatting>
  <conditionalFormatting sqref="A98:C117 G98:I117">
    <cfRule type="expression" dxfId="1123" priority="91">
      <formula>AND($H98 &gt; 0, ISNUMBER($H98))</formula>
    </cfRule>
    <cfRule type="expression" dxfId="1122" priority="92">
      <formula>AND($H98 = 0 * ISNUMBER($H98))</formula>
    </cfRule>
    <cfRule type="expression" dxfId="1121" priority="93">
      <formula>AND($H98 &lt; 0, ISNUMBER($H98))</formula>
    </cfRule>
  </conditionalFormatting>
  <conditionalFormatting sqref="A98:C117 J98:L117">
    <cfRule type="expression" dxfId="1120" priority="88">
      <formula>AND($K98 &gt; 0, ISNUMBER($K98))</formula>
    </cfRule>
    <cfRule type="expression" dxfId="1119" priority="89">
      <formula>AND($K98 = 0 * ISNUMBER($K98))</formula>
    </cfRule>
    <cfRule type="expression" dxfId="1118" priority="90">
      <formula>AND($K98 &lt; 0, ISNUMBER($K98))</formula>
    </cfRule>
  </conditionalFormatting>
  <conditionalFormatting sqref="D96:F97 E118:F118">
    <cfRule type="expression" dxfId="1117" priority="82">
      <formula>$E$118 &gt; 0</formula>
    </cfRule>
    <cfRule type="expression" dxfId="1116" priority="83">
      <formula>$E$118 = 0</formula>
    </cfRule>
    <cfRule type="expression" dxfId="1115" priority="84">
      <formula>$E$118 &lt; 0</formula>
    </cfRule>
  </conditionalFormatting>
  <conditionalFormatting sqref="G96:I97 H118:I118">
    <cfRule type="expression" dxfId="1114" priority="79">
      <formula>$H$118 &gt; 0</formula>
    </cfRule>
    <cfRule type="expression" dxfId="1113" priority="80">
      <formula>$H$118 = 0</formula>
    </cfRule>
    <cfRule type="expression" dxfId="1112" priority="81">
      <formula>$H$118 &lt; 0</formula>
    </cfRule>
  </conditionalFormatting>
  <conditionalFormatting sqref="J96:L97 K118:L118">
    <cfRule type="expression" dxfId="1111" priority="76">
      <formula>$K$118 &gt; 0</formula>
    </cfRule>
    <cfRule type="expression" dxfId="1110" priority="77">
      <formula>$K$118 = 0</formula>
    </cfRule>
    <cfRule type="expression" dxfId="1109" priority="78">
      <formula>$K$118 &lt; 0</formula>
    </cfRule>
  </conditionalFormatting>
  <conditionalFormatting sqref="M96:O97 N118:O118">
    <cfRule type="expression" dxfId="1108" priority="73">
      <formula>$N$118 &gt; 0</formula>
    </cfRule>
    <cfRule type="expression" dxfId="1107" priority="74">
      <formula>$N$118 = 0</formula>
    </cfRule>
    <cfRule type="expression" dxfId="1106" priority="75">
      <formula>$N$118 &lt; 0</formula>
    </cfRule>
  </conditionalFormatting>
  <conditionalFormatting sqref="A125:C144 M125:O144">
    <cfRule type="expression" dxfId="1105" priority="61">
      <formula>AND($N125 &gt; 0, ISNUMBER($N125))</formula>
    </cfRule>
    <cfRule type="expression" dxfId="1104" priority="62">
      <formula>AND($N125 = 0 * ISNUMBER($N125))</formula>
    </cfRule>
    <cfRule type="expression" dxfId="1103" priority="63">
      <formula>AND($N125 &lt; 0, ISNUMBER($N125))</formula>
    </cfRule>
  </conditionalFormatting>
  <conditionalFormatting sqref="A125:F144">
    <cfRule type="expression" dxfId="1102" priority="70">
      <formula>AND($E125 &gt; 0, ISNUMBER($E125))</formula>
    </cfRule>
    <cfRule type="expression" dxfId="1101" priority="71">
      <formula>AND($E125 = 0 * ISNUMBER($E125))</formula>
    </cfRule>
    <cfRule type="expression" dxfId="1100" priority="72">
      <formula>AND($E125 &lt; 0, ISNUMBER($E125))</formula>
    </cfRule>
  </conditionalFormatting>
  <conditionalFormatting sqref="A125:C144 G125:I144">
    <cfRule type="expression" dxfId="1099" priority="67">
      <formula>AND($H125 &gt; 0, ISNUMBER($H125))</formula>
    </cfRule>
    <cfRule type="expression" dxfId="1098" priority="68">
      <formula>AND($H125 = 0 * ISNUMBER($H125))</formula>
    </cfRule>
    <cfRule type="expression" dxfId="1097" priority="69">
      <formula>AND($H125 &lt; 0, ISNUMBER($H125))</formula>
    </cfRule>
  </conditionalFormatting>
  <conditionalFormatting sqref="A125:C144 J125:L144">
    <cfRule type="expression" dxfId="1096" priority="64">
      <formula>AND($K125 &gt; 0, ISNUMBER($K125))</formula>
    </cfRule>
    <cfRule type="expression" dxfId="1095" priority="65">
      <formula>AND($K125 = 0 * ISNUMBER($K125))</formula>
    </cfRule>
    <cfRule type="expression" dxfId="1094" priority="66">
      <formula>AND($K125 &lt; 0, ISNUMBER($K125))</formula>
    </cfRule>
  </conditionalFormatting>
  <conditionalFormatting sqref="D123:F124 E145:F145">
    <cfRule type="expression" dxfId="1093" priority="58">
      <formula>$E$145 &gt; 0</formula>
    </cfRule>
    <cfRule type="expression" dxfId="1092" priority="59">
      <formula>$E$145 = 0</formula>
    </cfRule>
    <cfRule type="expression" dxfId="1091" priority="60">
      <formula>$E$145 &lt; 0</formula>
    </cfRule>
  </conditionalFormatting>
  <conditionalFormatting sqref="G123:I124 H145:I145">
    <cfRule type="expression" dxfId="1090" priority="55">
      <formula>$H$145 &gt; 0</formula>
    </cfRule>
    <cfRule type="expression" dxfId="1089" priority="56">
      <formula>$H$145 = 0</formula>
    </cfRule>
    <cfRule type="expression" dxfId="1088" priority="57">
      <formula>$H$145 &lt; 0</formula>
    </cfRule>
  </conditionalFormatting>
  <conditionalFormatting sqref="J123:L124 K145:L145">
    <cfRule type="expression" dxfId="1087" priority="52">
      <formula>$K$145 &gt; 0</formula>
    </cfRule>
    <cfRule type="expression" dxfId="1086" priority="53">
      <formula>$K$145 = 0</formula>
    </cfRule>
    <cfRule type="expression" dxfId="1085" priority="54">
      <formula>$K$145 &lt; 0</formula>
    </cfRule>
  </conditionalFormatting>
  <conditionalFormatting sqref="M123:O124 N145:O145">
    <cfRule type="expression" dxfId="1084" priority="49">
      <formula>$N$145 &gt; 0</formula>
    </cfRule>
    <cfRule type="expression" dxfId="1083" priority="50">
      <formula>$N$145 = 0</formula>
    </cfRule>
    <cfRule type="expression" dxfId="1082" priority="51">
      <formula>$N$145 &lt; 0</formula>
    </cfRule>
  </conditionalFormatting>
  <conditionalFormatting sqref="A152:C171 M152:O171">
    <cfRule type="expression" dxfId="1081" priority="37">
      <formula>AND($N152 &gt; 0, ISNUMBER($N152))</formula>
    </cfRule>
    <cfRule type="expression" dxfId="1080" priority="38">
      <formula>AND($N152 = 0 * ISNUMBER($N152))</formula>
    </cfRule>
    <cfRule type="expression" dxfId="1079" priority="39">
      <formula>AND($N152 &lt; 0, ISNUMBER($N152))</formula>
    </cfRule>
  </conditionalFormatting>
  <conditionalFormatting sqref="A152:F171">
    <cfRule type="expression" dxfId="1078" priority="46">
      <formula>AND($E152 &gt; 0, ISNUMBER($E152))</formula>
    </cfRule>
    <cfRule type="expression" dxfId="1077" priority="47">
      <formula>AND($E152 = 0 * ISNUMBER($E152))</formula>
    </cfRule>
    <cfRule type="expression" dxfId="1076" priority="48">
      <formula>AND($E152 &lt; 0, ISNUMBER($E152))</formula>
    </cfRule>
  </conditionalFormatting>
  <conditionalFormatting sqref="A152:C171 G152:I171">
    <cfRule type="expression" dxfId="1075" priority="43">
      <formula>AND($H152 &gt; 0, ISNUMBER($H152))</formula>
    </cfRule>
    <cfRule type="expression" dxfId="1074" priority="44">
      <formula>AND($H152 = 0 * ISNUMBER($H152))</formula>
    </cfRule>
    <cfRule type="expression" dxfId="1073" priority="45">
      <formula>AND($H152 &lt; 0, ISNUMBER($H152))</formula>
    </cfRule>
  </conditionalFormatting>
  <conditionalFormatting sqref="A152:C171 J152:L171">
    <cfRule type="expression" dxfId="1072" priority="40">
      <formula>AND($K152 &gt; 0, ISNUMBER($K152))</formula>
    </cfRule>
    <cfRule type="expression" dxfId="1071" priority="41">
      <formula>AND($K152 = 0 * ISNUMBER($K152))</formula>
    </cfRule>
    <cfRule type="expression" dxfId="1070" priority="42">
      <formula>AND($K152 &lt; 0, ISNUMBER($K152))</formula>
    </cfRule>
  </conditionalFormatting>
  <conditionalFormatting sqref="D150:F151 E172:F172">
    <cfRule type="expression" dxfId="1069" priority="34">
      <formula>$E$172 &gt; 0</formula>
    </cfRule>
    <cfRule type="expression" dxfId="1068" priority="35">
      <formula>$E$172 = 0</formula>
    </cfRule>
    <cfRule type="expression" dxfId="1067" priority="36">
      <formula>$E$172 &lt; 0</formula>
    </cfRule>
  </conditionalFormatting>
  <conditionalFormatting sqref="G150:I151 H172:I172">
    <cfRule type="expression" dxfId="1066" priority="31">
      <formula>$H$172 &gt; 0</formula>
    </cfRule>
    <cfRule type="expression" dxfId="1065" priority="32">
      <formula>$H$172 = 0</formula>
    </cfRule>
    <cfRule type="expression" dxfId="1064" priority="33">
      <formula>$H$172 &lt; 0</formula>
    </cfRule>
  </conditionalFormatting>
  <conditionalFormatting sqref="J150:L151 K172:L172">
    <cfRule type="expression" dxfId="1063" priority="28">
      <formula>$K$172 &gt; 0</formula>
    </cfRule>
    <cfRule type="expression" dxfId="1062" priority="29">
      <formula>$K$172 = 0</formula>
    </cfRule>
    <cfRule type="expression" dxfId="1061" priority="30">
      <formula>$K$172 &lt; 0</formula>
    </cfRule>
  </conditionalFormatting>
  <conditionalFormatting sqref="M150:O151 N172:O172">
    <cfRule type="expression" dxfId="1060" priority="25">
      <formula>$N$172 &gt; 0</formula>
    </cfRule>
    <cfRule type="expression" dxfId="1059" priority="26">
      <formula>$N$172 = 0</formula>
    </cfRule>
    <cfRule type="expression" dxfId="1058" priority="27">
      <formula>$N$172 &lt; 0</formula>
    </cfRule>
  </conditionalFormatting>
  <conditionalFormatting sqref="A179:C198 M179:O198">
    <cfRule type="expression" dxfId="1057" priority="13">
      <formula>AND($N179 &gt; 0, ISNUMBER($N179))</formula>
    </cfRule>
    <cfRule type="expression" dxfId="1056" priority="14">
      <formula>AND($N179 = 0 * ISNUMBER($N179))</formula>
    </cfRule>
    <cfRule type="expression" dxfId="1055" priority="15">
      <formula>AND($N179 &lt; 0, ISNUMBER($N179))</formula>
    </cfRule>
  </conditionalFormatting>
  <conditionalFormatting sqref="A179:F198">
    <cfRule type="expression" dxfId="1054" priority="22">
      <formula>AND($E179 &gt; 0, ISNUMBER($E179))</formula>
    </cfRule>
    <cfRule type="expression" dxfId="1053" priority="23">
      <formula>AND($E179 = 0 * ISNUMBER($E179))</formula>
    </cfRule>
    <cfRule type="expression" dxfId="1052" priority="24">
      <formula>AND($E179 &lt; 0, ISNUMBER($E179))</formula>
    </cfRule>
  </conditionalFormatting>
  <conditionalFormatting sqref="A179:C198 G179:I198">
    <cfRule type="expression" dxfId="1051" priority="19">
      <formula>AND($H179 &gt; 0, ISNUMBER($H179))</formula>
    </cfRule>
    <cfRule type="expression" dxfId="1050" priority="20">
      <formula>AND($H179 = 0 * ISNUMBER($H179))</formula>
    </cfRule>
    <cfRule type="expression" dxfId="1049" priority="21">
      <formula>AND($H179 &lt; 0, ISNUMBER($H179))</formula>
    </cfRule>
  </conditionalFormatting>
  <conditionalFormatting sqref="A179:C198 J179:L198">
    <cfRule type="expression" dxfId="1048" priority="16">
      <formula>AND($K179 &gt; 0, ISNUMBER($K179))</formula>
    </cfRule>
    <cfRule type="expression" dxfId="1047" priority="17">
      <formula>AND($K179 = 0 * ISNUMBER($K179))</formula>
    </cfRule>
    <cfRule type="expression" dxfId="1046" priority="18">
      <formula>AND($K179 &lt; 0, ISNUMBER($K179))</formula>
    </cfRule>
  </conditionalFormatting>
  <conditionalFormatting sqref="D177:F178 E199:F199">
    <cfRule type="expression" dxfId="1045" priority="10">
      <formula>$E$199 &gt; 0</formula>
    </cfRule>
    <cfRule type="expression" dxfId="1044" priority="11">
      <formula>$E$199 = 0</formula>
    </cfRule>
    <cfRule type="expression" dxfId="1043" priority="12">
      <formula>$E$199 &lt; 0</formula>
    </cfRule>
  </conditionalFormatting>
  <conditionalFormatting sqref="G177:I178 H199:I199">
    <cfRule type="expression" dxfId="1042" priority="7">
      <formula>$H$199 &gt; 0</formula>
    </cfRule>
    <cfRule type="expression" dxfId="1041" priority="8">
      <formula>$H$199 = 0</formula>
    </cfRule>
    <cfRule type="expression" dxfId="1040" priority="9">
      <formula>$H$199 &lt; 0</formula>
    </cfRule>
  </conditionalFormatting>
  <conditionalFormatting sqref="J177:L178 K199:L199">
    <cfRule type="expression" dxfId="1039" priority="4">
      <formula>$K$199 &gt; 0</formula>
    </cfRule>
    <cfRule type="expression" dxfId="1038" priority="5">
      <formula>$K$199 = 0</formula>
    </cfRule>
    <cfRule type="expression" dxfId="1037" priority="6">
      <formula>$K$199 &lt; 0</formula>
    </cfRule>
  </conditionalFormatting>
  <conditionalFormatting sqref="M177:O178 N199:O199">
    <cfRule type="expression" dxfId="1036" priority="1">
      <formula>$N$199 &gt; 0</formula>
    </cfRule>
    <cfRule type="expression" dxfId="1035" priority="2">
      <formula>$N$199 = 0</formula>
    </cfRule>
    <cfRule type="expression" dxfId="10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9" t="s">
        <v>0</v>
      </c>
      <c r="B1" s="140"/>
      <c r="C1" s="140"/>
      <c r="D1" s="140"/>
      <c r="E1" s="140"/>
      <c r="F1" s="141"/>
      <c r="G1" s="169">
        <v>44287</v>
      </c>
      <c r="H1" s="170"/>
      <c r="I1" s="171"/>
      <c r="J1" s="139" t="s">
        <v>1</v>
      </c>
      <c r="K1" s="140"/>
      <c r="L1" s="140"/>
      <c r="M1" s="140"/>
      <c r="N1" s="140"/>
      <c r="O1" s="141"/>
      <c r="Q1" s="139" t="s">
        <v>2</v>
      </c>
      <c r="R1" s="141"/>
    </row>
    <row r="2" spans="1:19" ht="17.25" customHeight="1">
      <c r="A2" s="1" t="s">
        <v>3</v>
      </c>
      <c r="B2" s="166" t="s">
        <v>4</v>
      </c>
      <c r="C2" s="167"/>
      <c r="D2" s="167"/>
      <c r="E2" s="167"/>
      <c r="F2" s="168"/>
      <c r="G2" s="163" t="s">
        <v>46</v>
      </c>
      <c r="H2" s="164"/>
      <c r="I2" s="165"/>
      <c r="J2" s="1" t="s">
        <v>3</v>
      </c>
      <c r="K2" s="166" t="s">
        <v>5</v>
      </c>
      <c r="L2" s="167"/>
      <c r="M2" s="167"/>
      <c r="N2" s="167"/>
      <c r="O2" s="168"/>
      <c r="Q2" s="2" t="s">
        <v>6</v>
      </c>
      <c r="R2" s="3">
        <v>0.375</v>
      </c>
    </row>
    <row r="3" spans="1:19" ht="17.25" customHeight="1" thickBot="1">
      <c r="A3" s="4" t="s">
        <v>7</v>
      </c>
      <c r="B3" s="160" t="s">
        <v>8</v>
      </c>
      <c r="C3" s="161"/>
      <c r="D3" s="161"/>
      <c r="E3" s="161"/>
      <c r="F3" s="162"/>
      <c r="G3" s="15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58"/>
      <c r="I3" s="159"/>
      <c r="J3" s="4" t="s">
        <v>7</v>
      </c>
      <c r="K3" s="160" t="s">
        <v>9</v>
      </c>
      <c r="L3" s="161"/>
      <c r="M3" s="161"/>
      <c r="N3" s="161"/>
      <c r="O3" s="16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60" t="s">
        <v>12</v>
      </c>
      <c r="C4" s="161"/>
      <c r="D4" s="161"/>
      <c r="E4" s="161"/>
      <c r="F4" s="162"/>
      <c r="G4" s="163" t="s">
        <v>44</v>
      </c>
      <c r="H4" s="164"/>
      <c r="I4" s="165"/>
      <c r="J4" s="4" t="s">
        <v>11</v>
      </c>
      <c r="K4" s="160" t="s">
        <v>13</v>
      </c>
      <c r="L4" s="161"/>
      <c r="M4" s="161"/>
      <c r="N4" s="161"/>
      <c r="O4" s="162"/>
      <c r="Q4" s="66" t="s">
        <v>14</v>
      </c>
      <c r="R4" s="5">
        <v>0.95833333333333337</v>
      </c>
    </row>
    <row r="5" spans="1:19" ht="17.25" customHeight="1" thickBot="1">
      <c r="A5" s="4" t="s">
        <v>15</v>
      </c>
      <c r="B5" s="160" t="s">
        <v>16</v>
      </c>
      <c r="C5" s="161"/>
      <c r="D5" s="161"/>
      <c r="E5" s="161"/>
      <c r="F5" s="162"/>
      <c r="G5" s="15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58"/>
      <c r="I5" s="159"/>
      <c r="J5" s="4" t="s">
        <v>15</v>
      </c>
      <c r="K5" s="160" t="s">
        <v>17</v>
      </c>
      <c r="L5" s="161"/>
      <c r="M5" s="161"/>
      <c r="N5" s="161"/>
      <c r="O5" s="162"/>
    </row>
    <row r="6" spans="1:19">
      <c r="A6" s="4" t="s">
        <v>18</v>
      </c>
      <c r="B6" s="160" t="s">
        <v>19</v>
      </c>
      <c r="C6" s="161"/>
      <c r="D6" s="161"/>
      <c r="E6" s="161"/>
      <c r="F6" s="162"/>
      <c r="G6" s="163" t="s">
        <v>45</v>
      </c>
      <c r="H6" s="164"/>
      <c r="I6" s="165"/>
      <c r="J6" s="4" t="s">
        <v>18</v>
      </c>
      <c r="K6" s="160" t="s">
        <v>20</v>
      </c>
      <c r="L6" s="161"/>
      <c r="M6" s="161"/>
      <c r="N6" s="161"/>
      <c r="O6" s="162"/>
    </row>
    <row r="7" spans="1:19" ht="17.25" thickBot="1">
      <c r="A7" s="4" t="s">
        <v>21</v>
      </c>
      <c r="B7" s="160" t="s">
        <v>22</v>
      </c>
      <c r="C7" s="161"/>
      <c r="D7" s="161"/>
      <c r="E7" s="161"/>
      <c r="F7" s="162"/>
      <c r="G7" s="15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58"/>
      <c r="I7" s="159"/>
      <c r="J7" s="4" t="s">
        <v>21</v>
      </c>
      <c r="K7" s="160" t="s">
        <v>23</v>
      </c>
      <c r="L7" s="161"/>
      <c r="M7" s="161"/>
      <c r="N7" s="161"/>
      <c r="O7" s="162"/>
    </row>
    <row r="8" spans="1:19" ht="17.25" thickBot="1">
      <c r="A8" s="4" t="s">
        <v>24</v>
      </c>
      <c r="B8" s="160" t="s">
        <v>25</v>
      </c>
      <c r="C8" s="161"/>
      <c r="D8" s="161"/>
      <c r="E8" s="161"/>
      <c r="F8" s="162"/>
      <c r="G8" s="163" t="s">
        <v>285</v>
      </c>
      <c r="H8" s="164"/>
      <c r="I8" s="165"/>
      <c r="J8" s="4" t="s">
        <v>24</v>
      </c>
      <c r="K8" s="160" t="s">
        <v>26</v>
      </c>
      <c r="L8" s="161"/>
      <c r="M8" s="161"/>
      <c r="N8" s="161"/>
      <c r="O8" s="162"/>
      <c r="Q8" s="139" t="s">
        <v>27</v>
      </c>
      <c r="R8" s="141"/>
    </row>
    <row r="9" spans="1:19" ht="17.25" thickBot="1">
      <c r="A9" s="4" t="s">
        <v>28</v>
      </c>
      <c r="B9" s="160"/>
      <c r="C9" s="161"/>
      <c r="D9" s="161"/>
      <c r="E9" s="161"/>
      <c r="F9" s="162"/>
      <c r="G9" s="15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58"/>
      <c r="I9" s="159"/>
      <c r="J9" s="4" t="s">
        <v>28</v>
      </c>
      <c r="K9" s="160" t="s">
        <v>293</v>
      </c>
      <c r="L9" s="161"/>
      <c r="M9" s="161"/>
      <c r="N9" s="161"/>
      <c r="O9" s="162"/>
      <c r="Q9" s="2" t="s">
        <v>29</v>
      </c>
      <c r="R9" s="6">
        <v>10</v>
      </c>
    </row>
    <row r="10" spans="1:19">
      <c r="A10" s="4" t="s">
        <v>30</v>
      </c>
      <c r="B10" s="160"/>
      <c r="C10" s="161"/>
      <c r="D10" s="161"/>
      <c r="E10" s="161"/>
      <c r="F10" s="162"/>
      <c r="G10" s="163" t="s">
        <v>47</v>
      </c>
      <c r="H10" s="164"/>
      <c r="I10" s="165"/>
      <c r="J10" s="4" t="s">
        <v>30</v>
      </c>
      <c r="K10" s="160"/>
      <c r="L10" s="161"/>
      <c r="M10" s="161"/>
      <c r="N10" s="161"/>
      <c r="O10" s="162"/>
      <c r="Q10" s="2" t="s">
        <v>31</v>
      </c>
      <c r="R10" s="6">
        <v>100</v>
      </c>
    </row>
    <row r="11" spans="1:19" ht="17.25" thickBot="1">
      <c r="A11" s="7" t="s">
        <v>32</v>
      </c>
      <c r="B11" s="154"/>
      <c r="C11" s="155"/>
      <c r="D11" s="155"/>
      <c r="E11" s="155"/>
      <c r="F11" s="156"/>
      <c r="G11" s="15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8"/>
      <c r="I11" s="159"/>
      <c r="J11" s="7" t="s">
        <v>32</v>
      </c>
      <c r="K11" s="154"/>
      <c r="L11" s="155"/>
      <c r="M11" s="155"/>
      <c r="N11" s="155"/>
      <c r="O11" s="156"/>
      <c r="Q11" s="66" t="s">
        <v>33</v>
      </c>
      <c r="R11" s="8">
        <v>1000</v>
      </c>
    </row>
    <row r="12" spans="1:19" ht="17.25" thickBot="1"/>
    <row r="13" spans="1:19" ht="17.25" customHeight="1" thickBot="1">
      <c r="A13" s="139" t="s">
        <v>34</v>
      </c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1"/>
      <c r="Q13" s="138"/>
      <c r="R13" s="138"/>
      <c r="S13" s="138"/>
    </row>
    <row r="14" spans="1:19" ht="17.25" customHeight="1" thickBot="1">
      <c r="A14" s="61" t="s">
        <v>35</v>
      </c>
      <c r="B14" s="139" t="s">
        <v>36</v>
      </c>
      <c r="C14" s="141"/>
      <c r="D14" s="139" t="s">
        <v>37</v>
      </c>
      <c r="E14" s="140"/>
      <c r="F14" s="141"/>
      <c r="G14" s="142">
        <f>_xlfn.IFNA(VLOOKUP(B14, 현재가테이블!$B$2:$D$200, 2, FALSE), "-")</f>
        <v>68103000</v>
      </c>
      <c r="H14" s="143"/>
      <c r="I14" s="144"/>
      <c r="J14" s="139" t="s">
        <v>38</v>
      </c>
      <c r="K14" s="140"/>
      <c r="L14" s="141"/>
      <c r="M14" s="145">
        <f>_xlfn.IFNA(VLOOKUP(B14, 현재가테이블!$B$2:$D$200, 3, FALSE), "-")</f>
        <v>-1.37004156E-2</v>
      </c>
      <c r="N14" s="146"/>
      <c r="O14" s="147"/>
      <c r="Q14" s="138"/>
      <c r="R14" s="138"/>
      <c r="S14" s="138"/>
    </row>
    <row r="15" spans="1:19" ht="17.25" customHeight="1" thickBot="1">
      <c r="A15" s="148" t="s">
        <v>39</v>
      </c>
      <c r="B15" s="149" t="str">
        <f>TEXT($G$1, "[$-ko-KR]yyyy-mm-dd(ddd) ") &amp; "오전 00:00"</f>
        <v>2021-04-01(목) 오전 00:00</v>
      </c>
      <c r="C15" s="150"/>
      <c r="D15" s="151" t="str">
        <f>TEXT($G$1, "[$-ko-KR]yyyy-mm-dd(ddd) ") &amp; "오후 14:00"</f>
        <v>2021-04-01(목) 오후 14:00</v>
      </c>
      <c r="E15" s="152"/>
      <c r="F15" s="153"/>
      <c r="G15" s="151" t="str">
        <f>TEXT($G$1, "[$-ko-KR]yyyy-mm-dd(ddd) ") &amp; "오후 19:00"</f>
        <v>2021-04-01(목) 오후 19:00</v>
      </c>
      <c r="H15" s="152"/>
      <c r="I15" s="153"/>
      <c r="J15" s="151" t="str">
        <f>TEXT($G$1, "[$-ko-KR]yyyy-mm-dd(ddd) ") &amp; "오후 21:00"</f>
        <v>2021-04-01(목) 오후 21:00</v>
      </c>
      <c r="K15" s="152"/>
      <c r="L15" s="153"/>
      <c r="M15" s="151" t="str">
        <f>TEXT($G$1+1, "[$-ko-KR]yyyy-mm-dd(ddd) ") &amp; "오전 00:00"</f>
        <v>2021-04-02(금) 오전 00:00</v>
      </c>
      <c r="N15" s="152"/>
      <c r="O15" s="153"/>
      <c r="Q15" s="138"/>
      <c r="R15" s="138"/>
      <c r="S15" s="138"/>
    </row>
    <row r="16" spans="1:19" ht="17.25" customHeight="1" thickBot="1">
      <c r="A16" s="148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62" t="s">
        <v>37</v>
      </c>
      <c r="H16" s="63" t="s">
        <v>40</v>
      </c>
      <c r="I16" s="64" t="s">
        <v>41</v>
      </c>
      <c r="J16" s="10" t="s">
        <v>37</v>
      </c>
      <c r="K16" s="10" t="s">
        <v>40</v>
      </c>
      <c r="L16" s="65" t="s">
        <v>41</v>
      </c>
      <c r="M16" s="2" t="s">
        <v>37</v>
      </c>
      <c r="N16" s="10" t="s">
        <v>40</v>
      </c>
      <c r="O16" s="67" t="s">
        <v>41</v>
      </c>
      <c r="Q16" s="117"/>
      <c r="R16" s="117"/>
      <c r="S16" s="117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1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38"/>
      <c r="R17" s="138"/>
      <c r="S17" s="13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2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38"/>
      <c r="R18" s="138"/>
      <c r="S18" s="13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2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17"/>
      <c r="R19" s="117"/>
      <c r="S19" s="117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2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17"/>
      <c r="R20" s="117"/>
      <c r="S20" s="117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6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17"/>
      <c r="R21" s="117"/>
      <c r="S21" s="117"/>
    </row>
    <row r="22" spans="1:19" ht="17.25" customHeight="1" thickBot="1">
      <c r="A22" s="17"/>
      <c r="B22" s="107" t="str">
        <f t="shared" si="0"/>
        <v/>
      </c>
      <c r="C22" s="108" t="str">
        <f t="shared" si="1"/>
        <v/>
      </c>
      <c r="D22" s="107" t="str">
        <f t="shared" si="2"/>
        <v/>
      </c>
      <c r="E22" s="108" t="str">
        <f t="shared" si="3"/>
        <v/>
      </c>
      <c r="F22" s="109" t="str">
        <f t="shared" si="4"/>
        <v/>
      </c>
      <c r="G22" s="110" t="str">
        <f t="shared" si="5"/>
        <v/>
      </c>
      <c r="H22" s="108" t="str">
        <f t="shared" si="6"/>
        <v/>
      </c>
      <c r="I22" s="111" t="str">
        <f t="shared" si="7"/>
        <v/>
      </c>
      <c r="J22" s="107" t="str">
        <f t="shared" si="8"/>
        <v/>
      </c>
      <c r="K22" s="108" t="str">
        <f t="shared" si="9"/>
        <v/>
      </c>
      <c r="L22" s="109" t="str">
        <f t="shared" si="10"/>
        <v/>
      </c>
      <c r="M22" s="110" t="str">
        <f t="shared" si="11"/>
        <v/>
      </c>
      <c r="N22" s="108" t="str">
        <f t="shared" si="12"/>
        <v/>
      </c>
      <c r="O22" s="109" t="str">
        <f t="shared" si="13"/>
        <v/>
      </c>
      <c r="Q22" s="117"/>
      <c r="R22" s="117"/>
      <c r="S22" s="11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2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17"/>
      <c r="R23" s="117"/>
      <c r="S23" s="11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2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17"/>
      <c r="R24" s="117"/>
      <c r="S24" s="11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2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5" t="str">
        <f t="shared" si="4"/>
        <v/>
      </c>
      <c r="G26" s="103" t="str">
        <f t="shared" si="5"/>
        <v/>
      </c>
      <c r="H26" s="25" t="str">
        <f t="shared" si="6"/>
        <v/>
      </c>
      <c r="I26" s="104" t="str">
        <f t="shared" si="7"/>
        <v/>
      </c>
      <c r="J26" s="24" t="str">
        <f t="shared" si="8"/>
        <v/>
      </c>
      <c r="K26" s="25" t="str">
        <f t="shared" si="9"/>
        <v/>
      </c>
      <c r="L26" s="105" t="str">
        <f t="shared" si="10"/>
        <v/>
      </c>
      <c r="M26" s="103" t="str">
        <f t="shared" si="11"/>
        <v/>
      </c>
      <c r="N26" s="25" t="str">
        <f t="shared" si="12"/>
        <v/>
      </c>
      <c r="O26" s="105" t="str">
        <f t="shared" si="13"/>
        <v/>
      </c>
      <c r="Q26" s="129"/>
      <c r="R26" s="130"/>
      <c r="S26" s="13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1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32"/>
      <c r="R27" s="133"/>
      <c r="S27" s="13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2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35"/>
      <c r="R28" s="136"/>
      <c r="S28" s="13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2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17"/>
      <c r="R29" s="117"/>
      <c r="S29" s="11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2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38"/>
      <c r="R30" s="138"/>
      <c r="S30" s="13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6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38"/>
      <c r="R31" s="138"/>
      <c r="S31" s="138"/>
    </row>
    <row r="32" spans="1:19" ht="17.25" customHeight="1" thickBot="1">
      <c r="A32" s="17"/>
      <c r="B32" s="107" t="str">
        <f t="shared" si="0"/>
        <v/>
      </c>
      <c r="C32" s="108" t="str">
        <f t="shared" si="1"/>
        <v/>
      </c>
      <c r="D32" s="107" t="str">
        <f t="shared" si="2"/>
        <v/>
      </c>
      <c r="E32" s="108" t="str">
        <f t="shared" si="3"/>
        <v/>
      </c>
      <c r="F32" s="109" t="str">
        <f t="shared" si="4"/>
        <v/>
      </c>
      <c r="G32" s="110" t="str">
        <f t="shared" si="5"/>
        <v/>
      </c>
      <c r="H32" s="108" t="str">
        <f t="shared" si="6"/>
        <v/>
      </c>
      <c r="I32" s="111" t="str">
        <f t="shared" si="7"/>
        <v/>
      </c>
      <c r="J32" s="107" t="str">
        <f t="shared" si="8"/>
        <v/>
      </c>
      <c r="K32" s="108" t="str">
        <f t="shared" si="9"/>
        <v/>
      </c>
      <c r="L32" s="109" t="str">
        <f t="shared" si="10"/>
        <v/>
      </c>
      <c r="M32" s="110" t="str">
        <f t="shared" si="11"/>
        <v/>
      </c>
      <c r="N32" s="108" t="str">
        <f t="shared" si="12"/>
        <v/>
      </c>
      <c r="O32" s="109" t="str">
        <f t="shared" si="13"/>
        <v/>
      </c>
      <c r="Q32" s="117"/>
      <c r="R32" s="117"/>
      <c r="S32" s="11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2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17"/>
      <c r="R33" s="117"/>
      <c r="S33" s="11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2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17"/>
      <c r="R34" s="117"/>
      <c r="S34" s="11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2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18"/>
      <c r="R35" s="119"/>
      <c r="S35" s="120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5" t="str">
        <f t="shared" si="4"/>
        <v/>
      </c>
      <c r="G36" s="103" t="str">
        <f t="shared" si="5"/>
        <v/>
      </c>
      <c r="H36" s="25" t="str">
        <f t="shared" si="6"/>
        <v/>
      </c>
      <c r="I36" s="104" t="str">
        <f t="shared" si="7"/>
        <v/>
      </c>
      <c r="J36" s="24" t="str">
        <f t="shared" si="8"/>
        <v/>
      </c>
      <c r="K36" s="25" t="str">
        <f t="shared" si="9"/>
        <v/>
      </c>
      <c r="L36" s="105" t="str">
        <f t="shared" si="10"/>
        <v/>
      </c>
      <c r="M36" s="103" t="str">
        <f t="shared" si="11"/>
        <v/>
      </c>
      <c r="N36" s="25" t="str">
        <f t="shared" si="12"/>
        <v/>
      </c>
      <c r="O36" s="105" t="str">
        <f t="shared" si="13"/>
        <v/>
      </c>
      <c r="Q36" s="121"/>
      <c r="R36" s="122"/>
      <c r="S36" s="123"/>
    </row>
    <row r="37" spans="1:19" ht="17.25" customHeight="1" thickBot="1">
      <c r="A37" s="26" t="s">
        <v>42</v>
      </c>
      <c r="B37" s="127">
        <v>300000</v>
      </c>
      <c r="C37" s="128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24"/>
      <c r="R37" s="125"/>
      <c r="S37" s="126"/>
    </row>
    <row r="38" spans="1:19" ht="17.25" customHeight="1"/>
    <row r="39" spans="1:19" ht="17.25" customHeight="1" thickBot="1"/>
    <row r="40" spans="1:19" ht="17.25" customHeight="1" thickBot="1">
      <c r="A40" s="139" t="s">
        <v>44</v>
      </c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1"/>
      <c r="Q40" s="138"/>
      <c r="R40" s="138"/>
      <c r="S40" s="138"/>
    </row>
    <row r="41" spans="1:19" ht="17.25" customHeight="1" thickBot="1">
      <c r="A41" s="112" t="s">
        <v>298</v>
      </c>
      <c r="B41" s="139" t="s">
        <v>49</v>
      </c>
      <c r="C41" s="141"/>
      <c r="D41" s="139" t="s">
        <v>58</v>
      </c>
      <c r="E41" s="140"/>
      <c r="F41" s="141"/>
      <c r="G41" s="142">
        <f>_xlfn.IFNA(VLOOKUP(B41, 현재가테이블!$B$2:$D$200, 2, FALSE), "-")</f>
        <v>68103000</v>
      </c>
      <c r="H41" s="143"/>
      <c r="I41" s="144"/>
      <c r="J41" s="139" t="s">
        <v>59</v>
      </c>
      <c r="K41" s="140"/>
      <c r="L41" s="141"/>
      <c r="M41" s="145">
        <f>_xlfn.IFNA(VLOOKUP(B41, 현재가테이블!$B$2:$D$200, 3, FALSE), "-")</f>
        <v>-1.37004156E-2</v>
      </c>
      <c r="N41" s="146"/>
      <c r="O41" s="147"/>
      <c r="Q41" s="138"/>
      <c r="R41" s="138"/>
      <c r="S41" s="138"/>
    </row>
    <row r="42" spans="1:19" ht="17.25" customHeight="1" thickBot="1">
      <c r="A42" s="187" t="s">
        <v>55</v>
      </c>
      <c r="B42" s="189" t="str">
        <f>TEXT($G$1, "[$-ko-KR]yyyy-mm-dd(ddd) ") &amp; "오전 00:00"</f>
        <v>2021-04-01(목) 오전 00:00</v>
      </c>
      <c r="C42" s="190"/>
      <c r="D42" s="151" t="str">
        <f>TEXT($G$1, "[$-ko-KR]yyyy-mm-dd(ddd) ") &amp; "오후 14:00"</f>
        <v>2021-04-01(목) 오후 14:00</v>
      </c>
      <c r="E42" s="152"/>
      <c r="F42" s="153"/>
      <c r="G42" s="151" t="str">
        <f>TEXT($G$1, "[$-ko-KR]yyyy-mm-dd(ddd) ") &amp; "오후 19:00"</f>
        <v>2021-04-01(목) 오후 19:00</v>
      </c>
      <c r="H42" s="152"/>
      <c r="I42" s="153"/>
      <c r="J42" s="151" t="str">
        <f>TEXT($G$1, "[$-ko-KR]yyyy-mm-dd(ddd) ") &amp; "오후 21:00"</f>
        <v>2021-04-01(목) 오후 21:00</v>
      </c>
      <c r="K42" s="152"/>
      <c r="L42" s="153"/>
      <c r="M42" s="151" t="str">
        <f>TEXT($G$1+1, "[$-ko-KR]yyyy-mm-dd(ddd) ") &amp; "오전 00:00"</f>
        <v>2021-04-02(금) 오전 00:00</v>
      </c>
      <c r="N42" s="152"/>
      <c r="O42" s="153"/>
      <c r="Q42" s="138"/>
      <c r="R42" s="138"/>
      <c r="S42" s="138"/>
    </row>
    <row r="43" spans="1:19" ht="17.25" customHeight="1" thickBot="1">
      <c r="A43" s="188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6" t="s">
        <v>300</v>
      </c>
      <c r="M43" s="2" t="s">
        <v>58</v>
      </c>
      <c r="N43" s="10" t="s">
        <v>299</v>
      </c>
      <c r="O43" s="67" t="s">
        <v>300</v>
      </c>
      <c r="Q43" s="117"/>
      <c r="R43" s="117"/>
      <c r="S43" s="117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1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38"/>
      <c r="R44" s="138"/>
      <c r="S44" s="13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2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38"/>
      <c r="R45" s="138"/>
      <c r="S45" s="13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2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17"/>
      <c r="R46" s="117"/>
      <c r="S46" s="117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2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17"/>
      <c r="R47" s="117"/>
      <c r="S47" s="117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6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17"/>
      <c r="R48" s="117"/>
      <c r="S48" s="117"/>
    </row>
    <row r="49" spans="1:19" ht="17.25" customHeight="1" thickBot="1">
      <c r="A49" s="17"/>
      <c r="B49" s="107"/>
      <c r="C49" s="108"/>
      <c r="D49" s="107"/>
      <c r="E49" s="108" t="str">
        <f>IF(ISNUMBER(D49), (D49 - $B49) / $B49, "")</f>
        <v/>
      </c>
      <c r="F49" s="109" t="str">
        <f>IF(ISNUMBER(D49), $B64 * E49, "")</f>
        <v/>
      </c>
      <c r="G49" s="110"/>
      <c r="H49" s="108" t="str">
        <f>IF(ISNUMBER(G49), (G49 - $B49) / $B49, "")</f>
        <v/>
      </c>
      <c r="I49" s="111" t="str">
        <f>IF(ISNUMBER(G49), $B64 * H49, "")</f>
        <v/>
      </c>
      <c r="J49" s="107"/>
      <c r="K49" s="108" t="str">
        <f>IF(ISNUMBER(J49), (J49 - $B49) / $B49, "")</f>
        <v/>
      </c>
      <c r="L49" s="109" t="str">
        <f>IF(ISNUMBER(J49), $B64 * K49, "")</f>
        <v/>
      </c>
      <c r="M49" s="110"/>
      <c r="N49" s="108" t="str">
        <f>IF(ISNUMBER(M49), (M49 - $B49) / $B49, "")</f>
        <v/>
      </c>
      <c r="O49" s="109" t="str">
        <f>IF(ISNUMBER(M49), $B64 * N49, "")</f>
        <v/>
      </c>
      <c r="Q49" s="117"/>
      <c r="R49" s="117"/>
      <c r="S49" s="117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2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17"/>
      <c r="R50" s="117"/>
      <c r="S50" s="117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2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17"/>
      <c r="R51" s="117"/>
      <c r="S51" s="117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2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5" t="str">
        <f>IF(ISNUMBER(D53), $B64 * E53, "")</f>
        <v/>
      </c>
      <c r="G53" s="103"/>
      <c r="H53" s="25" t="str">
        <f t="shared" si="19"/>
        <v/>
      </c>
      <c r="I53" s="104" t="str">
        <f>IF(ISNUMBER(G53), $B64 * H53, "")</f>
        <v/>
      </c>
      <c r="J53" s="24"/>
      <c r="K53" s="25" t="str">
        <f t="shared" si="20"/>
        <v/>
      </c>
      <c r="L53" s="105" t="str">
        <f>IF(ISNUMBER(J53), $B64 * K53, "")</f>
        <v/>
      </c>
      <c r="M53" s="103"/>
      <c r="N53" s="25" t="str">
        <f t="shared" si="21"/>
        <v/>
      </c>
      <c r="O53" s="105" t="str">
        <f>IF(ISNUMBER(M53), $B64 * N53, "")</f>
        <v/>
      </c>
      <c r="Q53" s="129"/>
      <c r="R53" s="130"/>
      <c r="S53" s="131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1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32"/>
      <c r="R54" s="133"/>
      <c r="S54" s="134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2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35"/>
      <c r="R55" s="136"/>
      <c r="S55" s="137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2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17"/>
      <c r="R56" s="117"/>
      <c r="S56" s="117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2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38"/>
      <c r="R57" s="138"/>
      <c r="S57" s="13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6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38"/>
      <c r="R58" s="138"/>
      <c r="S58" s="138"/>
    </row>
    <row r="59" spans="1:19" ht="17.25" customHeight="1" thickBot="1">
      <c r="A59" s="17"/>
      <c r="B59" s="107"/>
      <c r="C59" s="108"/>
      <c r="D59" s="107"/>
      <c r="E59" s="108" t="str">
        <f>IF(ISNUMBER(D59), (D59 - $B59) / $B59, "")</f>
        <v/>
      </c>
      <c r="F59" s="109" t="str">
        <f>IF(ISNUMBER(D59), $B64 * E59, "")</f>
        <v/>
      </c>
      <c r="G59" s="110"/>
      <c r="H59" s="108" t="str">
        <f>IF(ISNUMBER(G59), (G59 - $B59) / $B59, "")</f>
        <v/>
      </c>
      <c r="I59" s="111" t="str">
        <f>IF(ISNUMBER(G59), $B64 * H59, "")</f>
        <v/>
      </c>
      <c r="J59" s="107"/>
      <c r="K59" s="108" t="str">
        <f>IF(ISNUMBER(J59), (J59 - $B59) / $B59, "")</f>
        <v/>
      </c>
      <c r="L59" s="109" t="str">
        <f>IF(ISNUMBER(J59), $B64 * K59, "")</f>
        <v/>
      </c>
      <c r="M59" s="110"/>
      <c r="N59" s="108" t="str">
        <f>IF(ISNUMBER(M59), (M59 - $B59) / $B59, "")</f>
        <v/>
      </c>
      <c r="O59" s="109" t="str">
        <f>IF(ISNUMBER(M59), $B64 * N59, "")</f>
        <v/>
      </c>
      <c r="Q59" s="117"/>
      <c r="R59" s="117"/>
      <c r="S59" s="117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2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17"/>
      <c r="R60" s="117"/>
      <c r="S60" s="117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2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17"/>
      <c r="R61" s="117"/>
      <c r="S61" s="117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2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18"/>
      <c r="R62" s="119"/>
      <c r="S62" s="120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5" t="str">
        <f>IF(ISNUMBER(D63), $B64 * E63, "")</f>
        <v/>
      </c>
      <c r="G63" s="103"/>
      <c r="H63" s="25" t="str">
        <f t="shared" si="27"/>
        <v/>
      </c>
      <c r="I63" s="104" t="str">
        <f>IF(ISNUMBER(G63), $B64 * H63, "")</f>
        <v/>
      </c>
      <c r="J63" s="24"/>
      <c r="K63" s="25" t="str">
        <f t="shared" si="28"/>
        <v/>
      </c>
      <c r="L63" s="105" t="str">
        <f>IF(ISNUMBER(J63), $B64 * K63, "")</f>
        <v/>
      </c>
      <c r="M63" s="103"/>
      <c r="N63" s="25" t="str">
        <f t="shared" si="29"/>
        <v/>
      </c>
      <c r="O63" s="105" t="str">
        <f>IF(ISNUMBER(M63), $B64 * N63, "")</f>
        <v/>
      </c>
      <c r="Q63" s="121"/>
      <c r="R63" s="122"/>
      <c r="S63" s="123"/>
    </row>
    <row r="64" spans="1:19" ht="17.25" customHeight="1" thickBot="1">
      <c r="A64" s="26" t="s">
        <v>301</v>
      </c>
      <c r="B64" s="127">
        <f>$B$37</f>
        <v>300000</v>
      </c>
      <c r="C64" s="128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24"/>
      <c r="R64" s="125"/>
      <c r="S64" s="126"/>
    </row>
    <row r="65" spans="1:19" ht="17.25" customHeight="1"/>
    <row r="66" spans="1:19" ht="17.25" customHeight="1" thickBot="1"/>
    <row r="67" spans="1:19" ht="17.25" thickBot="1">
      <c r="A67" s="139" t="s">
        <v>45</v>
      </c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1"/>
      <c r="Q67" s="138"/>
      <c r="R67" s="138"/>
      <c r="S67" s="138"/>
    </row>
    <row r="68" spans="1:19" ht="17.25" thickBot="1">
      <c r="A68" s="112" t="s">
        <v>298</v>
      </c>
      <c r="B68" s="139" t="s">
        <v>49</v>
      </c>
      <c r="C68" s="141"/>
      <c r="D68" s="139" t="s">
        <v>58</v>
      </c>
      <c r="E68" s="140"/>
      <c r="F68" s="141"/>
      <c r="G68" s="142">
        <f>_xlfn.IFNA(VLOOKUP(B68, 현재가테이블!$B$2:$D$200, 2, FALSE), "-")</f>
        <v>68103000</v>
      </c>
      <c r="H68" s="143"/>
      <c r="I68" s="144"/>
      <c r="J68" s="139" t="s">
        <v>59</v>
      </c>
      <c r="K68" s="140"/>
      <c r="L68" s="141"/>
      <c r="M68" s="145">
        <f>_xlfn.IFNA(VLOOKUP(B68, 현재가테이블!$B$2:$D$200, 3, FALSE), "-")</f>
        <v>-1.37004156E-2</v>
      </c>
      <c r="N68" s="146"/>
      <c r="O68" s="147"/>
      <c r="Q68" s="138"/>
      <c r="R68" s="138"/>
      <c r="S68" s="138"/>
    </row>
    <row r="69" spans="1:19" ht="17.25" thickBot="1">
      <c r="A69" s="187" t="s">
        <v>55</v>
      </c>
      <c r="B69" s="189" t="str">
        <f>TEXT($G$1, "[$-ko-KR]yyyy-mm-dd(ddd) ") &amp; "오전 00:00"</f>
        <v>2021-04-01(목) 오전 00:00</v>
      </c>
      <c r="C69" s="190"/>
      <c r="D69" s="151" t="str">
        <f>TEXT($G$1, "[$-ko-KR]yyyy-mm-dd(ddd) ") &amp; "오후 14:00"</f>
        <v>2021-04-01(목) 오후 14:00</v>
      </c>
      <c r="E69" s="152"/>
      <c r="F69" s="153"/>
      <c r="G69" s="151" t="str">
        <f>TEXT($G$1, "[$-ko-KR]yyyy-mm-dd(ddd) ") &amp; "오후 19:00"</f>
        <v>2021-04-01(목) 오후 19:00</v>
      </c>
      <c r="H69" s="152"/>
      <c r="I69" s="153"/>
      <c r="J69" s="151" t="str">
        <f>TEXT($G$1, "[$-ko-KR]yyyy-mm-dd(ddd) ") &amp; "오후 21:00"</f>
        <v>2021-04-01(목) 오후 21:00</v>
      </c>
      <c r="K69" s="152"/>
      <c r="L69" s="153"/>
      <c r="M69" s="151" t="str">
        <f>TEXT($G$1+1, "[$-ko-KR]yyyy-mm-dd(ddd) ") &amp; "오전 00:00"</f>
        <v>2021-04-02(금) 오전 00:00</v>
      </c>
      <c r="N69" s="152"/>
      <c r="O69" s="153"/>
      <c r="Q69" s="138"/>
      <c r="R69" s="138"/>
      <c r="S69" s="138"/>
    </row>
    <row r="70" spans="1:19" ht="17.25" thickBot="1">
      <c r="A70" s="188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6" t="s">
        <v>300</v>
      </c>
      <c r="M70" s="2" t="s">
        <v>58</v>
      </c>
      <c r="N70" s="10" t="s">
        <v>299</v>
      </c>
      <c r="O70" s="67" t="s">
        <v>300</v>
      </c>
      <c r="Q70" s="117"/>
      <c r="R70" s="117"/>
      <c r="S70" s="117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1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38"/>
      <c r="R71" s="138"/>
      <c r="S71" s="13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2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38"/>
      <c r="R72" s="138"/>
      <c r="S72" s="13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2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17"/>
      <c r="R73" s="117"/>
      <c r="S73" s="117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2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17"/>
      <c r="R74" s="117"/>
      <c r="S74" s="117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6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17"/>
      <c r="R75" s="117"/>
      <c r="S75" s="117"/>
    </row>
    <row r="76" spans="1:19" ht="17.25" thickBot="1">
      <c r="A76" s="17"/>
      <c r="B76" s="107"/>
      <c r="C76" s="108"/>
      <c r="D76" s="107"/>
      <c r="E76" s="108" t="str">
        <f>IF(ISNUMBER(D76), (D76 - $B76) / $B76, "")</f>
        <v/>
      </c>
      <c r="F76" s="109" t="str">
        <f>IF(ISNUMBER(D76), $B91 * E76, "")</f>
        <v/>
      </c>
      <c r="G76" s="110"/>
      <c r="H76" s="108" t="str">
        <f>IF(ISNUMBER(G76), (G76 - $B76) / $B76, "")</f>
        <v/>
      </c>
      <c r="I76" s="111" t="str">
        <f>IF(ISNUMBER(G76), $B91 * H76, "")</f>
        <v/>
      </c>
      <c r="J76" s="107"/>
      <c r="K76" s="108" t="str">
        <f>IF(ISNUMBER(J76), (J76 - $B76) / $B76, "")</f>
        <v/>
      </c>
      <c r="L76" s="109" t="str">
        <f>IF(ISNUMBER(J76), $B91 * K76, "")</f>
        <v/>
      </c>
      <c r="M76" s="110"/>
      <c r="N76" s="108" t="str">
        <f>IF(ISNUMBER(M76), (M76 - $B76) / $B76, "")</f>
        <v/>
      </c>
      <c r="O76" s="109" t="str">
        <f>IF(ISNUMBER(M76), $B91 * N76, "")</f>
        <v/>
      </c>
      <c r="Q76" s="117"/>
      <c r="R76" s="117"/>
      <c r="S76" s="117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2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17"/>
      <c r="R77" s="117"/>
      <c r="S77" s="117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2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17"/>
      <c r="R78" s="117"/>
      <c r="S78" s="117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2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5" t="str">
        <f>IF(ISNUMBER(D80), $B91 * E80, "")</f>
        <v/>
      </c>
      <c r="G80" s="103"/>
      <c r="H80" s="25" t="str">
        <f t="shared" si="35"/>
        <v/>
      </c>
      <c r="I80" s="104" t="str">
        <f>IF(ISNUMBER(G80), $B91 * H80, "")</f>
        <v/>
      </c>
      <c r="J80" s="24"/>
      <c r="K80" s="25" t="str">
        <f t="shared" si="36"/>
        <v/>
      </c>
      <c r="L80" s="105" t="str">
        <f>IF(ISNUMBER(J80), $B91 * K80, "")</f>
        <v/>
      </c>
      <c r="M80" s="103"/>
      <c r="N80" s="25" t="str">
        <f t="shared" si="37"/>
        <v/>
      </c>
      <c r="O80" s="105" t="str">
        <f>IF(ISNUMBER(M80), $B91 * N80, "")</f>
        <v/>
      </c>
      <c r="Q80" s="129"/>
      <c r="R80" s="130"/>
      <c r="S80" s="131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1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32"/>
      <c r="R81" s="133"/>
      <c r="S81" s="134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2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35"/>
      <c r="R82" s="136"/>
      <c r="S82" s="137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2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17"/>
      <c r="R83" s="117"/>
      <c r="S83" s="117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2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38"/>
      <c r="R84" s="138"/>
      <c r="S84" s="13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6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38"/>
      <c r="R85" s="138"/>
      <c r="S85" s="138"/>
    </row>
    <row r="86" spans="1:19" ht="17.25" thickBot="1">
      <c r="A86" s="17"/>
      <c r="B86" s="107"/>
      <c r="C86" s="108"/>
      <c r="D86" s="107"/>
      <c r="E86" s="108" t="str">
        <f>IF(ISNUMBER(D86), (D86 - $B86) / $B86, "")</f>
        <v/>
      </c>
      <c r="F86" s="109" t="str">
        <f>IF(ISNUMBER(D86), $B91 * E86, "")</f>
        <v/>
      </c>
      <c r="G86" s="110"/>
      <c r="H86" s="108" t="str">
        <f>IF(ISNUMBER(G86), (G86 - $B86) / $B86, "")</f>
        <v/>
      </c>
      <c r="I86" s="111" t="str">
        <f>IF(ISNUMBER(G86), $B91 * H86, "")</f>
        <v/>
      </c>
      <c r="J86" s="107"/>
      <c r="K86" s="108" t="str">
        <f>IF(ISNUMBER(J86), (J86 - $B86) / $B86, "")</f>
        <v/>
      </c>
      <c r="L86" s="109" t="str">
        <f>IF(ISNUMBER(J86), $B91 * K86, "")</f>
        <v/>
      </c>
      <c r="M86" s="110"/>
      <c r="N86" s="108" t="str">
        <f>IF(ISNUMBER(M86), (M86 - $B86) / $B86, "")</f>
        <v/>
      </c>
      <c r="O86" s="109" t="str">
        <f>IF(ISNUMBER(M86), $B91 * N86, "")</f>
        <v/>
      </c>
      <c r="Q86" s="117"/>
      <c r="R86" s="117"/>
      <c r="S86" s="117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2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17"/>
      <c r="R87" s="117"/>
      <c r="S87" s="117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2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17"/>
      <c r="R88" s="117"/>
      <c r="S88" s="117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2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18"/>
      <c r="R89" s="119"/>
      <c r="S89" s="120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5" t="str">
        <f>IF(ISNUMBER(D90), $B91 * E90, "")</f>
        <v/>
      </c>
      <c r="G90" s="103"/>
      <c r="H90" s="25" t="str">
        <f t="shared" si="43"/>
        <v/>
      </c>
      <c r="I90" s="104" t="str">
        <f>IF(ISNUMBER(G90), $B91 * H90, "")</f>
        <v/>
      </c>
      <c r="J90" s="24"/>
      <c r="K90" s="25" t="str">
        <f t="shared" si="44"/>
        <v/>
      </c>
      <c r="L90" s="105" t="str">
        <f>IF(ISNUMBER(J90), $B91 * K90, "")</f>
        <v/>
      </c>
      <c r="M90" s="103"/>
      <c r="N90" s="25" t="str">
        <f t="shared" si="45"/>
        <v/>
      </c>
      <c r="O90" s="105" t="str">
        <f>IF(ISNUMBER(M90), $B91 * N90, "")</f>
        <v/>
      </c>
      <c r="Q90" s="121"/>
      <c r="R90" s="122"/>
      <c r="S90" s="123"/>
    </row>
    <row r="91" spans="1:19" ht="17.25" thickBot="1">
      <c r="A91" s="26" t="s">
        <v>301</v>
      </c>
      <c r="B91" s="127">
        <f>$B$37</f>
        <v>300000</v>
      </c>
      <c r="C91" s="128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24"/>
      <c r="R91" s="125"/>
      <c r="S91" s="126"/>
    </row>
    <row r="93" spans="1:19" ht="17.25" thickBot="1"/>
    <row r="94" spans="1:19" ht="17.25" thickBot="1">
      <c r="A94" s="139" t="s">
        <v>46</v>
      </c>
      <c r="B94" s="140"/>
      <c r="C94" s="140"/>
      <c r="D94" s="140"/>
      <c r="E94" s="140"/>
      <c r="F94" s="140"/>
      <c r="G94" s="140"/>
      <c r="H94" s="140"/>
      <c r="I94" s="140"/>
      <c r="J94" s="140"/>
      <c r="K94" s="140"/>
      <c r="L94" s="140"/>
      <c r="M94" s="140"/>
      <c r="N94" s="140"/>
      <c r="O94" s="141"/>
      <c r="Q94" s="138"/>
      <c r="R94" s="138"/>
      <c r="S94" s="138"/>
    </row>
    <row r="95" spans="1:19" ht="17.25" thickBot="1">
      <c r="A95" s="112" t="s">
        <v>298</v>
      </c>
      <c r="B95" s="139" t="s">
        <v>49</v>
      </c>
      <c r="C95" s="141"/>
      <c r="D95" s="139" t="s">
        <v>58</v>
      </c>
      <c r="E95" s="140"/>
      <c r="F95" s="141"/>
      <c r="G95" s="142">
        <f>_xlfn.IFNA(VLOOKUP(B95, 현재가테이블!$B$2:$D$200, 2, FALSE), "-")</f>
        <v>68103000</v>
      </c>
      <c r="H95" s="143"/>
      <c r="I95" s="144"/>
      <c r="J95" s="139" t="s">
        <v>59</v>
      </c>
      <c r="K95" s="140"/>
      <c r="L95" s="141"/>
      <c r="M95" s="145">
        <f>_xlfn.IFNA(VLOOKUP(B95, 현재가테이블!$B$2:$D$200, 3, FALSE), "-")</f>
        <v>-1.37004156E-2</v>
      </c>
      <c r="N95" s="146"/>
      <c r="O95" s="147"/>
      <c r="Q95" s="138"/>
      <c r="R95" s="138"/>
      <c r="S95" s="138"/>
    </row>
    <row r="96" spans="1:19" ht="17.25" thickBot="1">
      <c r="A96" s="187" t="s">
        <v>55</v>
      </c>
      <c r="B96" s="189" t="str">
        <f>TEXT($G$1, "[$-ko-KR]yyyy-mm-dd(ddd) ") &amp; "오전 00:00"</f>
        <v>2021-04-01(목) 오전 00:00</v>
      </c>
      <c r="C96" s="190"/>
      <c r="D96" s="151" t="str">
        <f>TEXT($G$1, "[$-ko-KR]yyyy-mm-dd(ddd) ") &amp; "오후 14:00"</f>
        <v>2021-04-01(목) 오후 14:00</v>
      </c>
      <c r="E96" s="152"/>
      <c r="F96" s="153"/>
      <c r="G96" s="151" t="str">
        <f>TEXT($G$1, "[$-ko-KR]yyyy-mm-dd(ddd) ") &amp; "오후 19:00"</f>
        <v>2021-04-01(목) 오후 19:00</v>
      </c>
      <c r="H96" s="152"/>
      <c r="I96" s="153"/>
      <c r="J96" s="151" t="str">
        <f>TEXT($G$1, "[$-ko-KR]yyyy-mm-dd(ddd) ") &amp; "오후 21:00"</f>
        <v>2021-04-01(목) 오후 21:00</v>
      </c>
      <c r="K96" s="152"/>
      <c r="L96" s="153"/>
      <c r="M96" s="151" t="str">
        <f>TEXT($G$1+1, "[$-ko-KR]yyyy-mm-dd(ddd) ") &amp; "오전 00:00"</f>
        <v>2021-04-02(금) 오전 00:00</v>
      </c>
      <c r="N96" s="152"/>
      <c r="O96" s="153"/>
      <c r="Q96" s="138"/>
      <c r="R96" s="138"/>
      <c r="S96" s="138"/>
    </row>
    <row r="97" spans="1:19" ht="17.25" thickBot="1">
      <c r="A97" s="188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6" t="s">
        <v>300</v>
      </c>
      <c r="M97" s="2" t="s">
        <v>58</v>
      </c>
      <c r="N97" s="10" t="s">
        <v>299</v>
      </c>
      <c r="O97" s="67" t="s">
        <v>300</v>
      </c>
      <c r="Q97" s="117"/>
      <c r="R97" s="117"/>
      <c r="S97" s="117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1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38"/>
      <c r="R98" s="138"/>
      <c r="S98" s="13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2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38"/>
      <c r="R99" s="138"/>
      <c r="S99" s="13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2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17"/>
      <c r="R100" s="117"/>
      <c r="S100" s="117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2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17"/>
      <c r="R101" s="117"/>
      <c r="S101" s="117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6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17"/>
      <c r="R102" s="117"/>
      <c r="S102" s="117"/>
    </row>
    <row r="103" spans="1:19" ht="17.25" thickBot="1">
      <c r="A103" s="17"/>
      <c r="B103" s="107"/>
      <c r="C103" s="108"/>
      <c r="D103" s="107"/>
      <c r="E103" s="108" t="str">
        <f>IF(ISNUMBER(D103), (D103 - $B103) / $B103, "")</f>
        <v/>
      </c>
      <c r="F103" s="109" t="str">
        <f>IF(ISNUMBER(D103), $B118 * E103, "")</f>
        <v/>
      </c>
      <c r="G103" s="110"/>
      <c r="H103" s="108" t="str">
        <f>IF(ISNUMBER(G103), (G103 - $B103) / $B103, "")</f>
        <v/>
      </c>
      <c r="I103" s="111" t="str">
        <f>IF(ISNUMBER(G103), $B118 * H103, "")</f>
        <v/>
      </c>
      <c r="J103" s="107"/>
      <c r="K103" s="108" t="str">
        <f>IF(ISNUMBER(J103), (J103 - $B103) / $B103, "")</f>
        <v/>
      </c>
      <c r="L103" s="109" t="str">
        <f>IF(ISNUMBER(J103), $B118 * K103, "")</f>
        <v/>
      </c>
      <c r="M103" s="110"/>
      <c r="N103" s="108" t="str">
        <f>IF(ISNUMBER(M103), (M103 - $B103) / $B103, "")</f>
        <v/>
      </c>
      <c r="O103" s="109" t="str">
        <f>IF(ISNUMBER(M103), $B118 * N103, "")</f>
        <v/>
      </c>
      <c r="Q103" s="117"/>
      <c r="R103" s="117"/>
      <c r="S103" s="117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2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17"/>
      <c r="R104" s="117"/>
      <c r="S104" s="117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2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17"/>
      <c r="R105" s="117"/>
      <c r="S105" s="117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2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5" t="str">
        <f>IF(ISNUMBER(D107), $B118 * E107, "")</f>
        <v/>
      </c>
      <c r="G107" s="103"/>
      <c r="H107" s="25" t="str">
        <f t="shared" si="51"/>
        <v/>
      </c>
      <c r="I107" s="104" t="str">
        <f>IF(ISNUMBER(G107), $B118 * H107, "")</f>
        <v/>
      </c>
      <c r="J107" s="24"/>
      <c r="K107" s="25" t="str">
        <f t="shared" si="52"/>
        <v/>
      </c>
      <c r="L107" s="105" t="str">
        <f>IF(ISNUMBER(J107), $B118 * K107, "")</f>
        <v/>
      </c>
      <c r="M107" s="103"/>
      <c r="N107" s="25" t="str">
        <f t="shared" si="53"/>
        <v/>
      </c>
      <c r="O107" s="105" t="str">
        <f>IF(ISNUMBER(M107), $B118 * N107, "")</f>
        <v/>
      </c>
      <c r="Q107" s="129"/>
      <c r="R107" s="130"/>
      <c r="S107" s="131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1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32"/>
      <c r="R108" s="133"/>
      <c r="S108" s="134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2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35"/>
      <c r="R109" s="136"/>
      <c r="S109" s="137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2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17"/>
      <c r="R110" s="117"/>
      <c r="S110" s="117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2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38"/>
      <c r="R111" s="138"/>
      <c r="S111" s="13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6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38"/>
      <c r="R112" s="138"/>
      <c r="S112" s="138"/>
    </row>
    <row r="113" spans="1:19" ht="17.25" thickBot="1">
      <c r="A113" s="17"/>
      <c r="B113" s="107"/>
      <c r="C113" s="108"/>
      <c r="D113" s="107"/>
      <c r="E113" s="108" t="str">
        <f>IF(ISNUMBER(D113), (D113 - $B113) / $B113, "")</f>
        <v/>
      </c>
      <c r="F113" s="109" t="str">
        <f>IF(ISNUMBER(D113), $B118 * E113, "")</f>
        <v/>
      </c>
      <c r="G113" s="110"/>
      <c r="H113" s="108" t="str">
        <f>IF(ISNUMBER(G113), (G113 - $B113) / $B113, "")</f>
        <v/>
      </c>
      <c r="I113" s="111" t="str">
        <f>IF(ISNUMBER(G113), $B118 * H113, "")</f>
        <v/>
      </c>
      <c r="J113" s="107"/>
      <c r="K113" s="108" t="str">
        <f>IF(ISNUMBER(J113), (J113 - $B113) / $B113, "")</f>
        <v/>
      </c>
      <c r="L113" s="109" t="str">
        <f>IF(ISNUMBER(J113), $B118 * K113, "")</f>
        <v/>
      </c>
      <c r="M113" s="110"/>
      <c r="N113" s="108" t="str">
        <f>IF(ISNUMBER(M113), (M113 - $B113) / $B113, "")</f>
        <v/>
      </c>
      <c r="O113" s="109" t="str">
        <f>IF(ISNUMBER(M113), $B118 * N113, "")</f>
        <v/>
      </c>
      <c r="Q113" s="117"/>
      <c r="R113" s="117"/>
      <c r="S113" s="117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2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17"/>
      <c r="R114" s="117"/>
      <c r="S114" s="117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2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17"/>
      <c r="R115" s="117"/>
      <c r="S115" s="117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2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18"/>
      <c r="R116" s="119"/>
      <c r="S116" s="120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5" t="str">
        <f>IF(ISNUMBER(D117), $B118 * E117, "")</f>
        <v/>
      </c>
      <c r="G117" s="103"/>
      <c r="H117" s="25" t="str">
        <f t="shared" si="59"/>
        <v/>
      </c>
      <c r="I117" s="104" t="str">
        <f>IF(ISNUMBER(G117), $B118 * H117, "")</f>
        <v/>
      </c>
      <c r="J117" s="24"/>
      <c r="K117" s="25" t="str">
        <f t="shared" si="60"/>
        <v/>
      </c>
      <c r="L117" s="105" t="str">
        <f>IF(ISNUMBER(J117), $B118 * K117, "")</f>
        <v/>
      </c>
      <c r="M117" s="103"/>
      <c r="N117" s="25" t="str">
        <f t="shared" si="61"/>
        <v/>
      </c>
      <c r="O117" s="105" t="str">
        <f>IF(ISNUMBER(M117), $B118 * N117, "")</f>
        <v/>
      </c>
      <c r="Q117" s="121"/>
      <c r="R117" s="122"/>
      <c r="S117" s="123"/>
    </row>
    <row r="118" spans="1:19" ht="17.25" thickBot="1">
      <c r="A118" s="26" t="s">
        <v>301</v>
      </c>
      <c r="B118" s="127">
        <f>$B$37</f>
        <v>300000</v>
      </c>
      <c r="C118" s="128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24"/>
      <c r="R118" s="125"/>
      <c r="S118" s="126"/>
    </row>
    <row r="120" spans="1:19" ht="17.25" thickBot="1"/>
    <row r="121" spans="1:19" ht="17.25" thickBot="1">
      <c r="A121" s="139" t="s">
        <v>288</v>
      </c>
      <c r="B121" s="140"/>
      <c r="C121" s="140"/>
      <c r="D121" s="140"/>
      <c r="E121" s="140"/>
      <c r="F121" s="140"/>
      <c r="G121" s="140"/>
      <c r="H121" s="140"/>
      <c r="I121" s="140"/>
      <c r="J121" s="140"/>
      <c r="K121" s="140"/>
      <c r="L121" s="140"/>
      <c r="M121" s="140"/>
      <c r="N121" s="140"/>
      <c r="O121" s="141"/>
      <c r="Q121" s="138"/>
      <c r="R121" s="138"/>
      <c r="S121" s="138"/>
    </row>
    <row r="122" spans="1:19" ht="17.25" thickBot="1">
      <c r="A122" s="112" t="s">
        <v>298</v>
      </c>
      <c r="B122" s="139" t="s">
        <v>49</v>
      </c>
      <c r="C122" s="141"/>
      <c r="D122" s="139" t="s">
        <v>58</v>
      </c>
      <c r="E122" s="140"/>
      <c r="F122" s="141"/>
      <c r="G122" s="142">
        <f>_xlfn.IFNA(VLOOKUP(B122, 현재가테이블!$B$2:$D$200, 2, FALSE), "-")</f>
        <v>68103000</v>
      </c>
      <c r="H122" s="143"/>
      <c r="I122" s="144"/>
      <c r="J122" s="139" t="s">
        <v>59</v>
      </c>
      <c r="K122" s="140"/>
      <c r="L122" s="141"/>
      <c r="M122" s="145">
        <f>_xlfn.IFNA(VLOOKUP(B122, 현재가테이블!$B$2:$D$200, 3, FALSE), "-")</f>
        <v>-1.37004156E-2</v>
      </c>
      <c r="N122" s="146"/>
      <c r="O122" s="147"/>
      <c r="Q122" s="138"/>
      <c r="R122" s="138"/>
      <c r="S122" s="138"/>
    </row>
    <row r="123" spans="1:19" ht="17.25" thickBot="1">
      <c r="A123" s="187" t="s">
        <v>55</v>
      </c>
      <c r="B123" s="189" t="str">
        <f>TEXT($G$1, "[$-ko-KR]yyyy-mm-dd(ddd) ") &amp; "오전 00:00"</f>
        <v>2021-04-01(목) 오전 00:00</v>
      </c>
      <c r="C123" s="190"/>
      <c r="D123" s="151" t="str">
        <f>TEXT($G$1, "[$-ko-KR]yyyy-mm-dd(ddd) ") &amp; "오후 14:00"</f>
        <v>2021-04-01(목) 오후 14:00</v>
      </c>
      <c r="E123" s="152"/>
      <c r="F123" s="153"/>
      <c r="G123" s="151" t="str">
        <f>TEXT($G$1, "[$-ko-KR]yyyy-mm-dd(ddd) ") &amp; "오후 19:00"</f>
        <v>2021-04-01(목) 오후 19:00</v>
      </c>
      <c r="H123" s="152"/>
      <c r="I123" s="153"/>
      <c r="J123" s="151" t="str">
        <f>TEXT($G$1, "[$-ko-KR]yyyy-mm-dd(ddd) ") &amp; "오후 21:00"</f>
        <v>2021-04-01(목) 오후 21:00</v>
      </c>
      <c r="K123" s="152"/>
      <c r="L123" s="153"/>
      <c r="M123" s="151" t="str">
        <f>TEXT($G$1+1, "[$-ko-KR]yyyy-mm-dd(ddd) ") &amp; "오전 00:00"</f>
        <v>2021-04-02(금) 오전 00:00</v>
      </c>
      <c r="N123" s="152"/>
      <c r="O123" s="153"/>
      <c r="Q123" s="138"/>
      <c r="R123" s="138"/>
      <c r="S123" s="138"/>
    </row>
    <row r="124" spans="1:19" ht="17.25" thickBot="1">
      <c r="A124" s="188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6" t="s">
        <v>300</v>
      </c>
      <c r="M124" s="2" t="s">
        <v>58</v>
      </c>
      <c r="N124" s="10" t="s">
        <v>299</v>
      </c>
      <c r="O124" s="67" t="s">
        <v>300</v>
      </c>
      <c r="Q124" s="117"/>
      <c r="R124" s="117"/>
      <c r="S124" s="117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1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38"/>
      <c r="R125" s="138"/>
      <c r="S125" s="13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2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38"/>
      <c r="R126" s="138"/>
      <c r="S126" s="13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2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17"/>
      <c r="R127" s="117"/>
      <c r="S127" s="117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2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17"/>
      <c r="R128" s="117"/>
      <c r="S128" s="117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6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17"/>
      <c r="R129" s="117"/>
      <c r="S129" s="117"/>
    </row>
    <row r="130" spans="1:19" ht="17.25" thickBot="1">
      <c r="A130" s="17"/>
      <c r="B130" s="107"/>
      <c r="C130" s="108"/>
      <c r="D130" s="107"/>
      <c r="E130" s="108" t="str">
        <f>IF(ISNUMBER(D130), (D130 - $B130) / $B130, "")</f>
        <v/>
      </c>
      <c r="F130" s="109" t="str">
        <f>IF(ISNUMBER(D130), $B145 * E130, "")</f>
        <v/>
      </c>
      <c r="G130" s="110"/>
      <c r="H130" s="108" t="str">
        <f>IF(ISNUMBER(G130), (G130 - $B130) / $B130, "")</f>
        <v/>
      </c>
      <c r="I130" s="111" t="str">
        <f>IF(ISNUMBER(G130), $B145 * H130, "")</f>
        <v/>
      </c>
      <c r="J130" s="107"/>
      <c r="K130" s="108" t="str">
        <f>IF(ISNUMBER(J130), (J130 - $B130) / $B130, "")</f>
        <v/>
      </c>
      <c r="L130" s="109" t="str">
        <f>IF(ISNUMBER(J130), $B145 * K130, "")</f>
        <v/>
      </c>
      <c r="M130" s="110"/>
      <c r="N130" s="108" t="str">
        <f>IF(ISNUMBER(M130), (M130 - $B130) / $B130, "")</f>
        <v/>
      </c>
      <c r="O130" s="109" t="str">
        <f>IF(ISNUMBER(M130), $B145 * N130, "")</f>
        <v/>
      </c>
      <c r="Q130" s="117"/>
      <c r="R130" s="117"/>
      <c r="S130" s="117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2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17"/>
      <c r="R131" s="117"/>
      <c r="S131" s="117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2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17"/>
      <c r="R132" s="117"/>
      <c r="S132" s="117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2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5" t="str">
        <f>IF(ISNUMBER(D134), $B145 * E134, "")</f>
        <v/>
      </c>
      <c r="G134" s="103"/>
      <c r="H134" s="25" t="str">
        <f t="shared" si="67"/>
        <v/>
      </c>
      <c r="I134" s="104" t="str">
        <f>IF(ISNUMBER(G134), $B145 * H134, "")</f>
        <v/>
      </c>
      <c r="J134" s="24"/>
      <c r="K134" s="25" t="str">
        <f t="shared" si="68"/>
        <v/>
      </c>
      <c r="L134" s="105" t="str">
        <f>IF(ISNUMBER(J134), $B145 * K134, "")</f>
        <v/>
      </c>
      <c r="M134" s="103"/>
      <c r="N134" s="25" t="str">
        <f t="shared" si="69"/>
        <v/>
      </c>
      <c r="O134" s="105" t="str">
        <f>IF(ISNUMBER(M134), $B145 * N134, "")</f>
        <v/>
      </c>
      <c r="Q134" s="129"/>
      <c r="R134" s="130"/>
      <c r="S134" s="131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1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32"/>
      <c r="R135" s="133"/>
      <c r="S135" s="134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2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35"/>
      <c r="R136" s="136"/>
      <c r="S136" s="137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2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17"/>
      <c r="R137" s="117"/>
      <c r="S137" s="117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2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38"/>
      <c r="R138" s="138"/>
      <c r="S138" s="13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6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38"/>
      <c r="R139" s="138"/>
      <c r="S139" s="138"/>
    </row>
    <row r="140" spans="1:19" ht="17.25" thickBot="1">
      <c r="A140" s="17"/>
      <c r="B140" s="107"/>
      <c r="C140" s="108"/>
      <c r="D140" s="107"/>
      <c r="E140" s="108" t="str">
        <f>IF(ISNUMBER(D140), (D140 - $B140) / $B140, "")</f>
        <v/>
      </c>
      <c r="F140" s="109" t="str">
        <f>IF(ISNUMBER(D140), $B145 * E140, "")</f>
        <v/>
      </c>
      <c r="G140" s="110"/>
      <c r="H140" s="108" t="str">
        <f>IF(ISNUMBER(G140), (G140 - $B140) / $B140, "")</f>
        <v/>
      </c>
      <c r="I140" s="111" t="str">
        <f>IF(ISNUMBER(G140), $B145 * H140, "")</f>
        <v/>
      </c>
      <c r="J140" s="107"/>
      <c r="K140" s="108" t="str">
        <f>IF(ISNUMBER(J140), (J140 - $B140) / $B140, "")</f>
        <v/>
      </c>
      <c r="L140" s="109" t="str">
        <f>IF(ISNUMBER(J140), $B145 * K140, "")</f>
        <v/>
      </c>
      <c r="M140" s="110"/>
      <c r="N140" s="108" t="str">
        <f>IF(ISNUMBER(M140), (M140 - $B140) / $B140, "")</f>
        <v/>
      </c>
      <c r="O140" s="109" t="str">
        <f>IF(ISNUMBER(M140), $B145 * N140, "")</f>
        <v/>
      </c>
      <c r="Q140" s="117"/>
      <c r="R140" s="117"/>
      <c r="S140" s="117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2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17"/>
      <c r="R141" s="117"/>
      <c r="S141" s="117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2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17"/>
      <c r="R142" s="117"/>
      <c r="S142" s="117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2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18"/>
      <c r="R143" s="119"/>
      <c r="S143" s="120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5" t="str">
        <f>IF(ISNUMBER(D144), $B145 * E144, "")</f>
        <v/>
      </c>
      <c r="G144" s="103"/>
      <c r="H144" s="25" t="str">
        <f t="shared" si="75"/>
        <v/>
      </c>
      <c r="I144" s="104" t="str">
        <f>IF(ISNUMBER(G144), $B145 * H144, "")</f>
        <v/>
      </c>
      <c r="J144" s="24"/>
      <c r="K144" s="25" t="str">
        <f t="shared" si="76"/>
        <v/>
      </c>
      <c r="L144" s="105" t="str">
        <f>IF(ISNUMBER(J144), $B145 * K144, "")</f>
        <v/>
      </c>
      <c r="M144" s="103"/>
      <c r="N144" s="25" t="str">
        <f t="shared" si="77"/>
        <v/>
      </c>
      <c r="O144" s="105" t="str">
        <f>IF(ISNUMBER(M144), $B145 * N144, "")</f>
        <v/>
      </c>
      <c r="Q144" s="121"/>
      <c r="R144" s="122"/>
      <c r="S144" s="123"/>
    </row>
    <row r="145" spans="1:19" ht="17.25" thickBot="1">
      <c r="A145" s="26" t="s">
        <v>301</v>
      </c>
      <c r="B145" s="127">
        <f>$B$37</f>
        <v>300000</v>
      </c>
      <c r="C145" s="128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24"/>
      <c r="R145" s="125"/>
      <c r="S145" s="126"/>
    </row>
    <row r="147" spans="1:19" ht="17.25" thickBot="1"/>
    <row r="148" spans="1:19" ht="17.25" thickBot="1">
      <c r="A148" s="139" t="s">
        <v>289</v>
      </c>
      <c r="B148" s="140"/>
      <c r="C148" s="140"/>
      <c r="D148" s="140"/>
      <c r="E148" s="140"/>
      <c r="F148" s="140"/>
      <c r="G148" s="140"/>
      <c r="H148" s="140"/>
      <c r="I148" s="140"/>
      <c r="J148" s="140"/>
      <c r="K148" s="140"/>
      <c r="L148" s="140"/>
      <c r="M148" s="140"/>
      <c r="N148" s="140"/>
      <c r="O148" s="141"/>
      <c r="Q148" s="138"/>
      <c r="R148" s="138"/>
      <c r="S148" s="138"/>
    </row>
    <row r="149" spans="1:19" ht="17.25" thickBot="1">
      <c r="A149" s="112" t="s">
        <v>298</v>
      </c>
      <c r="B149" s="139" t="s">
        <v>49</v>
      </c>
      <c r="C149" s="141"/>
      <c r="D149" s="139" t="s">
        <v>58</v>
      </c>
      <c r="E149" s="140"/>
      <c r="F149" s="141"/>
      <c r="G149" s="142">
        <f>_xlfn.IFNA(VLOOKUP(B149, 현재가테이블!$B$2:$D$200, 2, FALSE), "-")</f>
        <v>68103000</v>
      </c>
      <c r="H149" s="143"/>
      <c r="I149" s="144"/>
      <c r="J149" s="139" t="s">
        <v>59</v>
      </c>
      <c r="K149" s="140"/>
      <c r="L149" s="141"/>
      <c r="M149" s="145">
        <f>_xlfn.IFNA(VLOOKUP(B149, 현재가테이블!$B$2:$D$200, 3, FALSE), "-")</f>
        <v>-1.37004156E-2</v>
      </c>
      <c r="N149" s="146"/>
      <c r="O149" s="147"/>
      <c r="Q149" s="138"/>
      <c r="R149" s="138"/>
      <c r="S149" s="138"/>
    </row>
    <row r="150" spans="1:19" ht="17.25" thickBot="1">
      <c r="A150" s="187" t="s">
        <v>55</v>
      </c>
      <c r="B150" s="189" t="str">
        <f>TEXT($G$1, "[$-ko-KR]yyyy-mm-dd(ddd) ") &amp; "오전 00:00"</f>
        <v>2021-04-01(목) 오전 00:00</v>
      </c>
      <c r="C150" s="190"/>
      <c r="D150" s="151" t="str">
        <f>TEXT($G$1, "[$-ko-KR]yyyy-mm-dd(ddd) ") &amp; "오후 14:00"</f>
        <v>2021-04-01(목) 오후 14:00</v>
      </c>
      <c r="E150" s="152"/>
      <c r="F150" s="153"/>
      <c r="G150" s="151" t="str">
        <f>TEXT($G$1, "[$-ko-KR]yyyy-mm-dd(ddd) ") &amp; "오후 19:00"</f>
        <v>2021-04-01(목) 오후 19:00</v>
      </c>
      <c r="H150" s="152"/>
      <c r="I150" s="153"/>
      <c r="J150" s="151" t="str">
        <f>TEXT($G$1, "[$-ko-KR]yyyy-mm-dd(ddd) ") &amp; "오후 21:00"</f>
        <v>2021-04-01(목) 오후 21:00</v>
      </c>
      <c r="K150" s="152"/>
      <c r="L150" s="153"/>
      <c r="M150" s="151" t="str">
        <f>TEXT($G$1+1, "[$-ko-KR]yyyy-mm-dd(ddd) ") &amp; "오전 00:00"</f>
        <v>2021-04-02(금) 오전 00:00</v>
      </c>
      <c r="N150" s="152"/>
      <c r="O150" s="153"/>
      <c r="Q150" s="138"/>
      <c r="R150" s="138"/>
      <c r="S150" s="138"/>
    </row>
    <row r="151" spans="1:19" ht="17.25" thickBot="1">
      <c r="A151" s="188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6" t="s">
        <v>300</v>
      </c>
      <c r="M151" s="2" t="s">
        <v>58</v>
      </c>
      <c r="N151" s="10" t="s">
        <v>299</v>
      </c>
      <c r="O151" s="67" t="s">
        <v>300</v>
      </c>
      <c r="Q151" s="117"/>
      <c r="R151" s="117"/>
      <c r="S151" s="117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1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38"/>
      <c r="R152" s="138"/>
      <c r="S152" s="13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2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38"/>
      <c r="R153" s="138"/>
      <c r="S153" s="13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2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17"/>
      <c r="R154" s="117"/>
      <c r="S154" s="117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2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17"/>
      <c r="R155" s="117"/>
      <c r="S155" s="117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6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17"/>
      <c r="R156" s="117"/>
      <c r="S156" s="117"/>
    </row>
    <row r="157" spans="1:19" ht="17.25" thickBot="1">
      <c r="A157" s="17"/>
      <c r="B157" s="107"/>
      <c r="C157" s="108"/>
      <c r="D157" s="107"/>
      <c r="E157" s="108" t="str">
        <f>IF(ISNUMBER(D157), (D157 - $B157) / $B157, "")</f>
        <v/>
      </c>
      <c r="F157" s="109" t="str">
        <f>IF(ISNUMBER(D157), $B172 * E157, "")</f>
        <v/>
      </c>
      <c r="G157" s="110"/>
      <c r="H157" s="108" t="str">
        <f>IF(ISNUMBER(G157), (G157 - $B157) / $B157, "")</f>
        <v/>
      </c>
      <c r="I157" s="111" t="str">
        <f>IF(ISNUMBER(G157), $B172 * H157, "")</f>
        <v/>
      </c>
      <c r="J157" s="107"/>
      <c r="K157" s="108" t="str">
        <f>IF(ISNUMBER(J157), (J157 - $B157) / $B157, "")</f>
        <v/>
      </c>
      <c r="L157" s="109" t="str">
        <f>IF(ISNUMBER(J157), $B172 * K157, "")</f>
        <v/>
      </c>
      <c r="M157" s="110"/>
      <c r="N157" s="108" t="str">
        <f>IF(ISNUMBER(M157), (M157 - $B157) / $B157, "")</f>
        <v/>
      </c>
      <c r="O157" s="109" t="str">
        <f>IF(ISNUMBER(M157), $B172 * N157, "")</f>
        <v/>
      </c>
      <c r="Q157" s="117"/>
      <c r="R157" s="117"/>
      <c r="S157" s="117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2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17"/>
      <c r="R158" s="117"/>
      <c r="S158" s="117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2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17"/>
      <c r="R159" s="117"/>
      <c r="S159" s="117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2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5" t="str">
        <f>IF(ISNUMBER(D161), $B172 * E161, "")</f>
        <v/>
      </c>
      <c r="G161" s="103"/>
      <c r="H161" s="25" t="str">
        <f t="shared" si="83"/>
        <v/>
      </c>
      <c r="I161" s="104" t="str">
        <f>IF(ISNUMBER(G161), $B172 * H161, "")</f>
        <v/>
      </c>
      <c r="J161" s="24"/>
      <c r="K161" s="25" t="str">
        <f t="shared" si="84"/>
        <v/>
      </c>
      <c r="L161" s="105" t="str">
        <f>IF(ISNUMBER(J161), $B172 * K161, "")</f>
        <v/>
      </c>
      <c r="M161" s="103"/>
      <c r="N161" s="25" t="str">
        <f t="shared" si="85"/>
        <v/>
      </c>
      <c r="O161" s="105" t="str">
        <f>IF(ISNUMBER(M161), $B172 * N161, "")</f>
        <v/>
      </c>
      <c r="Q161" s="129"/>
      <c r="R161" s="130"/>
      <c r="S161" s="131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1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32"/>
      <c r="R162" s="133"/>
      <c r="S162" s="134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2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35"/>
      <c r="R163" s="136"/>
      <c r="S163" s="137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2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17"/>
      <c r="R164" s="117"/>
      <c r="S164" s="117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2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38"/>
      <c r="R165" s="138"/>
      <c r="S165" s="13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6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38"/>
      <c r="R166" s="138"/>
      <c r="S166" s="138"/>
    </row>
    <row r="167" spans="1:19" ht="17.25" thickBot="1">
      <c r="A167" s="17"/>
      <c r="B167" s="107"/>
      <c r="C167" s="108"/>
      <c r="D167" s="107"/>
      <c r="E167" s="108" t="str">
        <f>IF(ISNUMBER(D167), (D167 - $B167) / $B167, "")</f>
        <v/>
      </c>
      <c r="F167" s="109" t="str">
        <f>IF(ISNUMBER(D167), $B172 * E167, "")</f>
        <v/>
      </c>
      <c r="G167" s="110"/>
      <c r="H167" s="108" t="str">
        <f>IF(ISNUMBER(G167), (G167 - $B167) / $B167, "")</f>
        <v/>
      </c>
      <c r="I167" s="111" t="str">
        <f>IF(ISNUMBER(G167), $B172 * H167, "")</f>
        <v/>
      </c>
      <c r="J167" s="107"/>
      <c r="K167" s="108" t="str">
        <f>IF(ISNUMBER(J167), (J167 - $B167) / $B167, "")</f>
        <v/>
      </c>
      <c r="L167" s="109" t="str">
        <f>IF(ISNUMBER(J167), $B172 * K167, "")</f>
        <v/>
      </c>
      <c r="M167" s="110"/>
      <c r="N167" s="108" t="str">
        <f>IF(ISNUMBER(M167), (M167 - $B167) / $B167, "")</f>
        <v/>
      </c>
      <c r="O167" s="109" t="str">
        <f>IF(ISNUMBER(M167), $B172 * N167, "")</f>
        <v/>
      </c>
      <c r="Q167" s="117"/>
      <c r="R167" s="117"/>
      <c r="S167" s="117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2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17"/>
      <c r="R168" s="117"/>
      <c r="S168" s="117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2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17"/>
      <c r="R169" s="117"/>
      <c r="S169" s="117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2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18"/>
      <c r="R170" s="119"/>
      <c r="S170" s="120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5" t="str">
        <f>IF(ISNUMBER(D171), $B172 * E171, "")</f>
        <v/>
      </c>
      <c r="G171" s="103"/>
      <c r="H171" s="25" t="str">
        <f t="shared" si="91"/>
        <v/>
      </c>
      <c r="I171" s="104" t="str">
        <f>IF(ISNUMBER(G171), $B172 * H171, "")</f>
        <v/>
      </c>
      <c r="J171" s="24"/>
      <c r="K171" s="25" t="str">
        <f t="shared" si="92"/>
        <v/>
      </c>
      <c r="L171" s="105" t="str">
        <f>IF(ISNUMBER(J171), $B172 * K171, "")</f>
        <v/>
      </c>
      <c r="M171" s="103"/>
      <c r="N171" s="25" t="str">
        <f t="shared" si="93"/>
        <v/>
      </c>
      <c r="O171" s="105" t="str">
        <f>IF(ISNUMBER(M171), $B172 * N171, "")</f>
        <v/>
      </c>
      <c r="Q171" s="121"/>
      <c r="R171" s="122"/>
      <c r="S171" s="123"/>
    </row>
    <row r="172" spans="1:19" ht="17.25" thickBot="1">
      <c r="A172" s="26" t="s">
        <v>301</v>
      </c>
      <c r="B172" s="127">
        <f>$B$37</f>
        <v>300000</v>
      </c>
      <c r="C172" s="128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24"/>
      <c r="R172" s="125"/>
      <c r="S172" s="126"/>
    </row>
    <row r="174" spans="1:19" ht="17.25" thickBot="1"/>
    <row r="175" spans="1:19" ht="17.25" thickBot="1">
      <c r="A175" s="139" t="s">
        <v>285</v>
      </c>
      <c r="B175" s="140"/>
      <c r="C175" s="140"/>
      <c r="D175" s="140"/>
      <c r="E175" s="140"/>
      <c r="F175" s="140"/>
      <c r="G175" s="140"/>
      <c r="H175" s="140"/>
      <c r="I175" s="140"/>
      <c r="J175" s="140"/>
      <c r="K175" s="140"/>
      <c r="L175" s="140"/>
      <c r="M175" s="140"/>
      <c r="N175" s="140"/>
      <c r="O175" s="141"/>
      <c r="Q175" s="138"/>
      <c r="R175" s="138"/>
      <c r="S175" s="138"/>
    </row>
    <row r="176" spans="1:19" ht="17.25" thickBot="1">
      <c r="A176" s="112" t="s">
        <v>298</v>
      </c>
      <c r="B176" s="139" t="s">
        <v>49</v>
      </c>
      <c r="C176" s="141"/>
      <c r="D176" s="139" t="s">
        <v>58</v>
      </c>
      <c r="E176" s="140"/>
      <c r="F176" s="141"/>
      <c r="G176" s="142">
        <f>_xlfn.IFNA(VLOOKUP(B176, 현재가테이블!$B$2:$D$200, 2, FALSE), "-")</f>
        <v>68103000</v>
      </c>
      <c r="H176" s="143"/>
      <c r="I176" s="144"/>
      <c r="J176" s="139" t="s">
        <v>59</v>
      </c>
      <c r="K176" s="140"/>
      <c r="L176" s="141"/>
      <c r="M176" s="145">
        <f>_xlfn.IFNA(VLOOKUP(B176, 현재가테이블!$B$2:$D$200, 3, FALSE), "-")</f>
        <v>-1.37004156E-2</v>
      </c>
      <c r="N176" s="146"/>
      <c r="O176" s="147"/>
      <c r="Q176" s="138"/>
      <c r="R176" s="138"/>
      <c r="S176" s="138"/>
    </row>
    <row r="177" spans="1:19" ht="17.25" thickBot="1">
      <c r="A177" s="187" t="s">
        <v>55</v>
      </c>
      <c r="B177" s="189" t="str">
        <f>TEXT($G$1, "[$-ko-KR]yyyy-mm-dd(ddd) ") &amp; "오전 00:00"</f>
        <v>2021-04-01(목) 오전 00:00</v>
      </c>
      <c r="C177" s="190"/>
      <c r="D177" s="151" t="str">
        <f>TEXT($G$1, "[$-ko-KR]yyyy-mm-dd(ddd) ") &amp; "오후 14:00"</f>
        <v>2021-04-01(목) 오후 14:00</v>
      </c>
      <c r="E177" s="152"/>
      <c r="F177" s="153"/>
      <c r="G177" s="151" t="str">
        <f>TEXT($G$1, "[$-ko-KR]yyyy-mm-dd(ddd) ") &amp; "오후 19:00"</f>
        <v>2021-04-01(목) 오후 19:00</v>
      </c>
      <c r="H177" s="152"/>
      <c r="I177" s="153"/>
      <c r="J177" s="151" t="str">
        <f>TEXT($G$1, "[$-ko-KR]yyyy-mm-dd(ddd) ") &amp; "오후 21:00"</f>
        <v>2021-04-01(목) 오후 21:00</v>
      </c>
      <c r="K177" s="152"/>
      <c r="L177" s="153"/>
      <c r="M177" s="151" t="str">
        <f>TEXT($G$1+1, "[$-ko-KR]yyyy-mm-dd(ddd) ") &amp; "오전 00:00"</f>
        <v>2021-04-02(금) 오전 00:00</v>
      </c>
      <c r="N177" s="152"/>
      <c r="O177" s="153"/>
      <c r="Q177" s="138"/>
      <c r="R177" s="138"/>
      <c r="S177" s="138"/>
    </row>
    <row r="178" spans="1:19" ht="17.25" thickBot="1">
      <c r="A178" s="188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6" t="s">
        <v>300</v>
      </c>
      <c r="M178" s="2" t="s">
        <v>58</v>
      </c>
      <c r="N178" s="10" t="s">
        <v>299</v>
      </c>
      <c r="O178" s="67" t="s">
        <v>300</v>
      </c>
      <c r="Q178" s="117"/>
      <c r="R178" s="117"/>
      <c r="S178" s="117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1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38"/>
      <c r="R179" s="138"/>
      <c r="S179" s="13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2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38"/>
      <c r="R180" s="138"/>
      <c r="S180" s="13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2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17"/>
      <c r="R181" s="117"/>
      <c r="S181" s="117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2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17"/>
      <c r="R182" s="117"/>
      <c r="S182" s="117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6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17"/>
      <c r="R183" s="117"/>
      <c r="S183" s="117"/>
    </row>
    <row r="184" spans="1:19" ht="17.25" thickBot="1">
      <c r="A184" s="17"/>
      <c r="B184" s="107"/>
      <c r="C184" s="108"/>
      <c r="D184" s="107"/>
      <c r="E184" s="108" t="str">
        <f>IF(ISNUMBER(D184), (D184 - $B184) / $B184, "")</f>
        <v/>
      </c>
      <c r="F184" s="109" t="str">
        <f>IF(ISNUMBER(D184), $B199 * E184, "")</f>
        <v/>
      </c>
      <c r="G184" s="110"/>
      <c r="H184" s="108" t="str">
        <f>IF(ISNUMBER(G184), (G184 - $B184) / $B184, "")</f>
        <v/>
      </c>
      <c r="I184" s="111" t="str">
        <f>IF(ISNUMBER(G184), $B199 * H184, "")</f>
        <v/>
      </c>
      <c r="J184" s="107"/>
      <c r="K184" s="108" t="str">
        <f>IF(ISNUMBER(J184), (J184 - $B184) / $B184, "")</f>
        <v/>
      </c>
      <c r="L184" s="109" t="str">
        <f>IF(ISNUMBER(J184), $B199 * K184, "")</f>
        <v/>
      </c>
      <c r="M184" s="110"/>
      <c r="N184" s="108" t="str">
        <f>IF(ISNUMBER(M184), (M184 - $B184) / $B184, "")</f>
        <v/>
      </c>
      <c r="O184" s="109" t="str">
        <f>IF(ISNUMBER(M184), $B199 * N184, "")</f>
        <v/>
      </c>
      <c r="Q184" s="117"/>
      <c r="R184" s="117"/>
      <c r="S184" s="117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2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17"/>
      <c r="R185" s="117"/>
      <c r="S185" s="117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2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17"/>
      <c r="R186" s="117"/>
      <c r="S186" s="117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2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5" t="str">
        <f>IF(ISNUMBER(D188), $B199 * E188, "")</f>
        <v/>
      </c>
      <c r="G188" s="103"/>
      <c r="H188" s="25" t="str">
        <f t="shared" si="99"/>
        <v/>
      </c>
      <c r="I188" s="104" t="str">
        <f>IF(ISNUMBER(G188), $B199 * H188, "")</f>
        <v/>
      </c>
      <c r="J188" s="24"/>
      <c r="K188" s="25" t="str">
        <f t="shared" si="100"/>
        <v/>
      </c>
      <c r="L188" s="105" t="str">
        <f>IF(ISNUMBER(J188), $B199 * K188, "")</f>
        <v/>
      </c>
      <c r="M188" s="103"/>
      <c r="N188" s="25" t="str">
        <f t="shared" si="101"/>
        <v/>
      </c>
      <c r="O188" s="105" t="str">
        <f>IF(ISNUMBER(M188), $B199 * N188, "")</f>
        <v/>
      </c>
      <c r="Q188" s="129"/>
      <c r="R188" s="130"/>
      <c r="S188" s="131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1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32"/>
      <c r="R189" s="133"/>
      <c r="S189" s="134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2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35"/>
      <c r="R190" s="136"/>
      <c r="S190" s="137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2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17"/>
      <c r="R191" s="117"/>
      <c r="S191" s="117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2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38"/>
      <c r="R192" s="138"/>
      <c r="S192" s="13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6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38"/>
      <c r="R193" s="138"/>
      <c r="S193" s="138"/>
    </row>
    <row r="194" spans="1:19" ht="17.25" thickBot="1">
      <c r="A194" s="17"/>
      <c r="B194" s="107"/>
      <c r="C194" s="108"/>
      <c r="D194" s="107"/>
      <c r="E194" s="108" t="str">
        <f>IF(ISNUMBER(D194), (D194 - $B194) / $B194, "")</f>
        <v/>
      </c>
      <c r="F194" s="109" t="str">
        <f>IF(ISNUMBER(D194), $B199 * E194, "")</f>
        <v/>
      </c>
      <c r="G194" s="110"/>
      <c r="H194" s="108" t="str">
        <f>IF(ISNUMBER(G194), (G194 - $B194) / $B194, "")</f>
        <v/>
      </c>
      <c r="I194" s="111" t="str">
        <f>IF(ISNUMBER(G194), $B199 * H194, "")</f>
        <v/>
      </c>
      <c r="J194" s="107"/>
      <c r="K194" s="108" t="str">
        <f>IF(ISNUMBER(J194), (J194 - $B194) / $B194, "")</f>
        <v/>
      </c>
      <c r="L194" s="109" t="str">
        <f>IF(ISNUMBER(J194), $B199 * K194, "")</f>
        <v/>
      </c>
      <c r="M194" s="110"/>
      <c r="N194" s="108" t="str">
        <f>IF(ISNUMBER(M194), (M194 - $B194) / $B194, "")</f>
        <v/>
      </c>
      <c r="O194" s="109" t="str">
        <f>IF(ISNUMBER(M194), $B199 * N194, "")</f>
        <v/>
      </c>
      <c r="Q194" s="117"/>
      <c r="R194" s="117"/>
      <c r="S194" s="117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2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17"/>
      <c r="R195" s="117"/>
      <c r="S195" s="117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2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17"/>
      <c r="R196" s="117"/>
      <c r="S196" s="117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2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18"/>
      <c r="R197" s="119"/>
      <c r="S197" s="120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5" t="str">
        <f>IF(ISNUMBER(D198), $B199 * E198, "")</f>
        <v/>
      </c>
      <c r="G198" s="103"/>
      <c r="H198" s="25" t="str">
        <f t="shared" si="107"/>
        <v/>
      </c>
      <c r="I198" s="104" t="str">
        <f>IF(ISNUMBER(G198), $B199 * H198, "")</f>
        <v/>
      </c>
      <c r="J198" s="24"/>
      <c r="K198" s="25" t="str">
        <f t="shared" si="108"/>
        <v/>
      </c>
      <c r="L198" s="105" t="str">
        <f>IF(ISNUMBER(J198), $B199 * K198, "")</f>
        <v/>
      </c>
      <c r="M198" s="103"/>
      <c r="N198" s="25" t="str">
        <f t="shared" si="109"/>
        <v/>
      </c>
      <c r="O198" s="105" t="str">
        <f>IF(ISNUMBER(M198), $B199 * N198, "")</f>
        <v/>
      </c>
      <c r="Q198" s="121"/>
      <c r="R198" s="122"/>
      <c r="S198" s="123"/>
    </row>
    <row r="199" spans="1:19" ht="17.25" thickBot="1">
      <c r="A199" s="26" t="s">
        <v>301</v>
      </c>
      <c r="B199" s="127">
        <f>$B$37</f>
        <v>300000</v>
      </c>
      <c r="C199" s="128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24"/>
      <c r="R199" s="125"/>
      <c r="S199" s="126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138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38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38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38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38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38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38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38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38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38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379" priority="291">
      <formula>AND($N17 &lt; 0, ISNUMBER($N17))</formula>
    </cfRule>
    <cfRule type="expression" dxfId="1378" priority="290">
      <formula>AND($N17 = 0 * ISNUMBER($N17))</formula>
    </cfRule>
    <cfRule type="expression" dxfId="1377" priority="289">
      <formula>AND($N17 &gt; 0, ISNUMBER($N17))</formula>
    </cfRule>
  </conditionalFormatting>
  <conditionalFormatting sqref="A17:C36 D17:F36">
    <cfRule type="expression" dxfId="1376" priority="300">
      <formula>AND($E17 &lt; 0, ISNUMBER($E17))</formula>
    </cfRule>
    <cfRule type="expression" dxfId="1375" priority="299">
      <formula>AND($E17 = 0 * ISNUMBER($E17))</formula>
    </cfRule>
    <cfRule type="expression" dxfId="1374" priority="298">
      <formula>AND($E17 &gt; 0, ISNUMBER($E17))</formula>
    </cfRule>
  </conditionalFormatting>
  <conditionalFormatting sqref="A17:C36 G17:I36">
    <cfRule type="expression" dxfId="1373" priority="297">
      <formula>AND($H17 &lt; 0, ISNUMBER($H17))</formula>
    </cfRule>
    <cfRule type="expression" dxfId="1372" priority="296">
      <formula>AND($H17 = 0 * ISNUMBER($H17))</formula>
    </cfRule>
    <cfRule type="expression" dxfId="1371" priority="295">
      <formula>AND($H17 &gt; 0, ISNUMBER($H17))</formula>
    </cfRule>
  </conditionalFormatting>
  <conditionalFormatting sqref="A17:C36 J17:L36">
    <cfRule type="expression" dxfId="1370" priority="292">
      <formula>AND($K17 &gt; 0, ISNUMBER($K17))</formula>
    </cfRule>
    <cfRule type="expression" dxfId="1369" priority="293">
      <formula>AND($K17 = 0 * ISNUMBER($K17))</formula>
    </cfRule>
    <cfRule type="expression" dxfId="1368" priority="294">
      <formula>AND($K17 &lt; 0, ISNUMBER($K17))</formula>
    </cfRule>
  </conditionalFormatting>
  <conditionalFormatting sqref="D15:F16 E37:F37">
    <cfRule type="expression" dxfId="1367" priority="286">
      <formula>$E$37 &gt; 0</formula>
    </cfRule>
    <cfRule type="expression" dxfId="1366" priority="287">
      <formula>$E$37 = 0</formula>
    </cfRule>
    <cfRule type="expression" dxfId="1365" priority="288">
      <formula>$E$37 &lt; 0</formula>
    </cfRule>
  </conditionalFormatting>
  <conditionalFormatting sqref="G15:I16 H37:I37">
    <cfRule type="expression" dxfId="1364" priority="283">
      <formula>$H$37 &gt; 0</formula>
    </cfRule>
    <cfRule type="expression" dxfId="1363" priority="284">
      <formula>$H$37 = 0</formula>
    </cfRule>
    <cfRule type="expression" dxfId="1362" priority="285">
      <formula>$H$37 &lt; 0</formula>
    </cfRule>
  </conditionalFormatting>
  <conditionalFormatting sqref="J15:L16 K37:L37">
    <cfRule type="expression" dxfId="1361" priority="280">
      <formula>$K$37 &gt; 0</formula>
    </cfRule>
    <cfRule type="expression" dxfId="1360" priority="281">
      <formula>$K$37 = 0</formula>
    </cfRule>
    <cfRule type="expression" dxfId="1359" priority="282">
      <formula>$K$37 &lt; 0</formula>
    </cfRule>
  </conditionalFormatting>
  <conditionalFormatting sqref="M15:O16 N37:O37">
    <cfRule type="expression" dxfId="1358" priority="277">
      <formula>$N$37 &gt; 0</formula>
    </cfRule>
    <cfRule type="expression" dxfId="1357" priority="278">
      <formula>$N$37 = 0</formula>
    </cfRule>
    <cfRule type="expression" dxfId="1356" priority="279">
      <formula>$N$37 &lt; 0</formula>
    </cfRule>
  </conditionalFormatting>
  <conditionalFormatting sqref="A44:C63 M44:O63">
    <cfRule type="expression" dxfId="1355" priority="265">
      <formula>AND($N44 &gt; 0, ISNUMBER($N44))</formula>
    </cfRule>
    <cfRule type="expression" dxfId="1354" priority="266">
      <formula>AND($N44 = 0 * ISNUMBER($N44))</formula>
    </cfRule>
    <cfRule type="expression" dxfId="1353" priority="267">
      <formula>AND($N44 &lt; 0, ISNUMBER($N44))</formula>
    </cfRule>
  </conditionalFormatting>
  <conditionalFormatting sqref="A44:F63">
    <cfRule type="expression" dxfId="1352" priority="274">
      <formula>AND($E44 &gt; 0, ISNUMBER($E44))</formula>
    </cfRule>
    <cfRule type="expression" dxfId="1351" priority="275">
      <formula>AND($E44 = 0 * ISNUMBER($E44))</formula>
    </cfRule>
    <cfRule type="expression" dxfId="1350" priority="276">
      <formula>AND($E44 &lt; 0, ISNUMBER($E44))</formula>
    </cfRule>
  </conditionalFormatting>
  <conditionalFormatting sqref="A44:C63 G44:I63">
    <cfRule type="expression" dxfId="1349" priority="271">
      <formula>AND($H44 &gt; 0, ISNUMBER($H44))</formula>
    </cfRule>
    <cfRule type="expression" dxfId="1348" priority="272">
      <formula>AND($H44 = 0 * ISNUMBER($H44))</formula>
    </cfRule>
    <cfRule type="expression" dxfId="1347" priority="273">
      <formula>AND($H44 &lt; 0, ISNUMBER($H44))</formula>
    </cfRule>
  </conditionalFormatting>
  <conditionalFormatting sqref="A44:C63 J44:L63">
    <cfRule type="expression" dxfId="1346" priority="268">
      <formula>AND($K44 &gt; 0, ISNUMBER($K44))</formula>
    </cfRule>
    <cfRule type="expression" dxfId="1345" priority="269">
      <formula>AND($K44 = 0 * ISNUMBER($K44))</formula>
    </cfRule>
    <cfRule type="expression" dxfId="1344" priority="270">
      <formula>AND($K44 &lt; 0, ISNUMBER($K44))</formula>
    </cfRule>
  </conditionalFormatting>
  <conditionalFormatting sqref="D42:F43 E64:F64">
    <cfRule type="expression" dxfId="1343" priority="262">
      <formula>$E$64 &gt; 0</formula>
    </cfRule>
    <cfRule type="expression" dxfId="1342" priority="263">
      <formula>$E$64 = 0</formula>
    </cfRule>
    <cfRule type="expression" dxfId="1341" priority="264">
      <formula>$E$64 &lt; 0</formula>
    </cfRule>
  </conditionalFormatting>
  <conditionalFormatting sqref="G42:I43 H64:I64">
    <cfRule type="expression" dxfId="1340" priority="259">
      <formula>$H$64 &gt; 0</formula>
    </cfRule>
    <cfRule type="expression" dxfId="1339" priority="260">
      <formula>$H$64 = 0</formula>
    </cfRule>
    <cfRule type="expression" dxfId="1338" priority="261">
      <formula>$H$64 &lt; 0</formula>
    </cfRule>
  </conditionalFormatting>
  <conditionalFormatting sqref="J42:L43 K64:L64">
    <cfRule type="expression" dxfId="1337" priority="256">
      <formula>$K$64 &gt; 0</formula>
    </cfRule>
    <cfRule type="expression" dxfId="1336" priority="257">
      <formula>$K$64 = 0</formula>
    </cfRule>
    <cfRule type="expression" dxfId="1335" priority="258">
      <formula>$K$64 &lt; 0</formula>
    </cfRule>
  </conditionalFormatting>
  <conditionalFormatting sqref="M42:O43 N64:O64">
    <cfRule type="expression" dxfId="1334" priority="253">
      <formula>$N$64 &gt; 0</formula>
    </cfRule>
    <cfRule type="expression" dxfId="1333" priority="254">
      <formula>$N$64 = 0</formula>
    </cfRule>
    <cfRule type="expression" dxfId="1332" priority="255">
      <formula>$N$64 &lt; 0</formula>
    </cfRule>
  </conditionalFormatting>
  <conditionalFormatting sqref="A71:C90 M71:O90">
    <cfRule type="expression" dxfId="1331" priority="109">
      <formula>AND($N71 &gt; 0, ISNUMBER($N71))</formula>
    </cfRule>
    <cfRule type="expression" dxfId="1330" priority="110">
      <formula>AND($N71 = 0 * ISNUMBER($N71))</formula>
    </cfRule>
    <cfRule type="expression" dxfId="1329" priority="111">
      <formula>AND($N71 &lt; 0, ISNUMBER($N71))</formula>
    </cfRule>
  </conditionalFormatting>
  <conditionalFormatting sqref="A71:F90">
    <cfRule type="expression" dxfId="1328" priority="118">
      <formula>AND($E71 &gt; 0, ISNUMBER($E71))</formula>
    </cfRule>
    <cfRule type="expression" dxfId="1327" priority="119">
      <formula>AND($E71 = 0 * ISNUMBER($E71))</formula>
    </cfRule>
    <cfRule type="expression" dxfId="1326" priority="120">
      <formula>AND($E71 &lt; 0, ISNUMBER($E71))</formula>
    </cfRule>
  </conditionalFormatting>
  <conditionalFormatting sqref="A71:C90 G71:I90">
    <cfRule type="expression" dxfId="1325" priority="115">
      <formula>AND($H71 &gt; 0, ISNUMBER($H71))</formula>
    </cfRule>
    <cfRule type="expression" dxfId="1324" priority="116">
      <formula>AND($H71 = 0 * ISNUMBER($H71))</formula>
    </cfRule>
    <cfRule type="expression" dxfId="1323" priority="117">
      <formula>AND($H71 &lt; 0, ISNUMBER($H71))</formula>
    </cfRule>
  </conditionalFormatting>
  <conditionalFormatting sqref="A71:C90 J71:L90">
    <cfRule type="expression" dxfId="1322" priority="112">
      <formula>AND($K71 &gt; 0, ISNUMBER($K71))</formula>
    </cfRule>
    <cfRule type="expression" dxfId="1321" priority="113">
      <formula>AND($K71 = 0 * ISNUMBER($K71))</formula>
    </cfRule>
    <cfRule type="expression" dxfId="1320" priority="114">
      <formula>AND($K71 &lt; 0, ISNUMBER($K71))</formula>
    </cfRule>
  </conditionalFormatting>
  <conditionalFormatting sqref="D69:F70 E91:F91">
    <cfRule type="expression" dxfId="1319" priority="106">
      <formula>$E$91 &gt; 0</formula>
    </cfRule>
    <cfRule type="expression" dxfId="1318" priority="107">
      <formula>$E$91 = 0</formula>
    </cfRule>
    <cfRule type="expression" dxfId="1317" priority="108">
      <formula>$E$91 &lt; 0</formula>
    </cfRule>
  </conditionalFormatting>
  <conditionalFormatting sqref="G69:I70 H91:I91">
    <cfRule type="expression" dxfId="1316" priority="103">
      <formula>$H$91 &gt; 0</formula>
    </cfRule>
    <cfRule type="expression" dxfId="1315" priority="104">
      <formula>$H$91 = 0</formula>
    </cfRule>
    <cfRule type="expression" dxfId="1314" priority="105">
      <formula>$H$91 &lt; 0</formula>
    </cfRule>
  </conditionalFormatting>
  <conditionalFormatting sqref="J69:L70 K91:L91">
    <cfRule type="expression" dxfId="1313" priority="100">
      <formula>$K$91 &gt; 0</formula>
    </cfRule>
    <cfRule type="expression" dxfId="1312" priority="101">
      <formula>$K$91 = 0</formula>
    </cfRule>
    <cfRule type="expression" dxfId="1311" priority="102">
      <formula>$K$91 &lt; 0</formula>
    </cfRule>
  </conditionalFormatting>
  <conditionalFormatting sqref="M69:O70 N91:O91">
    <cfRule type="expression" dxfId="1310" priority="97">
      <formula>$N$91 &gt; 0</formula>
    </cfRule>
    <cfRule type="expression" dxfId="1309" priority="98">
      <formula>$N$91 = 0</formula>
    </cfRule>
    <cfRule type="expression" dxfId="1308" priority="99">
      <formula>$N$91 &lt; 0</formula>
    </cfRule>
  </conditionalFormatting>
  <conditionalFormatting sqref="A98:C117 M98:O117">
    <cfRule type="expression" dxfId="1307" priority="85">
      <formula>AND($N98 &gt; 0, ISNUMBER($N98))</formula>
    </cfRule>
    <cfRule type="expression" dxfId="1306" priority="86">
      <formula>AND($N98 = 0 * ISNUMBER($N98))</formula>
    </cfRule>
    <cfRule type="expression" dxfId="1305" priority="87">
      <formula>AND($N98 &lt; 0, ISNUMBER($N98))</formula>
    </cfRule>
  </conditionalFormatting>
  <conditionalFormatting sqref="A98:F117">
    <cfRule type="expression" dxfId="1304" priority="94">
      <formula>AND($E98 &gt; 0, ISNUMBER($E98))</formula>
    </cfRule>
    <cfRule type="expression" dxfId="1303" priority="95">
      <formula>AND($E98 = 0 * ISNUMBER($E98))</formula>
    </cfRule>
    <cfRule type="expression" dxfId="1302" priority="96">
      <formula>AND($E98 &lt; 0, ISNUMBER($E98))</formula>
    </cfRule>
  </conditionalFormatting>
  <conditionalFormatting sqref="A98:C117 G98:I117">
    <cfRule type="expression" dxfId="1301" priority="91">
      <formula>AND($H98 &gt; 0, ISNUMBER($H98))</formula>
    </cfRule>
    <cfRule type="expression" dxfId="1300" priority="92">
      <formula>AND($H98 = 0 * ISNUMBER($H98))</formula>
    </cfRule>
    <cfRule type="expression" dxfId="1299" priority="93">
      <formula>AND($H98 &lt; 0, ISNUMBER($H98))</formula>
    </cfRule>
  </conditionalFormatting>
  <conditionalFormatting sqref="A98:C117 J98:L117">
    <cfRule type="expression" dxfId="1298" priority="88">
      <formula>AND($K98 &gt; 0, ISNUMBER($K98))</formula>
    </cfRule>
    <cfRule type="expression" dxfId="1297" priority="89">
      <formula>AND($K98 = 0 * ISNUMBER($K98))</formula>
    </cfRule>
    <cfRule type="expression" dxfId="1296" priority="90">
      <formula>AND($K98 &lt; 0, ISNUMBER($K98))</formula>
    </cfRule>
  </conditionalFormatting>
  <conditionalFormatting sqref="D96:F97 E118:F118">
    <cfRule type="expression" dxfId="1295" priority="82">
      <formula>$E$118 &gt; 0</formula>
    </cfRule>
    <cfRule type="expression" dxfId="1294" priority="83">
      <formula>$E$118 = 0</formula>
    </cfRule>
    <cfRule type="expression" dxfId="1293" priority="84">
      <formula>$E$118 &lt; 0</formula>
    </cfRule>
  </conditionalFormatting>
  <conditionalFormatting sqref="G96:I97 H118:I118">
    <cfRule type="expression" dxfId="1292" priority="79">
      <formula>$H$118 &gt; 0</formula>
    </cfRule>
    <cfRule type="expression" dxfId="1291" priority="80">
      <formula>$H$118 = 0</formula>
    </cfRule>
    <cfRule type="expression" dxfId="1290" priority="81">
      <formula>$H$118 &lt; 0</formula>
    </cfRule>
  </conditionalFormatting>
  <conditionalFormatting sqref="J96:L97 K118:L118">
    <cfRule type="expression" dxfId="1289" priority="76">
      <formula>$K$118 &gt; 0</formula>
    </cfRule>
    <cfRule type="expression" dxfId="1288" priority="77">
      <formula>$K$118 = 0</formula>
    </cfRule>
    <cfRule type="expression" dxfId="1287" priority="78">
      <formula>$K$118 &lt; 0</formula>
    </cfRule>
  </conditionalFormatting>
  <conditionalFormatting sqref="M96:O97 N118:O118">
    <cfRule type="expression" dxfId="1286" priority="73">
      <formula>$N$118 &gt; 0</formula>
    </cfRule>
    <cfRule type="expression" dxfId="1285" priority="74">
      <formula>$N$118 = 0</formula>
    </cfRule>
    <cfRule type="expression" dxfId="1284" priority="75">
      <formula>$N$118 &lt; 0</formula>
    </cfRule>
  </conditionalFormatting>
  <conditionalFormatting sqref="A125:C144 M125:O144">
    <cfRule type="expression" dxfId="1283" priority="61">
      <formula>AND($N125 &gt; 0, ISNUMBER($N125))</formula>
    </cfRule>
    <cfRule type="expression" dxfId="1282" priority="62">
      <formula>AND($N125 = 0 * ISNUMBER($N125))</formula>
    </cfRule>
    <cfRule type="expression" dxfId="1281" priority="63">
      <formula>AND($N125 &lt; 0, ISNUMBER($N125))</formula>
    </cfRule>
  </conditionalFormatting>
  <conditionalFormatting sqref="A125:F144">
    <cfRule type="expression" dxfId="1280" priority="70">
      <formula>AND($E125 &gt; 0, ISNUMBER($E125))</formula>
    </cfRule>
    <cfRule type="expression" dxfId="1279" priority="71">
      <formula>AND($E125 = 0 * ISNUMBER($E125))</formula>
    </cfRule>
    <cfRule type="expression" dxfId="1278" priority="72">
      <formula>AND($E125 &lt; 0, ISNUMBER($E125))</formula>
    </cfRule>
  </conditionalFormatting>
  <conditionalFormatting sqref="A125:C144 G125:I144">
    <cfRule type="expression" dxfId="1277" priority="67">
      <formula>AND($H125 &gt; 0, ISNUMBER($H125))</formula>
    </cfRule>
    <cfRule type="expression" dxfId="1276" priority="68">
      <formula>AND($H125 = 0 * ISNUMBER($H125))</formula>
    </cfRule>
    <cfRule type="expression" dxfId="1275" priority="69">
      <formula>AND($H125 &lt; 0, ISNUMBER($H125))</formula>
    </cfRule>
  </conditionalFormatting>
  <conditionalFormatting sqref="A125:C144 J125:L144">
    <cfRule type="expression" dxfId="1274" priority="64">
      <formula>AND($K125 &gt; 0, ISNUMBER($K125))</formula>
    </cfRule>
    <cfRule type="expression" dxfId="1273" priority="65">
      <formula>AND($K125 = 0 * ISNUMBER($K125))</formula>
    </cfRule>
    <cfRule type="expression" dxfId="1272" priority="66">
      <formula>AND($K125 &lt; 0, ISNUMBER($K125))</formula>
    </cfRule>
  </conditionalFormatting>
  <conditionalFormatting sqref="D123:F124 E145:F145">
    <cfRule type="expression" dxfId="1271" priority="58">
      <formula>$E$145 &gt; 0</formula>
    </cfRule>
    <cfRule type="expression" dxfId="1270" priority="59">
      <formula>$E$145 = 0</formula>
    </cfRule>
    <cfRule type="expression" dxfId="1269" priority="60">
      <formula>$E$145 &lt; 0</formula>
    </cfRule>
  </conditionalFormatting>
  <conditionalFormatting sqref="G123:I124 H145:I145">
    <cfRule type="expression" dxfId="1268" priority="55">
      <formula>$H$145 &gt; 0</formula>
    </cfRule>
    <cfRule type="expression" dxfId="1267" priority="56">
      <formula>$H$145 = 0</formula>
    </cfRule>
    <cfRule type="expression" dxfId="1266" priority="57">
      <formula>$H$145 &lt; 0</formula>
    </cfRule>
  </conditionalFormatting>
  <conditionalFormatting sqref="J123:L124 K145:L145">
    <cfRule type="expression" dxfId="1265" priority="52">
      <formula>$K$145 &gt; 0</formula>
    </cfRule>
    <cfRule type="expression" dxfId="1264" priority="53">
      <formula>$K$145 = 0</formula>
    </cfRule>
    <cfRule type="expression" dxfId="1263" priority="54">
      <formula>$K$145 &lt; 0</formula>
    </cfRule>
  </conditionalFormatting>
  <conditionalFormatting sqref="M123:O124 N145:O145">
    <cfRule type="expression" dxfId="1262" priority="49">
      <formula>$N$145 &gt; 0</formula>
    </cfRule>
    <cfRule type="expression" dxfId="1261" priority="50">
      <formula>$N$145 = 0</formula>
    </cfRule>
    <cfRule type="expression" dxfId="1260" priority="51">
      <formula>$N$145 &lt; 0</formula>
    </cfRule>
  </conditionalFormatting>
  <conditionalFormatting sqref="A152:C171 M152:O171">
    <cfRule type="expression" dxfId="1259" priority="37">
      <formula>AND($N152 &gt; 0, ISNUMBER($N152))</formula>
    </cfRule>
    <cfRule type="expression" dxfId="1258" priority="38">
      <formula>AND($N152 = 0 * ISNUMBER($N152))</formula>
    </cfRule>
    <cfRule type="expression" dxfId="1257" priority="39">
      <formula>AND($N152 &lt; 0, ISNUMBER($N152))</formula>
    </cfRule>
  </conditionalFormatting>
  <conditionalFormatting sqref="A152:F171">
    <cfRule type="expression" dxfId="1256" priority="46">
      <formula>AND($E152 &gt; 0, ISNUMBER($E152))</formula>
    </cfRule>
    <cfRule type="expression" dxfId="1255" priority="47">
      <formula>AND($E152 = 0 * ISNUMBER($E152))</formula>
    </cfRule>
    <cfRule type="expression" dxfId="1254" priority="48">
      <formula>AND($E152 &lt; 0, ISNUMBER($E152))</formula>
    </cfRule>
  </conditionalFormatting>
  <conditionalFormatting sqref="A152:C171 G152:I171">
    <cfRule type="expression" dxfId="1253" priority="43">
      <formula>AND($H152 &gt; 0, ISNUMBER($H152))</formula>
    </cfRule>
    <cfRule type="expression" dxfId="1252" priority="44">
      <formula>AND($H152 = 0 * ISNUMBER($H152))</formula>
    </cfRule>
    <cfRule type="expression" dxfId="1251" priority="45">
      <formula>AND($H152 &lt; 0, ISNUMBER($H152))</formula>
    </cfRule>
  </conditionalFormatting>
  <conditionalFormatting sqref="A152:C171 J152:L171">
    <cfRule type="expression" dxfId="1250" priority="40">
      <formula>AND($K152 &gt; 0, ISNUMBER($K152))</formula>
    </cfRule>
    <cfRule type="expression" dxfId="1249" priority="41">
      <formula>AND($K152 = 0 * ISNUMBER($K152))</formula>
    </cfRule>
    <cfRule type="expression" dxfId="1248" priority="42">
      <formula>AND($K152 &lt; 0, ISNUMBER($K152))</formula>
    </cfRule>
  </conditionalFormatting>
  <conditionalFormatting sqref="D150:F151 E172:F172">
    <cfRule type="expression" dxfId="1247" priority="34">
      <formula>$E$172 &gt; 0</formula>
    </cfRule>
    <cfRule type="expression" dxfId="1246" priority="35">
      <formula>$E$172 = 0</formula>
    </cfRule>
    <cfRule type="expression" dxfId="1245" priority="36">
      <formula>$E$172 &lt; 0</formula>
    </cfRule>
  </conditionalFormatting>
  <conditionalFormatting sqref="G150:I151 H172:I172">
    <cfRule type="expression" dxfId="1244" priority="31">
      <formula>$H$172 &gt; 0</formula>
    </cfRule>
    <cfRule type="expression" dxfId="1243" priority="32">
      <formula>$H$172 = 0</formula>
    </cfRule>
    <cfRule type="expression" dxfId="1242" priority="33">
      <formula>$H$172 &lt; 0</formula>
    </cfRule>
  </conditionalFormatting>
  <conditionalFormatting sqref="J150:L151 K172:L172">
    <cfRule type="expression" dxfId="1241" priority="28">
      <formula>$K$172 &gt; 0</formula>
    </cfRule>
    <cfRule type="expression" dxfId="1240" priority="29">
      <formula>$K$172 = 0</formula>
    </cfRule>
    <cfRule type="expression" dxfId="1239" priority="30">
      <formula>$K$172 &lt; 0</formula>
    </cfRule>
  </conditionalFormatting>
  <conditionalFormatting sqref="M150:O151 N172:O172">
    <cfRule type="expression" dxfId="1238" priority="25">
      <formula>$N$172 &gt; 0</formula>
    </cfRule>
    <cfRule type="expression" dxfId="1237" priority="26">
      <formula>$N$172 = 0</formula>
    </cfRule>
    <cfRule type="expression" dxfId="1236" priority="27">
      <formula>$N$172 &lt; 0</formula>
    </cfRule>
  </conditionalFormatting>
  <conditionalFormatting sqref="A179:C198 M179:O198">
    <cfRule type="expression" dxfId="1235" priority="13">
      <formula>AND($N179 &gt; 0, ISNUMBER($N179))</formula>
    </cfRule>
    <cfRule type="expression" dxfId="1234" priority="14">
      <formula>AND($N179 = 0 * ISNUMBER($N179))</formula>
    </cfRule>
    <cfRule type="expression" dxfId="1233" priority="15">
      <formula>AND($N179 &lt; 0, ISNUMBER($N179))</formula>
    </cfRule>
  </conditionalFormatting>
  <conditionalFormatting sqref="A179:F198">
    <cfRule type="expression" dxfId="1232" priority="22">
      <formula>AND($E179 &gt; 0, ISNUMBER($E179))</formula>
    </cfRule>
    <cfRule type="expression" dxfId="1231" priority="23">
      <formula>AND($E179 = 0 * ISNUMBER($E179))</formula>
    </cfRule>
    <cfRule type="expression" dxfId="1230" priority="24">
      <formula>AND($E179 &lt; 0, ISNUMBER($E179))</formula>
    </cfRule>
  </conditionalFormatting>
  <conditionalFormatting sqref="A179:C198 G179:I198">
    <cfRule type="expression" dxfId="1229" priority="19">
      <formula>AND($H179 &gt; 0, ISNUMBER($H179))</formula>
    </cfRule>
    <cfRule type="expression" dxfId="1228" priority="20">
      <formula>AND($H179 = 0 * ISNUMBER($H179))</formula>
    </cfRule>
    <cfRule type="expression" dxfId="1227" priority="21">
      <formula>AND($H179 &lt; 0, ISNUMBER($H179))</formula>
    </cfRule>
  </conditionalFormatting>
  <conditionalFormatting sqref="A179:C198 J179:L198">
    <cfRule type="expression" dxfId="1226" priority="16">
      <formula>AND($K179 &gt; 0, ISNUMBER($K179))</formula>
    </cfRule>
    <cfRule type="expression" dxfId="1225" priority="17">
      <formula>AND($K179 = 0 * ISNUMBER($K179))</formula>
    </cfRule>
    <cfRule type="expression" dxfId="1224" priority="18">
      <formula>AND($K179 &lt; 0, ISNUMBER($K179))</formula>
    </cfRule>
  </conditionalFormatting>
  <conditionalFormatting sqref="D177:F178 E199:F199">
    <cfRule type="expression" dxfId="1214" priority="10">
      <formula>$E$199 &gt; 0</formula>
    </cfRule>
    <cfRule type="expression" dxfId="1213" priority="11">
      <formula>$E$199 = 0</formula>
    </cfRule>
    <cfRule type="expression" dxfId="1212" priority="12">
      <formula>$E$199 &lt; 0</formula>
    </cfRule>
  </conditionalFormatting>
  <conditionalFormatting sqref="G177:I178 H199:I199">
    <cfRule type="expression" dxfId="1217" priority="7">
      <formula>$H$199 &gt; 0</formula>
    </cfRule>
    <cfRule type="expression" dxfId="1216" priority="8">
      <formula>$H$199 = 0</formula>
    </cfRule>
    <cfRule type="expression" dxfId="1215" priority="9">
      <formula>$H$199 &lt; 0</formula>
    </cfRule>
  </conditionalFormatting>
  <conditionalFormatting sqref="J177:L178 K199:L199">
    <cfRule type="expression" dxfId="1220" priority="4">
      <formula>$K$199 &gt; 0</formula>
    </cfRule>
    <cfRule type="expression" dxfId="1219" priority="5">
      <formula>$K$199 = 0</formula>
    </cfRule>
    <cfRule type="expression" dxfId="1218" priority="6">
      <formula>$K$199 &lt; 0</formula>
    </cfRule>
  </conditionalFormatting>
  <conditionalFormatting sqref="M177:O178 N199:O199">
    <cfRule type="expression" dxfId="1223" priority="1">
      <formula>$N$199 &gt; 0</formula>
    </cfRule>
    <cfRule type="expression" dxfId="1222" priority="2">
      <formula>$N$199 = 0</formula>
    </cfRule>
    <cfRule type="expression" dxfId="122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"/>
  <sheetViews>
    <sheetView workbookViewId="0">
      <selection activeCell="A6" sqref="A6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25" workbookViewId="0">
      <selection activeCell="H5" sqref="H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8" t="s">
        <v>287</v>
      </c>
      <c r="B1" s="70" t="s">
        <v>39</v>
      </c>
      <c r="C1" s="69" t="s">
        <v>37</v>
      </c>
      <c r="D1" s="71" t="s">
        <v>38</v>
      </c>
      <c r="E1" s="92" t="s">
        <v>294</v>
      </c>
    </row>
    <row r="2" spans="1:18" ht="17.25" thickBot="1">
      <c r="A2" s="40" t="s">
        <v>219</v>
      </c>
      <c r="B2" s="11" t="s">
        <v>220</v>
      </c>
      <c r="C2" s="96">
        <v>25.9</v>
      </c>
      <c r="D2" s="93">
        <v>0.26341463409999999</v>
      </c>
      <c r="E2" s="94">
        <v>1029131349.2015455</v>
      </c>
      <c r="F2" s="35"/>
      <c r="G2" s="54"/>
      <c r="H2" s="35"/>
      <c r="I2" s="35"/>
    </row>
    <row r="3" spans="1:18" ht="17.25" thickBot="1">
      <c r="A3" s="40" t="s">
        <v>201</v>
      </c>
      <c r="B3" s="11" t="s">
        <v>202</v>
      </c>
      <c r="C3" s="96">
        <v>247</v>
      </c>
      <c r="D3" s="93">
        <v>0.1227272727</v>
      </c>
      <c r="E3" s="94">
        <v>498321923.87117326</v>
      </c>
      <c r="F3" s="35"/>
      <c r="G3" s="179" t="s">
        <v>290</v>
      </c>
      <c r="H3" s="180" t="s">
        <v>303</v>
      </c>
      <c r="I3" s="180"/>
      <c r="K3" s="139" t="s">
        <v>34</v>
      </c>
      <c r="L3" s="140"/>
      <c r="M3" s="140"/>
      <c r="N3" s="141"/>
      <c r="O3" s="139" t="s">
        <v>292</v>
      </c>
      <c r="P3" s="140"/>
      <c r="Q3" s="140"/>
      <c r="R3" s="141"/>
    </row>
    <row r="4" spans="1:18" ht="17.25" thickBot="1">
      <c r="A4" s="40" t="s">
        <v>211</v>
      </c>
      <c r="B4" s="11" t="s">
        <v>212</v>
      </c>
      <c r="C4" s="96">
        <v>177</v>
      </c>
      <c r="D4" s="93">
        <v>8.5889570600000006E-2</v>
      </c>
      <c r="E4" s="94">
        <v>3697532024.7015696</v>
      </c>
      <c r="F4" s="35"/>
      <c r="G4" s="173"/>
      <c r="H4" s="181"/>
      <c r="I4" s="181"/>
      <c r="K4" s="172" t="s">
        <v>55</v>
      </c>
      <c r="L4" s="184">
        <f ca="1">NOW()</f>
        <v>44319.059008217591</v>
      </c>
      <c r="M4" s="185"/>
      <c r="N4" s="186"/>
      <c r="O4" s="174" t="s">
        <v>55</v>
      </c>
      <c r="P4" s="184">
        <f ca="1">NOW()</f>
        <v>44319.059008217591</v>
      </c>
      <c r="Q4" s="185"/>
      <c r="R4" s="186"/>
    </row>
    <row r="5" spans="1:18" ht="17.25" thickBot="1">
      <c r="A5" s="40" t="s">
        <v>279</v>
      </c>
      <c r="B5" s="11" t="s">
        <v>280</v>
      </c>
      <c r="C5" s="96">
        <v>1750</v>
      </c>
      <c r="D5" s="93">
        <v>7.3619631899999996E-2</v>
      </c>
      <c r="E5" s="94">
        <v>57448846.819432072</v>
      </c>
      <c r="F5" s="35"/>
      <c r="K5" s="173"/>
      <c r="L5" s="36" t="s">
        <v>58</v>
      </c>
      <c r="M5" s="74" t="s">
        <v>59</v>
      </c>
      <c r="N5" s="70" t="s">
        <v>294</v>
      </c>
      <c r="O5" s="173"/>
      <c r="P5" s="36" t="s">
        <v>58</v>
      </c>
      <c r="Q5" s="74" t="s">
        <v>59</v>
      </c>
      <c r="R5" s="70" t="s">
        <v>294</v>
      </c>
    </row>
    <row r="6" spans="1:18" ht="17.25" thickBot="1">
      <c r="A6" s="40" t="s">
        <v>163</v>
      </c>
      <c r="B6" s="11" t="s">
        <v>164</v>
      </c>
      <c r="C6" s="96">
        <v>28740</v>
      </c>
      <c r="D6" s="93">
        <v>7.0789865899999999E-2</v>
      </c>
      <c r="E6" s="94">
        <v>3420014.8536799499</v>
      </c>
      <c r="F6" s="35"/>
      <c r="G6" s="139" t="s">
        <v>52</v>
      </c>
      <c r="H6" s="140"/>
      <c r="I6" s="141"/>
      <c r="K6" s="55" t="str">
        <f ca="1">IFERROR(OFFSET(INDIRECT($H$3 &amp; "!A17"), 0, 0), "")</f>
        <v>질리카</v>
      </c>
      <c r="L6" s="38">
        <f t="shared" ref="L6:L24" ca="1" si="0">_xlfn.IFNA(VLOOKUP(K6, $B$2:$E$200, 2, FALSE), "")</f>
        <v>244</v>
      </c>
      <c r="M6" s="77">
        <f t="shared" ref="M6:M25" ca="1" si="1">_xlfn.IFNA(VLOOKUP(K6, $B$2:$E$200, 3, FALSE), "")</f>
        <v>-2.78884462E-2</v>
      </c>
      <c r="N6" s="86">
        <f ca="1">_xlfn.IFNA(VLOOKUP(K6, $B$2:$E$200, 4, FALSE), "")</f>
        <v>40339305.178109132</v>
      </c>
      <c r="O6" s="46" t="str">
        <f>INDEX($A$2:$D$200, MATCH(LARGE($D$2:$D$200, 1), $D$2:$D$200, 0), 2)</f>
        <v>메인프레임</v>
      </c>
      <c r="P6" s="38">
        <f t="shared" ref="P6:P25" si="2">_xlfn.IFNA(VLOOKUP(O6, $B$2:$D$200, 2, FALSE), "")</f>
        <v>25.9</v>
      </c>
      <c r="Q6" s="77">
        <f t="shared" ref="Q6:Q25" si="3">_xlfn.IFNA(VLOOKUP(O6, $B$2:$D$200, 3, FALSE), "")</f>
        <v>0.26341463409999999</v>
      </c>
      <c r="R6" s="86">
        <f>_xlfn.IFNA(VLOOKUP(O6, $B$2:$E$200, 4, FALSE), "")</f>
        <v>1029131349.2015455</v>
      </c>
    </row>
    <row r="7" spans="1:18">
      <c r="A7" s="40" t="s">
        <v>145</v>
      </c>
      <c r="B7" s="11" t="s">
        <v>146</v>
      </c>
      <c r="C7" s="96">
        <v>19540</v>
      </c>
      <c r="D7" s="93">
        <v>5.6787452699999998E-2</v>
      </c>
      <c r="E7" s="94">
        <v>11243041.749745401</v>
      </c>
      <c r="F7" s="35"/>
      <c r="G7" s="163" t="s">
        <v>36</v>
      </c>
      <c r="H7" s="164"/>
      <c r="I7" s="165"/>
      <c r="K7" s="56" t="str">
        <f ca="1">IFERROR(OFFSET(INDIRECT($H$3 &amp; "!A17"), 1, 0), "")</f>
        <v>폴리매쓰</v>
      </c>
      <c r="L7" s="39">
        <f t="shared" ca="1" si="0"/>
        <v>480</v>
      </c>
      <c r="M7" s="78">
        <f t="shared" ca="1" si="1"/>
        <v>-1.4373716599999999E-2</v>
      </c>
      <c r="N7" s="87">
        <f t="shared" ref="N7:N25" ca="1" si="4">_xlfn.IFNA(VLOOKUP(K7, $B$2:$E$200, 4, FALSE), "")</f>
        <v>14934884.967800761</v>
      </c>
      <c r="O7" s="47" t="str">
        <f>INDEX($A$2:$D$200, MATCH(LARGE($D$2:$D$200, 2), $D$2:$D$200, 0), 2)</f>
        <v>메타디움</v>
      </c>
      <c r="P7" s="39">
        <f t="shared" si="2"/>
        <v>247</v>
      </c>
      <c r="Q7" s="78">
        <f t="shared" si="3"/>
        <v>0.1227272727</v>
      </c>
      <c r="R7" s="87">
        <f t="shared" ref="R7:R25" si="5">_xlfn.IFNA(VLOOKUP(O7, $B$2:$E$200, 4, FALSE), "")</f>
        <v>498321923.87117326</v>
      </c>
    </row>
    <row r="8" spans="1:18" ht="17.25" thickBot="1">
      <c r="A8" s="40" t="s">
        <v>131</v>
      </c>
      <c r="B8" s="11" t="s">
        <v>132</v>
      </c>
      <c r="C8" s="96">
        <v>256</v>
      </c>
      <c r="D8" s="93">
        <v>5.3497942399999998E-2</v>
      </c>
      <c r="E8" s="94">
        <v>1692350475.5293326</v>
      </c>
      <c r="F8" s="35"/>
      <c r="G8" s="157"/>
      <c r="H8" s="158"/>
      <c r="I8" s="159"/>
      <c r="K8" s="56" t="str">
        <f ca="1">IFERROR(OFFSET(INDIRECT($H$3 &amp; "!A17"), 2, 0), "")</f>
        <v>룸네트워크</v>
      </c>
      <c r="L8" s="39">
        <f t="shared" ca="1" si="0"/>
        <v>184</v>
      </c>
      <c r="M8" s="78">
        <f t="shared" ca="1" si="1"/>
        <v>-2.1276595700000001E-2</v>
      </c>
      <c r="N8" s="87">
        <f t="shared" ca="1" si="4"/>
        <v>27199845.0717218</v>
      </c>
      <c r="O8" s="47" t="str">
        <f>INDEX($A$2:$D$200, MATCH(LARGE($D$2:$D$200, 3), $D$2:$D$200, 0), 2)</f>
        <v>메디블록</v>
      </c>
      <c r="P8" s="39">
        <f t="shared" si="2"/>
        <v>177</v>
      </c>
      <c r="Q8" s="78">
        <f t="shared" si="3"/>
        <v>8.5889570600000006E-2</v>
      </c>
      <c r="R8" s="87">
        <f t="shared" si="5"/>
        <v>3697532024.7015696</v>
      </c>
    </row>
    <row r="9" spans="1:18" ht="17.25" thickBot="1">
      <c r="A9" s="40" t="s">
        <v>261</v>
      </c>
      <c r="B9" s="11" t="s">
        <v>262</v>
      </c>
      <c r="C9" s="96">
        <v>1125</v>
      </c>
      <c r="D9" s="93">
        <v>5.1401869199999999E-2</v>
      </c>
      <c r="E9" s="94">
        <v>35690839.673171461</v>
      </c>
      <c r="F9" s="35"/>
      <c r="G9" s="9" t="s">
        <v>38</v>
      </c>
      <c r="H9" s="140" t="s">
        <v>37</v>
      </c>
      <c r="I9" s="141"/>
      <c r="K9" s="56" t="str">
        <f ca="1">IFERROR(OFFSET(INDIRECT($H$3 &amp; "!A17"), 3, 0), "")</f>
        <v>넴</v>
      </c>
      <c r="L9" s="39">
        <f t="shared" ca="1" si="0"/>
        <v>410</v>
      </c>
      <c r="M9" s="78">
        <f t="shared" ca="1" si="1"/>
        <v>-2.1479713599999999E-2</v>
      </c>
      <c r="N9" s="87">
        <f t="shared" ca="1" si="4"/>
        <v>127197238.57289258</v>
      </c>
      <c r="O9" s="47" t="str">
        <f>INDEX($A$2:$D$200, MATCH(LARGE($D$2:$D$200, 4), $D$2:$D$200, 0), 2)</f>
        <v>그로스톨코인</v>
      </c>
      <c r="P9" s="39">
        <f t="shared" si="2"/>
        <v>1750</v>
      </c>
      <c r="Q9" s="78">
        <f t="shared" si="3"/>
        <v>7.3619631899999996E-2</v>
      </c>
      <c r="R9" s="87">
        <f t="shared" si="5"/>
        <v>57448846.819432072</v>
      </c>
    </row>
    <row r="10" spans="1:18">
      <c r="A10" s="40" t="s">
        <v>233</v>
      </c>
      <c r="B10" s="11" t="s">
        <v>234</v>
      </c>
      <c r="C10" s="96">
        <v>1500</v>
      </c>
      <c r="D10" s="93">
        <v>4.5296167200000001E-2</v>
      </c>
      <c r="E10" s="94">
        <v>33355094.286347281</v>
      </c>
      <c r="F10" s="35"/>
      <c r="G10" s="182">
        <f>_xlfn.IFNA(VLOOKUP(G7, $B$2:$D$200, 3, FALSE), "-")</f>
        <v>-1.37004156E-2</v>
      </c>
      <c r="H10" s="175">
        <f>_xlfn.IFNA(VLOOKUP(G7, $B$2:$D$200, 2, FALSE), "-")</f>
        <v>68103000</v>
      </c>
      <c r="I10" s="176"/>
      <c r="K10" s="58" t="str">
        <f ca="1">IFERROR(OFFSET(INDIRECT($H$3 &amp; "!A17"), 4, 0), "")</f>
        <v>이그니스</v>
      </c>
      <c r="L10" s="44">
        <f t="shared" ca="1" si="0"/>
        <v>180</v>
      </c>
      <c r="M10" s="79">
        <f t="shared" ca="1" si="1"/>
        <v>-2.7027026999999999E-2</v>
      </c>
      <c r="N10" s="91">
        <f t="shared" ca="1" si="4"/>
        <v>32485240.649387378</v>
      </c>
      <c r="O10" s="47" t="str">
        <f>INDEX($A$2:$D$200, MATCH(LARGE($D$2:$D$200, 5), $D$2:$D$200, 0), 2)</f>
        <v>웨이브</v>
      </c>
      <c r="P10" s="39">
        <f t="shared" si="2"/>
        <v>28740</v>
      </c>
      <c r="Q10" s="78">
        <f t="shared" si="3"/>
        <v>7.0789865899999999E-2</v>
      </c>
      <c r="R10" s="91">
        <f t="shared" si="5"/>
        <v>3420014.8536799499</v>
      </c>
    </row>
    <row r="11" spans="1:18" ht="17.25" thickBot="1">
      <c r="A11" s="40" t="s">
        <v>185</v>
      </c>
      <c r="B11" s="11" t="s">
        <v>186</v>
      </c>
      <c r="C11" s="96">
        <v>28.2</v>
      </c>
      <c r="D11" s="93">
        <v>4.4444444399999998E-2</v>
      </c>
      <c r="E11" s="94">
        <v>935148095.93308771</v>
      </c>
      <c r="F11" s="35"/>
      <c r="G11" s="183"/>
      <c r="H11" s="177"/>
      <c r="I11" s="178"/>
      <c r="K11" s="56">
        <f ca="1">IFERROR(OFFSET(INDIRECT($H$3 &amp; "!A17"), 5, 0), "")</f>
        <v>0</v>
      </c>
      <c r="L11" s="39" t="str">
        <f t="shared" ca="1" si="0"/>
        <v/>
      </c>
      <c r="M11" s="78" t="str">
        <f t="shared" ca="1" si="1"/>
        <v/>
      </c>
      <c r="N11" s="100" t="str">
        <f t="shared" ca="1" si="4"/>
        <v/>
      </c>
      <c r="O11" s="49" t="str">
        <f>INDEX($A$2:$D$200, MATCH(LARGE($D$2:$D$200, 6), $D$2:$D$200, 0), 2)</f>
        <v>가스</v>
      </c>
      <c r="P11" s="45">
        <f t="shared" si="2"/>
        <v>19540</v>
      </c>
      <c r="Q11" s="81">
        <f t="shared" si="3"/>
        <v>5.6787452699999998E-2</v>
      </c>
      <c r="R11" s="100">
        <f t="shared" si="5"/>
        <v>11243041.749745401</v>
      </c>
    </row>
    <row r="12" spans="1:18" ht="17.25" thickBot="1">
      <c r="A12" s="40" t="s">
        <v>229</v>
      </c>
      <c r="B12" s="11" t="s">
        <v>230</v>
      </c>
      <c r="C12" s="96">
        <v>198</v>
      </c>
      <c r="D12" s="93">
        <v>4.21052632E-2</v>
      </c>
      <c r="E12" s="94">
        <v>182676100.34023836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8" t="str">
        <f t="shared" ca="1" si="1"/>
        <v/>
      </c>
      <c r="N12" s="87" t="str">
        <f t="shared" ca="1" si="4"/>
        <v/>
      </c>
      <c r="O12" s="47" t="str">
        <f>INDEX($A$2:$D$200, MATCH(LARGE($D$2:$D$200, 7), $D$2:$D$200, 0), 2)</f>
        <v>비체인</v>
      </c>
      <c r="P12" s="39">
        <f t="shared" si="2"/>
        <v>256</v>
      </c>
      <c r="Q12" s="78">
        <f t="shared" si="3"/>
        <v>5.3497942399999998E-2</v>
      </c>
      <c r="R12" s="87">
        <f t="shared" si="5"/>
        <v>1692350475.5293326</v>
      </c>
    </row>
    <row r="13" spans="1:18" ht="17.25" thickBot="1">
      <c r="A13" s="40" t="s">
        <v>89</v>
      </c>
      <c r="B13" s="11" t="s">
        <v>90</v>
      </c>
      <c r="C13" s="96">
        <v>411000</v>
      </c>
      <c r="D13" s="93">
        <v>4.0242976499999999E-2</v>
      </c>
      <c r="E13" s="94">
        <v>70825.071637360001</v>
      </c>
      <c r="F13" s="35"/>
      <c r="G13" s="139" t="s">
        <v>70</v>
      </c>
      <c r="H13" s="140"/>
      <c r="I13" s="141"/>
      <c r="K13" s="56">
        <f ca="1">IFERROR(OFFSET(INDIRECT($H$3 &amp; "!A17"), 7, 0), "")</f>
        <v>0</v>
      </c>
      <c r="L13" s="39" t="str">
        <f t="shared" ca="1" si="0"/>
        <v/>
      </c>
      <c r="M13" s="78" t="str">
        <f t="shared" ca="1" si="1"/>
        <v/>
      </c>
      <c r="N13" s="87" t="str">
        <f t="shared" ca="1" si="4"/>
        <v/>
      </c>
      <c r="O13" s="47" t="str">
        <f>INDEX($A$2:$D$200, MATCH(LARGE($D$2:$D$200, 8), $D$2:$D$200, 0), 2)</f>
        <v>스팀</v>
      </c>
      <c r="P13" s="39">
        <f t="shared" si="2"/>
        <v>1125</v>
      </c>
      <c r="Q13" s="78">
        <f t="shared" si="3"/>
        <v>5.1401869199999999E-2</v>
      </c>
      <c r="R13" s="87">
        <f t="shared" si="5"/>
        <v>35690839.673171461</v>
      </c>
    </row>
    <row r="14" spans="1:18">
      <c r="A14" s="40" t="s">
        <v>151</v>
      </c>
      <c r="B14" s="11" t="s">
        <v>152</v>
      </c>
      <c r="C14" s="96">
        <v>49.5</v>
      </c>
      <c r="D14" s="93">
        <v>3.7735849100000003E-2</v>
      </c>
      <c r="E14" s="94">
        <v>2910687292.7312379</v>
      </c>
      <c r="F14" s="35"/>
      <c r="G14" s="163" t="s">
        <v>36</v>
      </c>
      <c r="H14" s="164"/>
      <c r="I14" s="165"/>
      <c r="K14" s="56">
        <f ca="1">IFERROR(OFFSET(INDIRECT($H$3 &amp; "!A17"), 8, 0), "")</f>
        <v>0</v>
      </c>
      <c r="L14" s="39" t="str">
        <f t="shared" ca="1" si="0"/>
        <v/>
      </c>
      <c r="M14" s="78" t="str">
        <f t="shared" ca="1" si="1"/>
        <v/>
      </c>
      <c r="N14" s="87" t="str">
        <f t="shared" ca="1" si="4"/>
        <v/>
      </c>
      <c r="O14" s="47" t="str">
        <f>INDEX($A$2:$D$200, MATCH(LARGE($D$2:$D$200, 9), $D$2:$D$200, 0), 2)</f>
        <v>디마켓</v>
      </c>
      <c r="P14" s="39">
        <f t="shared" si="2"/>
        <v>1500</v>
      </c>
      <c r="Q14" s="78">
        <f t="shared" si="3"/>
        <v>4.5296167200000001E-2</v>
      </c>
      <c r="R14" s="87">
        <f t="shared" si="5"/>
        <v>33355094.286347281</v>
      </c>
    </row>
    <row r="15" spans="1:18" ht="17.25" thickBot="1">
      <c r="A15" s="40" t="s">
        <v>227</v>
      </c>
      <c r="B15" s="11" t="s">
        <v>228</v>
      </c>
      <c r="C15" s="96">
        <v>20.8</v>
      </c>
      <c r="D15" s="93">
        <v>3.4825870600000003E-2</v>
      </c>
      <c r="E15" s="94">
        <v>2117926078.9033074</v>
      </c>
      <c r="F15" s="35"/>
      <c r="G15" s="157"/>
      <c r="H15" s="158"/>
      <c r="I15" s="159"/>
      <c r="K15" s="57">
        <f ca="1">IFERROR(OFFSET(INDIRECT($H$3 &amp; "!A17"), 9, 0), "")</f>
        <v>0</v>
      </c>
      <c r="L15" s="37" t="str">
        <f t="shared" ca="1" si="0"/>
        <v/>
      </c>
      <c r="M15" s="80" t="str">
        <f t="shared" ca="1" si="1"/>
        <v/>
      </c>
      <c r="N15" s="88" t="str">
        <f t="shared" ca="1" si="4"/>
        <v/>
      </c>
      <c r="O15" s="48" t="str">
        <f>INDEX($A$2:$D$200, MATCH(LARGE($D$2:$D$200, 10), $D$2:$D$200, 0), 2)</f>
        <v>에브리피디아</v>
      </c>
      <c r="P15" s="37">
        <f t="shared" si="2"/>
        <v>28.2</v>
      </c>
      <c r="Q15" s="80">
        <f t="shared" si="3"/>
        <v>4.4444444399999998E-2</v>
      </c>
      <c r="R15" s="88">
        <f t="shared" si="5"/>
        <v>935148095.93308771</v>
      </c>
    </row>
    <row r="16" spans="1:18" ht="17.25" thickBot="1">
      <c r="A16" s="40" t="s">
        <v>253</v>
      </c>
      <c r="B16" s="11" t="s">
        <v>254</v>
      </c>
      <c r="C16" s="96">
        <v>96.4</v>
      </c>
      <c r="D16" s="93">
        <v>2.66240682E-2</v>
      </c>
      <c r="E16" s="94">
        <v>465849614.02352536</v>
      </c>
      <c r="F16" s="35"/>
      <c r="G16" s="9" t="s">
        <v>38</v>
      </c>
      <c r="H16" s="140" t="s">
        <v>37</v>
      </c>
      <c r="I16" s="141"/>
      <c r="K16" s="55">
        <f ca="1">IFERROR(OFFSET(INDIRECT($H$3 &amp; "!A17"), 10, 0), "")</f>
        <v>0</v>
      </c>
      <c r="L16" s="38" t="str">
        <f t="shared" ca="1" si="0"/>
        <v/>
      </c>
      <c r="M16" s="77" t="str">
        <f t="shared" ca="1" si="1"/>
        <v/>
      </c>
      <c r="N16" s="86" t="str">
        <f t="shared" ca="1" si="4"/>
        <v/>
      </c>
      <c r="O16" s="46" t="str">
        <f>INDEX($A$2:$D$200, MATCH(LARGE($D$2:$D$200, 11), $D$2:$D$200, 0), 2)</f>
        <v>휴먼스케이프</v>
      </c>
      <c r="P16" s="38">
        <f t="shared" si="2"/>
        <v>198</v>
      </c>
      <c r="Q16" s="77">
        <f t="shared" si="3"/>
        <v>4.21052632E-2</v>
      </c>
      <c r="R16" s="86">
        <f t="shared" si="5"/>
        <v>182676100.34023836</v>
      </c>
    </row>
    <row r="17" spans="1:18">
      <c r="A17" s="40" t="s">
        <v>111</v>
      </c>
      <c r="B17" s="11" t="s">
        <v>112</v>
      </c>
      <c r="C17" s="96">
        <v>286</v>
      </c>
      <c r="D17" s="93">
        <v>2.50896057E-2</v>
      </c>
      <c r="E17" s="94">
        <v>124230562.26929228</v>
      </c>
      <c r="F17" s="35"/>
      <c r="G17" s="182">
        <f>_xlfn.IFNA(VLOOKUP(G14, $B$2:$D$200, 3, FALSE), "-")</f>
        <v>-1.37004156E-2</v>
      </c>
      <c r="H17" s="175">
        <f>_xlfn.IFNA(VLOOKUP(G14, $B$2:$D$200, 2, FALSE), "-")</f>
        <v>68103000</v>
      </c>
      <c r="I17" s="176"/>
      <c r="K17" s="56">
        <f ca="1">IFERROR(OFFSET(INDIRECT($H$3 &amp; "!A17"), 11, 0), "")</f>
        <v>0</v>
      </c>
      <c r="L17" s="39" t="str">
        <f t="shared" ca="1" si="0"/>
        <v/>
      </c>
      <c r="M17" s="78" t="str">
        <f t="shared" ca="1" si="1"/>
        <v/>
      </c>
      <c r="N17" s="87" t="str">
        <f t="shared" ca="1" si="4"/>
        <v/>
      </c>
      <c r="O17" s="47" t="str">
        <f>INDEX($A$2:$D$200, MATCH(LARGE($D$2:$D$200, 12), $D$2:$D$200, 0), 2)</f>
        <v>비트코인에스브이</v>
      </c>
      <c r="P17" s="39">
        <f t="shared" si="2"/>
        <v>411000</v>
      </c>
      <c r="Q17" s="78">
        <f t="shared" si="3"/>
        <v>4.0242976499999999E-2</v>
      </c>
      <c r="R17" s="87">
        <f t="shared" si="5"/>
        <v>70825.071637360001</v>
      </c>
    </row>
    <row r="18" spans="1:18" ht="17.25" thickBot="1">
      <c r="A18" s="40" t="s">
        <v>213</v>
      </c>
      <c r="B18" s="11" t="s">
        <v>214</v>
      </c>
      <c r="C18" s="96">
        <v>25.1</v>
      </c>
      <c r="D18" s="93">
        <v>2.44897959E-2</v>
      </c>
      <c r="E18" s="94">
        <v>692060063.74470866</v>
      </c>
      <c r="F18" s="35"/>
      <c r="G18" s="183"/>
      <c r="H18" s="177"/>
      <c r="I18" s="178"/>
      <c r="K18" s="56">
        <f ca="1">IFERROR(OFFSET(INDIRECT($H$3 &amp; "!A17"), 12, 0), "")</f>
        <v>0</v>
      </c>
      <c r="L18" s="39" t="str">
        <f t="shared" ca="1" si="0"/>
        <v/>
      </c>
      <c r="M18" s="78" t="str">
        <f t="shared" ca="1" si="1"/>
        <v/>
      </c>
      <c r="N18" s="87" t="str">
        <f t="shared" ca="1" si="4"/>
        <v/>
      </c>
      <c r="O18" s="47" t="str">
        <f>INDEX($A$2:$D$200, MATCH(LARGE($D$2:$D$200, 13), $D$2:$D$200, 0), 2)</f>
        <v>시아코인</v>
      </c>
      <c r="P18" s="39">
        <f t="shared" si="2"/>
        <v>49.5</v>
      </c>
      <c r="Q18" s="78">
        <f t="shared" si="3"/>
        <v>3.7735849100000003E-2</v>
      </c>
      <c r="R18" s="87">
        <f t="shared" si="5"/>
        <v>2910687292.7312379</v>
      </c>
    </row>
    <row r="19" spans="1:18" ht="17.25" thickBot="1">
      <c r="A19" s="40" t="s">
        <v>62</v>
      </c>
      <c r="B19" s="11" t="s">
        <v>63</v>
      </c>
      <c r="C19" s="96">
        <v>124550</v>
      </c>
      <c r="D19" s="93">
        <v>2.3838881999999999E-2</v>
      </c>
      <c r="E19" s="94">
        <v>2067718.6005476599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8" t="str">
        <f t="shared" ca="1" si="1"/>
        <v/>
      </c>
      <c r="N19" s="87" t="str">
        <f t="shared" ca="1" si="4"/>
        <v/>
      </c>
      <c r="O19" s="47" t="str">
        <f>INDEX($A$2:$D$200, MATCH(LARGE($D$2:$D$200, 14), $D$2:$D$200, 0), 2)</f>
        <v>무비블록</v>
      </c>
      <c r="P19" s="39">
        <f t="shared" si="2"/>
        <v>20.8</v>
      </c>
      <c r="Q19" s="78">
        <f t="shared" si="3"/>
        <v>3.4825870600000003E-2</v>
      </c>
      <c r="R19" s="87">
        <f t="shared" si="5"/>
        <v>2117926078.9033074</v>
      </c>
    </row>
    <row r="20" spans="1:18" ht="17.25" thickBot="1">
      <c r="A20" s="40" t="s">
        <v>121</v>
      </c>
      <c r="B20" s="11" t="s">
        <v>122</v>
      </c>
      <c r="C20" s="96">
        <v>129</v>
      </c>
      <c r="D20" s="93">
        <v>2.3809523799999999E-2</v>
      </c>
      <c r="E20" s="94">
        <v>351467192.77889866</v>
      </c>
      <c r="F20" s="35"/>
      <c r="G20" s="139" t="s">
        <v>286</v>
      </c>
      <c r="H20" s="140"/>
      <c r="I20" s="141"/>
      <c r="K20" s="58">
        <f ca="1">IFERROR(OFFSET(INDIRECT($H$3 &amp; "!A17"), 14, 0), "")</f>
        <v>0</v>
      </c>
      <c r="L20" s="44" t="str">
        <f t="shared" ca="1" si="0"/>
        <v/>
      </c>
      <c r="M20" s="79" t="str">
        <f t="shared" ca="1" si="1"/>
        <v/>
      </c>
      <c r="N20" s="91" t="str">
        <f t="shared" ca="1" si="4"/>
        <v/>
      </c>
      <c r="O20" s="47" t="str">
        <f>INDEX($A$2:$D$200, MATCH(LARGE($D$2:$D$200, 15), $D$2:$D$200, 0), 2)</f>
        <v>퀴즈톡</v>
      </c>
      <c r="P20" s="39">
        <f t="shared" si="2"/>
        <v>96.4</v>
      </c>
      <c r="Q20" s="78">
        <f t="shared" si="3"/>
        <v>2.66240682E-2</v>
      </c>
      <c r="R20" s="91">
        <f t="shared" si="5"/>
        <v>465849614.02352536</v>
      </c>
    </row>
    <row r="21" spans="1:18">
      <c r="A21" s="40" t="s">
        <v>53</v>
      </c>
      <c r="B21" s="11" t="s">
        <v>54</v>
      </c>
      <c r="C21" s="96">
        <v>398</v>
      </c>
      <c r="D21" s="93">
        <v>2.3136246799999999E-2</v>
      </c>
      <c r="E21" s="94">
        <v>55579916.228638314</v>
      </c>
      <c r="F21" s="35"/>
      <c r="G21" s="163" t="s">
        <v>36</v>
      </c>
      <c r="H21" s="164"/>
      <c r="I21" s="165"/>
      <c r="K21" s="56">
        <f ca="1">IFERROR(OFFSET(INDIRECT($H$3 &amp; "!A17"), 15, 0), "")</f>
        <v>0</v>
      </c>
      <c r="L21" s="39" t="str">
        <f t="shared" ca="1" si="0"/>
        <v/>
      </c>
      <c r="M21" s="78" t="str">
        <f t="shared" ca="1" si="1"/>
        <v/>
      </c>
      <c r="N21" s="100" t="str">
        <f t="shared" ca="1" si="4"/>
        <v/>
      </c>
      <c r="O21" s="49" t="str">
        <f>INDEX($A$2:$D$200, MATCH(LARGE($D$2:$D$200, 16), $D$2:$D$200, 0), 2)</f>
        <v>디카르고</v>
      </c>
      <c r="P21" s="45">
        <f t="shared" si="2"/>
        <v>286</v>
      </c>
      <c r="Q21" s="81">
        <f t="shared" si="3"/>
        <v>2.50896057E-2</v>
      </c>
      <c r="R21" s="100">
        <f t="shared" si="5"/>
        <v>124230562.26929228</v>
      </c>
    </row>
    <row r="22" spans="1:18" ht="17.25" thickBot="1">
      <c r="A22" s="40" t="s">
        <v>267</v>
      </c>
      <c r="B22" s="11" t="s">
        <v>268</v>
      </c>
      <c r="C22" s="96">
        <v>101</v>
      </c>
      <c r="D22" s="93">
        <v>2.2267206500000001E-2</v>
      </c>
      <c r="E22" s="94">
        <v>348308036.81440765</v>
      </c>
      <c r="F22" s="35"/>
      <c r="G22" s="157"/>
      <c r="H22" s="158"/>
      <c r="I22" s="159"/>
      <c r="K22" s="56">
        <f ca="1">IFERROR(OFFSET(INDIRECT($H$3 &amp; "!A17"), 16, 0), "")</f>
        <v>0</v>
      </c>
      <c r="L22" s="39" t="str">
        <f t="shared" ca="1" si="0"/>
        <v/>
      </c>
      <c r="M22" s="78" t="str">
        <f t="shared" ca="1" si="1"/>
        <v/>
      </c>
      <c r="N22" s="87" t="str">
        <f t="shared" ca="1" si="4"/>
        <v/>
      </c>
      <c r="O22" s="47" t="str">
        <f>INDEX($A$2:$D$200, MATCH(LARGE($D$2:$D$200, 17), $D$2:$D$200, 0), 2)</f>
        <v>리퍼리움</v>
      </c>
      <c r="P22" s="39">
        <f t="shared" si="2"/>
        <v>25.1</v>
      </c>
      <c r="Q22" s="78">
        <f t="shared" si="3"/>
        <v>2.44897959E-2</v>
      </c>
      <c r="R22" s="87">
        <f t="shared" si="5"/>
        <v>692060063.74470866</v>
      </c>
    </row>
    <row r="23" spans="1:18" ht="17.25" thickBot="1">
      <c r="A23" s="40" t="s">
        <v>187</v>
      </c>
      <c r="B23" s="11" t="s">
        <v>188</v>
      </c>
      <c r="C23" s="96">
        <v>18420</v>
      </c>
      <c r="D23" s="93">
        <v>2.21975583E-2</v>
      </c>
      <c r="E23" s="94">
        <v>11704579.935771801</v>
      </c>
      <c r="F23" s="35"/>
      <c r="G23" s="9" t="s">
        <v>38</v>
      </c>
      <c r="H23" s="140" t="s">
        <v>37</v>
      </c>
      <c r="I23" s="141"/>
      <c r="K23" s="56">
        <f ca="1">IFERROR(OFFSET(INDIRECT($H$3 &amp; "!A17"), 17, 0), "")</f>
        <v>0</v>
      </c>
      <c r="L23" s="39" t="str">
        <f t="shared" ca="1" si="0"/>
        <v/>
      </c>
      <c r="M23" s="78" t="str">
        <f t="shared" ca="1" si="1"/>
        <v/>
      </c>
      <c r="N23" s="87" t="str">
        <f t="shared" ca="1" si="4"/>
        <v/>
      </c>
      <c r="O23" s="47" t="str">
        <f>INDEX($A$2:$D$200, MATCH(LARGE($D$2:$D$200, 18), $D$2:$D$200, 0), 2)</f>
        <v>네오</v>
      </c>
      <c r="P23" s="39">
        <f t="shared" si="2"/>
        <v>124550</v>
      </c>
      <c r="Q23" s="78">
        <f t="shared" si="3"/>
        <v>2.3838881999999999E-2</v>
      </c>
      <c r="R23" s="87">
        <f t="shared" si="5"/>
        <v>2067718.6005476599</v>
      </c>
    </row>
    <row r="24" spans="1:18">
      <c r="A24" s="40" t="s">
        <v>68</v>
      </c>
      <c r="B24" s="11" t="s">
        <v>69</v>
      </c>
      <c r="C24" s="96">
        <v>12870</v>
      </c>
      <c r="D24" s="93">
        <v>2.1428571399999999E-2</v>
      </c>
      <c r="E24" s="94">
        <v>3857563.0478975</v>
      </c>
      <c r="F24" s="35"/>
      <c r="G24" s="182">
        <f>_xlfn.IFNA(VLOOKUP(G21, $B$2:$D$200, 3, FALSE), "-")</f>
        <v>-1.37004156E-2</v>
      </c>
      <c r="H24" s="175">
        <f>_xlfn.IFNA(VLOOKUP(G21, $B$2:$D$200, 2, FALSE), "-")</f>
        <v>68103000</v>
      </c>
      <c r="I24" s="176"/>
      <c r="K24" s="56">
        <f ca="1">IFERROR(OFFSET(INDIRECT($H$3 &amp; "!A17"), 18, 0), "")</f>
        <v>0</v>
      </c>
      <c r="L24" s="39" t="str">
        <f t="shared" ca="1" si="0"/>
        <v/>
      </c>
      <c r="M24" s="78" t="str">
        <f t="shared" ca="1" si="1"/>
        <v/>
      </c>
      <c r="N24" s="87" t="str">
        <f t="shared" ca="1" si="4"/>
        <v/>
      </c>
      <c r="O24" s="47" t="str">
        <f>INDEX($A$2:$D$200, MATCH(LARGE($D$2:$D$200, 19), $D$2:$D$200, 0), 2)</f>
        <v>픽셀</v>
      </c>
      <c r="P24" s="39">
        <f t="shared" si="2"/>
        <v>129</v>
      </c>
      <c r="Q24" s="78">
        <f t="shared" si="3"/>
        <v>2.3809523799999999E-2</v>
      </c>
      <c r="R24" s="87">
        <f t="shared" si="5"/>
        <v>351467192.77889866</v>
      </c>
    </row>
    <row r="25" spans="1:18" ht="17.25" thickBot="1">
      <c r="A25" s="40" t="s">
        <v>207</v>
      </c>
      <c r="B25" s="11" t="s">
        <v>208</v>
      </c>
      <c r="C25" s="96">
        <v>543</v>
      </c>
      <c r="D25" s="93">
        <v>1.8761726100000001E-2</v>
      </c>
      <c r="E25" s="94">
        <v>131249043.20598491</v>
      </c>
      <c r="F25" s="35"/>
      <c r="G25" s="183"/>
      <c r="H25" s="177"/>
      <c r="I25" s="178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80" t="str">
        <f t="shared" ca="1" si="1"/>
        <v/>
      </c>
      <c r="N25" s="88" t="str">
        <f t="shared" ca="1" si="4"/>
        <v/>
      </c>
      <c r="O25" s="48" t="str">
        <f>INDEX($A$2:$D$200, MATCH(LARGE($D$2:$D$200, 20), $D$2:$D$200, 0), 2)</f>
        <v>헤데라해시그래프</v>
      </c>
      <c r="P25" s="37">
        <f t="shared" si="2"/>
        <v>398</v>
      </c>
      <c r="Q25" s="80">
        <f t="shared" si="3"/>
        <v>2.3136246799999999E-2</v>
      </c>
      <c r="R25" s="88">
        <f t="shared" si="5"/>
        <v>55579916.228638314</v>
      </c>
    </row>
    <row r="26" spans="1:18">
      <c r="A26" s="40" t="s">
        <v>221</v>
      </c>
      <c r="B26" s="11" t="s">
        <v>222</v>
      </c>
      <c r="C26" s="96">
        <v>20.6</v>
      </c>
      <c r="D26" s="93">
        <v>9.8039215999999995E-3</v>
      </c>
      <c r="E26" s="94">
        <v>410497352.58961529</v>
      </c>
      <c r="F26" s="35"/>
    </row>
    <row r="27" spans="1:18" ht="17.25" thickBot="1">
      <c r="A27" s="40" t="s">
        <v>153</v>
      </c>
      <c r="B27" s="11" t="s">
        <v>154</v>
      </c>
      <c r="C27" s="96">
        <v>22.7</v>
      </c>
      <c r="D27" s="93">
        <v>8.8888888999999992E-3</v>
      </c>
      <c r="E27" s="94">
        <v>920845937.99003839</v>
      </c>
      <c r="F27" s="35"/>
    </row>
    <row r="28" spans="1:18" ht="17.25" thickBot="1">
      <c r="A28" s="40" t="s">
        <v>101</v>
      </c>
      <c r="B28" s="11" t="s">
        <v>102</v>
      </c>
      <c r="C28" s="96">
        <v>53720</v>
      </c>
      <c r="D28" s="93">
        <v>5.9925094000000002E-3</v>
      </c>
      <c r="E28" s="94">
        <v>22043791.296905082</v>
      </c>
      <c r="F28" s="35"/>
      <c r="G28" s="139" t="s">
        <v>46</v>
      </c>
      <c r="H28" s="140"/>
      <c r="I28" s="140"/>
      <c r="J28" s="141"/>
      <c r="K28" s="139" t="s">
        <v>44</v>
      </c>
      <c r="L28" s="140"/>
      <c r="M28" s="140"/>
      <c r="N28" s="141"/>
      <c r="O28" s="139" t="s">
        <v>45</v>
      </c>
      <c r="P28" s="140"/>
      <c r="Q28" s="140"/>
      <c r="R28" s="141"/>
    </row>
    <row r="29" spans="1:18" ht="17.25" thickBot="1">
      <c r="A29" s="40" t="s">
        <v>95</v>
      </c>
      <c r="B29" s="11" t="s">
        <v>96</v>
      </c>
      <c r="C29" s="96">
        <v>3525000</v>
      </c>
      <c r="D29" s="93">
        <v>5.1325920000000001E-3</v>
      </c>
      <c r="E29" s="94">
        <v>102926.94705122001</v>
      </c>
      <c r="F29" s="35"/>
      <c r="G29" s="172" t="s">
        <v>55</v>
      </c>
      <c r="H29" s="184">
        <f ca="1">NOW()</f>
        <v>44319.059008217591</v>
      </c>
      <c r="I29" s="185"/>
      <c r="J29" s="186"/>
      <c r="K29" s="174" t="s">
        <v>55</v>
      </c>
      <c r="L29" s="184">
        <f ca="1">NOW()</f>
        <v>44319.059008217591</v>
      </c>
      <c r="M29" s="185"/>
      <c r="N29" s="186"/>
      <c r="O29" s="174" t="s">
        <v>55</v>
      </c>
      <c r="P29" s="184">
        <f ca="1">NOW()</f>
        <v>44319.059008217591</v>
      </c>
      <c r="Q29" s="185"/>
      <c r="R29" s="186"/>
    </row>
    <row r="30" spans="1:18" ht="17.25" thickBot="1">
      <c r="A30" s="40" t="s">
        <v>209</v>
      </c>
      <c r="B30" s="11" t="s">
        <v>210</v>
      </c>
      <c r="C30" s="96">
        <v>219</v>
      </c>
      <c r="D30" s="93">
        <v>4.5871560000000002E-3</v>
      </c>
      <c r="E30" s="94">
        <v>45499852.713309549</v>
      </c>
      <c r="F30" s="35"/>
      <c r="G30" s="173"/>
      <c r="H30" s="36" t="s">
        <v>58</v>
      </c>
      <c r="I30" s="74" t="s">
        <v>59</v>
      </c>
      <c r="J30" s="70" t="s">
        <v>294</v>
      </c>
      <c r="K30" s="173"/>
      <c r="L30" s="36" t="s">
        <v>58</v>
      </c>
      <c r="M30" s="74" t="s">
        <v>59</v>
      </c>
      <c r="N30" s="70" t="s">
        <v>294</v>
      </c>
      <c r="O30" s="173"/>
      <c r="P30" s="36" t="s">
        <v>58</v>
      </c>
      <c r="Q30" s="74" t="s">
        <v>59</v>
      </c>
      <c r="R30" s="70" t="s">
        <v>294</v>
      </c>
    </row>
    <row r="31" spans="1:18">
      <c r="A31" s="40" t="s">
        <v>171</v>
      </c>
      <c r="B31" s="11" t="s">
        <v>172</v>
      </c>
      <c r="C31" s="96">
        <v>28.5</v>
      </c>
      <c r="D31" s="93">
        <v>3.5211268000000001E-3</v>
      </c>
      <c r="E31" s="94">
        <v>350439131.04611027</v>
      </c>
      <c r="F31" s="35"/>
      <c r="G31" s="55" t="str">
        <f ca="1">IFERROR(OFFSET(INDIRECT($H$3 &amp; "!A98"), 0, 0), "")</f>
        <v>메타디움</v>
      </c>
      <c r="H31" s="38">
        <f t="shared" ref="H31:H50" ca="1" si="7">_xlfn.IFNA(VLOOKUP(G31, $B$2:$D$200, 2, FALSE), "")</f>
        <v>247</v>
      </c>
      <c r="I31" s="77">
        <f t="shared" ref="I31:I50" ca="1" si="8">_xlfn.IFNA(VLOOKUP(G31, $B$2:$D$200, 3, FALSE), "")</f>
        <v>0.1227272727</v>
      </c>
      <c r="J31" s="86">
        <f ca="1">_xlfn.IFNA(VLOOKUP(G31, $B$2:$E$200, 4, FALSE), "")</f>
        <v>498321923.87117326</v>
      </c>
      <c r="K31" s="55" t="str">
        <f ca="1">IFERROR(OFFSET(INDIRECT($H$3 &amp; "!A44"), 0, 0), "")</f>
        <v>시아코인</v>
      </c>
      <c r="L31" s="38">
        <f t="shared" ref="L31:L50" ca="1" si="9">_xlfn.IFNA(VLOOKUP(K31, $B$2:$D$200, 2, FALSE), "")</f>
        <v>49.5</v>
      </c>
      <c r="M31" s="77">
        <f t="shared" ref="M31:M50" ca="1" si="10">_xlfn.IFNA(VLOOKUP(K31, $B$2:$D$200, 3, FALSE), "")</f>
        <v>3.7735849100000003E-2</v>
      </c>
      <c r="N31" s="86">
        <f ca="1">_xlfn.IFNA(VLOOKUP(K31, $B$2:$E$200, 4, FALSE), "")</f>
        <v>2910687292.7312379</v>
      </c>
      <c r="O31" s="55" t="str">
        <f ca="1">IFERROR(OFFSET(INDIRECT($H$3 &amp; "!A71"), 0, 0), "")</f>
        <v>메타디움</v>
      </c>
      <c r="P31" s="38">
        <f t="shared" ref="P31:P50" ca="1" si="11">_xlfn.IFNA(VLOOKUP(O31, $B$2:$D$200, 2, FALSE), "")</f>
        <v>247</v>
      </c>
      <c r="Q31" s="77">
        <f t="shared" ref="Q31:Q50" ca="1" si="12">_xlfn.IFNA(VLOOKUP(O31, $B$2:$D$200, 3, FALSE), "")</f>
        <v>0.1227272727</v>
      </c>
      <c r="R31" s="86">
        <f ca="1">_xlfn.IFNA(VLOOKUP(O31, $B$2:$E$200, 4, FALSE), "")</f>
        <v>498321923.87117326</v>
      </c>
    </row>
    <row r="32" spans="1:18">
      <c r="A32" s="40" t="s">
        <v>109</v>
      </c>
      <c r="B32" s="11" t="s">
        <v>110</v>
      </c>
      <c r="C32" s="96">
        <v>3110</v>
      </c>
      <c r="D32" s="93">
        <v>0</v>
      </c>
      <c r="E32" s="94">
        <v>2331525.7436812101</v>
      </c>
      <c r="F32" s="35"/>
      <c r="G32" s="56" t="str">
        <f ca="1">IFERROR(OFFSET(INDIRECT($H$3 &amp; "!A98"), 1, 0), "")</f>
        <v>메디블록</v>
      </c>
      <c r="H32" s="39">
        <f t="shared" ca="1" si="7"/>
        <v>177</v>
      </c>
      <c r="I32" s="78">
        <f t="shared" ca="1" si="8"/>
        <v>8.5889570600000006E-2</v>
      </c>
      <c r="J32" s="87">
        <f t="shared" ref="J32:J50" ca="1" si="13">_xlfn.IFNA(VLOOKUP(G32, $B$2:$E$200, 4, FALSE), "")</f>
        <v>3697532024.7015696</v>
      </c>
      <c r="K32" s="56" t="str">
        <f ca="1">IFERROR(OFFSET(INDIRECT($H$3 &amp; "!A44"), 1, 0), "")</f>
        <v>에브리피디아</v>
      </c>
      <c r="L32" s="39">
        <f t="shared" ca="1" si="9"/>
        <v>28.2</v>
      </c>
      <c r="M32" s="78">
        <f t="shared" ca="1" si="10"/>
        <v>4.4444444399999998E-2</v>
      </c>
      <c r="N32" s="87">
        <f t="shared" ref="N32:N50" ca="1" si="14">_xlfn.IFNA(VLOOKUP(K32, $B$2:$E$200, 4, FALSE), "")</f>
        <v>935148095.93308771</v>
      </c>
      <c r="O32" s="56" t="str">
        <f ca="1">IFERROR(OFFSET(INDIRECT($H$3 &amp; "!A71"), 1, 0), "")</f>
        <v>메디블록</v>
      </c>
      <c r="P32" s="39">
        <f t="shared" ca="1" si="11"/>
        <v>177</v>
      </c>
      <c r="Q32" s="78">
        <f t="shared" ca="1" si="12"/>
        <v>8.5889570600000006E-2</v>
      </c>
      <c r="R32" s="87">
        <f t="shared" ref="R32:R50" ca="1" si="15">_xlfn.IFNA(VLOOKUP(O32, $B$2:$E$200, 4, FALSE), "")</f>
        <v>3697532024.7015696</v>
      </c>
    </row>
    <row r="33" spans="1:18">
      <c r="A33" s="40" t="s">
        <v>105</v>
      </c>
      <c r="B33" s="11" t="s">
        <v>106</v>
      </c>
      <c r="C33" s="96">
        <v>2315</v>
      </c>
      <c r="D33" s="93">
        <v>0</v>
      </c>
      <c r="E33" s="94">
        <v>5491690.2357501397</v>
      </c>
      <c r="F33" s="35"/>
      <c r="G33" s="56" t="str">
        <f ca="1">IFERROR(OFFSET(INDIRECT($H$3 &amp; "!A98"), 2, 0), "")</f>
        <v>웨이브</v>
      </c>
      <c r="H33" s="39">
        <f t="shared" ca="1" si="7"/>
        <v>28740</v>
      </c>
      <c r="I33" s="78">
        <f t="shared" ca="1" si="8"/>
        <v>7.0789865899999999E-2</v>
      </c>
      <c r="J33" s="87">
        <f t="shared" ca="1" si="13"/>
        <v>3420014.8536799499</v>
      </c>
      <c r="K33" s="56" t="str">
        <f ca="1">IFERROR(OFFSET(INDIRECT($H$3 &amp; "!A44"), 2, 0), "")</f>
        <v>무비블록</v>
      </c>
      <c r="L33" s="39">
        <f t="shared" ca="1" si="9"/>
        <v>20.8</v>
      </c>
      <c r="M33" s="78">
        <f t="shared" ca="1" si="10"/>
        <v>3.4825870600000003E-2</v>
      </c>
      <c r="N33" s="87">
        <f t="shared" ca="1" si="14"/>
        <v>2117926078.9033074</v>
      </c>
      <c r="O33" s="56" t="str">
        <f ca="1">IFERROR(OFFSET(INDIRECT($H$3 &amp; "!A71"), 2, 0), "")</f>
        <v>비체인</v>
      </c>
      <c r="P33" s="39">
        <f t="shared" ca="1" si="11"/>
        <v>256</v>
      </c>
      <c r="Q33" s="78">
        <f t="shared" ca="1" si="12"/>
        <v>5.3497942399999998E-2</v>
      </c>
      <c r="R33" s="87">
        <f t="shared" ca="1" si="15"/>
        <v>1692350475.5293326</v>
      </c>
    </row>
    <row r="34" spans="1:18">
      <c r="A34" s="40" t="s">
        <v>149</v>
      </c>
      <c r="B34" s="11" t="s">
        <v>150</v>
      </c>
      <c r="C34" s="96">
        <v>6050</v>
      </c>
      <c r="D34" s="93">
        <v>-1.6501650000000001E-3</v>
      </c>
      <c r="E34" s="94">
        <v>13000024.31127877</v>
      </c>
      <c r="F34" s="35"/>
      <c r="G34" s="56" t="str">
        <f ca="1">IFERROR(OFFSET(INDIRECT($H$3 &amp; "!A98"), 3, 0), "")</f>
        <v>가스</v>
      </c>
      <c r="H34" s="39">
        <f t="shared" ca="1" si="7"/>
        <v>19540</v>
      </c>
      <c r="I34" s="78">
        <f t="shared" ca="1" si="8"/>
        <v>5.6787452699999998E-2</v>
      </c>
      <c r="J34" s="87">
        <f t="shared" ca="1" si="13"/>
        <v>11243041.749745401</v>
      </c>
      <c r="K34" s="56" t="str">
        <f ca="1">IFERROR(OFFSET(INDIRECT($H$3 &amp; "!A44"), 3, 0), "")</f>
        <v>퀴즈톡</v>
      </c>
      <c r="L34" s="39">
        <f t="shared" ca="1" si="9"/>
        <v>96.4</v>
      </c>
      <c r="M34" s="78">
        <f t="shared" ca="1" si="10"/>
        <v>2.66240682E-2</v>
      </c>
      <c r="N34" s="87">
        <f t="shared" ca="1" si="14"/>
        <v>465849614.02352536</v>
      </c>
      <c r="O34" s="56" t="str">
        <f ca="1">IFERROR(OFFSET(INDIRECT($H$3 &amp; "!A71"), 3, 0), "")</f>
        <v>휴먼스케이프</v>
      </c>
      <c r="P34" s="39">
        <f t="shared" ca="1" si="11"/>
        <v>198</v>
      </c>
      <c r="Q34" s="78">
        <f t="shared" ca="1" si="12"/>
        <v>4.21052632E-2</v>
      </c>
      <c r="R34" s="87">
        <f t="shared" ca="1" si="15"/>
        <v>182676100.34023836</v>
      </c>
    </row>
    <row r="35" spans="1:18">
      <c r="A35" s="40" t="s">
        <v>295</v>
      </c>
      <c r="B35" s="11" t="s">
        <v>296</v>
      </c>
      <c r="C35" s="96">
        <v>464</v>
      </c>
      <c r="D35" s="93">
        <v>-2.1505375999999999E-3</v>
      </c>
      <c r="E35" s="94">
        <v>3055700308.152215</v>
      </c>
      <c r="F35" s="35"/>
      <c r="G35" s="58" t="str">
        <f ca="1">IFERROR(OFFSET(INDIRECT($H$3 &amp; "!A98"), 4, 0), "")</f>
        <v>그로스톨코인</v>
      </c>
      <c r="H35" s="44">
        <f t="shared" ca="1" si="7"/>
        <v>1750</v>
      </c>
      <c r="I35" s="79">
        <f t="shared" ca="1" si="8"/>
        <v>7.3619631899999996E-2</v>
      </c>
      <c r="J35" s="91">
        <f t="shared" ca="1" si="13"/>
        <v>57448846.819432072</v>
      </c>
      <c r="K35" s="58" t="str">
        <f ca="1">IFERROR(OFFSET(INDIRECT($H$3 &amp; "!A44"), 4, 0), "")</f>
        <v>트웰브쉽스</v>
      </c>
      <c r="L35" s="44">
        <f t="shared" ca="1" si="9"/>
        <v>28.5</v>
      </c>
      <c r="M35" s="79">
        <f t="shared" ca="1" si="10"/>
        <v>3.5211268000000001E-3</v>
      </c>
      <c r="N35" s="91">
        <f t="shared" ca="1" si="14"/>
        <v>350439131.04611027</v>
      </c>
      <c r="O35" s="58" t="str">
        <f ca="1">IFERROR(OFFSET(INDIRECT($H$3 &amp; "!A71"), 4, 0), "")</f>
        <v>픽셀</v>
      </c>
      <c r="P35" s="44">
        <f t="shared" ca="1" si="11"/>
        <v>129</v>
      </c>
      <c r="Q35" s="79">
        <f t="shared" ca="1" si="12"/>
        <v>2.3809523799999999E-2</v>
      </c>
      <c r="R35" s="91">
        <f t="shared" ca="1" si="15"/>
        <v>351467192.77889866</v>
      </c>
    </row>
    <row r="36" spans="1:18">
      <c r="A36" s="40" t="s">
        <v>83</v>
      </c>
      <c r="B36" s="11" t="s">
        <v>84</v>
      </c>
      <c r="C36" s="96">
        <v>1610</v>
      </c>
      <c r="D36" s="93">
        <v>-3.0959752E-3</v>
      </c>
      <c r="E36" s="94">
        <v>31699285.30578379</v>
      </c>
      <c r="F36" s="35"/>
      <c r="G36" s="56" t="str">
        <f ca="1">IFERROR(OFFSET(INDIRECT($H$3 &amp; "!A98"), 5, 0), "")</f>
        <v>스팀</v>
      </c>
      <c r="H36" s="39">
        <f t="shared" ca="1" si="7"/>
        <v>1125</v>
      </c>
      <c r="I36" s="78">
        <f t="shared" ca="1" si="8"/>
        <v>5.1401869199999999E-2</v>
      </c>
      <c r="J36" s="100">
        <f t="shared" ca="1" si="13"/>
        <v>35690839.673171461</v>
      </c>
      <c r="K36" s="56" t="str">
        <f ca="1">IFERROR(OFFSET(INDIRECT($H$3 &amp; "!A44"), 5, 0), "")</f>
        <v>리퍼리움</v>
      </c>
      <c r="L36" s="39">
        <f t="shared" ca="1" si="9"/>
        <v>25.1</v>
      </c>
      <c r="M36" s="78">
        <f t="shared" ca="1" si="10"/>
        <v>2.44897959E-2</v>
      </c>
      <c r="N36" s="100">
        <f t="shared" ca="1" si="14"/>
        <v>692060063.74470866</v>
      </c>
      <c r="O36" s="56" t="str">
        <f ca="1">IFERROR(OFFSET(INDIRECT($H$3 &amp; "!A71"), 5, 0), "")</f>
        <v>람다</v>
      </c>
      <c r="P36" s="39">
        <f t="shared" ca="1" si="11"/>
        <v>101</v>
      </c>
      <c r="Q36" s="78">
        <f t="shared" ca="1" si="12"/>
        <v>2.2267206500000001E-2</v>
      </c>
      <c r="R36" s="100">
        <f t="shared" ca="1" si="15"/>
        <v>348308036.81440765</v>
      </c>
    </row>
    <row r="37" spans="1:18">
      <c r="A37" s="40" t="s">
        <v>79</v>
      </c>
      <c r="B37" s="11" t="s">
        <v>80</v>
      </c>
      <c r="C37" s="96">
        <v>1515</v>
      </c>
      <c r="D37" s="93">
        <v>-3.2894737E-3</v>
      </c>
      <c r="E37" s="94">
        <v>6073058.7676332304</v>
      </c>
      <c r="F37" s="35"/>
      <c r="G37" s="56" t="str">
        <f ca="1">IFERROR(OFFSET(INDIRECT($H$3 &amp; "!A98"), 6, 0), "")</f>
        <v>시아코인</v>
      </c>
      <c r="H37" s="39">
        <f t="shared" ca="1" si="7"/>
        <v>49.5</v>
      </c>
      <c r="I37" s="78">
        <f t="shared" ca="1" si="8"/>
        <v>3.7735849100000003E-2</v>
      </c>
      <c r="J37" s="87">
        <f t="shared" ca="1" si="13"/>
        <v>2910687292.7312379</v>
      </c>
      <c r="K37" s="56" t="str">
        <f ca="1">IFERROR(OFFSET(INDIRECT($H$3 &amp; "!A44"), 6, 0), "")</f>
        <v>아하토큰</v>
      </c>
      <c r="L37" s="39">
        <f t="shared" ca="1" si="9"/>
        <v>20.6</v>
      </c>
      <c r="M37" s="78">
        <f t="shared" ca="1" si="10"/>
        <v>9.8039215999999995E-3</v>
      </c>
      <c r="N37" s="87">
        <f t="shared" ca="1" si="14"/>
        <v>410497352.58961529</v>
      </c>
      <c r="O37" s="56" t="str">
        <f ca="1">IFERROR(OFFSET(INDIRECT($H$3 &amp; "!A71"), 6, 0), "")</f>
        <v>디카르고</v>
      </c>
      <c r="P37" s="39">
        <f t="shared" ca="1" si="11"/>
        <v>286</v>
      </c>
      <c r="Q37" s="78">
        <f t="shared" ca="1" si="12"/>
        <v>2.50896057E-2</v>
      </c>
      <c r="R37" s="87">
        <f t="shared" ca="1" si="15"/>
        <v>124230562.26929228</v>
      </c>
    </row>
    <row r="38" spans="1:18">
      <c r="A38" s="40" t="s">
        <v>141</v>
      </c>
      <c r="B38" s="11" t="s">
        <v>142</v>
      </c>
      <c r="C38" s="96">
        <v>425</v>
      </c>
      <c r="D38" s="93">
        <v>-4.6838406999999997E-3</v>
      </c>
      <c r="E38" s="94">
        <v>23077602.09104846</v>
      </c>
      <c r="F38" s="35"/>
      <c r="G38" s="56" t="str">
        <f ca="1">IFERROR(OFFSET(INDIRECT($H$3 &amp; "!A98"), 7, 0), "")</f>
        <v>디마켓</v>
      </c>
      <c r="H38" s="39">
        <f t="shared" ca="1" si="7"/>
        <v>1500</v>
      </c>
      <c r="I38" s="78">
        <f t="shared" ca="1" si="8"/>
        <v>4.5296167200000001E-2</v>
      </c>
      <c r="J38" s="87">
        <f t="shared" ca="1" si="13"/>
        <v>33355094.286347281</v>
      </c>
      <c r="K38" s="56" t="str">
        <f ca="1">IFERROR(OFFSET(INDIRECT($H$3 &amp; "!A44"), 7, 0), "")</f>
        <v>캐리프로토콜</v>
      </c>
      <c r="L38" s="39">
        <f t="shared" ca="1" si="9"/>
        <v>22.7</v>
      </c>
      <c r="M38" s="78">
        <f t="shared" ca="1" si="10"/>
        <v>8.8888888999999992E-3</v>
      </c>
      <c r="N38" s="87">
        <f t="shared" ca="1" si="14"/>
        <v>920845937.99003839</v>
      </c>
      <c r="O38" s="56" t="str">
        <f ca="1">IFERROR(OFFSET(INDIRECT($H$3 &amp; "!A71"), 7, 0), "")</f>
        <v>마로</v>
      </c>
      <c r="P38" s="39">
        <f t="shared" ca="1" si="11"/>
        <v>543</v>
      </c>
      <c r="Q38" s="78">
        <f t="shared" ca="1" si="12"/>
        <v>1.8761726100000001E-2</v>
      </c>
      <c r="R38" s="87">
        <f t="shared" ca="1" si="15"/>
        <v>131249043.20598491</v>
      </c>
    </row>
    <row r="39" spans="1:18">
      <c r="A39" s="40" t="s">
        <v>199</v>
      </c>
      <c r="B39" s="11" t="s">
        <v>200</v>
      </c>
      <c r="C39" s="96">
        <v>412</v>
      </c>
      <c r="D39" s="93">
        <v>-4.8309179000000004E-3</v>
      </c>
      <c r="E39" s="94">
        <v>21401310.926176399</v>
      </c>
      <c r="F39" s="35"/>
      <c r="G39" s="56" t="str">
        <f ca="1">IFERROR(OFFSET(INDIRECT($H$3 &amp; "!A98"), 8, 0), "")</f>
        <v>비체인</v>
      </c>
      <c r="H39" s="39">
        <f t="shared" ca="1" si="7"/>
        <v>256</v>
      </c>
      <c r="I39" s="78">
        <f t="shared" ca="1" si="8"/>
        <v>5.3497942399999998E-2</v>
      </c>
      <c r="J39" s="87">
        <f t="shared" ca="1" si="13"/>
        <v>1692350475.5293326</v>
      </c>
      <c r="K39" s="56" t="str">
        <f ca="1">IFERROR(OFFSET(INDIRECT($H$3 &amp; "!A44"), 8, 0), "")</f>
        <v>메인프레임</v>
      </c>
      <c r="L39" s="39">
        <f t="shared" ca="1" si="9"/>
        <v>25.9</v>
      </c>
      <c r="M39" s="78">
        <f t="shared" ca="1" si="10"/>
        <v>0.26341463409999999</v>
      </c>
      <c r="N39" s="87">
        <f t="shared" ca="1" si="14"/>
        <v>1029131349.2015455</v>
      </c>
      <c r="O39" s="56" t="str">
        <f ca="1">IFERROR(OFFSET(INDIRECT($H$3 &amp; "!A71"), 8, 0), "")</f>
        <v>헤데라해시그래프</v>
      </c>
      <c r="P39" s="39">
        <f t="shared" ca="1" si="11"/>
        <v>398</v>
      </c>
      <c r="Q39" s="78">
        <f t="shared" ca="1" si="12"/>
        <v>2.3136246799999999E-2</v>
      </c>
      <c r="R39" s="87">
        <f t="shared" ca="1" si="15"/>
        <v>55579916.228638314</v>
      </c>
    </row>
    <row r="40" spans="1:18" ht="17.25" thickBot="1">
      <c r="A40" s="40" t="s">
        <v>103</v>
      </c>
      <c r="B40" s="11" t="s">
        <v>104</v>
      </c>
      <c r="C40" s="96">
        <v>2140</v>
      </c>
      <c r="D40" s="93">
        <v>-6.9605568E-3</v>
      </c>
      <c r="E40" s="94">
        <v>11648172.871411821</v>
      </c>
      <c r="F40" s="35"/>
      <c r="G40" s="57" t="str">
        <f ca="1">IFERROR(OFFSET(INDIRECT($H$3 &amp; "!A98"), 9, 0), "")</f>
        <v>휴먼스케이프</v>
      </c>
      <c r="H40" s="37">
        <f t="shared" ca="1" si="7"/>
        <v>198</v>
      </c>
      <c r="I40" s="80">
        <f t="shared" ca="1" si="8"/>
        <v>4.21052632E-2</v>
      </c>
      <c r="J40" s="88">
        <f t="shared" ca="1" si="13"/>
        <v>182676100.34023836</v>
      </c>
      <c r="K40" s="57" t="str">
        <f ca="1">IFERROR(OFFSET(INDIRECT($H$3 &amp; "!A44"), 9, 0), "")</f>
        <v>에스티피</v>
      </c>
      <c r="L40" s="37">
        <f t="shared" ca="1" si="9"/>
        <v>95.2</v>
      </c>
      <c r="M40" s="80">
        <f t="shared" ca="1" si="10"/>
        <v>-1.2448132799999999E-2</v>
      </c>
      <c r="N40" s="88">
        <f t="shared" ca="1" si="14"/>
        <v>115020024.91256526</v>
      </c>
      <c r="O40" s="57" t="str">
        <f ca="1">IFERROR(OFFSET(INDIRECT($H$3 &amp; "!A71"), 9, 0), "")</f>
        <v>피르마체인</v>
      </c>
      <c r="P40" s="37">
        <f t="shared" ca="1" si="11"/>
        <v>219</v>
      </c>
      <c r="Q40" s="80">
        <f t="shared" ca="1" si="12"/>
        <v>4.5871560000000002E-3</v>
      </c>
      <c r="R40" s="88">
        <f t="shared" ca="1" si="15"/>
        <v>45499852.713309549</v>
      </c>
    </row>
    <row r="41" spans="1:18">
      <c r="A41" s="40" t="s">
        <v>137</v>
      </c>
      <c r="B41" s="11" t="s">
        <v>138</v>
      </c>
      <c r="C41" s="96">
        <v>43670</v>
      </c>
      <c r="D41" s="93">
        <v>-8.8515659999999999E-3</v>
      </c>
      <c r="E41" s="94">
        <v>866504.14447649999</v>
      </c>
      <c r="F41" s="35"/>
      <c r="G41" s="59" t="str">
        <f ca="1">IFERROR(OFFSET(INDIRECT($H$3 &amp; "!A98"), 10, 0), "")</f>
        <v>픽셀</v>
      </c>
      <c r="H41" s="38">
        <f t="shared" ca="1" si="7"/>
        <v>129</v>
      </c>
      <c r="I41" s="77">
        <f t="shared" ca="1" si="8"/>
        <v>2.3809523799999999E-2</v>
      </c>
      <c r="J41" s="86">
        <f t="shared" ca="1" si="13"/>
        <v>351467192.77889866</v>
      </c>
      <c r="K41" s="55" t="str">
        <f ca="1">IFERROR(OFFSET(INDIRECT($H$3 &amp; "!A44"), 10, 0), "")</f>
        <v>엔도르</v>
      </c>
      <c r="L41" s="38">
        <f t="shared" ca="1" si="9"/>
        <v>77.099999999999994</v>
      </c>
      <c r="M41" s="77">
        <f t="shared" ca="1" si="10"/>
        <v>-1.5325670499999999E-2</v>
      </c>
      <c r="N41" s="86">
        <f t="shared" ca="1" si="14"/>
        <v>162530751.14292106</v>
      </c>
      <c r="O41" s="55" t="str">
        <f ca="1">IFERROR(OFFSET(INDIRECT($H$3 &amp; "!A71"), 10, 0), "")</f>
        <v>쎄타퓨엘</v>
      </c>
      <c r="P41" s="38">
        <f t="shared" ca="1" si="11"/>
        <v>425</v>
      </c>
      <c r="Q41" s="77">
        <f t="shared" ca="1" si="12"/>
        <v>-4.6838406999999997E-3</v>
      </c>
      <c r="R41" s="86">
        <f t="shared" ca="1" si="15"/>
        <v>23077602.09104846</v>
      </c>
    </row>
    <row r="42" spans="1:18">
      <c r="A42" s="40" t="s">
        <v>195</v>
      </c>
      <c r="B42" s="11" t="s">
        <v>196</v>
      </c>
      <c r="C42" s="96">
        <v>22.1</v>
      </c>
      <c r="D42" s="93">
        <v>-8.9686099000000005E-3</v>
      </c>
      <c r="E42" s="94">
        <v>653194775.98685086</v>
      </c>
      <c r="F42" s="35"/>
      <c r="G42" s="56" t="str">
        <f ca="1">IFERROR(OFFSET(INDIRECT($H$3 &amp; "!A98"), 11, 0), "")</f>
        <v>에브리피디아</v>
      </c>
      <c r="H42" s="39">
        <f t="shared" ca="1" si="7"/>
        <v>28.2</v>
      </c>
      <c r="I42" s="78">
        <f t="shared" ca="1" si="8"/>
        <v>4.4444444399999998E-2</v>
      </c>
      <c r="J42" s="87">
        <f t="shared" ca="1" si="13"/>
        <v>935148095.93308771</v>
      </c>
      <c r="K42" s="56" t="str">
        <f ca="1">IFERROR(OFFSET(INDIRECT($H$3 &amp; "!A44"), 11, 0), "")</f>
        <v>옵저버</v>
      </c>
      <c r="L42" s="39">
        <f t="shared" ca="1" si="9"/>
        <v>32.200000000000003</v>
      </c>
      <c r="M42" s="78">
        <f t="shared" ca="1" si="10"/>
        <v>-1.22699387E-2</v>
      </c>
      <c r="N42" s="87">
        <f t="shared" ca="1" si="14"/>
        <v>670986564.58198118</v>
      </c>
      <c r="O42" s="56" t="str">
        <f ca="1">IFERROR(OFFSET(INDIRECT($H$3 &amp; "!A71"), 11, 0), "")</f>
        <v>골렘</v>
      </c>
      <c r="P42" s="39">
        <f t="shared" ca="1" si="11"/>
        <v>546</v>
      </c>
      <c r="Q42" s="78">
        <f t="shared" ca="1" si="12"/>
        <v>-1.26582278E-2</v>
      </c>
      <c r="R42" s="87">
        <f t="shared" ca="1" si="15"/>
        <v>13933725.526438929</v>
      </c>
    </row>
    <row r="43" spans="1:18">
      <c r="A43" s="40" t="s">
        <v>115</v>
      </c>
      <c r="B43" s="11" t="s">
        <v>116</v>
      </c>
      <c r="C43" s="96">
        <v>712</v>
      </c>
      <c r="D43" s="93">
        <v>-9.7357441000000006E-3</v>
      </c>
      <c r="E43" s="94">
        <v>13250705.03714784</v>
      </c>
      <c r="F43" s="35"/>
      <c r="G43" s="56" t="str">
        <f ca="1">IFERROR(OFFSET(INDIRECT($H$3 &amp; "!A98"), 12, 0), "")</f>
        <v>퀀텀</v>
      </c>
      <c r="H43" s="39">
        <f t="shared" ca="1" si="7"/>
        <v>18420</v>
      </c>
      <c r="I43" s="78">
        <f t="shared" ca="1" si="8"/>
        <v>2.21975583E-2</v>
      </c>
      <c r="J43" s="87">
        <f t="shared" ca="1" si="13"/>
        <v>11704579.935771801</v>
      </c>
      <c r="K43" s="56" t="str">
        <f ca="1">IFERROR(OFFSET(INDIRECT($H$3 &amp; "!A44"), 12, 0), "")</f>
        <v>엠블</v>
      </c>
      <c r="L43" s="39">
        <f t="shared" ca="1" si="9"/>
        <v>31.7</v>
      </c>
      <c r="M43" s="78">
        <f t="shared" ca="1" si="10"/>
        <v>-1.2461059199999999E-2</v>
      </c>
      <c r="N43" s="87">
        <f t="shared" ca="1" si="14"/>
        <v>710415390.52347708</v>
      </c>
      <c r="O43" s="56" t="str">
        <f ca="1">IFERROR(OFFSET(INDIRECT($H$3 &amp; "!A71"), 12, 0), "")</f>
        <v>솔브케어</v>
      </c>
      <c r="P43" s="39">
        <f t="shared" ca="1" si="11"/>
        <v>315</v>
      </c>
      <c r="Q43" s="78">
        <f t="shared" ca="1" si="12"/>
        <v>-1.5625E-2</v>
      </c>
      <c r="R43" s="87">
        <f t="shared" ca="1" si="15"/>
        <v>28491556.04290843</v>
      </c>
    </row>
    <row r="44" spans="1:18">
      <c r="A44" s="40" t="s">
        <v>273</v>
      </c>
      <c r="B44" s="11" t="s">
        <v>274</v>
      </c>
      <c r="C44" s="96">
        <v>9265</v>
      </c>
      <c r="D44" s="93">
        <v>-1.0678056599999999E-2</v>
      </c>
      <c r="E44" s="94">
        <v>1472001.31396899</v>
      </c>
      <c r="F44" s="35"/>
      <c r="G44" s="56" t="str">
        <f ca="1">IFERROR(OFFSET(INDIRECT($H$3 &amp; "!A98"), 13, 0), "")</f>
        <v>네오</v>
      </c>
      <c r="H44" s="39">
        <f t="shared" ca="1" si="7"/>
        <v>124550</v>
      </c>
      <c r="I44" s="78">
        <f t="shared" ca="1" si="8"/>
        <v>2.3838881999999999E-2</v>
      </c>
      <c r="J44" s="87">
        <f t="shared" ca="1" si="13"/>
        <v>2067718.6005476599</v>
      </c>
      <c r="K44" s="56" t="str">
        <f ca="1">IFERROR(OFFSET(INDIRECT($H$3 &amp; "!A44"), 13, 0), "")</f>
        <v>썬더토큰</v>
      </c>
      <c r="L44" s="39">
        <f t="shared" ca="1" si="9"/>
        <v>22.1</v>
      </c>
      <c r="M44" s="78">
        <f t="shared" ca="1" si="10"/>
        <v>-8.9686099000000005E-3</v>
      </c>
      <c r="N44" s="87">
        <f t="shared" ca="1" si="14"/>
        <v>653194775.98685086</v>
      </c>
      <c r="O44" s="56" t="str">
        <f ca="1">IFERROR(OFFSET(INDIRECT($H$3 &amp; "!A71"), 13, 0), "")</f>
        <v>트론</v>
      </c>
      <c r="P44" s="39">
        <f t="shared" ca="1" si="11"/>
        <v>154</v>
      </c>
      <c r="Q44" s="78">
        <f t="shared" ca="1" si="12"/>
        <v>-1.9108280299999999E-2</v>
      </c>
      <c r="R44" s="87">
        <f t="shared" ca="1" si="15"/>
        <v>496105278.42881584</v>
      </c>
    </row>
    <row r="45" spans="1:18">
      <c r="A45" s="40" t="s">
        <v>223</v>
      </c>
      <c r="B45" s="11" t="s">
        <v>224</v>
      </c>
      <c r="C45" s="96">
        <v>2225</v>
      </c>
      <c r="D45" s="93">
        <v>-1.11111111E-2</v>
      </c>
      <c r="E45" s="94">
        <v>18316910.496805739</v>
      </c>
      <c r="F45" s="35"/>
      <c r="G45" s="58" t="str">
        <f ca="1">IFERROR(OFFSET(INDIRECT($H$3 &amp; "!A98"), 14, 0), "")</f>
        <v>무비블록</v>
      </c>
      <c r="H45" s="44">
        <f t="shared" ca="1" si="7"/>
        <v>20.8</v>
      </c>
      <c r="I45" s="79">
        <f t="shared" ca="1" si="8"/>
        <v>3.4825870600000003E-2</v>
      </c>
      <c r="J45" s="91">
        <f t="shared" ca="1" si="13"/>
        <v>2117926078.9033074</v>
      </c>
      <c r="K45" s="58" t="str">
        <f ca="1">IFERROR(OFFSET(INDIRECT($H$3 &amp; "!A44"), 14, 0), "")</f>
        <v>비트토렌트</v>
      </c>
      <c r="L45" s="44">
        <f t="shared" ca="1" si="9"/>
        <v>8.42</v>
      </c>
      <c r="M45" s="79">
        <f t="shared" ca="1" si="10"/>
        <v>-2.5462963000000002E-2</v>
      </c>
      <c r="N45" s="91">
        <f t="shared" ca="1" si="14"/>
        <v>40603714252.478439</v>
      </c>
      <c r="O45" s="58" t="str">
        <f ca="1">IFERROR(OFFSET(INDIRECT($H$3 &amp; "!A71"), 14, 0), "")</f>
        <v>엘프</v>
      </c>
      <c r="P45" s="44">
        <f t="shared" ca="1" si="11"/>
        <v>537</v>
      </c>
      <c r="Q45" s="79">
        <f t="shared" ca="1" si="12"/>
        <v>-2.1857923500000001E-2</v>
      </c>
      <c r="R45" s="91">
        <f t="shared" ca="1" si="15"/>
        <v>29346216.127755709</v>
      </c>
    </row>
    <row r="46" spans="1:18">
      <c r="A46" s="40" t="s">
        <v>217</v>
      </c>
      <c r="B46" s="11" t="s">
        <v>218</v>
      </c>
      <c r="C46" s="96">
        <v>32.200000000000003</v>
      </c>
      <c r="D46" s="93">
        <v>-1.22699387E-2</v>
      </c>
      <c r="E46" s="94">
        <v>670986564.58198118</v>
      </c>
      <c r="F46" s="35"/>
      <c r="G46" s="56" t="str">
        <f ca="1">IFERROR(OFFSET(INDIRECT($H$3 &amp; "!A98"), 15, 0), "")</f>
        <v>퀴즈톡</v>
      </c>
      <c r="H46" s="39">
        <f t="shared" ca="1" si="7"/>
        <v>96.4</v>
      </c>
      <c r="I46" s="78">
        <f t="shared" ca="1" si="8"/>
        <v>2.66240682E-2</v>
      </c>
      <c r="J46" s="100">
        <f t="shared" ca="1" si="13"/>
        <v>465849614.02352536</v>
      </c>
      <c r="K46" s="56" t="str">
        <f ca="1">IFERROR(OFFSET(INDIRECT($H$3 &amp; "!A44"), 15, 0), "")</f>
        <v>쿼크체인</v>
      </c>
      <c r="L46" s="39">
        <f t="shared" ca="1" si="9"/>
        <v>36.799999999999997</v>
      </c>
      <c r="M46" s="78">
        <f t="shared" ca="1" si="10"/>
        <v>-2.3872679000000001E-2</v>
      </c>
      <c r="N46" s="100">
        <f t="shared" ca="1" si="14"/>
        <v>204655481.95683226</v>
      </c>
      <c r="O46" s="56" t="str">
        <f ca="1">IFERROR(OFFSET(INDIRECT($H$3 &amp; "!A71"), 15, 0), "")</f>
        <v>칠리즈</v>
      </c>
      <c r="P46" s="39">
        <f t="shared" ca="1" si="11"/>
        <v>645</v>
      </c>
      <c r="Q46" s="78">
        <f t="shared" ca="1" si="12"/>
        <v>-2.2727272699999999E-2</v>
      </c>
      <c r="R46" s="100">
        <f t="shared" ca="1" si="15"/>
        <v>142478048.93208513</v>
      </c>
    </row>
    <row r="47" spans="1:18">
      <c r="A47" s="40" t="s">
        <v>133</v>
      </c>
      <c r="B47" s="11" t="s">
        <v>134</v>
      </c>
      <c r="C47" s="96">
        <v>159</v>
      </c>
      <c r="D47" s="93">
        <v>-1.24223602E-2</v>
      </c>
      <c r="E47" s="94">
        <v>111719936.86229645</v>
      </c>
      <c r="F47" s="35"/>
      <c r="G47" s="56" t="str">
        <f ca="1">IFERROR(OFFSET(INDIRECT($H$3 &amp; "!A98"), 16, 0), "")</f>
        <v>람다</v>
      </c>
      <c r="H47" s="39">
        <f t="shared" ca="1" si="7"/>
        <v>101</v>
      </c>
      <c r="I47" s="78">
        <f t="shared" ca="1" si="8"/>
        <v>2.2267206500000001E-2</v>
      </c>
      <c r="J47" s="87">
        <f t="shared" ca="1" si="13"/>
        <v>348308036.81440765</v>
      </c>
      <c r="K47" s="56" t="str">
        <f ca="1">IFERROR(OFFSET(INDIRECT($H$3 &amp; "!A44"), 16, 0), "")</f>
        <v>아이오에스티</v>
      </c>
      <c r="L47" s="39">
        <f t="shared" ca="1" si="9"/>
        <v>75.5</v>
      </c>
      <c r="M47" s="78">
        <f t="shared" ca="1" si="10"/>
        <v>-3.5759897800000003E-2</v>
      </c>
      <c r="N47" s="87">
        <f t="shared" ca="1" si="14"/>
        <v>168280782.94978562</v>
      </c>
      <c r="O47" s="56" t="str">
        <f ca="1">IFERROR(OFFSET(INDIRECT($H$3 &amp; "!A71"), 16, 0), "")</f>
        <v>아르고</v>
      </c>
      <c r="P47" s="39">
        <f t="shared" ca="1" si="11"/>
        <v>412</v>
      </c>
      <c r="Q47" s="78">
        <f t="shared" ca="1" si="12"/>
        <v>-4.8309179000000004E-3</v>
      </c>
      <c r="R47" s="87">
        <f t="shared" ca="1" si="15"/>
        <v>21401310.926176399</v>
      </c>
    </row>
    <row r="48" spans="1:18">
      <c r="A48" s="40" t="s">
        <v>265</v>
      </c>
      <c r="B48" s="11" t="s">
        <v>266</v>
      </c>
      <c r="C48" s="96">
        <v>95.2</v>
      </c>
      <c r="D48" s="93">
        <v>-1.2448132799999999E-2</v>
      </c>
      <c r="E48" s="94">
        <v>115020024.91256526</v>
      </c>
      <c r="F48" s="35"/>
      <c r="G48" s="56" t="str">
        <f ca="1">IFERROR(OFFSET(INDIRECT($H$3 &amp; "!A98"), 17, 0), "")</f>
        <v>디카르고</v>
      </c>
      <c r="H48" s="39">
        <f t="shared" ca="1" si="7"/>
        <v>286</v>
      </c>
      <c r="I48" s="78">
        <f t="shared" ca="1" si="8"/>
        <v>2.50896057E-2</v>
      </c>
      <c r="J48" s="87">
        <f t="shared" ca="1" si="13"/>
        <v>124230562.26929228</v>
      </c>
      <c r="K48" s="56" t="str">
        <f ca="1">IFERROR(OFFSET(INDIRECT($H$3 &amp; "!A44"), 17, 0), "")</f>
        <v>스톰엑스</v>
      </c>
      <c r="L48" s="39">
        <f t="shared" ca="1" si="9"/>
        <v>68.5</v>
      </c>
      <c r="M48" s="78">
        <f t="shared" ca="1" si="10"/>
        <v>-4.0616246500000001E-2</v>
      </c>
      <c r="N48" s="87">
        <f t="shared" ca="1" si="14"/>
        <v>590973593.84817219</v>
      </c>
      <c r="O48" s="56" t="str">
        <f ca="1">IFERROR(OFFSET(INDIRECT($H$3 &amp; "!A71"), 17, 0), "")</f>
        <v>파워렛저</v>
      </c>
      <c r="P48" s="39">
        <f t="shared" ca="1" si="11"/>
        <v>493</v>
      </c>
      <c r="Q48" s="78">
        <f t="shared" ca="1" si="12"/>
        <v>-1.9880715699999999E-2</v>
      </c>
      <c r="R48" s="87">
        <f t="shared" ca="1" si="15"/>
        <v>10724201.32180493</v>
      </c>
    </row>
    <row r="49" spans="1:18">
      <c r="A49" s="40" t="s">
        <v>197</v>
      </c>
      <c r="B49" s="11" t="s">
        <v>198</v>
      </c>
      <c r="C49" s="96">
        <v>31.7</v>
      </c>
      <c r="D49" s="93">
        <v>-1.2461059199999999E-2</v>
      </c>
      <c r="E49" s="94">
        <v>710415390.52347708</v>
      </c>
      <c r="F49" s="35"/>
      <c r="G49" s="56" t="str">
        <f ca="1">IFERROR(OFFSET(INDIRECT($H$3 &amp; "!A98"), 18, 0), "")</f>
        <v>비트코인에스브이</v>
      </c>
      <c r="H49" s="39">
        <f t="shared" ca="1" si="7"/>
        <v>411000</v>
      </c>
      <c r="I49" s="78">
        <f t="shared" ca="1" si="8"/>
        <v>4.0242976499999999E-2</v>
      </c>
      <c r="J49" s="87">
        <f t="shared" ca="1" si="13"/>
        <v>70825.071637360001</v>
      </c>
      <c r="K49" s="56">
        <f ca="1">IFERROR(OFFSET(INDIRECT($H$3 &amp; "!A44"), 18, 0), "")</f>
        <v>0</v>
      </c>
      <c r="L49" s="39" t="str">
        <f t="shared" ca="1" si="9"/>
        <v/>
      </c>
      <c r="M49" s="78" t="str">
        <f t="shared" ca="1" si="10"/>
        <v/>
      </c>
      <c r="N49" s="87" t="str">
        <f t="shared" ca="1" si="14"/>
        <v/>
      </c>
      <c r="O49" s="56" t="str">
        <f ca="1">IFERROR(OFFSET(INDIRECT($H$3 &amp; "!A71"), 18, 0), "")</f>
        <v>샌드박스</v>
      </c>
      <c r="P49" s="39">
        <f t="shared" ca="1" si="11"/>
        <v>712</v>
      </c>
      <c r="Q49" s="78">
        <f t="shared" ca="1" si="12"/>
        <v>-9.7357441000000006E-3</v>
      </c>
      <c r="R49" s="87">
        <f t="shared" ca="1" si="15"/>
        <v>13250705.03714784</v>
      </c>
    </row>
    <row r="50" spans="1:18" ht="17.25" thickBot="1">
      <c r="A50" s="40" t="s">
        <v>191</v>
      </c>
      <c r="B50" s="11" t="s">
        <v>192</v>
      </c>
      <c r="C50" s="96">
        <v>1180</v>
      </c>
      <c r="D50" s="93">
        <v>-1.2552301300000001E-2</v>
      </c>
      <c r="E50" s="94">
        <v>24620393.29886885</v>
      </c>
      <c r="F50" s="35"/>
      <c r="G50" s="57" t="str">
        <f ca="1">IFERROR(OFFSET(INDIRECT($H$3 &amp; "!A98"), 19, 0), "")</f>
        <v>마로</v>
      </c>
      <c r="H50" s="37">
        <f t="shared" ca="1" si="7"/>
        <v>543</v>
      </c>
      <c r="I50" s="80">
        <f t="shared" ca="1" si="8"/>
        <v>1.8761726100000001E-2</v>
      </c>
      <c r="J50" s="88">
        <f t="shared" ca="1" si="13"/>
        <v>131249043.20598491</v>
      </c>
      <c r="K50" s="57">
        <f ca="1">IFERROR(OFFSET(INDIRECT($H$3 &amp; "!A44"), 19, 0), "")</f>
        <v>0</v>
      </c>
      <c r="L50" s="37" t="str">
        <f t="shared" ca="1" si="9"/>
        <v/>
      </c>
      <c r="M50" s="80" t="str">
        <f t="shared" ca="1" si="10"/>
        <v/>
      </c>
      <c r="N50" s="88" t="str">
        <f t="shared" ca="1" si="14"/>
        <v/>
      </c>
      <c r="O50" s="57" t="str">
        <f ca="1">IFERROR(OFFSET(INDIRECT($H$3 &amp; "!A71"), 19, 0), "")</f>
        <v>오브스</v>
      </c>
      <c r="P50" s="37">
        <f t="shared" ca="1" si="11"/>
        <v>159</v>
      </c>
      <c r="Q50" s="80">
        <f t="shared" ca="1" si="12"/>
        <v>-1.24223602E-2</v>
      </c>
      <c r="R50" s="88">
        <f t="shared" ca="1" si="15"/>
        <v>111719936.86229645</v>
      </c>
    </row>
    <row r="51" spans="1:18">
      <c r="A51" s="40" t="s">
        <v>269</v>
      </c>
      <c r="B51" s="11" t="s">
        <v>270</v>
      </c>
      <c r="C51" s="96">
        <v>546</v>
      </c>
      <c r="D51" s="93">
        <v>-1.26582278E-2</v>
      </c>
      <c r="E51" s="94">
        <v>13933725.526438929</v>
      </c>
      <c r="F51" s="35"/>
    </row>
    <row r="52" spans="1:18" ht="17.25" thickBot="1">
      <c r="A52" s="40" t="s">
        <v>48</v>
      </c>
      <c r="B52" s="11" t="s">
        <v>49</v>
      </c>
      <c r="C52" s="96">
        <v>68103000</v>
      </c>
      <c r="D52" s="93">
        <v>-1.37004156E-2</v>
      </c>
      <c r="E52" s="94">
        <v>6837.2689323200002</v>
      </c>
      <c r="F52" s="35"/>
    </row>
    <row r="53" spans="1:18" ht="17.25" thickBot="1">
      <c r="A53" s="40" t="s">
        <v>215</v>
      </c>
      <c r="B53" s="11" t="s">
        <v>216</v>
      </c>
      <c r="C53" s="96">
        <v>480</v>
      </c>
      <c r="D53" s="93">
        <v>-1.4373716599999999E-2</v>
      </c>
      <c r="E53" s="94">
        <v>14934884.967800761</v>
      </c>
      <c r="F53" s="35"/>
      <c r="G53" s="139" t="s">
        <v>285</v>
      </c>
      <c r="H53" s="140"/>
      <c r="I53" s="140"/>
      <c r="J53" s="141"/>
      <c r="K53" s="139" t="s">
        <v>288</v>
      </c>
      <c r="L53" s="140"/>
      <c r="M53" s="140"/>
      <c r="N53" s="141"/>
      <c r="O53" s="139" t="s">
        <v>289</v>
      </c>
      <c r="P53" s="140"/>
      <c r="Q53" s="140"/>
      <c r="R53" s="141"/>
    </row>
    <row r="54" spans="1:18" ht="17.25" thickBot="1">
      <c r="A54" s="40" t="s">
        <v>235</v>
      </c>
      <c r="B54" s="11" t="s">
        <v>236</v>
      </c>
      <c r="C54" s="96">
        <v>77.099999999999994</v>
      </c>
      <c r="D54" s="93">
        <v>-1.5325670499999999E-2</v>
      </c>
      <c r="E54" s="94">
        <v>162530751.14292106</v>
      </c>
      <c r="F54" s="35"/>
      <c r="G54" s="172" t="s">
        <v>55</v>
      </c>
      <c r="H54" s="184">
        <f ca="1">NOW()</f>
        <v>44319.059008217591</v>
      </c>
      <c r="I54" s="185"/>
      <c r="J54" s="186"/>
      <c r="K54" s="174" t="s">
        <v>55</v>
      </c>
      <c r="L54" s="184">
        <f ca="1">NOW()</f>
        <v>44319.059008217591</v>
      </c>
      <c r="M54" s="185"/>
      <c r="N54" s="186"/>
      <c r="O54" s="174" t="s">
        <v>55</v>
      </c>
      <c r="P54" s="184">
        <f ca="1">NOW()</f>
        <v>44319.059008217591</v>
      </c>
      <c r="Q54" s="185"/>
      <c r="R54" s="186"/>
    </row>
    <row r="55" spans="1:18" ht="17.25" thickBot="1">
      <c r="A55" s="40" t="s">
        <v>237</v>
      </c>
      <c r="B55" s="11" t="s">
        <v>238</v>
      </c>
      <c r="C55" s="96">
        <v>315</v>
      </c>
      <c r="D55" s="93">
        <v>-1.5625E-2</v>
      </c>
      <c r="E55" s="94">
        <v>28491556.04290843</v>
      </c>
      <c r="F55" s="35"/>
      <c r="G55" s="173"/>
      <c r="H55" s="36" t="s">
        <v>58</v>
      </c>
      <c r="I55" s="74" t="s">
        <v>59</v>
      </c>
      <c r="J55" s="70" t="s">
        <v>294</v>
      </c>
      <c r="K55" s="173"/>
      <c r="L55" s="36" t="s">
        <v>58</v>
      </c>
      <c r="M55" s="74" t="s">
        <v>59</v>
      </c>
      <c r="N55" s="70" t="s">
        <v>294</v>
      </c>
      <c r="O55" s="173"/>
      <c r="P55" s="36" t="s">
        <v>58</v>
      </c>
      <c r="Q55" s="74" t="s">
        <v>59</v>
      </c>
      <c r="R55" s="70" t="s">
        <v>294</v>
      </c>
    </row>
    <row r="56" spans="1:18">
      <c r="A56" s="40" t="s">
        <v>243</v>
      </c>
      <c r="B56" s="11" t="s">
        <v>244</v>
      </c>
      <c r="C56" s="96">
        <v>3885</v>
      </c>
      <c r="D56" s="93">
        <v>-1.6455696200000001E-2</v>
      </c>
      <c r="E56" s="94">
        <v>8279678.6976503003</v>
      </c>
      <c r="F56" s="35"/>
      <c r="G56" s="55" t="str">
        <f ca="1">IFERROR(OFFSET(INDIRECT($H$3 &amp; "!A179"), 0, 0), "")</f>
        <v>코박토큰</v>
      </c>
      <c r="H56" s="38">
        <f t="shared" ref="H56:H65" ca="1" si="16">_xlfn.IFNA(VLOOKUP(G56, $B$2:$D$200, 2, FALSE), "")</f>
        <v>9815</v>
      </c>
      <c r="I56" s="77">
        <f t="shared" ref="I56:I65" ca="1" si="17">_xlfn.IFNA(VLOOKUP(G56, $B$2:$D$200, 3, FALSE), "")</f>
        <v>-3.3956692900000002E-2</v>
      </c>
      <c r="J56" s="86">
        <f ca="1">_xlfn.IFNA(VLOOKUP(G56, $B$2:$E$200, 4, FALSE), "")</f>
        <v>3319969.1207406102</v>
      </c>
      <c r="K56" s="55" t="str">
        <f ca="1">IFERROR(OFFSET(INDIRECT($H$3 &amp; "!A125"), 0, 0), "")</f>
        <v>시아코인</v>
      </c>
      <c r="L56" s="38">
        <f t="shared" ref="L56:L75" ca="1" si="18">_xlfn.IFNA(VLOOKUP(K56, $B$2:$D$200, 2, FALSE), "")</f>
        <v>49.5</v>
      </c>
      <c r="M56" s="77">
        <f t="shared" ref="M56:M75" ca="1" si="19">_xlfn.IFNA(VLOOKUP(K56, $B$2:$D$200, 3, FALSE), "")</f>
        <v>3.7735849100000003E-2</v>
      </c>
      <c r="N56" s="86">
        <f ca="1">_xlfn.IFNA(VLOOKUP(K56, $B$2:$E$200, 4, FALSE), "")</f>
        <v>2910687292.7312379</v>
      </c>
      <c r="O56" s="55" t="str">
        <f ca="1">IFERROR(OFFSET(INDIRECT($H$3 &amp; "!A152"), 0, 0), "")</f>
        <v>질리카</v>
      </c>
      <c r="P56" s="38">
        <f t="shared" ref="P56:P75" ca="1" si="20">_xlfn.IFNA(VLOOKUP(O56, $B$2:$D$200, 2, FALSE), "")</f>
        <v>244</v>
      </c>
      <c r="Q56" s="77">
        <f t="shared" ref="Q56:Q75" ca="1" si="21">_xlfn.IFNA(VLOOKUP(O56, $B$2:$D$200, 3, FALSE), "")</f>
        <v>-2.78884462E-2</v>
      </c>
      <c r="R56" s="86">
        <f ca="1">_xlfn.IFNA(VLOOKUP(O56, $B$2:$E$200, 4, FALSE), "")</f>
        <v>40339305.178109132</v>
      </c>
    </row>
    <row r="57" spans="1:18">
      <c r="A57" s="40" t="s">
        <v>50</v>
      </c>
      <c r="B57" s="11" t="s">
        <v>51</v>
      </c>
      <c r="C57" s="96">
        <v>632</v>
      </c>
      <c r="D57" s="93">
        <v>-1.7107309500000001E-2</v>
      </c>
      <c r="E57" s="94">
        <v>55977637.442598447</v>
      </c>
      <c r="F57" s="35"/>
      <c r="G57" s="56" t="str">
        <f ca="1">IFERROR(OFFSET(INDIRECT($H$3 &amp; "!A179"), 1, 0), "")</f>
        <v>아더</v>
      </c>
      <c r="H57" s="39">
        <f t="shared" ca="1" si="16"/>
        <v>468</v>
      </c>
      <c r="I57" s="78">
        <f t="shared" ca="1" si="17"/>
        <v>-2.9045643199999999E-2</v>
      </c>
      <c r="J57" s="87">
        <f t="shared" ref="J57:J75" ca="1" si="22">_xlfn.IFNA(VLOOKUP(G57, $B$2:$E$200, 4, FALSE), "")</f>
        <v>27732014.760875259</v>
      </c>
      <c r="K57" s="56" t="str">
        <f ca="1">IFERROR(OFFSET(INDIRECT($H$3 &amp; "!A125"), 1, 0), "")</f>
        <v>에브리피디아</v>
      </c>
      <c r="L57" s="39">
        <f t="shared" ca="1" si="18"/>
        <v>28.2</v>
      </c>
      <c r="M57" s="78">
        <f t="shared" ca="1" si="19"/>
        <v>4.4444444399999998E-2</v>
      </c>
      <c r="N57" s="87">
        <f t="shared" ref="N57:N75" ca="1" si="23">_xlfn.IFNA(VLOOKUP(K57, $B$2:$E$200, 4, FALSE), "")</f>
        <v>935148095.93308771</v>
      </c>
      <c r="O57" s="56" t="str">
        <f ca="1">IFERROR(OFFSET(INDIRECT($H$3 &amp; "!A152"), 1, 0), "")</f>
        <v>폴리매쓰</v>
      </c>
      <c r="P57" s="39">
        <f t="shared" ca="1" si="20"/>
        <v>480</v>
      </c>
      <c r="Q57" s="78">
        <f t="shared" ca="1" si="21"/>
        <v>-1.4373716599999999E-2</v>
      </c>
      <c r="R57" s="87">
        <f t="shared" ref="R57:R75" ca="1" si="24">_xlfn.IFNA(VLOOKUP(O57, $B$2:$E$200, 4, FALSE), "")</f>
        <v>14934884.967800761</v>
      </c>
    </row>
    <row r="58" spans="1:18">
      <c r="A58" s="40" t="s">
        <v>85</v>
      </c>
      <c r="B58" s="11" t="s">
        <v>86</v>
      </c>
      <c r="C58" s="96">
        <v>7750</v>
      </c>
      <c r="D58" s="93">
        <v>-1.7121115999999999E-2</v>
      </c>
      <c r="E58" s="94">
        <v>18221094.85577289</v>
      </c>
      <c r="F58" s="35"/>
      <c r="G58" s="56" t="str">
        <f ca="1">IFERROR(OFFSET(INDIRECT($H$3 &amp; "!A179"), 2, 0), "")</f>
        <v>비트코인골드</v>
      </c>
      <c r="H58" s="39">
        <f t="shared" ca="1" si="16"/>
        <v>113200</v>
      </c>
      <c r="I58" s="78">
        <f t="shared" ca="1" si="17"/>
        <v>-2.9991430999999999E-2</v>
      </c>
      <c r="J58" s="87">
        <f t="shared" ca="1" si="22"/>
        <v>871108.71058931004</v>
      </c>
      <c r="K58" s="56" t="str">
        <f ca="1">IFERROR(OFFSET(INDIRECT($H$3 &amp; "!A125"), 2, 0), "")</f>
        <v>무비블록</v>
      </c>
      <c r="L58" s="39">
        <f t="shared" ca="1" si="18"/>
        <v>20.8</v>
      </c>
      <c r="M58" s="78">
        <f t="shared" ca="1" si="19"/>
        <v>3.4825870600000003E-2</v>
      </c>
      <c r="N58" s="87">
        <f t="shared" ca="1" si="23"/>
        <v>2117926078.9033074</v>
      </c>
      <c r="O58" s="56" t="str">
        <f ca="1">IFERROR(OFFSET(INDIRECT($H$3 &amp; "!A152"), 2, 0), "")</f>
        <v>룸네트워크</v>
      </c>
      <c r="P58" s="39">
        <f t="shared" ca="1" si="20"/>
        <v>184</v>
      </c>
      <c r="Q58" s="78">
        <f t="shared" ca="1" si="21"/>
        <v>-2.1276595700000001E-2</v>
      </c>
      <c r="R58" s="87">
        <f t="shared" ca="1" si="24"/>
        <v>27199845.0717218</v>
      </c>
    </row>
    <row r="59" spans="1:18">
      <c r="A59" s="40" t="s">
        <v>179</v>
      </c>
      <c r="B59" s="11" t="s">
        <v>180</v>
      </c>
      <c r="C59" s="96">
        <v>4775</v>
      </c>
      <c r="D59" s="93">
        <v>-1.74897119E-2</v>
      </c>
      <c r="E59" s="94">
        <v>5897867.3788783904</v>
      </c>
      <c r="F59" s="35"/>
      <c r="G59" s="56" t="str">
        <f ca="1">IFERROR(OFFSET(INDIRECT($H$3 &amp; "!A179"), 3, 0), "")</f>
        <v>테조스</v>
      </c>
      <c r="H59" s="39">
        <f t="shared" ca="1" si="16"/>
        <v>6745</v>
      </c>
      <c r="I59" s="78">
        <f t="shared" ca="1" si="17"/>
        <v>-2.8097982699999999E-2</v>
      </c>
      <c r="J59" s="87">
        <f t="shared" ca="1" si="22"/>
        <v>2851975.9621847202</v>
      </c>
      <c r="K59" s="56" t="str">
        <f ca="1">IFERROR(OFFSET(INDIRECT($H$3 &amp; "!A125"), 3, 0), "")</f>
        <v>퀴즈톡</v>
      </c>
      <c r="L59" s="39">
        <f t="shared" ca="1" si="18"/>
        <v>96.4</v>
      </c>
      <c r="M59" s="78">
        <f t="shared" ca="1" si="19"/>
        <v>2.66240682E-2</v>
      </c>
      <c r="N59" s="87">
        <f t="shared" ca="1" si="23"/>
        <v>465849614.02352536</v>
      </c>
      <c r="O59" s="56" t="str">
        <f ca="1">IFERROR(OFFSET(INDIRECT($H$3 &amp; "!A152"), 3, 0), "")</f>
        <v>넴</v>
      </c>
      <c r="P59" s="39">
        <f t="shared" ca="1" si="20"/>
        <v>410</v>
      </c>
      <c r="Q59" s="78">
        <f t="shared" ca="1" si="21"/>
        <v>-2.1479713599999999E-2</v>
      </c>
      <c r="R59" s="87">
        <f t="shared" ca="1" si="24"/>
        <v>127197238.57289258</v>
      </c>
    </row>
    <row r="60" spans="1:18">
      <c r="A60" s="40" t="s">
        <v>247</v>
      </c>
      <c r="B60" s="11" t="s">
        <v>248</v>
      </c>
      <c r="C60" s="96">
        <v>3320</v>
      </c>
      <c r="D60" s="93">
        <v>-1.7751479300000001E-2</v>
      </c>
      <c r="E60" s="94">
        <v>2188372.1188608599</v>
      </c>
      <c r="F60" s="35"/>
      <c r="G60" s="56" t="str">
        <f ca="1">IFERROR(OFFSET(INDIRECT($H$3 &amp; "!A179"), 4, 0), "")</f>
        <v>애드엑스</v>
      </c>
      <c r="H60" s="39">
        <f t="shared" ca="1" si="16"/>
        <v>1590</v>
      </c>
      <c r="I60" s="78">
        <f t="shared" ca="1" si="17"/>
        <v>-1.8518518500000001E-2</v>
      </c>
      <c r="J60" s="91">
        <f t="shared" ca="1" si="22"/>
        <v>2985497.91572823</v>
      </c>
      <c r="K60" s="58" t="str">
        <f ca="1">IFERROR(OFFSET(INDIRECT($H$3 &amp; "!A125"), 4, 0), "")</f>
        <v>트웰브쉽스</v>
      </c>
      <c r="L60" s="44">
        <f t="shared" ca="1" si="18"/>
        <v>28.5</v>
      </c>
      <c r="M60" s="79">
        <f t="shared" ca="1" si="19"/>
        <v>3.5211268000000001E-3</v>
      </c>
      <c r="N60" s="91">
        <f t="shared" ca="1" si="23"/>
        <v>350439131.04611027</v>
      </c>
      <c r="O60" s="58" t="str">
        <f ca="1">IFERROR(OFFSET(INDIRECT($H$3 &amp; "!A152"), 4, 0), "")</f>
        <v>이그니스</v>
      </c>
      <c r="P60" s="44">
        <f t="shared" ca="1" si="20"/>
        <v>180</v>
      </c>
      <c r="Q60" s="79">
        <f t="shared" ca="1" si="21"/>
        <v>-2.7027026999999999E-2</v>
      </c>
      <c r="R60" s="91">
        <f t="shared" ca="1" si="24"/>
        <v>32485240.649387378</v>
      </c>
    </row>
    <row r="61" spans="1:18">
      <c r="A61" s="40" t="s">
        <v>251</v>
      </c>
      <c r="B61" s="11" t="s">
        <v>252</v>
      </c>
      <c r="C61" s="96">
        <v>590</v>
      </c>
      <c r="D61" s="93">
        <v>-1.8302828600000001E-2</v>
      </c>
      <c r="E61" s="94">
        <v>22806241.054825012</v>
      </c>
      <c r="F61" s="35"/>
      <c r="G61" s="60" t="str">
        <f ca="1">IFERROR(OFFSET(INDIRECT($H$3 &amp; "!A179"), 5, 0), "")</f>
        <v>앵커</v>
      </c>
      <c r="H61" s="45">
        <f t="shared" ca="1" si="16"/>
        <v>206</v>
      </c>
      <c r="I61" s="81">
        <f t="shared" ca="1" si="17"/>
        <v>-3.2863849799999997E-2</v>
      </c>
      <c r="J61" s="100">
        <f t="shared" ca="1" si="22"/>
        <v>65704739.722801819</v>
      </c>
      <c r="K61" s="56" t="str">
        <f ca="1">IFERROR(OFFSET(INDIRECT($H$3 &amp; "!A125"), 5, 0), "")</f>
        <v>리퍼리움</v>
      </c>
      <c r="L61" s="39">
        <f t="shared" ca="1" si="18"/>
        <v>25.1</v>
      </c>
      <c r="M61" s="78">
        <f t="shared" ca="1" si="19"/>
        <v>2.44897959E-2</v>
      </c>
      <c r="N61" s="100">
        <f t="shared" ca="1" si="23"/>
        <v>692060063.74470866</v>
      </c>
      <c r="O61" s="56" t="str">
        <f ca="1">IFERROR(OFFSET(INDIRECT($H$3 &amp; "!A152"), 5, 0), "")</f>
        <v>크립토닷컴체인</v>
      </c>
      <c r="P61" s="39">
        <f t="shared" ca="1" si="20"/>
        <v>226</v>
      </c>
      <c r="Q61" s="78">
        <f t="shared" ca="1" si="21"/>
        <v>-2.1645021600000001E-2</v>
      </c>
      <c r="R61" s="100">
        <f t="shared" ca="1" si="24"/>
        <v>72110653.993112668</v>
      </c>
    </row>
    <row r="62" spans="1:18">
      <c r="A62" s="40" t="s">
        <v>81</v>
      </c>
      <c r="B62" s="11" t="s">
        <v>82</v>
      </c>
      <c r="C62" s="96">
        <v>1590</v>
      </c>
      <c r="D62" s="93">
        <v>-1.8518518500000001E-2</v>
      </c>
      <c r="E62" s="94">
        <v>2985497.91572823</v>
      </c>
      <c r="F62" s="35"/>
      <c r="G62" s="56" t="str">
        <f ca="1">IFERROR(OFFSET(INDIRECT($H$3 &amp; "!A179"), 6, 0), "")</f>
        <v>체인링크</v>
      </c>
      <c r="H62" s="39">
        <f t="shared" ca="1" si="16"/>
        <v>47390</v>
      </c>
      <c r="I62" s="78">
        <f t="shared" ca="1" si="17"/>
        <v>-3.5612535600000002E-2</v>
      </c>
      <c r="J62" s="87">
        <f t="shared" ca="1" si="22"/>
        <v>950418.92097761994</v>
      </c>
      <c r="K62" s="56" t="str">
        <f ca="1">IFERROR(OFFSET(INDIRECT($H$3 &amp; "!A125"), 6, 0), "")</f>
        <v>아하토큰</v>
      </c>
      <c r="L62" s="39">
        <f t="shared" ca="1" si="18"/>
        <v>20.6</v>
      </c>
      <c r="M62" s="78">
        <f t="shared" ca="1" si="19"/>
        <v>9.8039215999999995E-3</v>
      </c>
      <c r="N62" s="87">
        <f t="shared" ca="1" si="23"/>
        <v>410497352.58961529</v>
      </c>
      <c r="O62" s="56" t="str">
        <f ca="1">IFERROR(OFFSET(INDIRECT($H$3 &amp; "!A152"), 6, 0), "")</f>
        <v>시빅</v>
      </c>
      <c r="P62" s="39">
        <f t="shared" ca="1" si="20"/>
        <v>626</v>
      </c>
      <c r="Q62" s="78">
        <f t="shared" ca="1" si="21"/>
        <v>-2.1874999999999999E-2</v>
      </c>
      <c r="R62" s="87">
        <f t="shared" ca="1" si="24"/>
        <v>8835192.1355857495</v>
      </c>
    </row>
    <row r="63" spans="1:18">
      <c r="A63" s="40" t="s">
        <v>239</v>
      </c>
      <c r="B63" s="11" t="s">
        <v>240</v>
      </c>
      <c r="C63" s="96">
        <v>210</v>
      </c>
      <c r="D63" s="93">
        <v>-1.8691588799999999E-2</v>
      </c>
      <c r="E63" s="94">
        <v>55134576.92300754</v>
      </c>
      <c r="F63" s="35"/>
      <c r="G63" s="56" t="str">
        <f ca="1">IFERROR(OFFSET(INDIRECT($H$3 &amp; "!A179"), 7, 0), "")</f>
        <v>썸씽</v>
      </c>
      <c r="H63" s="39">
        <f t="shared" ca="1" si="16"/>
        <v>137</v>
      </c>
      <c r="I63" s="78">
        <f t="shared" ca="1" si="17"/>
        <v>-2.1428571399999999E-2</v>
      </c>
      <c r="J63" s="87">
        <f t="shared" ca="1" si="22"/>
        <v>167045877.11344936</v>
      </c>
      <c r="K63" s="56" t="str">
        <f ca="1">IFERROR(OFFSET(INDIRECT($H$3 &amp; "!A125"), 7, 0), "")</f>
        <v>캐리프로토콜</v>
      </c>
      <c r="L63" s="39">
        <f t="shared" ca="1" si="18"/>
        <v>22.7</v>
      </c>
      <c r="M63" s="78">
        <f t="shared" ca="1" si="19"/>
        <v>8.8888888999999992E-3</v>
      </c>
      <c r="N63" s="87">
        <f t="shared" ca="1" si="23"/>
        <v>920845937.99003839</v>
      </c>
      <c r="O63" s="56" t="str">
        <f ca="1">IFERROR(OFFSET(INDIRECT($H$3 &amp; "!A152"), 7, 0), "")</f>
        <v>보라</v>
      </c>
      <c r="P63" s="39">
        <f t="shared" ca="1" si="20"/>
        <v>303</v>
      </c>
      <c r="Q63" s="78">
        <f t="shared" ca="1" si="21"/>
        <v>-2.2580645199999999E-2</v>
      </c>
      <c r="R63" s="87">
        <f t="shared" ca="1" si="24"/>
        <v>62221972.589798249</v>
      </c>
    </row>
    <row r="64" spans="1:18">
      <c r="A64" s="40" t="s">
        <v>155</v>
      </c>
      <c r="B64" s="11" t="s">
        <v>156</v>
      </c>
      <c r="C64" s="96">
        <v>154</v>
      </c>
      <c r="D64" s="93">
        <v>-1.9108280299999999E-2</v>
      </c>
      <c r="E64" s="94">
        <v>496105278.42881584</v>
      </c>
      <c r="F64" s="35"/>
      <c r="G64" s="56" t="str">
        <f ca="1">IFERROR(OFFSET(INDIRECT($H$3 &amp; "!A179"), 8, 0), "")</f>
        <v>헌트</v>
      </c>
      <c r="H64" s="39">
        <f t="shared" ca="1" si="16"/>
        <v>440</v>
      </c>
      <c r="I64" s="78">
        <f t="shared" ca="1" si="17"/>
        <v>-2.65486726E-2</v>
      </c>
      <c r="J64" s="87">
        <f t="shared" ca="1" si="22"/>
        <v>21658099.521047112</v>
      </c>
      <c r="K64" s="56" t="str">
        <f ca="1">IFERROR(OFFSET(INDIRECT($H$3 &amp; "!A125"), 8, 0), "")</f>
        <v>메인프레임</v>
      </c>
      <c r="L64" s="39">
        <f t="shared" ca="1" si="18"/>
        <v>25.9</v>
      </c>
      <c r="M64" s="78">
        <f t="shared" ca="1" si="19"/>
        <v>0.26341463409999999</v>
      </c>
      <c r="N64" s="87">
        <f t="shared" ca="1" si="23"/>
        <v>1029131349.2015455</v>
      </c>
      <c r="O64" s="56" t="str">
        <f ca="1">IFERROR(OFFSET(INDIRECT($H$3 &amp; "!A152"), 8, 0), "")</f>
        <v>아인스타이늄</v>
      </c>
      <c r="P64" s="39">
        <f t="shared" ca="1" si="20"/>
        <v>590</v>
      </c>
      <c r="Q64" s="78">
        <f t="shared" ca="1" si="21"/>
        <v>-1.8302828600000001E-2</v>
      </c>
      <c r="R64" s="87">
        <f t="shared" ca="1" si="24"/>
        <v>22806241.054825012</v>
      </c>
    </row>
    <row r="65" spans="1:18" ht="17.25" thickBot="1">
      <c r="A65" s="40" t="s">
        <v>77</v>
      </c>
      <c r="B65" s="11" t="s">
        <v>78</v>
      </c>
      <c r="C65" s="96">
        <v>1177500</v>
      </c>
      <c r="D65" s="93">
        <v>-1.9158683900000001E-2</v>
      </c>
      <c r="E65" s="94">
        <v>77717.965857639996</v>
      </c>
      <c r="F65" s="35"/>
      <c r="G65" s="57" t="str">
        <f ca="1">IFERROR(OFFSET(INDIRECT($H$3 &amp; "!A179"), 9, 0), "")</f>
        <v>왁스</v>
      </c>
      <c r="H65" s="37">
        <f t="shared" ca="1" si="16"/>
        <v>269</v>
      </c>
      <c r="I65" s="80">
        <f t="shared" ca="1" si="17"/>
        <v>-2.1818181799999999E-2</v>
      </c>
      <c r="J65" s="88">
        <f t="shared" ca="1" si="22"/>
        <v>19818091.630865831</v>
      </c>
      <c r="K65" s="57" t="str">
        <f ca="1">IFERROR(OFFSET(INDIRECT($H$3 &amp; "!A125"), 9, 0), "")</f>
        <v>에스티피</v>
      </c>
      <c r="L65" s="37">
        <f t="shared" ca="1" si="18"/>
        <v>95.2</v>
      </c>
      <c r="M65" s="80">
        <f t="shared" ca="1" si="19"/>
        <v>-1.2448132799999999E-2</v>
      </c>
      <c r="N65" s="88">
        <f t="shared" ca="1" si="23"/>
        <v>115020024.91256526</v>
      </c>
      <c r="O65" s="57" t="str">
        <f ca="1">IFERROR(OFFSET(INDIRECT($H$3 &amp; "!A152"), 9, 0), "")</f>
        <v>플레이댑</v>
      </c>
      <c r="P65" s="37">
        <f t="shared" ca="1" si="20"/>
        <v>541</v>
      </c>
      <c r="Q65" s="80">
        <f t="shared" ca="1" si="21"/>
        <v>-2.6978417300000002E-2</v>
      </c>
      <c r="R65" s="88">
        <f t="shared" ca="1" si="24"/>
        <v>13784237.43244087</v>
      </c>
    </row>
    <row r="66" spans="1:18">
      <c r="A66" s="40" t="s">
        <v>193</v>
      </c>
      <c r="B66" s="11" t="s">
        <v>194</v>
      </c>
      <c r="C66" s="96">
        <v>14690</v>
      </c>
      <c r="D66" s="93">
        <v>-1.9359145500000001E-2</v>
      </c>
      <c r="E66" s="94">
        <v>1463452.1641613501</v>
      </c>
      <c r="F66" s="35"/>
      <c r="G66" s="56" t="str">
        <f ca="1">IFERROR(OFFSET(INDIRECT($H$3 &amp; "!A179"), 10, 0), "")</f>
        <v>센티넬프로토콜</v>
      </c>
      <c r="H66" s="38">
        <f t="shared" ref="H66:H75" ca="1" si="25">_xlfn.IFNA(VLOOKUP(G66, $B$2:$D$200, 2, FALSE), "")</f>
        <v>195</v>
      </c>
      <c r="I66" s="77">
        <f t="shared" ref="I66:I75" ca="1" si="26">_xlfn.IFNA(VLOOKUP(G66, $B$2:$D$200, 3, FALSE), "")</f>
        <v>-3.4653465299999998E-2</v>
      </c>
      <c r="J66" s="86">
        <f t="shared" ca="1" si="22"/>
        <v>59478289.895222299</v>
      </c>
      <c r="K66" s="55" t="str">
        <f ca="1">IFERROR(OFFSET(INDIRECT($H$3 &amp; "!A125"), 10, 0), "")</f>
        <v>엔도르</v>
      </c>
      <c r="L66" s="38">
        <f t="shared" ca="1" si="18"/>
        <v>77.099999999999994</v>
      </c>
      <c r="M66" s="77">
        <f t="shared" ca="1" si="19"/>
        <v>-1.5325670499999999E-2</v>
      </c>
      <c r="N66" s="86">
        <f t="shared" ca="1" si="23"/>
        <v>162530751.14292106</v>
      </c>
      <c r="O66" s="55" t="str">
        <f ca="1">IFERROR(OFFSET(INDIRECT($H$3 &amp; "!A152"), 10, 0), "")</f>
        <v>스테이터스네트워크토큰</v>
      </c>
      <c r="P66" s="38">
        <f t="shared" ca="1" si="20"/>
        <v>206</v>
      </c>
      <c r="Q66" s="77">
        <f t="shared" ca="1" si="21"/>
        <v>-2.8301886799999999E-2</v>
      </c>
      <c r="R66" s="86">
        <f t="shared" ca="1" si="24"/>
        <v>142522009.83256695</v>
      </c>
    </row>
    <row r="67" spans="1:18">
      <c r="A67" s="40" t="s">
        <v>181</v>
      </c>
      <c r="B67" s="11" t="s">
        <v>182</v>
      </c>
      <c r="C67" s="96">
        <v>493</v>
      </c>
      <c r="D67" s="93">
        <v>-1.9880715699999999E-2</v>
      </c>
      <c r="E67" s="94">
        <v>10724201.32180493</v>
      </c>
      <c r="F67" s="35"/>
      <c r="G67" s="56" t="str">
        <f ca="1">IFERROR(OFFSET(INDIRECT($H$3 &amp; "!A179"), 11, 0), "")</f>
        <v>스트라이크</v>
      </c>
      <c r="H67" s="39">
        <f t="shared" ca="1" si="25"/>
        <v>77180</v>
      </c>
      <c r="I67" s="78">
        <f t="shared" ca="1" si="26"/>
        <v>-3.2347041100000001E-2</v>
      </c>
      <c r="J67" s="87">
        <f t="shared" ca="1" si="22"/>
        <v>266668.83187885</v>
      </c>
      <c r="K67" s="56" t="str">
        <f ca="1">IFERROR(OFFSET(INDIRECT($H$3 &amp; "!A125"), 11, 0), "")</f>
        <v>옵저버</v>
      </c>
      <c r="L67" s="39">
        <f t="shared" ca="1" si="18"/>
        <v>32.200000000000003</v>
      </c>
      <c r="M67" s="78">
        <f t="shared" ca="1" si="19"/>
        <v>-1.22699387E-2</v>
      </c>
      <c r="N67" s="87">
        <f t="shared" ca="1" si="23"/>
        <v>670986564.58198118</v>
      </c>
      <c r="O67" s="56" t="str">
        <f ca="1">IFERROR(OFFSET(INDIRECT($H$3 &amp; "!A152"), 11, 0), "")</f>
        <v>도지코인</v>
      </c>
      <c r="P67" s="39">
        <f t="shared" ca="1" si="20"/>
        <v>464</v>
      </c>
      <c r="Q67" s="78">
        <f t="shared" ca="1" si="21"/>
        <v>-2.1505375999999999E-3</v>
      </c>
      <c r="R67" s="87">
        <f t="shared" ca="1" si="24"/>
        <v>3055700308.152215</v>
      </c>
    </row>
    <row r="68" spans="1:18">
      <c r="A68" s="40" t="s">
        <v>123</v>
      </c>
      <c r="B68" s="11" t="s">
        <v>124</v>
      </c>
      <c r="C68" s="96">
        <v>7620</v>
      </c>
      <c r="D68" s="93">
        <v>-1.9935691299999999E-2</v>
      </c>
      <c r="E68" s="94">
        <v>1203862.4563494099</v>
      </c>
      <c r="F68" s="35"/>
      <c r="G68" s="56" t="str">
        <f ca="1">IFERROR(OFFSET(INDIRECT($H$3 &amp; "!A179"), 12, 0), "")</f>
        <v>페이코인</v>
      </c>
      <c r="H68" s="39">
        <f t="shared" ca="1" si="25"/>
        <v>2170</v>
      </c>
      <c r="I68" s="78">
        <f t="shared" ca="1" si="26"/>
        <v>-3.5555555599999997E-2</v>
      </c>
      <c r="J68" s="87">
        <f t="shared" ca="1" si="22"/>
        <v>12086279.332594009</v>
      </c>
      <c r="K68" s="56" t="str">
        <f ca="1">IFERROR(OFFSET(INDIRECT($H$3 &amp; "!A125"), 12, 0), "")</f>
        <v>엠블</v>
      </c>
      <c r="L68" s="39">
        <f t="shared" ca="1" si="18"/>
        <v>31.7</v>
      </c>
      <c r="M68" s="78">
        <f t="shared" ca="1" si="19"/>
        <v>-1.2461059199999999E-2</v>
      </c>
      <c r="N68" s="87">
        <f t="shared" ca="1" si="23"/>
        <v>710415390.52347708</v>
      </c>
      <c r="O68" s="56" t="str">
        <f ca="1">IFERROR(OFFSET(INDIRECT($H$3 &amp; "!A152"), 12, 0), "")</f>
        <v>아더</v>
      </c>
      <c r="P68" s="39">
        <f t="shared" ca="1" si="20"/>
        <v>468</v>
      </c>
      <c r="Q68" s="78">
        <f t="shared" ca="1" si="21"/>
        <v>-2.9045643199999999E-2</v>
      </c>
      <c r="R68" s="87">
        <f t="shared" ca="1" si="24"/>
        <v>27732014.760875259</v>
      </c>
    </row>
    <row r="69" spans="1:18">
      <c r="A69" s="40" t="s">
        <v>60</v>
      </c>
      <c r="B69" s="11" t="s">
        <v>61</v>
      </c>
      <c r="C69" s="96">
        <v>1710</v>
      </c>
      <c r="D69" s="93">
        <v>-2.0057306600000002E-2</v>
      </c>
      <c r="E69" s="94">
        <v>23120351.646380629</v>
      </c>
      <c r="F69" s="35"/>
      <c r="G69" s="56" t="str">
        <f ca="1">IFERROR(OFFSET(INDIRECT($H$3 &amp; "!A179"), 13, 0), "")</f>
        <v>아이오에스티</v>
      </c>
      <c r="H69" s="39">
        <f t="shared" ca="1" si="25"/>
        <v>75.5</v>
      </c>
      <c r="I69" s="78">
        <f t="shared" ca="1" si="26"/>
        <v>-3.5759897800000003E-2</v>
      </c>
      <c r="J69" s="87">
        <f t="shared" ca="1" si="22"/>
        <v>168280782.94978562</v>
      </c>
      <c r="K69" s="56" t="str">
        <f ca="1">IFERROR(OFFSET(INDIRECT($H$3 &amp; "!A125"), 13, 0), "")</f>
        <v>썬더토큰</v>
      </c>
      <c r="L69" s="39">
        <f t="shared" ca="1" si="18"/>
        <v>22.1</v>
      </c>
      <c r="M69" s="78">
        <f t="shared" ca="1" si="19"/>
        <v>-8.9686099000000005E-3</v>
      </c>
      <c r="N69" s="87">
        <f t="shared" ca="1" si="23"/>
        <v>653194775.98685086</v>
      </c>
      <c r="O69" s="56" t="str">
        <f ca="1">IFERROR(OFFSET(INDIRECT($H$3 &amp; "!A152"), 13, 0), "")</f>
        <v>앵커</v>
      </c>
      <c r="P69" s="39">
        <f t="shared" ca="1" si="20"/>
        <v>206</v>
      </c>
      <c r="Q69" s="78">
        <f t="shared" ca="1" si="21"/>
        <v>-3.2863849799999997E-2</v>
      </c>
      <c r="R69" s="87">
        <f t="shared" ca="1" si="24"/>
        <v>65704739.722801819</v>
      </c>
    </row>
    <row r="70" spans="1:18">
      <c r="A70" s="40" t="s">
        <v>129</v>
      </c>
      <c r="B70" s="11" t="s">
        <v>130</v>
      </c>
      <c r="C70" s="96">
        <v>322800</v>
      </c>
      <c r="D70" s="93">
        <v>-2.0333839199999999E-2</v>
      </c>
      <c r="E70" s="94">
        <v>106291.03682126</v>
      </c>
      <c r="F70" s="35"/>
      <c r="G70" s="56" t="str">
        <f ca="1">IFERROR(OFFSET(INDIRECT($H$3 &amp; "!A179"), 14, 0), "")</f>
        <v>아이오타</v>
      </c>
      <c r="H70" s="39">
        <f t="shared" ca="1" si="25"/>
        <v>2605</v>
      </c>
      <c r="I70" s="78">
        <f t="shared" ca="1" si="26"/>
        <v>-3.6968576699999998E-2</v>
      </c>
      <c r="J70" s="91">
        <f t="shared" ca="1" si="22"/>
        <v>2004264.3752580499</v>
      </c>
      <c r="K70" s="58" t="str">
        <f ca="1">IFERROR(OFFSET(INDIRECT($H$3 &amp; "!A125"), 14, 0), "")</f>
        <v>비트토렌트</v>
      </c>
      <c r="L70" s="44">
        <f t="shared" ca="1" si="18"/>
        <v>8.42</v>
      </c>
      <c r="M70" s="79">
        <f t="shared" ca="1" si="19"/>
        <v>-2.5462963000000002E-2</v>
      </c>
      <c r="N70" s="91">
        <f t="shared" ca="1" si="23"/>
        <v>40603714252.478439</v>
      </c>
      <c r="O70" s="58" t="str">
        <f ca="1">IFERROR(OFFSET(INDIRECT($H$3 &amp; "!A152"), 14, 0), "")</f>
        <v>썸씽</v>
      </c>
      <c r="P70" s="44">
        <f t="shared" ca="1" si="20"/>
        <v>137</v>
      </c>
      <c r="Q70" s="79">
        <f t="shared" ca="1" si="21"/>
        <v>-2.1428571399999999E-2</v>
      </c>
      <c r="R70" s="91">
        <f t="shared" ca="1" si="24"/>
        <v>167045877.11344936</v>
      </c>
    </row>
    <row r="71" spans="1:18">
      <c r="A71" s="40" t="s">
        <v>263</v>
      </c>
      <c r="B71" s="11" t="s">
        <v>264</v>
      </c>
      <c r="C71" s="96">
        <v>184</v>
      </c>
      <c r="D71" s="93">
        <v>-2.1276595700000001E-2</v>
      </c>
      <c r="E71" s="94">
        <v>27199845.0717218</v>
      </c>
      <c r="F71" s="35"/>
      <c r="G71" s="60" t="str">
        <f ca="1">IFERROR(OFFSET(INDIRECT($H$3 &amp; "!A179"), 15, 0), "")</f>
        <v>엘비알와이크레딧</v>
      </c>
      <c r="H71" s="45">
        <f t="shared" ca="1" si="25"/>
        <v>241</v>
      </c>
      <c r="I71" s="81">
        <f t="shared" ca="1" si="26"/>
        <v>-3.9840637499999998E-2</v>
      </c>
      <c r="J71" s="100">
        <f t="shared" ca="1" si="22"/>
        <v>51643468.480071992</v>
      </c>
      <c r="K71" s="56" t="str">
        <f ca="1">IFERROR(OFFSET(INDIRECT($H$3 &amp; "!A125"), 15, 0), "")</f>
        <v>쿼크체인</v>
      </c>
      <c r="L71" s="39">
        <f t="shared" ca="1" si="18"/>
        <v>36.799999999999997</v>
      </c>
      <c r="M71" s="78">
        <f t="shared" ca="1" si="19"/>
        <v>-2.3872679000000001E-2</v>
      </c>
      <c r="N71" s="100">
        <f t="shared" ca="1" si="23"/>
        <v>204655481.95683226</v>
      </c>
      <c r="O71" s="56" t="str">
        <f ca="1">IFERROR(OFFSET(INDIRECT($H$3 &amp; "!A152"), 15, 0), "")</f>
        <v>헌트</v>
      </c>
      <c r="P71" s="39">
        <f t="shared" ca="1" si="20"/>
        <v>440</v>
      </c>
      <c r="Q71" s="78">
        <f t="shared" ca="1" si="21"/>
        <v>-2.65486726E-2</v>
      </c>
      <c r="R71" s="100">
        <f t="shared" ca="1" si="24"/>
        <v>21658099.521047112</v>
      </c>
    </row>
    <row r="72" spans="1:18">
      <c r="A72" s="40" t="s">
        <v>241</v>
      </c>
      <c r="B72" s="11" t="s">
        <v>242</v>
      </c>
      <c r="C72" s="96">
        <v>6420</v>
      </c>
      <c r="D72" s="93">
        <v>-2.13414634E-2</v>
      </c>
      <c r="E72" s="94">
        <v>1450218.0285869299</v>
      </c>
      <c r="F72" s="35"/>
      <c r="G72" s="56" t="str">
        <f ca="1">IFERROR(OFFSET(INDIRECT($H$3 &amp; "!A179"), 16, 0), "")</f>
        <v>던프로토콜</v>
      </c>
      <c r="H72" s="39">
        <f t="shared" ca="1" si="25"/>
        <v>9965</v>
      </c>
      <c r="I72" s="78">
        <f t="shared" ca="1" si="26"/>
        <v>-3.81274131E-2</v>
      </c>
      <c r="J72" s="87">
        <f t="shared" ca="1" si="22"/>
        <v>19609951.72536296</v>
      </c>
      <c r="K72" s="56" t="str">
        <f ca="1">IFERROR(OFFSET(INDIRECT($H$3 &amp; "!A125"), 16, 0), "")</f>
        <v>아이오에스티</v>
      </c>
      <c r="L72" s="39">
        <f t="shared" ca="1" si="18"/>
        <v>75.5</v>
      </c>
      <c r="M72" s="78">
        <f t="shared" ca="1" si="19"/>
        <v>-3.5759897800000003E-2</v>
      </c>
      <c r="N72" s="87">
        <f t="shared" ca="1" si="23"/>
        <v>168280782.94978562</v>
      </c>
      <c r="O72" s="56" t="str">
        <f ca="1">IFERROR(OFFSET(INDIRECT($H$3 &amp; "!A152"), 16, 0), "")</f>
        <v>왁스</v>
      </c>
      <c r="P72" s="39">
        <f t="shared" ca="1" si="20"/>
        <v>269</v>
      </c>
      <c r="Q72" s="78">
        <f t="shared" ca="1" si="21"/>
        <v>-2.1818181799999999E-2</v>
      </c>
      <c r="R72" s="87">
        <f t="shared" ca="1" si="24"/>
        <v>19818091.630865831</v>
      </c>
    </row>
    <row r="73" spans="1:18">
      <c r="A73" s="40" t="s">
        <v>259</v>
      </c>
      <c r="B73" s="11" t="s">
        <v>260</v>
      </c>
      <c r="C73" s="96">
        <v>137</v>
      </c>
      <c r="D73" s="93">
        <v>-2.1428571399999999E-2</v>
      </c>
      <c r="E73" s="94">
        <v>167045877.11344936</v>
      </c>
      <c r="F73" s="35"/>
      <c r="G73" s="56" t="str">
        <f ca="1">IFERROR(OFFSET(INDIRECT($H$3 &amp; "!A179"), 17, 0), "")</f>
        <v>하이브</v>
      </c>
      <c r="H73" s="39">
        <f t="shared" ca="1" si="25"/>
        <v>753</v>
      </c>
      <c r="I73" s="78">
        <f t="shared" ca="1" si="26"/>
        <v>-3.5851472500000002E-2</v>
      </c>
      <c r="J73" s="87">
        <f t="shared" ca="1" si="22"/>
        <v>22688650.83747223</v>
      </c>
      <c r="K73" s="56" t="str">
        <f ca="1">IFERROR(OFFSET(INDIRECT($H$3 &amp; "!A125"), 17, 0), "")</f>
        <v>스톰엑스</v>
      </c>
      <c r="L73" s="39">
        <f t="shared" ca="1" si="18"/>
        <v>68.5</v>
      </c>
      <c r="M73" s="78">
        <f t="shared" ca="1" si="19"/>
        <v>-4.0616246500000001E-2</v>
      </c>
      <c r="N73" s="87">
        <f t="shared" ca="1" si="23"/>
        <v>590973593.84817219</v>
      </c>
      <c r="O73" s="56" t="str">
        <f ca="1">IFERROR(OFFSET(INDIRECT($H$3 &amp; "!A152"), 17, 0), "")</f>
        <v>센티넬프로토콜</v>
      </c>
      <c r="P73" s="39">
        <f t="shared" ca="1" si="20"/>
        <v>195</v>
      </c>
      <c r="Q73" s="78">
        <f t="shared" ca="1" si="21"/>
        <v>-3.4653465299999998E-2</v>
      </c>
      <c r="R73" s="87">
        <f t="shared" ca="1" si="24"/>
        <v>59478289.895222299</v>
      </c>
    </row>
    <row r="74" spans="1:18">
      <c r="A74" s="40" t="s">
        <v>175</v>
      </c>
      <c r="B74" s="11" t="s">
        <v>176</v>
      </c>
      <c r="C74" s="96">
        <v>2510</v>
      </c>
      <c r="D74" s="93">
        <v>-2.14424951E-2</v>
      </c>
      <c r="E74" s="94">
        <v>5616207.3446314204</v>
      </c>
      <c r="F74" s="35"/>
      <c r="G74" s="56" t="str">
        <f ca="1">IFERROR(OFFSET(INDIRECT($H$3 &amp; "!A179"), 18, 0), "")</f>
        <v>스톰엑스</v>
      </c>
      <c r="H74" s="39">
        <f t="shared" ca="1" si="25"/>
        <v>68.5</v>
      </c>
      <c r="I74" s="78">
        <f t="shared" ca="1" si="26"/>
        <v>-4.0616246500000001E-2</v>
      </c>
      <c r="J74" s="87">
        <f t="shared" ca="1" si="22"/>
        <v>590973593.84817219</v>
      </c>
      <c r="K74" s="56">
        <f ca="1">IFERROR(OFFSET(INDIRECT($H$3 &amp; "!A125"), 18, 0), "")</f>
        <v>0</v>
      </c>
      <c r="L74" s="39" t="str">
        <f t="shared" ca="1" si="18"/>
        <v/>
      </c>
      <c r="M74" s="78" t="str">
        <f t="shared" ca="1" si="19"/>
        <v/>
      </c>
      <c r="N74" s="87" t="str">
        <f t="shared" ca="1" si="23"/>
        <v/>
      </c>
      <c r="O74" s="56" t="str">
        <f ca="1">IFERROR(OFFSET(INDIRECT($H$3 &amp; "!A152"), 18, 0), "")</f>
        <v>엘비알와이크레딧</v>
      </c>
      <c r="P74" s="39">
        <f t="shared" ca="1" si="20"/>
        <v>241</v>
      </c>
      <c r="Q74" s="78">
        <f t="shared" ca="1" si="21"/>
        <v>-3.9840637499999998E-2</v>
      </c>
      <c r="R74" s="87">
        <f t="shared" ca="1" si="24"/>
        <v>51643468.480071992</v>
      </c>
    </row>
    <row r="75" spans="1:18" ht="17.25" thickBot="1">
      <c r="A75" s="40" t="s">
        <v>56</v>
      </c>
      <c r="B75" s="11" t="s">
        <v>57</v>
      </c>
      <c r="C75" s="96">
        <v>410</v>
      </c>
      <c r="D75" s="93">
        <v>-2.1479713599999999E-2</v>
      </c>
      <c r="E75" s="94">
        <v>127197238.57289258</v>
      </c>
      <c r="F75" s="35"/>
      <c r="G75" s="57" t="str">
        <f ca="1">IFERROR(OFFSET(INDIRECT($H$3 &amp; "!A179"), 19, 0), "")</f>
        <v>리플</v>
      </c>
      <c r="H75" s="37">
        <f t="shared" ca="1" si="25"/>
        <v>1890</v>
      </c>
      <c r="I75" s="80">
        <f t="shared" ca="1" si="26"/>
        <v>-3.8167938899999997E-2</v>
      </c>
      <c r="J75" s="88">
        <f t="shared" ca="1" si="22"/>
        <v>489463618.95818239</v>
      </c>
      <c r="K75" s="57">
        <f ca="1">IFERROR(OFFSET(INDIRECT($H$3 &amp; "!A125"), 19, 0), "")</f>
        <v>0</v>
      </c>
      <c r="L75" s="37" t="str">
        <f t="shared" ca="1" si="18"/>
        <v/>
      </c>
      <c r="M75" s="80" t="str">
        <f t="shared" ca="1" si="19"/>
        <v/>
      </c>
      <c r="N75" s="88" t="str">
        <f t="shared" ca="1" si="23"/>
        <v/>
      </c>
      <c r="O75" s="57" t="str">
        <f ca="1">IFERROR(OFFSET(INDIRECT($H$3 &amp; "!A152"), 19, 0), "")</f>
        <v>하이브</v>
      </c>
      <c r="P75" s="37">
        <f t="shared" ca="1" si="20"/>
        <v>753</v>
      </c>
      <c r="Q75" s="80">
        <f t="shared" ca="1" si="21"/>
        <v>-3.5851472500000002E-2</v>
      </c>
      <c r="R75" s="88">
        <f t="shared" ca="1" si="24"/>
        <v>22688650.83747223</v>
      </c>
    </row>
    <row r="76" spans="1:18">
      <c r="A76" s="40" t="s">
        <v>159</v>
      </c>
      <c r="B76" s="11" t="s">
        <v>160</v>
      </c>
      <c r="C76" s="96">
        <v>3170</v>
      </c>
      <c r="D76" s="93">
        <v>-2.1604938300000001E-2</v>
      </c>
      <c r="E76" s="94">
        <v>3097920.7183017498</v>
      </c>
      <c r="F76" s="35"/>
      <c r="G76" s="35"/>
      <c r="H76" s="35"/>
      <c r="I76" s="35"/>
    </row>
    <row r="77" spans="1:18">
      <c r="A77" s="40" t="s">
        <v>119</v>
      </c>
      <c r="B77" s="11" t="s">
        <v>120</v>
      </c>
      <c r="C77" s="96">
        <v>226</v>
      </c>
      <c r="D77" s="93">
        <v>-2.1645021600000001E-2</v>
      </c>
      <c r="E77" s="94">
        <v>72110653.993112668</v>
      </c>
      <c r="F77" s="35"/>
      <c r="G77" s="35"/>
      <c r="H77" s="35"/>
      <c r="I77" s="35"/>
    </row>
    <row r="78" spans="1:18">
      <c r="A78" s="40" t="s">
        <v>255</v>
      </c>
      <c r="B78" s="11" t="s">
        <v>256</v>
      </c>
      <c r="C78" s="96">
        <v>269</v>
      </c>
      <c r="D78" s="93">
        <v>-2.1818181799999999E-2</v>
      </c>
      <c r="E78" s="94">
        <v>19818091.630865831</v>
      </c>
      <c r="F78" s="35"/>
      <c r="G78" s="35"/>
      <c r="H78" s="35"/>
      <c r="I78" s="35"/>
    </row>
    <row r="79" spans="1:18">
      <c r="A79" s="40" t="s">
        <v>169</v>
      </c>
      <c r="B79" s="11" t="s">
        <v>170</v>
      </c>
      <c r="C79" s="96">
        <v>537</v>
      </c>
      <c r="D79" s="93">
        <v>-2.1857923500000001E-2</v>
      </c>
      <c r="E79" s="94">
        <v>29346216.127755709</v>
      </c>
      <c r="F79" s="35"/>
      <c r="G79" s="35"/>
      <c r="H79" s="35"/>
      <c r="I79" s="35"/>
    </row>
    <row r="80" spans="1:18">
      <c r="A80" s="40" t="s">
        <v>127</v>
      </c>
      <c r="B80" s="11" t="s">
        <v>128</v>
      </c>
      <c r="C80" s="96">
        <v>626</v>
      </c>
      <c r="D80" s="93">
        <v>-2.1874999999999999E-2</v>
      </c>
      <c r="E80" s="94">
        <v>8835192.1355857495</v>
      </c>
      <c r="F80" s="35"/>
      <c r="G80" s="35"/>
      <c r="H80" s="35"/>
      <c r="I80" s="35"/>
    </row>
    <row r="81" spans="1:9">
      <c r="A81" s="40" t="s">
        <v>205</v>
      </c>
      <c r="B81" s="11" t="s">
        <v>206</v>
      </c>
      <c r="C81" s="96">
        <v>37960</v>
      </c>
      <c r="D81" s="93">
        <v>-2.24053567E-2</v>
      </c>
      <c r="E81" s="94">
        <v>344693.59286898997</v>
      </c>
      <c r="F81" s="35"/>
      <c r="G81" s="35"/>
      <c r="H81" s="35"/>
      <c r="I81" s="35"/>
    </row>
    <row r="82" spans="1:9">
      <c r="A82" s="40" t="s">
        <v>173</v>
      </c>
      <c r="B82" s="11" t="s">
        <v>174</v>
      </c>
      <c r="C82" s="96">
        <v>303</v>
      </c>
      <c r="D82" s="93">
        <v>-2.2580645199999999E-2</v>
      </c>
      <c r="E82" s="94">
        <v>62221972.589798249</v>
      </c>
      <c r="F82" s="35"/>
      <c r="G82" s="35"/>
      <c r="H82" s="35"/>
      <c r="I82" s="35"/>
    </row>
    <row r="83" spans="1:9">
      <c r="A83" s="40" t="s">
        <v>87</v>
      </c>
      <c r="B83" s="11" t="s">
        <v>88</v>
      </c>
      <c r="C83" s="96">
        <v>645</v>
      </c>
      <c r="D83" s="93">
        <v>-2.2727272699999999E-2</v>
      </c>
      <c r="E83" s="94">
        <v>142478048.93208513</v>
      </c>
      <c r="F83" s="35"/>
      <c r="G83" s="35"/>
      <c r="H83" s="35"/>
      <c r="I83" s="35"/>
    </row>
    <row r="84" spans="1:9">
      <c r="A84" s="40" t="s">
        <v>71</v>
      </c>
      <c r="B84" s="11" t="s">
        <v>72</v>
      </c>
      <c r="C84" s="96">
        <v>36.799999999999997</v>
      </c>
      <c r="D84" s="93">
        <v>-2.3872679000000001E-2</v>
      </c>
      <c r="E84" s="94">
        <v>204655481.95683226</v>
      </c>
      <c r="F84" s="35"/>
      <c r="G84" s="35"/>
      <c r="H84" s="35"/>
      <c r="I84" s="35"/>
    </row>
    <row r="85" spans="1:9">
      <c r="A85" s="40" t="s">
        <v>271</v>
      </c>
      <c r="B85" s="11" t="s">
        <v>272</v>
      </c>
      <c r="C85" s="96">
        <v>2430</v>
      </c>
      <c r="D85" s="93">
        <v>-2.4096385500000001E-2</v>
      </c>
      <c r="E85" s="94">
        <v>4292182.5470521599</v>
      </c>
      <c r="F85" s="35"/>
      <c r="G85" s="35"/>
      <c r="H85" s="35"/>
      <c r="I85" s="35"/>
    </row>
    <row r="86" spans="1:9">
      <c r="A86" s="40" t="s">
        <v>73</v>
      </c>
      <c r="B86" s="11" t="s">
        <v>74</v>
      </c>
      <c r="C86" s="96">
        <v>27650</v>
      </c>
      <c r="D86" s="93">
        <v>-2.4347212399999998E-2</v>
      </c>
      <c r="E86" s="94">
        <v>256267.83107779</v>
      </c>
      <c r="F86" s="35"/>
      <c r="G86" s="35"/>
      <c r="H86" s="35"/>
      <c r="I86" s="35"/>
    </row>
    <row r="87" spans="1:9">
      <c r="A87" s="40" t="s">
        <v>275</v>
      </c>
      <c r="B87" s="11" t="s">
        <v>276</v>
      </c>
      <c r="C87" s="96">
        <v>4155</v>
      </c>
      <c r="D87" s="93">
        <v>-2.4647887300000001E-2</v>
      </c>
      <c r="E87" s="94">
        <v>1360335.16323687</v>
      </c>
      <c r="F87" s="35"/>
      <c r="G87" s="35"/>
      <c r="H87" s="35"/>
      <c r="I87" s="35"/>
    </row>
    <row r="88" spans="1:9">
      <c r="A88" s="40" t="s">
        <v>99</v>
      </c>
      <c r="B88" s="11" t="s">
        <v>100</v>
      </c>
      <c r="C88" s="96">
        <v>8.42</v>
      </c>
      <c r="D88" s="93">
        <v>-2.5462963000000002E-2</v>
      </c>
      <c r="E88" s="94">
        <v>40603714252.478439</v>
      </c>
      <c r="F88" s="35"/>
      <c r="G88" s="35"/>
      <c r="H88" s="35"/>
      <c r="I88" s="35"/>
    </row>
    <row r="89" spans="1:9">
      <c r="A89" s="40" t="s">
        <v>277</v>
      </c>
      <c r="B89" s="11" t="s">
        <v>278</v>
      </c>
      <c r="C89" s="96">
        <v>152</v>
      </c>
      <c r="D89" s="93">
        <v>-2.5641025599999999E-2</v>
      </c>
      <c r="E89" s="94">
        <v>64433477.723824874</v>
      </c>
      <c r="F89" s="35"/>
      <c r="G89" s="35"/>
      <c r="H89" s="35"/>
      <c r="I89" s="35"/>
    </row>
    <row r="90" spans="1:9">
      <c r="A90" s="40" t="s">
        <v>245</v>
      </c>
      <c r="B90" s="11" t="s">
        <v>246</v>
      </c>
      <c r="C90" s="96">
        <v>440</v>
      </c>
      <c r="D90" s="93">
        <v>-2.65486726E-2</v>
      </c>
      <c r="E90" s="94">
        <v>21658099.521047112</v>
      </c>
      <c r="F90" s="35"/>
      <c r="G90" s="35"/>
      <c r="H90" s="35"/>
      <c r="I90" s="35"/>
    </row>
    <row r="91" spans="1:9">
      <c r="A91" s="40" t="s">
        <v>225</v>
      </c>
      <c r="B91" s="11" t="s">
        <v>226</v>
      </c>
      <c r="C91" s="96">
        <v>541</v>
      </c>
      <c r="D91" s="93">
        <v>-2.6978417300000002E-2</v>
      </c>
      <c r="E91" s="94">
        <v>13784237.43244087</v>
      </c>
      <c r="F91" s="35"/>
      <c r="G91" s="35"/>
      <c r="H91" s="35"/>
      <c r="I91" s="35"/>
    </row>
    <row r="92" spans="1:9">
      <c r="A92" s="40" t="s">
        <v>281</v>
      </c>
      <c r="B92" s="11" t="s">
        <v>282</v>
      </c>
      <c r="C92" s="96">
        <v>180</v>
      </c>
      <c r="D92" s="93">
        <v>-2.7027026999999999E-2</v>
      </c>
      <c r="E92" s="94">
        <v>32485240.649387378</v>
      </c>
      <c r="F92" s="35"/>
      <c r="G92" s="35"/>
      <c r="H92" s="35"/>
      <c r="I92" s="35"/>
    </row>
    <row r="93" spans="1:9">
      <c r="A93" s="40" t="s">
        <v>177</v>
      </c>
      <c r="B93" s="11" t="s">
        <v>178</v>
      </c>
      <c r="C93" s="96">
        <v>49210</v>
      </c>
      <c r="D93" s="93">
        <v>-2.7662517300000002E-2</v>
      </c>
      <c r="E93" s="94">
        <v>168344.52717509001</v>
      </c>
      <c r="F93" s="35"/>
      <c r="G93" s="35"/>
      <c r="H93" s="35"/>
      <c r="I93" s="35"/>
    </row>
    <row r="94" spans="1:9">
      <c r="A94" s="40" t="s">
        <v>113</v>
      </c>
      <c r="B94" s="11" t="s">
        <v>114</v>
      </c>
      <c r="C94" s="96">
        <v>13270</v>
      </c>
      <c r="D94" s="93">
        <v>-2.78388278E-2</v>
      </c>
      <c r="E94" s="94">
        <v>748682.48920531</v>
      </c>
      <c r="F94" s="35"/>
      <c r="G94" s="35"/>
      <c r="H94" s="35"/>
      <c r="I94" s="35"/>
    </row>
    <row r="95" spans="1:9">
      <c r="A95" s="40" t="s">
        <v>135</v>
      </c>
      <c r="B95" s="11" t="s">
        <v>136</v>
      </c>
      <c r="C95" s="96">
        <v>244</v>
      </c>
      <c r="D95" s="93">
        <v>-2.78884462E-2</v>
      </c>
      <c r="E95" s="94">
        <v>40339305.178109132</v>
      </c>
      <c r="F95" s="35"/>
      <c r="G95" s="35"/>
      <c r="H95" s="35"/>
      <c r="I95" s="35"/>
    </row>
    <row r="96" spans="1:9">
      <c r="A96" s="40" t="s">
        <v>97</v>
      </c>
      <c r="B96" s="11" t="s">
        <v>98</v>
      </c>
      <c r="C96" s="96">
        <v>6745</v>
      </c>
      <c r="D96" s="93">
        <v>-2.8097982699999999E-2</v>
      </c>
      <c r="E96" s="94">
        <v>2851975.9621847202</v>
      </c>
      <c r="F96" s="35"/>
      <c r="G96" s="35"/>
      <c r="H96" s="35"/>
      <c r="I96" s="35"/>
    </row>
    <row r="97" spans="1:9">
      <c r="A97" s="40" t="s">
        <v>117</v>
      </c>
      <c r="B97" s="11" t="s">
        <v>118</v>
      </c>
      <c r="C97" s="96">
        <v>6705</v>
      </c>
      <c r="D97" s="93">
        <v>-2.8260869599999999E-2</v>
      </c>
      <c r="E97" s="94">
        <v>920830.75611842005</v>
      </c>
      <c r="F97" s="35"/>
      <c r="G97" s="35"/>
      <c r="H97" s="35"/>
      <c r="I97" s="35"/>
    </row>
    <row r="98" spans="1:9">
      <c r="A98" s="40" t="s">
        <v>167</v>
      </c>
      <c r="B98" s="11" t="s">
        <v>168</v>
      </c>
      <c r="C98" s="96">
        <v>206</v>
      </c>
      <c r="D98" s="93">
        <v>-2.8301886799999999E-2</v>
      </c>
      <c r="E98" s="94">
        <v>142522009.83256695</v>
      </c>
      <c r="F98" s="35"/>
      <c r="G98" s="35"/>
      <c r="H98" s="35"/>
      <c r="I98" s="35"/>
    </row>
    <row r="99" spans="1:9">
      <c r="A99" s="40" t="s">
        <v>143</v>
      </c>
      <c r="B99" s="11" t="s">
        <v>144</v>
      </c>
      <c r="C99" s="96">
        <v>9415</v>
      </c>
      <c r="D99" s="93">
        <v>-2.8379773E-2</v>
      </c>
      <c r="E99" s="94">
        <v>1452358.6676085901</v>
      </c>
      <c r="F99" s="35"/>
      <c r="G99" s="35"/>
      <c r="H99" s="35"/>
      <c r="I99" s="35"/>
    </row>
    <row r="100" spans="1:9">
      <c r="A100" s="40" t="s">
        <v>283</v>
      </c>
      <c r="B100" s="11" t="s">
        <v>284</v>
      </c>
      <c r="C100" s="96">
        <v>468</v>
      </c>
      <c r="D100" s="93">
        <v>-2.9045643199999999E-2</v>
      </c>
      <c r="E100" s="94">
        <v>27732014.760875259</v>
      </c>
      <c r="F100" s="35"/>
      <c r="G100" s="35"/>
      <c r="H100" s="35"/>
      <c r="I100" s="35"/>
    </row>
    <row r="101" spans="1:9">
      <c r="A101" s="40" t="s">
        <v>107</v>
      </c>
      <c r="B101" s="11" t="s">
        <v>108</v>
      </c>
      <c r="C101" s="96">
        <v>49510</v>
      </c>
      <c r="D101" s="93">
        <v>-2.9976488999999999E-2</v>
      </c>
      <c r="E101" s="94">
        <v>615065.91509064997</v>
      </c>
      <c r="F101" s="35"/>
      <c r="G101" s="35"/>
      <c r="H101" s="35"/>
      <c r="I101" s="35"/>
    </row>
    <row r="102" spans="1:9">
      <c r="A102" s="40" t="s">
        <v>93</v>
      </c>
      <c r="B102" s="11" t="s">
        <v>94</v>
      </c>
      <c r="C102" s="96">
        <v>113200</v>
      </c>
      <c r="D102" s="93">
        <v>-2.9991430999999999E-2</v>
      </c>
      <c r="E102" s="94">
        <v>871108.71058931004</v>
      </c>
      <c r="F102" s="35"/>
      <c r="G102" s="35"/>
      <c r="H102" s="35"/>
      <c r="I102" s="35"/>
    </row>
    <row r="103" spans="1:9">
      <c r="A103" s="40" t="s">
        <v>157</v>
      </c>
      <c r="B103" s="11" t="s">
        <v>158</v>
      </c>
      <c r="C103" s="96">
        <v>11230</v>
      </c>
      <c r="D103" s="93">
        <v>-3.10612597E-2</v>
      </c>
      <c r="E103" s="94">
        <v>3295011.9465722698</v>
      </c>
      <c r="F103" s="35"/>
      <c r="G103" s="35"/>
      <c r="H103" s="35"/>
      <c r="I103" s="35"/>
    </row>
    <row r="104" spans="1:9">
      <c r="A104" s="40" t="s">
        <v>139</v>
      </c>
      <c r="B104" s="11" t="s">
        <v>140</v>
      </c>
      <c r="C104" s="96">
        <v>3840</v>
      </c>
      <c r="D104" s="93">
        <v>-3.1525851200000003E-2</v>
      </c>
      <c r="E104" s="94">
        <v>1893046.96892725</v>
      </c>
      <c r="F104" s="35"/>
      <c r="G104" s="35"/>
      <c r="H104" s="35"/>
      <c r="I104" s="35"/>
    </row>
    <row r="105" spans="1:9">
      <c r="A105" s="40" t="s">
        <v>189</v>
      </c>
      <c r="B105" s="11" t="s">
        <v>190</v>
      </c>
      <c r="C105" s="96">
        <v>77180</v>
      </c>
      <c r="D105" s="93">
        <v>-3.2347041100000001E-2</v>
      </c>
      <c r="E105" s="94">
        <v>266668.83187885</v>
      </c>
      <c r="F105" s="35"/>
      <c r="G105" s="35"/>
      <c r="H105" s="35"/>
      <c r="I105" s="35"/>
    </row>
    <row r="106" spans="1:9">
      <c r="A106" s="40" t="s">
        <v>147</v>
      </c>
      <c r="B106" s="11" t="s">
        <v>148</v>
      </c>
      <c r="C106" s="96">
        <v>206</v>
      </c>
      <c r="D106" s="93">
        <v>-3.2863849799999997E-2</v>
      </c>
      <c r="E106" s="94">
        <v>65704739.722801819</v>
      </c>
      <c r="F106" s="35"/>
      <c r="G106" s="35"/>
      <c r="H106" s="35"/>
      <c r="I106" s="35"/>
    </row>
    <row r="107" spans="1:9">
      <c r="A107" s="40" t="s">
        <v>66</v>
      </c>
      <c r="B107" s="11" t="s">
        <v>67</v>
      </c>
      <c r="C107" s="96">
        <v>9815</v>
      </c>
      <c r="D107" s="93">
        <v>-3.3956692900000002E-2</v>
      </c>
      <c r="E107" s="94">
        <v>3319969.1207406102</v>
      </c>
      <c r="F107" s="35"/>
      <c r="G107" s="35"/>
      <c r="H107" s="35"/>
      <c r="I107" s="35"/>
    </row>
    <row r="108" spans="1:9">
      <c r="A108" s="40" t="s">
        <v>165</v>
      </c>
      <c r="B108" s="11" t="s">
        <v>166</v>
      </c>
      <c r="C108" s="96">
        <v>2515</v>
      </c>
      <c r="D108" s="93">
        <v>-3.4548944300000002E-2</v>
      </c>
      <c r="E108" s="94">
        <v>4427226.4559789803</v>
      </c>
      <c r="F108" s="35"/>
      <c r="G108" s="35"/>
      <c r="H108" s="35"/>
      <c r="I108" s="35"/>
    </row>
    <row r="109" spans="1:9">
      <c r="A109" s="40" t="s">
        <v>231</v>
      </c>
      <c r="B109" s="11" t="s">
        <v>232</v>
      </c>
      <c r="C109" s="96">
        <v>195</v>
      </c>
      <c r="D109" s="93">
        <v>-3.4653465299999998E-2</v>
      </c>
      <c r="E109" s="41">
        <v>59478289.895222299</v>
      </c>
    </row>
    <row r="110" spans="1:9">
      <c r="A110" s="40" t="s">
        <v>161</v>
      </c>
      <c r="B110" s="11" t="s">
        <v>162</v>
      </c>
      <c r="C110" s="96">
        <v>2170</v>
      </c>
      <c r="D110" s="93">
        <v>-3.5555555599999997E-2</v>
      </c>
      <c r="E110" s="41">
        <v>12086279.332594009</v>
      </c>
    </row>
    <row r="111" spans="1:9">
      <c r="A111" s="40" t="s">
        <v>75</v>
      </c>
      <c r="B111" s="11" t="s">
        <v>76</v>
      </c>
      <c r="C111" s="96">
        <v>47390</v>
      </c>
      <c r="D111" s="93">
        <v>-3.5612535600000002E-2</v>
      </c>
      <c r="E111" s="41">
        <v>950418.92097761994</v>
      </c>
    </row>
    <row r="112" spans="1:9">
      <c r="A112" s="40" t="s">
        <v>64</v>
      </c>
      <c r="B112" s="11" t="s">
        <v>65</v>
      </c>
      <c r="C112" s="96">
        <v>75.5</v>
      </c>
      <c r="D112" s="93">
        <v>-3.5759897800000003E-2</v>
      </c>
      <c r="E112" s="41">
        <v>168280782.94978562</v>
      </c>
    </row>
    <row r="113" spans="1:5">
      <c r="A113" s="40" t="s">
        <v>257</v>
      </c>
      <c r="B113" s="11" t="s">
        <v>258</v>
      </c>
      <c r="C113" s="96">
        <v>753</v>
      </c>
      <c r="D113" s="93">
        <v>-3.5851472500000002E-2</v>
      </c>
      <c r="E113" s="41">
        <v>22688650.83747223</v>
      </c>
    </row>
    <row r="114" spans="1:5">
      <c r="A114" s="40" t="s">
        <v>183</v>
      </c>
      <c r="B114" s="11" t="s">
        <v>184</v>
      </c>
      <c r="C114" s="96">
        <v>2605</v>
      </c>
      <c r="D114" s="93">
        <v>-3.6968576699999998E-2</v>
      </c>
      <c r="E114" s="41">
        <v>2004264.3752580499</v>
      </c>
    </row>
    <row r="115" spans="1:5">
      <c r="A115" s="40" t="s">
        <v>203</v>
      </c>
      <c r="B115" s="11" t="s">
        <v>204</v>
      </c>
      <c r="C115" s="96">
        <v>9965</v>
      </c>
      <c r="D115" s="93">
        <v>-3.81274131E-2</v>
      </c>
      <c r="E115" s="41">
        <v>19609951.72536296</v>
      </c>
    </row>
    <row r="116" spans="1:5">
      <c r="A116" s="40" t="s">
        <v>91</v>
      </c>
      <c r="B116" s="11" t="s">
        <v>92</v>
      </c>
      <c r="C116" s="96">
        <v>1890</v>
      </c>
      <c r="D116" s="93">
        <v>-3.8167938899999997E-2</v>
      </c>
      <c r="E116" s="41">
        <v>489463618.95818239</v>
      </c>
    </row>
    <row r="117" spans="1:5">
      <c r="A117" s="40" t="s">
        <v>249</v>
      </c>
      <c r="B117" s="11" t="s">
        <v>250</v>
      </c>
      <c r="C117" s="96">
        <v>241</v>
      </c>
      <c r="D117" s="93">
        <v>-3.9840637499999998E-2</v>
      </c>
      <c r="E117" s="41">
        <v>51643468.480071992</v>
      </c>
    </row>
    <row r="118" spans="1:5">
      <c r="A118" s="40" t="s">
        <v>125</v>
      </c>
      <c r="B118" s="11" t="s">
        <v>126</v>
      </c>
      <c r="C118" s="96">
        <v>68.5</v>
      </c>
      <c r="D118" s="93">
        <v>-4.0616246500000001E-2</v>
      </c>
      <c r="E118" s="41">
        <v>590973593.84817219</v>
      </c>
    </row>
    <row r="119" spans="1:5">
      <c r="A119" s="40"/>
      <c r="B119" s="11"/>
      <c r="C119" s="96"/>
      <c r="D119" s="93"/>
      <c r="E119" s="41"/>
    </row>
    <row r="120" spans="1:5">
      <c r="A120" s="40"/>
      <c r="B120" s="11"/>
      <c r="C120" s="96"/>
      <c r="D120" s="93"/>
      <c r="E120" s="41"/>
    </row>
    <row r="121" spans="1:5">
      <c r="A121" s="40"/>
      <c r="B121" s="11"/>
      <c r="C121" s="96"/>
      <c r="D121" s="93"/>
      <c r="E121" s="41"/>
    </row>
    <row r="122" spans="1:5">
      <c r="A122" s="40"/>
      <c r="B122" s="11"/>
      <c r="C122" s="96"/>
      <c r="D122" s="93"/>
      <c r="E122" s="41"/>
    </row>
    <row r="123" spans="1:5">
      <c r="A123" s="40"/>
      <c r="B123" s="11"/>
      <c r="C123" s="96"/>
      <c r="D123" s="93"/>
      <c r="E123" s="41"/>
    </row>
    <row r="124" spans="1:5">
      <c r="A124" s="40"/>
      <c r="B124" s="11"/>
      <c r="C124" s="96"/>
      <c r="D124" s="93"/>
      <c r="E124" s="41"/>
    </row>
    <row r="125" spans="1:5">
      <c r="A125" s="40"/>
      <c r="B125" s="11"/>
      <c r="C125" s="96"/>
      <c r="D125" s="93"/>
      <c r="E125" s="41"/>
    </row>
    <row r="126" spans="1:5">
      <c r="A126" s="40"/>
      <c r="B126" s="11"/>
      <c r="C126" s="96"/>
      <c r="D126" s="93"/>
      <c r="E126" s="41"/>
    </row>
    <row r="127" spans="1:5">
      <c r="A127" s="40"/>
      <c r="B127" s="11"/>
      <c r="C127" s="96"/>
      <c r="D127" s="93"/>
      <c r="E127" s="41"/>
    </row>
    <row r="128" spans="1:5">
      <c r="A128" s="40"/>
      <c r="B128" s="11"/>
      <c r="C128" s="96"/>
      <c r="D128" s="93"/>
      <c r="E128" s="41"/>
    </row>
    <row r="129" spans="1:5">
      <c r="A129" s="40"/>
      <c r="B129" s="11"/>
      <c r="C129" s="96"/>
      <c r="D129" s="93"/>
      <c r="E129" s="41"/>
    </row>
    <row r="130" spans="1:5">
      <c r="A130" s="40"/>
      <c r="B130" s="11"/>
      <c r="C130" s="96"/>
      <c r="D130" s="93"/>
      <c r="E130" s="41"/>
    </row>
    <row r="131" spans="1:5">
      <c r="A131" s="40"/>
      <c r="B131" s="11"/>
      <c r="C131" s="96"/>
      <c r="D131" s="93"/>
      <c r="E131" s="41"/>
    </row>
    <row r="132" spans="1:5">
      <c r="A132" s="40"/>
      <c r="B132" s="11"/>
      <c r="C132" s="96"/>
      <c r="D132" s="93"/>
      <c r="E132" s="41"/>
    </row>
    <row r="133" spans="1:5">
      <c r="A133" s="40"/>
      <c r="B133" s="11"/>
      <c r="C133" s="96"/>
      <c r="D133" s="93"/>
      <c r="E133" s="41"/>
    </row>
    <row r="134" spans="1:5">
      <c r="A134" s="40"/>
      <c r="B134" s="11"/>
      <c r="C134" s="96"/>
      <c r="D134" s="93"/>
      <c r="E134" s="41"/>
    </row>
    <row r="135" spans="1:5">
      <c r="A135" s="40"/>
      <c r="B135" s="11"/>
      <c r="C135" s="96"/>
      <c r="D135" s="93"/>
      <c r="E135" s="41"/>
    </row>
    <row r="136" spans="1:5">
      <c r="A136" s="40"/>
      <c r="B136" s="11"/>
      <c r="C136" s="96"/>
      <c r="D136" s="93"/>
      <c r="E136" s="41"/>
    </row>
    <row r="137" spans="1:5">
      <c r="A137" s="40"/>
      <c r="B137" s="11"/>
      <c r="C137" s="96"/>
      <c r="D137" s="93"/>
      <c r="E137" s="41"/>
    </row>
    <row r="138" spans="1:5">
      <c r="A138" s="40"/>
      <c r="B138" s="11"/>
      <c r="C138" s="96"/>
      <c r="D138" s="93"/>
      <c r="E138" s="41"/>
    </row>
    <row r="139" spans="1:5">
      <c r="A139" s="40"/>
      <c r="B139" s="11"/>
      <c r="C139" s="96"/>
      <c r="D139" s="93"/>
      <c r="E139" s="41"/>
    </row>
    <row r="140" spans="1:5">
      <c r="A140" s="40"/>
      <c r="B140" s="11"/>
      <c r="C140" s="96"/>
      <c r="D140" s="93"/>
      <c r="E140" s="41"/>
    </row>
    <row r="141" spans="1:5">
      <c r="A141" s="40"/>
      <c r="B141" s="11"/>
      <c r="C141" s="96"/>
      <c r="D141" s="93"/>
      <c r="E141" s="41"/>
    </row>
    <row r="142" spans="1:5">
      <c r="A142" s="40"/>
      <c r="B142" s="11"/>
      <c r="C142" s="96"/>
      <c r="D142" s="93"/>
      <c r="E142" s="41"/>
    </row>
    <row r="143" spans="1:5">
      <c r="A143" s="40"/>
      <c r="B143" s="11"/>
      <c r="C143" s="96"/>
      <c r="D143" s="93"/>
      <c r="E143" s="41"/>
    </row>
    <row r="144" spans="1:5">
      <c r="A144" s="40"/>
      <c r="B144" s="11"/>
      <c r="C144" s="96"/>
      <c r="D144" s="93"/>
      <c r="E144" s="41"/>
    </row>
    <row r="145" spans="1:5">
      <c r="A145" s="40"/>
      <c r="B145" s="11"/>
      <c r="C145" s="96"/>
      <c r="D145" s="93"/>
      <c r="E145" s="41"/>
    </row>
    <row r="146" spans="1:5">
      <c r="A146" s="40"/>
      <c r="B146" s="11"/>
      <c r="C146" s="96"/>
      <c r="D146" s="93"/>
      <c r="E146" s="41"/>
    </row>
    <row r="147" spans="1:5">
      <c r="A147" s="40"/>
      <c r="B147" s="11"/>
      <c r="C147" s="96"/>
      <c r="D147" s="93"/>
      <c r="E147" s="41"/>
    </row>
    <row r="148" spans="1:5">
      <c r="A148" s="40"/>
      <c r="B148" s="11"/>
      <c r="C148" s="96"/>
      <c r="D148" s="93"/>
      <c r="E148" s="41"/>
    </row>
    <row r="149" spans="1:5">
      <c r="A149" s="40"/>
      <c r="B149" s="11"/>
      <c r="C149" s="96"/>
      <c r="D149" s="93"/>
      <c r="E149" s="41"/>
    </row>
    <row r="150" spans="1:5">
      <c r="A150" s="40"/>
      <c r="B150" s="11"/>
      <c r="C150" s="96"/>
      <c r="D150" s="93"/>
      <c r="E150" s="41"/>
    </row>
    <row r="151" spans="1:5">
      <c r="A151" s="40"/>
      <c r="B151" s="11"/>
      <c r="C151" s="96"/>
      <c r="D151" s="93"/>
      <c r="E151" s="41"/>
    </row>
    <row r="152" spans="1:5">
      <c r="A152" s="40"/>
      <c r="B152" s="11"/>
      <c r="C152" s="96"/>
      <c r="D152" s="93"/>
      <c r="E152" s="41"/>
    </row>
    <row r="153" spans="1:5">
      <c r="A153" s="40"/>
      <c r="B153" s="11"/>
      <c r="C153" s="96"/>
      <c r="D153" s="93"/>
      <c r="E153" s="41"/>
    </row>
    <row r="154" spans="1:5">
      <c r="A154" s="40"/>
      <c r="B154" s="11"/>
      <c r="C154" s="96"/>
      <c r="D154" s="93"/>
      <c r="E154" s="41"/>
    </row>
    <row r="155" spans="1:5">
      <c r="A155" s="40"/>
      <c r="B155" s="11"/>
      <c r="C155" s="96"/>
      <c r="D155" s="93"/>
      <c r="E155" s="41"/>
    </row>
    <row r="156" spans="1:5">
      <c r="A156" s="40"/>
      <c r="B156" s="11"/>
      <c r="C156" s="96"/>
      <c r="D156" s="93"/>
      <c r="E156" s="41"/>
    </row>
    <row r="157" spans="1:5">
      <c r="A157" s="40"/>
      <c r="B157" s="11"/>
      <c r="C157" s="96"/>
      <c r="D157" s="93"/>
      <c r="E157" s="41"/>
    </row>
    <row r="158" spans="1:5">
      <c r="A158" s="40"/>
      <c r="B158" s="11"/>
      <c r="C158" s="96"/>
      <c r="D158" s="93"/>
      <c r="E158" s="41"/>
    </row>
    <row r="159" spans="1:5">
      <c r="A159" s="40"/>
      <c r="B159" s="11"/>
      <c r="C159" s="96"/>
      <c r="D159" s="93"/>
      <c r="E159" s="41"/>
    </row>
    <row r="160" spans="1:5">
      <c r="A160" s="40"/>
      <c r="B160" s="11"/>
      <c r="C160" s="96"/>
      <c r="D160" s="93"/>
      <c r="E160" s="41"/>
    </row>
    <row r="161" spans="1:5">
      <c r="A161" s="40"/>
      <c r="B161" s="11"/>
      <c r="C161" s="96"/>
      <c r="D161" s="93"/>
      <c r="E161" s="41"/>
    </row>
    <row r="162" spans="1:5">
      <c r="A162" s="40"/>
      <c r="B162" s="11"/>
      <c r="C162" s="96"/>
      <c r="D162" s="93"/>
      <c r="E162" s="41"/>
    </row>
    <row r="163" spans="1:5">
      <c r="A163" s="40"/>
      <c r="B163" s="11"/>
      <c r="C163" s="96"/>
      <c r="D163" s="93"/>
      <c r="E163" s="41"/>
    </row>
    <row r="164" spans="1:5">
      <c r="A164" s="40"/>
      <c r="B164" s="11"/>
      <c r="C164" s="96"/>
      <c r="D164" s="93"/>
      <c r="E164" s="41"/>
    </row>
    <row r="165" spans="1:5">
      <c r="A165" s="40"/>
      <c r="B165" s="11"/>
      <c r="C165" s="96"/>
      <c r="D165" s="93"/>
      <c r="E165" s="41"/>
    </row>
    <row r="166" spans="1:5">
      <c r="A166" s="40"/>
      <c r="B166" s="11"/>
      <c r="C166" s="96"/>
      <c r="D166" s="93"/>
      <c r="E166" s="41"/>
    </row>
    <row r="167" spans="1:5">
      <c r="A167" s="40"/>
      <c r="B167" s="11"/>
      <c r="C167" s="96"/>
      <c r="D167" s="93"/>
      <c r="E167" s="41"/>
    </row>
    <row r="168" spans="1:5">
      <c r="A168" s="40"/>
      <c r="B168" s="11"/>
      <c r="C168" s="96"/>
      <c r="D168" s="93"/>
      <c r="E168" s="41"/>
    </row>
    <row r="169" spans="1:5">
      <c r="A169" s="40"/>
      <c r="B169" s="11"/>
      <c r="C169" s="96"/>
      <c r="D169" s="93"/>
      <c r="E169" s="41"/>
    </row>
    <row r="170" spans="1:5">
      <c r="A170" s="40"/>
      <c r="B170" s="11"/>
      <c r="C170" s="96"/>
      <c r="D170" s="93"/>
      <c r="E170" s="41"/>
    </row>
    <row r="171" spans="1:5">
      <c r="A171" s="40"/>
      <c r="B171" s="11"/>
      <c r="C171" s="96"/>
      <c r="D171" s="93"/>
      <c r="E171" s="41"/>
    </row>
    <row r="172" spans="1:5">
      <c r="A172" s="40"/>
      <c r="B172" s="11"/>
      <c r="C172" s="96"/>
      <c r="D172" s="93"/>
      <c r="E172" s="41"/>
    </row>
    <row r="173" spans="1:5">
      <c r="A173" s="40"/>
      <c r="B173" s="11"/>
      <c r="C173" s="96"/>
      <c r="D173" s="93"/>
      <c r="E173" s="41"/>
    </row>
    <row r="174" spans="1:5">
      <c r="A174" s="40"/>
      <c r="B174" s="11"/>
      <c r="C174" s="96"/>
      <c r="D174" s="93"/>
      <c r="E174" s="41"/>
    </row>
    <row r="175" spans="1:5">
      <c r="A175" s="40"/>
      <c r="B175" s="11"/>
      <c r="C175" s="96"/>
      <c r="D175" s="93"/>
      <c r="E175" s="41"/>
    </row>
    <row r="176" spans="1:5">
      <c r="A176" s="40"/>
      <c r="B176" s="11"/>
      <c r="C176" s="96"/>
      <c r="D176" s="93"/>
      <c r="E176" s="41"/>
    </row>
    <row r="177" spans="1:5">
      <c r="A177" s="40"/>
      <c r="B177" s="11"/>
      <c r="C177" s="96"/>
      <c r="D177" s="93"/>
      <c r="E177" s="41"/>
    </row>
    <row r="178" spans="1:5">
      <c r="A178" s="40"/>
      <c r="B178" s="11"/>
      <c r="C178" s="96"/>
      <c r="D178" s="93"/>
      <c r="E178" s="41"/>
    </row>
    <row r="179" spans="1:5">
      <c r="A179" s="40"/>
      <c r="B179" s="11"/>
      <c r="C179" s="96"/>
      <c r="D179" s="93"/>
      <c r="E179" s="41"/>
    </row>
    <row r="180" spans="1:5">
      <c r="A180" s="40"/>
      <c r="B180" s="11"/>
      <c r="C180" s="96"/>
      <c r="D180" s="93"/>
      <c r="E180" s="41"/>
    </row>
    <row r="181" spans="1:5">
      <c r="A181" s="40"/>
      <c r="B181" s="11"/>
      <c r="C181" s="96"/>
      <c r="D181" s="93"/>
      <c r="E181" s="41"/>
    </row>
    <row r="182" spans="1:5">
      <c r="A182" s="40"/>
      <c r="B182" s="11"/>
      <c r="C182" s="96"/>
      <c r="D182" s="93"/>
      <c r="E182" s="41"/>
    </row>
    <row r="183" spans="1:5">
      <c r="A183" s="40"/>
      <c r="B183" s="11"/>
      <c r="C183" s="96"/>
      <c r="D183" s="93"/>
      <c r="E183" s="41"/>
    </row>
    <row r="184" spans="1:5">
      <c r="A184" s="40"/>
      <c r="B184" s="11"/>
      <c r="C184" s="96"/>
      <c r="D184" s="93"/>
      <c r="E184" s="41"/>
    </row>
    <row r="185" spans="1:5">
      <c r="A185" s="40"/>
      <c r="B185" s="11"/>
      <c r="C185" s="96"/>
      <c r="D185" s="93"/>
      <c r="E185" s="41"/>
    </row>
    <row r="186" spans="1:5">
      <c r="A186" s="40"/>
      <c r="B186" s="11"/>
      <c r="C186" s="96"/>
      <c r="D186" s="93"/>
      <c r="E186" s="41"/>
    </row>
    <row r="187" spans="1:5">
      <c r="A187" s="40"/>
      <c r="B187" s="11"/>
      <c r="C187" s="96"/>
      <c r="D187" s="93"/>
      <c r="E187" s="41"/>
    </row>
    <row r="188" spans="1:5">
      <c r="A188" s="40"/>
      <c r="B188" s="11"/>
      <c r="C188" s="96"/>
      <c r="D188" s="93"/>
      <c r="E188" s="41"/>
    </row>
    <row r="189" spans="1:5">
      <c r="A189" s="40"/>
      <c r="B189" s="11"/>
      <c r="C189" s="96"/>
      <c r="D189" s="93"/>
      <c r="E189" s="41"/>
    </row>
    <row r="190" spans="1:5">
      <c r="A190" s="40"/>
      <c r="B190" s="11"/>
      <c r="C190" s="96"/>
      <c r="D190" s="93"/>
      <c r="E190" s="41"/>
    </row>
    <row r="191" spans="1:5">
      <c r="A191" s="40"/>
      <c r="B191" s="11"/>
      <c r="C191" s="96"/>
      <c r="D191" s="93"/>
      <c r="E191" s="41"/>
    </row>
    <row r="192" spans="1:5">
      <c r="A192" s="40"/>
      <c r="B192" s="11"/>
      <c r="C192" s="96"/>
      <c r="D192" s="93"/>
      <c r="E192" s="41"/>
    </row>
    <row r="193" spans="1:5">
      <c r="A193" s="40"/>
      <c r="B193" s="11"/>
      <c r="C193" s="96"/>
      <c r="D193" s="93"/>
      <c r="E193" s="41"/>
    </row>
    <row r="194" spans="1:5">
      <c r="A194" s="40"/>
      <c r="B194" s="11"/>
      <c r="C194" s="96"/>
      <c r="D194" s="93"/>
      <c r="E194" s="41"/>
    </row>
    <row r="195" spans="1:5">
      <c r="A195" s="40"/>
      <c r="B195" s="11"/>
      <c r="C195" s="96"/>
      <c r="D195" s="93"/>
      <c r="E195" s="41"/>
    </row>
    <row r="196" spans="1:5">
      <c r="A196" s="40"/>
      <c r="B196" s="11"/>
      <c r="C196" s="96"/>
      <c r="D196" s="93"/>
      <c r="E196" s="41"/>
    </row>
    <row r="197" spans="1:5">
      <c r="A197" s="40"/>
      <c r="B197" s="11"/>
      <c r="C197" s="96"/>
      <c r="D197" s="93"/>
      <c r="E197" s="41"/>
    </row>
    <row r="198" spans="1:5">
      <c r="A198" s="40"/>
      <c r="B198" s="11"/>
      <c r="C198" s="96"/>
      <c r="D198" s="93"/>
      <c r="E198" s="41"/>
    </row>
    <row r="199" spans="1:5">
      <c r="A199" s="40"/>
      <c r="B199" s="97"/>
      <c r="C199" s="98"/>
      <c r="D199" s="93"/>
      <c r="E199" s="41"/>
    </row>
    <row r="200" spans="1:5" ht="17.25" thickBot="1">
      <c r="A200" s="42"/>
      <c r="B200" s="72"/>
      <c r="C200" s="99"/>
      <c r="D200" s="95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5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7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O22" sqref="O22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6"/>
    <col min="11" max="11" width="17.375" customWidth="1"/>
    <col min="12" max="12" width="17.5" bestFit="1" customWidth="1"/>
    <col min="14" max="14" width="9" style="76"/>
    <col min="15" max="15" width="17.375" customWidth="1"/>
    <col min="16" max="16" width="17.5" bestFit="1" customWidth="1"/>
    <col min="18" max="18" width="9" style="76"/>
  </cols>
  <sheetData>
    <row r="1" spans="1:18" ht="17.25" thickBot="1">
      <c r="A1" s="68" t="s">
        <v>287</v>
      </c>
      <c r="B1" s="70" t="s">
        <v>39</v>
      </c>
      <c r="C1" s="69" t="s">
        <v>37</v>
      </c>
      <c r="D1" s="71" t="s">
        <v>38</v>
      </c>
      <c r="E1" s="92" t="s">
        <v>294</v>
      </c>
    </row>
    <row r="2" spans="1:18" ht="17.25" thickBot="1">
      <c r="A2" s="40" t="s">
        <v>219</v>
      </c>
      <c r="B2" s="11" t="s">
        <v>220</v>
      </c>
      <c r="C2" s="96">
        <v>25.9</v>
      </c>
      <c r="D2" s="93">
        <v>0.26341463409999999</v>
      </c>
      <c r="E2" s="94">
        <v>1029131349.2015455</v>
      </c>
      <c r="F2" s="35"/>
      <c r="G2" s="54"/>
      <c r="H2" s="35"/>
      <c r="I2" s="35"/>
    </row>
    <row r="3" spans="1:18" ht="17.25" thickBot="1">
      <c r="A3" s="40" t="s">
        <v>201</v>
      </c>
      <c r="B3" s="11" t="s">
        <v>202</v>
      </c>
      <c r="C3" s="96">
        <v>247</v>
      </c>
      <c r="D3" s="93">
        <v>0.1227272727</v>
      </c>
      <c r="E3" s="94">
        <v>498321923.87117326</v>
      </c>
      <c r="F3" s="35"/>
      <c r="G3" s="179" t="s">
        <v>290</v>
      </c>
      <c r="H3" s="180" t="s">
        <v>303</v>
      </c>
      <c r="I3" s="180"/>
      <c r="K3" s="139" t="s">
        <v>34</v>
      </c>
      <c r="L3" s="140"/>
      <c r="M3" s="140"/>
      <c r="N3" s="141"/>
      <c r="O3" s="139" t="s">
        <v>291</v>
      </c>
      <c r="P3" s="140"/>
      <c r="Q3" s="140"/>
      <c r="R3" s="141"/>
    </row>
    <row r="4" spans="1:18" ht="17.25" thickBot="1">
      <c r="A4" s="40" t="s">
        <v>211</v>
      </c>
      <c r="B4" s="11" t="s">
        <v>212</v>
      </c>
      <c r="C4" s="96">
        <v>177</v>
      </c>
      <c r="D4" s="93">
        <v>8.5889570600000006E-2</v>
      </c>
      <c r="E4" s="94">
        <v>3697532024.7015696</v>
      </c>
      <c r="F4" s="35"/>
      <c r="G4" s="173"/>
      <c r="H4" s="181"/>
      <c r="I4" s="181"/>
      <c r="K4" s="172" t="s">
        <v>55</v>
      </c>
      <c r="L4" s="184">
        <f ca="1">NOW()</f>
        <v>44319.059008217591</v>
      </c>
      <c r="M4" s="185"/>
      <c r="N4" s="186"/>
      <c r="O4" s="174" t="s">
        <v>55</v>
      </c>
      <c r="P4" s="184">
        <f ca="1">NOW()</f>
        <v>44319.059008217591</v>
      </c>
      <c r="Q4" s="185"/>
      <c r="R4" s="186"/>
    </row>
    <row r="5" spans="1:18" ht="17.25" thickBot="1">
      <c r="A5" s="40" t="s">
        <v>279</v>
      </c>
      <c r="B5" s="11" t="s">
        <v>280</v>
      </c>
      <c r="C5" s="96">
        <v>1750</v>
      </c>
      <c r="D5" s="93">
        <v>7.3619631899999996E-2</v>
      </c>
      <c r="E5" s="94">
        <v>57448846.819432072</v>
      </c>
      <c r="F5" s="35"/>
      <c r="K5" s="173"/>
      <c r="L5" s="51" t="s">
        <v>58</v>
      </c>
      <c r="M5" s="74" t="s">
        <v>59</v>
      </c>
      <c r="N5" s="70" t="s">
        <v>294</v>
      </c>
      <c r="O5" s="159"/>
      <c r="P5" s="51" t="s">
        <v>58</v>
      </c>
      <c r="Q5" s="74" t="s">
        <v>59</v>
      </c>
      <c r="R5" s="92" t="s">
        <v>294</v>
      </c>
    </row>
    <row r="6" spans="1:18" ht="17.25" thickBot="1">
      <c r="A6" s="40" t="s">
        <v>163</v>
      </c>
      <c r="B6" s="11" t="s">
        <v>164</v>
      </c>
      <c r="C6" s="96">
        <v>28740</v>
      </c>
      <c r="D6" s="93">
        <v>7.0789865899999999E-2</v>
      </c>
      <c r="E6" s="94">
        <v>3420014.8536799499</v>
      </c>
      <c r="F6" s="35"/>
      <c r="G6" s="139" t="s">
        <v>52</v>
      </c>
      <c r="H6" s="140"/>
      <c r="I6" s="141"/>
      <c r="K6" s="55" t="str">
        <f ca="1">IFERROR(OFFSET(INDIRECT($H$3 &amp; "!A17"), 0, 0), "")</f>
        <v>질리카</v>
      </c>
      <c r="L6" s="38">
        <f t="shared" ref="L6:L25" ca="1" si="0">_xlfn.IFNA(VLOOKUP(K6, $B$2:$D$200, 2, FALSE), "")</f>
        <v>244</v>
      </c>
      <c r="M6" s="77">
        <f t="shared" ref="M6:M25" ca="1" si="1">_xlfn.IFNA(VLOOKUP(K6, $B$2:$D$200, 3, FALSE), "")</f>
        <v>-2.78884462E-2</v>
      </c>
      <c r="N6" s="86">
        <f ca="1">_xlfn.IFNA(VLOOKUP(K6, $B$2:$E$200, 4, FALSE), "")</f>
        <v>40339305.178109132</v>
      </c>
      <c r="O6" s="73" t="s">
        <v>220</v>
      </c>
      <c r="P6" s="38">
        <f t="shared" ref="P6:P25" si="2">_xlfn.IFNA(VLOOKUP(O6, $B$2:$D$200, 2, FALSE), "")</f>
        <v>25.9</v>
      </c>
      <c r="Q6" s="77">
        <f t="shared" ref="Q6:Q25" si="3">_xlfn.IFNA(VLOOKUP(O6, $B$2:$D$200, 3, FALSE), "")</f>
        <v>0.26341463409999999</v>
      </c>
      <c r="R6" s="86">
        <f>_xlfn.IFNA(VLOOKUP(O6, $B$2:$E$200, 4, FALSE), "")</f>
        <v>1029131349.2015455</v>
      </c>
    </row>
    <row r="7" spans="1:18">
      <c r="A7" s="40" t="s">
        <v>145</v>
      </c>
      <c r="B7" s="11" t="s">
        <v>146</v>
      </c>
      <c r="C7" s="96">
        <v>19540</v>
      </c>
      <c r="D7" s="93">
        <v>5.6787452699999998E-2</v>
      </c>
      <c r="E7" s="94">
        <v>11243041.749745401</v>
      </c>
      <c r="F7" s="35"/>
      <c r="G7" s="163" t="s">
        <v>36</v>
      </c>
      <c r="H7" s="164"/>
      <c r="I7" s="165"/>
      <c r="K7" s="56" t="str">
        <f ca="1">IFERROR(OFFSET(INDIRECT($H$3 &amp; "!A17"), 1, 0), "")</f>
        <v>폴리매쓰</v>
      </c>
      <c r="L7" s="39">
        <f t="shared" ca="1" si="0"/>
        <v>480</v>
      </c>
      <c r="M7" s="78">
        <f t="shared" ca="1" si="1"/>
        <v>-1.4373716599999999E-2</v>
      </c>
      <c r="N7" s="87">
        <f t="shared" ref="N7:N25" ca="1" si="4">_xlfn.IFNA(VLOOKUP(K7, $B$2:$E$200, 4, FALSE), "")</f>
        <v>14934884.967800761</v>
      </c>
      <c r="O7" s="89" t="s">
        <v>202</v>
      </c>
      <c r="P7" s="39">
        <f t="shared" si="2"/>
        <v>247</v>
      </c>
      <c r="Q7" s="78">
        <f t="shared" si="3"/>
        <v>0.1227272727</v>
      </c>
      <c r="R7" s="87">
        <f t="shared" ref="R7:R25" si="5">_xlfn.IFNA(VLOOKUP(O7, $B$2:$E$200, 4, FALSE), "")</f>
        <v>498321923.87117326</v>
      </c>
    </row>
    <row r="8" spans="1:18" ht="17.25" thickBot="1">
      <c r="A8" s="40" t="s">
        <v>131</v>
      </c>
      <c r="B8" s="11" t="s">
        <v>132</v>
      </c>
      <c r="C8" s="96">
        <v>256</v>
      </c>
      <c r="D8" s="93">
        <v>5.3497942399999998E-2</v>
      </c>
      <c r="E8" s="94">
        <v>1692350475.5293326</v>
      </c>
      <c r="F8" s="35"/>
      <c r="G8" s="157"/>
      <c r="H8" s="158"/>
      <c r="I8" s="159"/>
      <c r="K8" s="56" t="str">
        <f ca="1">IFERROR(OFFSET(INDIRECT($H$3 &amp; "!A17"), 2, 0), "")</f>
        <v>룸네트워크</v>
      </c>
      <c r="L8" s="39">
        <f t="shared" ca="1" si="0"/>
        <v>184</v>
      </c>
      <c r="M8" s="78">
        <f t="shared" ca="1" si="1"/>
        <v>-2.1276595700000001E-2</v>
      </c>
      <c r="N8" s="87">
        <f t="shared" ca="1" si="4"/>
        <v>27199845.0717218</v>
      </c>
      <c r="O8" s="89" t="s">
        <v>212</v>
      </c>
      <c r="P8" s="39">
        <f t="shared" si="2"/>
        <v>177</v>
      </c>
      <c r="Q8" s="78">
        <f t="shared" si="3"/>
        <v>8.5889570600000006E-2</v>
      </c>
      <c r="R8" s="87">
        <f t="shared" si="5"/>
        <v>3697532024.7015696</v>
      </c>
    </row>
    <row r="9" spans="1:18" ht="17.25" thickBot="1">
      <c r="A9" s="40" t="s">
        <v>261</v>
      </c>
      <c r="B9" s="11" t="s">
        <v>262</v>
      </c>
      <c r="C9" s="96">
        <v>1125</v>
      </c>
      <c r="D9" s="93">
        <v>5.1401869199999999E-2</v>
      </c>
      <c r="E9" s="94">
        <v>35690839.673171461</v>
      </c>
      <c r="F9" s="35"/>
      <c r="G9" s="50" t="s">
        <v>38</v>
      </c>
      <c r="H9" s="140" t="s">
        <v>37</v>
      </c>
      <c r="I9" s="141"/>
      <c r="K9" s="56" t="str">
        <f ca="1">IFERROR(OFFSET(INDIRECT($H$3 &amp; "!A17"), 3, 0), "")</f>
        <v>넴</v>
      </c>
      <c r="L9" s="39">
        <f t="shared" ca="1" si="0"/>
        <v>410</v>
      </c>
      <c r="M9" s="78">
        <f t="shared" ca="1" si="1"/>
        <v>-2.1479713599999999E-2</v>
      </c>
      <c r="N9" s="87">
        <f t="shared" ca="1" si="4"/>
        <v>127197238.57289258</v>
      </c>
      <c r="O9" s="89" t="s">
        <v>280</v>
      </c>
      <c r="P9" s="39">
        <f t="shared" si="2"/>
        <v>1750</v>
      </c>
      <c r="Q9" s="78">
        <f t="shared" si="3"/>
        <v>7.3619631899999996E-2</v>
      </c>
      <c r="R9" s="87">
        <f t="shared" si="5"/>
        <v>57448846.819432072</v>
      </c>
    </row>
    <row r="10" spans="1:18">
      <c r="A10" s="40" t="s">
        <v>233</v>
      </c>
      <c r="B10" s="11" t="s">
        <v>234</v>
      </c>
      <c r="C10" s="96">
        <v>1500</v>
      </c>
      <c r="D10" s="93">
        <v>4.5296167200000001E-2</v>
      </c>
      <c r="E10" s="94">
        <v>33355094.286347281</v>
      </c>
      <c r="F10" s="35"/>
      <c r="G10" s="182">
        <f>_xlfn.IFNA(VLOOKUP(G7, $B$2:$D$200, 3, FALSE), "-")</f>
        <v>-1.37004156E-2</v>
      </c>
      <c r="H10" s="175">
        <f>_xlfn.IFNA(VLOOKUP(G7, $B$2:$D$200, 2, FALSE), "-")</f>
        <v>68103000</v>
      </c>
      <c r="I10" s="176"/>
      <c r="K10" s="58" t="str">
        <f ca="1">IFERROR(OFFSET(INDIRECT($H$3 &amp; "!A17"), 4, 0), "")</f>
        <v>이그니스</v>
      </c>
      <c r="L10" s="44">
        <f t="shared" ca="1" si="0"/>
        <v>180</v>
      </c>
      <c r="M10" s="79">
        <f t="shared" ca="1" si="1"/>
        <v>-2.7027026999999999E-2</v>
      </c>
      <c r="N10" s="91">
        <f t="shared" ca="1" si="4"/>
        <v>32485240.649387378</v>
      </c>
      <c r="O10" s="89" t="s">
        <v>164</v>
      </c>
      <c r="P10" s="39">
        <f t="shared" si="2"/>
        <v>28740</v>
      </c>
      <c r="Q10" s="78">
        <f t="shared" si="3"/>
        <v>7.0789865899999999E-2</v>
      </c>
      <c r="R10" s="91">
        <f t="shared" si="5"/>
        <v>3420014.8536799499</v>
      </c>
    </row>
    <row r="11" spans="1:18" ht="17.25" thickBot="1">
      <c r="A11" s="40" t="s">
        <v>185</v>
      </c>
      <c r="B11" s="11" t="s">
        <v>186</v>
      </c>
      <c r="C11" s="96">
        <v>28.2</v>
      </c>
      <c r="D11" s="93">
        <v>4.4444444399999998E-2</v>
      </c>
      <c r="E11" s="94">
        <v>935148095.93308771</v>
      </c>
      <c r="F11" s="35"/>
      <c r="G11" s="183"/>
      <c r="H11" s="177"/>
      <c r="I11" s="178"/>
      <c r="K11" s="56">
        <f ca="1">IFERROR(OFFSET(INDIRECT($H$3 &amp; "!A17"), 5, 0), "")</f>
        <v>0</v>
      </c>
      <c r="L11" s="39" t="str">
        <f t="shared" ca="1" si="0"/>
        <v/>
      </c>
      <c r="M11" s="78" t="str">
        <f t="shared" ca="1" si="1"/>
        <v/>
      </c>
      <c r="N11" s="100" t="str">
        <f t="shared" ca="1" si="4"/>
        <v/>
      </c>
      <c r="O11" s="90" t="s">
        <v>146</v>
      </c>
      <c r="P11" s="45">
        <f t="shared" si="2"/>
        <v>19540</v>
      </c>
      <c r="Q11" s="81">
        <f t="shared" si="3"/>
        <v>5.6787452699999998E-2</v>
      </c>
      <c r="R11" s="100">
        <f t="shared" si="5"/>
        <v>11243041.749745401</v>
      </c>
    </row>
    <row r="12" spans="1:18" ht="17.25" thickBot="1">
      <c r="A12" s="40" t="s">
        <v>229</v>
      </c>
      <c r="B12" s="11" t="s">
        <v>230</v>
      </c>
      <c r="C12" s="96">
        <v>198</v>
      </c>
      <c r="D12" s="93">
        <v>4.21052632E-2</v>
      </c>
      <c r="E12" s="94">
        <v>182676100.34023836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8" t="str">
        <f t="shared" ca="1" si="1"/>
        <v/>
      </c>
      <c r="N12" s="87" t="str">
        <f t="shared" ca="1" si="4"/>
        <v/>
      </c>
      <c r="O12" s="89" t="s">
        <v>132</v>
      </c>
      <c r="P12" s="39">
        <f t="shared" si="2"/>
        <v>256</v>
      </c>
      <c r="Q12" s="78">
        <f t="shared" si="3"/>
        <v>5.3497942399999998E-2</v>
      </c>
      <c r="R12" s="87">
        <f t="shared" si="5"/>
        <v>1692350475.5293326</v>
      </c>
    </row>
    <row r="13" spans="1:18" ht="17.25" thickBot="1">
      <c r="A13" s="40" t="s">
        <v>89</v>
      </c>
      <c r="B13" s="11" t="s">
        <v>90</v>
      </c>
      <c r="C13" s="96">
        <v>411000</v>
      </c>
      <c r="D13" s="93">
        <v>4.0242976499999999E-2</v>
      </c>
      <c r="E13" s="94">
        <v>70825.071637360001</v>
      </c>
      <c r="F13" s="35"/>
      <c r="G13" s="139" t="s">
        <v>70</v>
      </c>
      <c r="H13" s="140"/>
      <c r="I13" s="141"/>
      <c r="K13" s="56">
        <f ca="1">IFERROR(OFFSET(INDIRECT($H$3 &amp; "!A17"), 7, 0), "")</f>
        <v>0</v>
      </c>
      <c r="L13" s="39" t="str">
        <f t="shared" ca="1" si="0"/>
        <v/>
      </c>
      <c r="M13" s="78" t="str">
        <f t="shared" ca="1" si="1"/>
        <v/>
      </c>
      <c r="N13" s="87" t="str">
        <f t="shared" ca="1" si="4"/>
        <v/>
      </c>
      <c r="O13" s="89" t="s">
        <v>262</v>
      </c>
      <c r="P13" s="39">
        <f t="shared" si="2"/>
        <v>1125</v>
      </c>
      <c r="Q13" s="78">
        <f t="shared" si="3"/>
        <v>5.1401869199999999E-2</v>
      </c>
      <c r="R13" s="87">
        <f t="shared" si="5"/>
        <v>35690839.673171461</v>
      </c>
    </row>
    <row r="14" spans="1:18">
      <c r="A14" s="40" t="s">
        <v>151</v>
      </c>
      <c r="B14" s="11" t="s">
        <v>152</v>
      </c>
      <c r="C14" s="96">
        <v>49.5</v>
      </c>
      <c r="D14" s="93">
        <v>3.7735849100000003E-2</v>
      </c>
      <c r="E14" s="94">
        <v>2910687292.7312379</v>
      </c>
      <c r="F14" s="35"/>
      <c r="G14" s="163" t="s">
        <v>36</v>
      </c>
      <c r="H14" s="164"/>
      <c r="I14" s="165"/>
      <c r="K14" s="56">
        <f ca="1">IFERROR(OFFSET(INDIRECT($H$3 &amp; "!A17"), 8, 0), "")</f>
        <v>0</v>
      </c>
      <c r="L14" s="39" t="str">
        <f t="shared" ca="1" si="0"/>
        <v/>
      </c>
      <c r="M14" s="78" t="str">
        <f t="shared" ca="1" si="1"/>
        <v/>
      </c>
      <c r="N14" s="87" t="str">
        <f t="shared" ca="1" si="4"/>
        <v/>
      </c>
      <c r="O14" s="89" t="s">
        <v>234</v>
      </c>
      <c r="P14" s="39">
        <f t="shared" si="2"/>
        <v>1500</v>
      </c>
      <c r="Q14" s="78">
        <f t="shared" si="3"/>
        <v>4.5296167200000001E-2</v>
      </c>
      <c r="R14" s="87">
        <f t="shared" si="5"/>
        <v>33355094.286347281</v>
      </c>
    </row>
    <row r="15" spans="1:18" ht="17.25" thickBot="1">
      <c r="A15" s="40" t="s">
        <v>227</v>
      </c>
      <c r="B15" s="11" t="s">
        <v>228</v>
      </c>
      <c r="C15" s="96">
        <v>20.8</v>
      </c>
      <c r="D15" s="93">
        <v>3.4825870600000003E-2</v>
      </c>
      <c r="E15" s="94">
        <v>2117926078.9033074</v>
      </c>
      <c r="F15" s="35"/>
      <c r="G15" s="157"/>
      <c r="H15" s="158"/>
      <c r="I15" s="159"/>
      <c r="K15" s="57">
        <f ca="1">IFERROR(OFFSET(INDIRECT($H$3 &amp; "!A17"), 9, 0), "")</f>
        <v>0</v>
      </c>
      <c r="L15" s="37" t="str">
        <f t="shared" ca="1" si="0"/>
        <v/>
      </c>
      <c r="M15" s="80" t="str">
        <f t="shared" ca="1" si="1"/>
        <v/>
      </c>
      <c r="N15" s="88" t="str">
        <f t="shared" ca="1" si="4"/>
        <v/>
      </c>
      <c r="O15" s="75" t="s">
        <v>186</v>
      </c>
      <c r="P15" s="37">
        <f t="shared" si="2"/>
        <v>28.2</v>
      </c>
      <c r="Q15" s="80">
        <f t="shared" si="3"/>
        <v>4.4444444399999998E-2</v>
      </c>
      <c r="R15" s="88">
        <f t="shared" si="5"/>
        <v>935148095.93308771</v>
      </c>
    </row>
    <row r="16" spans="1:18" ht="17.25" thickBot="1">
      <c r="A16" s="40" t="s">
        <v>253</v>
      </c>
      <c r="B16" s="11" t="s">
        <v>254</v>
      </c>
      <c r="C16" s="96">
        <v>96.4</v>
      </c>
      <c r="D16" s="93">
        <v>2.66240682E-2</v>
      </c>
      <c r="E16" s="94">
        <v>465849614.02352536</v>
      </c>
      <c r="F16" s="35"/>
      <c r="G16" s="50" t="s">
        <v>38</v>
      </c>
      <c r="H16" s="140" t="s">
        <v>37</v>
      </c>
      <c r="I16" s="141"/>
      <c r="K16" s="55">
        <f ca="1">IFERROR(OFFSET(INDIRECT($H$3 &amp; "!A17"), 10, 0), "")</f>
        <v>0</v>
      </c>
      <c r="L16" s="38" t="str">
        <f t="shared" ca="1" si="0"/>
        <v/>
      </c>
      <c r="M16" s="77" t="str">
        <f t="shared" ca="1" si="1"/>
        <v/>
      </c>
      <c r="N16" s="86" t="str">
        <f t="shared" ca="1" si="4"/>
        <v/>
      </c>
      <c r="O16" s="73" t="s">
        <v>230</v>
      </c>
      <c r="P16" s="38">
        <f t="shared" si="2"/>
        <v>198</v>
      </c>
      <c r="Q16" s="77">
        <f t="shared" si="3"/>
        <v>4.21052632E-2</v>
      </c>
      <c r="R16" s="86">
        <f t="shared" si="5"/>
        <v>182676100.34023836</v>
      </c>
    </row>
    <row r="17" spans="1:18">
      <c r="A17" s="40" t="s">
        <v>111</v>
      </c>
      <c r="B17" s="11" t="s">
        <v>112</v>
      </c>
      <c r="C17" s="96">
        <v>286</v>
      </c>
      <c r="D17" s="93">
        <v>2.50896057E-2</v>
      </c>
      <c r="E17" s="94">
        <v>124230562.26929228</v>
      </c>
      <c r="F17" s="35"/>
      <c r="G17" s="182">
        <f>_xlfn.IFNA(VLOOKUP(G14, $B$2:$D$200, 3, FALSE), "-")</f>
        <v>-1.37004156E-2</v>
      </c>
      <c r="H17" s="175">
        <f>_xlfn.IFNA(VLOOKUP(G14, $B$2:$D$200, 2, FALSE), "-")</f>
        <v>68103000</v>
      </c>
      <c r="I17" s="176"/>
      <c r="K17" s="56">
        <f ca="1">IFERROR(OFFSET(INDIRECT($H$3 &amp; "!A17"), 11, 0), "")</f>
        <v>0</v>
      </c>
      <c r="L17" s="39" t="str">
        <f t="shared" ca="1" si="0"/>
        <v/>
      </c>
      <c r="M17" s="78" t="str">
        <f t="shared" ca="1" si="1"/>
        <v/>
      </c>
      <c r="N17" s="87" t="str">
        <f t="shared" ca="1" si="4"/>
        <v/>
      </c>
      <c r="O17" s="89" t="s">
        <v>90</v>
      </c>
      <c r="P17" s="39">
        <f t="shared" si="2"/>
        <v>411000</v>
      </c>
      <c r="Q17" s="78">
        <f t="shared" si="3"/>
        <v>4.0242976499999999E-2</v>
      </c>
      <c r="R17" s="87">
        <f t="shared" si="5"/>
        <v>70825.071637360001</v>
      </c>
    </row>
    <row r="18" spans="1:18" ht="17.25" thickBot="1">
      <c r="A18" s="40" t="s">
        <v>213</v>
      </c>
      <c r="B18" s="11" t="s">
        <v>214</v>
      </c>
      <c r="C18" s="96">
        <v>25.1</v>
      </c>
      <c r="D18" s="93">
        <v>2.44897959E-2</v>
      </c>
      <c r="E18" s="94">
        <v>692060063.74470866</v>
      </c>
      <c r="F18" s="35"/>
      <c r="G18" s="183"/>
      <c r="H18" s="177"/>
      <c r="I18" s="178"/>
      <c r="K18" s="56">
        <f ca="1">IFERROR(OFFSET(INDIRECT($H$3 &amp; "!A17"), 12, 0), "")</f>
        <v>0</v>
      </c>
      <c r="L18" s="39" t="str">
        <f t="shared" ca="1" si="0"/>
        <v/>
      </c>
      <c r="M18" s="78" t="str">
        <f t="shared" ca="1" si="1"/>
        <v/>
      </c>
      <c r="N18" s="87" t="str">
        <f t="shared" ca="1" si="4"/>
        <v/>
      </c>
      <c r="O18" s="89" t="s">
        <v>152</v>
      </c>
      <c r="P18" s="39">
        <f t="shared" si="2"/>
        <v>49.5</v>
      </c>
      <c r="Q18" s="78">
        <f t="shared" si="3"/>
        <v>3.7735849100000003E-2</v>
      </c>
      <c r="R18" s="87">
        <f t="shared" si="5"/>
        <v>2910687292.7312379</v>
      </c>
    </row>
    <row r="19" spans="1:18" ht="17.25" thickBot="1">
      <c r="A19" s="40" t="s">
        <v>62</v>
      </c>
      <c r="B19" s="11" t="s">
        <v>63</v>
      </c>
      <c r="C19" s="96">
        <v>124550</v>
      </c>
      <c r="D19" s="93">
        <v>2.3838881999999999E-2</v>
      </c>
      <c r="E19" s="94">
        <v>2067718.6005476599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8" t="str">
        <f t="shared" ca="1" si="1"/>
        <v/>
      </c>
      <c r="N19" s="87" t="str">
        <f t="shared" ca="1" si="4"/>
        <v/>
      </c>
      <c r="O19" s="89" t="s">
        <v>228</v>
      </c>
      <c r="P19" s="39">
        <f t="shared" si="2"/>
        <v>20.8</v>
      </c>
      <c r="Q19" s="78">
        <f t="shared" si="3"/>
        <v>3.4825870600000003E-2</v>
      </c>
      <c r="R19" s="87">
        <f t="shared" si="5"/>
        <v>2117926078.9033074</v>
      </c>
    </row>
    <row r="20" spans="1:18" ht="17.25" thickBot="1">
      <c r="A20" s="40" t="s">
        <v>121</v>
      </c>
      <c r="B20" s="11" t="s">
        <v>122</v>
      </c>
      <c r="C20" s="96">
        <v>129</v>
      </c>
      <c r="D20" s="93">
        <v>2.3809523799999999E-2</v>
      </c>
      <c r="E20" s="94">
        <v>351467192.77889866</v>
      </c>
      <c r="F20" s="35"/>
      <c r="G20" s="139" t="s">
        <v>286</v>
      </c>
      <c r="H20" s="140"/>
      <c r="I20" s="141"/>
      <c r="K20" s="58">
        <f ca="1">IFERROR(OFFSET(INDIRECT($H$3 &amp; "!A17"), 14, 0), "")</f>
        <v>0</v>
      </c>
      <c r="L20" s="44" t="str">
        <f t="shared" ca="1" si="0"/>
        <v/>
      </c>
      <c r="M20" s="79" t="str">
        <f t="shared" ca="1" si="1"/>
        <v/>
      </c>
      <c r="N20" s="91" t="str">
        <f t="shared" ca="1" si="4"/>
        <v/>
      </c>
      <c r="O20" s="89" t="s">
        <v>254</v>
      </c>
      <c r="P20" s="39">
        <f t="shared" si="2"/>
        <v>96.4</v>
      </c>
      <c r="Q20" s="78">
        <f t="shared" si="3"/>
        <v>2.66240682E-2</v>
      </c>
      <c r="R20" s="91">
        <f t="shared" si="5"/>
        <v>465849614.02352536</v>
      </c>
    </row>
    <row r="21" spans="1:18">
      <c r="A21" s="40" t="s">
        <v>53</v>
      </c>
      <c r="B21" s="11" t="s">
        <v>54</v>
      </c>
      <c r="C21" s="96">
        <v>398</v>
      </c>
      <c r="D21" s="93">
        <v>2.3136246799999999E-2</v>
      </c>
      <c r="E21" s="94">
        <v>55579916.228638314</v>
      </c>
      <c r="F21" s="35"/>
      <c r="G21" s="163" t="s">
        <v>36</v>
      </c>
      <c r="H21" s="164"/>
      <c r="I21" s="165"/>
      <c r="K21" s="56">
        <f ca="1">IFERROR(OFFSET(INDIRECT($H$3 &amp; "!A17"), 15, 0), "")</f>
        <v>0</v>
      </c>
      <c r="L21" s="39" t="str">
        <f t="shared" ca="1" si="0"/>
        <v/>
      </c>
      <c r="M21" s="78" t="str">
        <f t="shared" ca="1" si="1"/>
        <v/>
      </c>
      <c r="N21" s="100" t="str">
        <f t="shared" ca="1" si="4"/>
        <v/>
      </c>
      <c r="O21" s="90" t="s">
        <v>112</v>
      </c>
      <c r="P21" s="45">
        <f t="shared" si="2"/>
        <v>286</v>
      </c>
      <c r="Q21" s="81">
        <f t="shared" si="3"/>
        <v>2.50896057E-2</v>
      </c>
      <c r="R21" s="100">
        <f t="shared" si="5"/>
        <v>124230562.26929228</v>
      </c>
    </row>
    <row r="22" spans="1:18" ht="17.25" thickBot="1">
      <c r="A22" s="40" t="s">
        <v>267</v>
      </c>
      <c r="B22" s="11" t="s">
        <v>268</v>
      </c>
      <c r="C22" s="96">
        <v>101</v>
      </c>
      <c r="D22" s="93">
        <v>2.2267206500000001E-2</v>
      </c>
      <c r="E22" s="94">
        <v>348308036.81440765</v>
      </c>
      <c r="F22" s="35"/>
      <c r="G22" s="157"/>
      <c r="H22" s="158"/>
      <c r="I22" s="159"/>
      <c r="K22" s="56">
        <f ca="1">IFERROR(OFFSET(INDIRECT($H$3 &amp; "!A17"), 16, 0), "")</f>
        <v>0</v>
      </c>
      <c r="L22" s="39" t="str">
        <f t="shared" ca="1" si="0"/>
        <v/>
      </c>
      <c r="M22" s="78" t="str">
        <f t="shared" ca="1" si="1"/>
        <v/>
      </c>
      <c r="N22" s="87" t="str">
        <f t="shared" ca="1" si="4"/>
        <v/>
      </c>
      <c r="O22" s="89" t="s">
        <v>214</v>
      </c>
      <c r="P22" s="39">
        <f t="shared" si="2"/>
        <v>25.1</v>
      </c>
      <c r="Q22" s="78">
        <f t="shared" si="3"/>
        <v>2.44897959E-2</v>
      </c>
      <c r="R22" s="87">
        <f t="shared" si="5"/>
        <v>692060063.74470866</v>
      </c>
    </row>
    <row r="23" spans="1:18" ht="17.25" thickBot="1">
      <c r="A23" s="40" t="s">
        <v>187</v>
      </c>
      <c r="B23" s="11" t="s">
        <v>188</v>
      </c>
      <c r="C23" s="96">
        <v>18420</v>
      </c>
      <c r="D23" s="93">
        <v>2.21975583E-2</v>
      </c>
      <c r="E23" s="94">
        <v>11704579.935771801</v>
      </c>
      <c r="F23" s="35"/>
      <c r="G23" s="50" t="s">
        <v>38</v>
      </c>
      <c r="H23" s="140" t="s">
        <v>37</v>
      </c>
      <c r="I23" s="141"/>
      <c r="K23" s="56">
        <f ca="1">IFERROR(OFFSET(INDIRECT($H$3 &amp; "!A17"), 17, 0), "")</f>
        <v>0</v>
      </c>
      <c r="L23" s="39" t="str">
        <f t="shared" ca="1" si="0"/>
        <v/>
      </c>
      <c r="M23" s="78" t="str">
        <f t="shared" ca="1" si="1"/>
        <v/>
      </c>
      <c r="N23" s="87" t="str">
        <f t="shared" ca="1" si="4"/>
        <v/>
      </c>
      <c r="O23" s="89" t="s">
        <v>63</v>
      </c>
      <c r="P23" s="39">
        <f t="shared" si="2"/>
        <v>124550</v>
      </c>
      <c r="Q23" s="78">
        <f t="shared" si="3"/>
        <v>2.3838881999999999E-2</v>
      </c>
      <c r="R23" s="87">
        <f t="shared" si="5"/>
        <v>2067718.6005476599</v>
      </c>
    </row>
    <row r="24" spans="1:18">
      <c r="A24" s="40" t="s">
        <v>68</v>
      </c>
      <c r="B24" s="11" t="s">
        <v>69</v>
      </c>
      <c r="C24" s="96">
        <v>12870</v>
      </c>
      <c r="D24" s="93">
        <v>2.1428571399999999E-2</v>
      </c>
      <c r="E24" s="94">
        <v>3857563.0478975</v>
      </c>
      <c r="F24" s="35"/>
      <c r="G24" s="182">
        <f>_xlfn.IFNA(VLOOKUP(G21, $B$2:$D$200, 3, FALSE), "-")</f>
        <v>-1.37004156E-2</v>
      </c>
      <c r="H24" s="175">
        <f>_xlfn.IFNA(VLOOKUP(G21, $B$2:$D$200, 2, FALSE), "-")</f>
        <v>68103000</v>
      </c>
      <c r="I24" s="176"/>
      <c r="K24" s="56">
        <f ca="1">IFERROR(OFFSET(INDIRECT($H$3 &amp; "!A17"), 18, 0), "")</f>
        <v>0</v>
      </c>
      <c r="L24" s="39" t="str">
        <f t="shared" ca="1" si="0"/>
        <v/>
      </c>
      <c r="M24" s="78" t="str">
        <f t="shared" ca="1" si="1"/>
        <v/>
      </c>
      <c r="N24" s="87" t="str">
        <f t="shared" ca="1" si="4"/>
        <v/>
      </c>
      <c r="O24" s="89" t="s">
        <v>122</v>
      </c>
      <c r="P24" s="39">
        <f t="shared" si="2"/>
        <v>129</v>
      </c>
      <c r="Q24" s="78">
        <f t="shared" si="3"/>
        <v>2.3809523799999999E-2</v>
      </c>
      <c r="R24" s="87">
        <f t="shared" si="5"/>
        <v>351467192.77889866</v>
      </c>
    </row>
    <row r="25" spans="1:18" ht="17.25" thickBot="1">
      <c r="A25" s="40" t="s">
        <v>207</v>
      </c>
      <c r="B25" s="11" t="s">
        <v>208</v>
      </c>
      <c r="C25" s="96">
        <v>543</v>
      </c>
      <c r="D25" s="93">
        <v>1.8761726100000001E-2</v>
      </c>
      <c r="E25" s="94">
        <v>131249043.20598491</v>
      </c>
      <c r="F25" s="35"/>
      <c r="G25" s="183"/>
      <c r="H25" s="177"/>
      <c r="I25" s="178"/>
      <c r="K25" s="57">
        <f ca="1">IFERROR(OFFSET(INDIRECT($H$3 &amp; "!A17"), 19, 0), "")</f>
        <v>0</v>
      </c>
      <c r="L25" s="37" t="str">
        <f t="shared" ca="1" si="0"/>
        <v/>
      </c>
      <c r="M25" s="80" t="str">
        <f t="shared" ca="1" si="1"/>
        <v/>
      </c>
      <c r="N25" s="88" t="str">
        <f t="shared" ca="1" si="4"/>
        <v/>
      </c>
      <c r="O25" s="75" t="s">
        <v>54</v>
      </c>
      <c r="P25" s="37">
        <f t="shared" si="2"/>
        <v>398</v>
      </c>
      <c r="Q25" s="80">
        <f t="shared" si="3"/>
        <v>2.3136246799999999E-2</v>
      </c>
      <c r="R25" s="88">
        <f t="shared" si="5"/>
        <v>55579916.228638314</v>
      </c>
    </row>
    <row r="26" spans="1:18">
      <c r="A26" s="40" t="s">
        <v>221</v>
      </c>
      <c r="B26" s="11" t="s">
        <v>222</v>
      </c>
      <c r="C26" s="96">
        <v>20.6</v>
      </c>
      <c r="D26" s="93">
        <v>9.8039215999999995E-3</v>
      </c>
      <c r="E26" s="94">
        <v>410497352.58961529</v>
      </c>
      <c r="F26" s="35"/>
    </row>
    <row r="27" spans="1:18" ht="17.25" thickBot="1">
      <c r="A27" s="40" t="s">
        <v>153</v>
      </c>
      <c r="B27" s="11" t="s">
        <v>154</v>
      </c>
      <c r="C27" s="96">
        <v>22.7</v>
      </c>
      <c r="D27" s="93">
        <v>8.8888888999999992E-3</v>
      </c>
      <c r="E27" s="94">
        <v>920845937.99003839</v>
      </c>
      <c r="F27" s="35"/>
    </row>
    <row r="28" spans="1:18" ht="17.25" thickBot="1">
      <c r="A28" s="40" t="s">
        <v>101</v>
      </c>
      <c r="B28" s="11" t="s">
        <v>102</v>
      </c>
      <c r="C28" s="96">
        <v>53720</v>
      </c>
      <c r="D28" s="93">
        <v>5.9925094000000002E-3</v>
      </c>
      <c r="E28" s="94">
        <v>22043791.296905082</v>
      </c>
      <c r="F28" s="35"/>
      <c r="G28" s="139" t="s">
        <v>46</v>
      </c>
      <c r="H28" s="140"/>
      <c r="I28" s="140"/>
      <c r="J28" s="141"/>
      <c r="K28" s="139" t="s">
        <v>44</v>
      </c>
      <c r="L28" s="140"/>
      <c r="M28" s="140"/>
      <c r="N28" s="141"/>
      <c r="O28" s="139" t="s">
        <v>45</v>
      </c>
      <c r="P28" s="140"/>
      <c r="Q28" s="140"/>
      <c r="R28" s="141"/>
    </row>
    <row r="29" spans="1:18" ht="17.25" thickBot="1">
      <c r="A29" s="40" t="s">
        <v>95</v>
      </c>
      <c r="B29" s="11" t="s">
        <v>96</v>
      </c>
      <c r="C29" s="96">
        <v>3525000</v>
      </c>
      <c r="D29" s="93">
        <v>5.1325920000000001E-3</v>
      </c>
      <c r="E29" s="94">
        <v>102926.94705122001</v>
      </c>
      <c r="F29" s="35"/>
      <c r="G29" s="172" t="s">
        <v>55</v>
      </c>
      <c r="H29" s="184">
        <f ca="1">NOW()</f>
        <v>44319.059008217591</v>
      </c>
      <c r="I29" s="185"/>
      <c r="J29" s="186"/>
      <c r="K29" s="174" t="s">
        <v>55</v>
      </c>
      <c r="L29" s="184">
        <f ca="1">NOW()</f>
        <v>44319.059008217591</v>
      </c>
      <c r="M29" s="185"/>
      <c r="N29" s="186"/>
      <c r="O29" s="174" t="s">
        <v>55</v>
      </c>
      <c r="P29" s="184">
        <f ca="1">NOW()</f>
        <v>44319.059008217591</v>
      </c>
      <c r="Q29" s="185"/>
      <c r="R29" s="186"/>
    </row>
    <row r="30" spans="1:18" ht="17.25" thickBot="1">
      <c r="A30" s="40" t="s">
        <v>209</v>
      </c>
      <c r="B30" s="11" t="s">
        <v>210</v>
      </c>
      <c r="C30" s="96">
        <v>219</v>
      </c>
      <c r="D30" s="93">
        <v>4.5871560000000002E-3</v>
      </c>
      <c r="E30" s="94">
        <v>45499852.713309549</v>
      </c>
      <c r="F30" s="35"/>
      <c r="G30" s="173"/>
      <c r="H30" s="51" t="s">
        <v>58</v>
      </c>
      <c r="I30" s="74" t="s">
        <v>59</v>
      </c>
      <c r="J30" s="70" t="s">
        <v>294</v>
      </c>
      <c r="K30" s="159"/>
      <c r="L30" s="51" t="s">
        <v>58</v>
      </c>
      <c r="M30" s="74" t="s">
        <v>59</v>
      </c>
      <c r="N30" s="92" t="s">
        <v>294</v>
      </c>
      <c r="O30" s="159"/>
      <c r="P30" s="51" t="s">
        <v>58</v>
      </c>
      <c r="Q30" s="74" t="s">
        <v>59</v>
      </c>
      <c r="R30" s="92" t="s">
        <v>294</v>
      </c>
    </row>
    <row r="31" spans="1:18">
      <c r="A31" s="40" t="s">
        <v>171</v>
      </c>
      <c r="B31" s="11" t="s">
        <v>172</v>
      </c>
      <c r="C31" s="96">
        <v>28.5</v>
      </c>
      <c r="D31" s="93">
        <v>3.5211268000000001E-3</v>
      </c>
      <c r="E31" s="94">
        <v>350439131.04611027</v>
      </c>
      <c r="F31" s="35"/>
      <c r="G31" s="52" t="s">
        <v>220</v>
      </c>
      <c r="H31" s="38">
        <f t="shared" ref="H31:H50" si="6">_xlfn.IFNA(VLOOKUP(G31, $B$2:$D$200, 2, FALSE), "")</f>
        <v>25.9</v>
      </c>
      <c r="I31" s="77">
        <f t="shared" ref="I31:I50" si="7">_xlfn.IFNA(VLOOKUP(G31, $B$2:$D$200, 3, FALSE), "")</f>
        <v>0.26341463409999999</v>
      </c>
      <c r="J31" s="86">
        <f>_xlfn.IFNA(VLOOKUP(G31, $B$2:$E$200, 4, FALSE), "")</f>
        <v>1029131349.2015455</v>
      </c>
      <c r="K31" s="82" t="s">
        <v>220</v>
      </c>
      <c r="L31" s="38">
        <f t="shared" ref="L31:L50" si="8">_xlfn.IFNA(VLOOKUP(K31, $B$2:$D$200, 2, FALSE), "")</f>
        <v>25.9</v>
      </c>
      <c r="M31" s="77">
        <f t="shared" ref="M31:M50" si="9">_xlfn.IFNA(VLOOKUP(K31, $B$2:$D$200, 3, FALSE), "")</f>
        <v>0.26341463409999999</v>
      </c>
      <c r="N31" s="86">
        <f>_xlfn.IFNA(VLOOKUP(K31, $B$2:$E$200, 4, FALSE), "")</f>
        <v>1029131349.2015455</v>
      </c>
      <c r="O31" s="82" t="s">
        <v>202</v>
      </c>
      <c r="P31" s="38">
        <f t="shared" ref="P31:P50" si="10">_xlfn.IFNA(VLOOKUP(O31, $B$2:$D$200, 2, FALSE), "")</f>
        <v>247</v>
      </c>
      <c r="Q31" s="77">
        <f t="shared" ref="Q31:Q50" si="11">_xlfn.IFNA(VLOOKUP(O31, $B$2:$D$200, 3, FALSE), "")</f>
        <v>0.1227272727</v>
      </c>
      <c r="R31" s="86">
        <f>_xlfn.IFNA(VLOOKUP(O31, $B$2:$E$200, 4, FALSE), "")</f>
        <v>498321923.87117326</v>
      </c>
    </row>
    <row r="32" spans="1:18">
      <c r="A32" s="40" t="s">
        <v>109</v>
      </c>
      <c r="B32" s="11" t="s">
        <v>110</v>
      </c>
      <c r="C32" s="96">
        <v>3110</v>
      </c>
      <c r="D32" s="93">
        <v>0</v>
      </c>
      <c r="E32" s="94">
        <v>2331525.7436812101</v>
      </c>
      <c r="F32" s="35"/>
      <c r="G32" s="47" t="s">
        <v>202</v>
      </c>
      <c r="H32" s="39">
        <f t="shared" si="6"/>
        <v>247</v>
      </c>
      <c r="I32" s="78">
        <f t="shared" si="7"/>
        <v>0.1227272727</v>
      </c>
      <c r="J32" s="87">
        <f t="shared" ref="J32:J50" si="12">_xlfn.IFNA(VLOOKUP(G32, $B$2:$E$200, 4, FALSE), "")</f>
        <v>498321923.87117326</v>
      </c>
      <c r="K32" s="83" t="s">
        <v>186</v>
      </c>
      <c r="L32" s="39">
        <f t="shared" si="8"/>
        <v>28.2</v>
      </c>
      <c r="M32" s="78">
        <f t="shared" si="9"/>
        <v>4.4444444399999998E-2</v>
      </c>
      <c r="N32" s="87">
        <f t="shared" ref="N32:N50" si="13">_xlfn.IFNA(VLOOKUP(K32, $B$2:$E$200, 4, FALSE), "")</f>
        <v>935148095.93308771</v>
      </c>
      <c r="O32" s="83" t="s">
        <v>212</v>
      </c>
      <c r="P32" s="39">
        <f t="shared" si="10"/>
        <v>177</v>
      </c>
      <c r="Q32" s="78">
        <f t="shared" si="11"/>
        <v>8.5889570600000006E-2</v>
      </c>
      <c r="R32" s="87">
        <f t="shared" ref="R32:R50" si="14">_xlfn.IFNA(VLOOKUP(O32, $B$2:$E$200, 4, FALSE), "")</f>
        <v>3697532024.7015696</v>
      </c>
    </row>
    <row r="33" spans="1:18">
      <c r="A33" s="40" t="s">
        <v>105</v>
      </c>
      <c r="B33" s="11" t="s">
        <v>106</v>
      </c>
      <c r="C33" s="96">
        <v>2315</v>
      </c>
      <c r="D33" s="93">
        <v>0</v>
      </c>
      <c r="E33" s="94">
        <v>5491690.2357501397</v>
      </c>
      <c r="F33" s="35"/>
      <c r="G33" s="47" t="s">
        <v>212</v>
      </c>
      <c r="H33" s="39">
        <f t="shared" si="6"/>
        <v>177</v>
      </c>
      <c r="I33" s="78">
        <f t="shared" si="7"/>
        <v>8.5889570600000006E-2</v>
      </c>
      <c r="J33" s="87">
        <f t="shared" si="12"/>
        <v>3697532024.7015696</v>
      </c>
      <c r="K33" s="83" t="s">
        <v>152</v>
      </c>
      <c r="L33" s="39">
        <f t="shared" si="8"/>
        <v>49.5</v>
      </c>
      <c r="M33" s="78">
        <f t="shared" si="9"/>
        <v>3.7735849100000003E-2</v>
      </c>
      <c r="N33" s="87">
        <f t="shared" si="13"/>
        <v>2910687292.7312379</v>
      </c>
      <c r="O33" s="83" t="s">
        <v>132</v>
      </c>
      <c r="P33" s="39">
        <f t="shared" si="10"/>
        <v>256</v>
      </c>
      <c r="Q33" s="78">
        <f t="shared" si="11"/>
        <v>5.3497942399999998E-2</v>
      </c>
      <c r="R33" s="87">
        <f t="shared" si="14"/>
        <v>1692350475.5293326</v>
      </c>
    </row>
    <row r="34" spans="1:18">
      <c r="A34" s="40" t="s">
        <v>149</v>
      </c>
      <c r="B34" s="11" t="s">
        <v>150</v>
      </c>
      <c r="C34" s="96">
        <v>6050</v>
      </c>
      <c r="D34" s="93">
        <v>-1.6501650000000001E-3</v>
      </c>
      <c r="E34" s="94">
        <v>13000024.31127877</v>
      </c>
      <c r="F34" s="35"/>
      <c r="G34" s="47" t="s">
        <v>280</v>
      </c>
      <c r="H34" s="39">
        <f t="shared" si="6"/>
        <v>1750</v>
      </c>
      <c r="I34" s="78">
        <f t="shared" si="7"/>
        <v>7.3619631899999996E-2</v>
      </c>
      <c r="J34" s="87">
        <f t="shared" si="12"/>
        <v>57448846.819432072</v>
      </c>
      <c r="K34" s="83" t="s">
        <v>228</v>
      </c>
      <c r="L34" s="39">
        <f t="shared" si="8"/>
        <v>20.8</v>
      </c>
      <c r="M34" s="78">
        <f t="shared" si="9"/>
        <v>3.4825870600000003E-2</v>
      </c>
      <c r="N34" s="87">
        <f t="shared" si="13"/>
        <v>2117926078.9033074</v>
      </c>
      <c r="O34" s="83" t="s">
        <v>230</v>
      </c>
      <c r="P34" s="39">
        <f t="shared" si="10"/>
        <v>198</v>
      </c>
      <c r="Q34" s="78">
        <f t="shared" si="11"/>
        <v>4.21052632E-2</v>
      </c>
      <c r="R34" s="87">
        <f t="shared" si="14"/>
        <v>182676100.34023836</v>
      </c>
    </row>
    <row r="35" spans="1:18">
      <c r="A35" s="40" t="s">
        <v>295</v>
      </c>
      <c r="B35" s="11" t="s">
        <v>296</v>
      </c>
      <c r="C35" s="96">
        <v>464</v>
      </c>
      <c r="D35" s="93">
        <v>-2.1505375999999999E-3</v>
      </c>
      <c r="E35" s="94">
        <v>3055700308.152215</v>
      </c>
      <c r="F35" s="35"/>
      <c r="G35" s="47" t="s">
        <v>164</v>
      </c>
      <c r="H35" s="44">
        <f t="shared" si="6"/>
        <v>28740</v>
      </c>
      <c r="I35" s="79">
        <f t="shared" si="7"/>
        <v>7.0789865899999999E-2</v>
      </c>
      <c r="J35" s="91">
        <f t="shared" si="12"/>
        <v>3420014.8536799499</v>
      </c>
      <c r="K35" s="84" t="s">
        <v>254</v>
      </c>
      <c r="L35" s="44">
        <f t="shared" si="8"/>
        <v>96.4</v>
      </c>
      <c r="M35" s="79">
        <f t="shared" si="9"/>
        <v>2.66240682E-2</v>
      </c>
      <c r="N35" s="91">
        <f t="shared" si="13"/>
        <v>465849614.02352536</v>
      </c>
      <c r="O35" s="84" t="s">
        <v>112</v>
      </c>
      <c r="P35" s="44">
        <f t="shared" si="10"/>
        <v>286</v>
      </c>
      <c r="Q35" s="79">
        <f t="shared" si="11"/>
        <v>2.50896057E-2</v>
      </c>
      <c r="R35" s="91">
        <f t="shared" si="14"/>
        <v>124230562.26929228</v>
      </c>
    </row>
    <row r="36" spans="1:18">
      <c r="A36" s="40" t="s">
        <v>83</v>
      </c>
      <c r="B36" s="11" t="s">
        <v>84</v>
      </c>
      <c r="C36" s="96">
        <v>1610</v>
      </c>
      <c r="D36" s="93">
        <v>-3.0959752E-3</v>
      </c>
      <c r="E36" s="94">
        <v>31699285.30578379</v>
      </c>
      <c r="F36" s="35"/>
      <c r="G36" s="49" t="s">
        <v>146</v>
      </c>
      <c r="H36" s="39">
        <f t="shared" si="6"/>
        <v>19540</v>
      </c>
      <c r="I36" s="78">
        <f t="shared" si="7"/>
        <v>5.6787452699999998E-2</v>
      </c>
      <c r="J36" s="100">
        <f t="shared" si="12"/>
        <v>11243041.749745401</v>
      </c>
      <c r="K36" s="83" t="s">
        <v>214</v>
      </c>
      <c r="L36" s="39">
        <f t="shared" si="8"/>
        <v>25.1</v>
      </c>
      <c r="M36" s="78">
        <f t="shared" si="9"/>
        <v>2.44897959E-2</v>
      </c>
      <c r="N36" s="100">
        <f t="shared" si="13"/>
        <v>692060063.74470866</v>
      </c>
      <c r="O36" s="83" t="s">
        <v>122</v>
      </c>
      <c r="P36" s="39">
        <f t="shared" si="10"/>
        <v>129</v>
      </c>
      <c r="Q36" s="78">
        <f t="shared" si="11"/>
        <v>2.3809523799999999E-2</v>
      </c>
      <c r="R36" s="100">
        <f t="shared" si="14"/>
        <v>351467192.77889866</v>
      </c>
    </row>
    <row r="37" spans="1:18">
      <c r="A37" s="40" t="s">
        <v>79</v>
      </c>
      <c r="B37" s="11" t="s">
        <v>80</v>
      </c>
      <c r="C37" s="96">
        <v>1515</v>
      </c>
      <c r="D37" s="93">
        <v>-3.2894737E-3</v>
      </c>
      <c r="E37" s="94">
        <v>6073058.7676332304</v>
      </c>
      <c r="F37" s="35"/>
      <c r="G37" s="47" t="s">
        <v>132</v>
      </c>
      <c r="H37" s="39">
        <f t="shared" si="6"/>
        <v>256</v>
      </c>
      <c r="I37" s="78">
        <f t="shared" si="7"/>
        <v>5.3497942399999998E-2</v>
      </c>
      <c r="J37" s="87">
        <f t="shared" si="12"/>
        <v>1692350475.5293326</v>
      </c>
      <c r="K37" s="83" t="s">
        <v>222</v>
      </c>
      <c r="L37" s="39">
        <f t="shared" si="8"/>
        <v>20.6</v>
      </c>
      <c r="M37" s="78">
        <f t="shared" si="9"/>
        <v>9.8039215999999995E-3</v>
      </c>
      <c r="N37" s="87">
        <f t="shared" si="13"/>
        <v>410497352.58961529</v>
      </c>
      <c r="O37" s="83" t="s">
        <v>54</v>
      </c>
      <c r="P37" s="39">
        <f t="shared" si="10"/>
        <v>398</v>
      </c>
      <c r="Q37" s="78">
        <f t="shared" si="11"/>
        <v>2.3136246799999999E-2</v>
      </c>
      <c r="R37" s="87">
        <f t="shared" si="14"/>
        <v>55579916.228638314</v>
      </c>
    </row>
    <row r="38" spans="1:18">
      <c r="A38" s="40" t="s">
        <v>141</v>
      </c>
      <c r="B38" s="11" t="s">
        <v>142</v>
      </c>
      <c r="C38" s="96">
        <v>425</v>
      </c>
      <c r="D38" s="93">
        <v>-4.6838406999999997E-3</v>
      </c>
      <c r="E38" s="94">
        <v>23077602.09104846</v>
      </c>
      <c r="F38" s="35"/>
      <c r="G38" s="47" t="s">
        <v>262</v>
      </c>
      <c r="H38" s="39">
        <f t="shared" si="6"/>
        <v>1125</v>
      </c>
      <c r="I38" s="78">
        <f t="shared" si="7"/>
        <v>5.1401869199999999E-2</v>
      </c>
      <c r="J38" s="87">
        <f t="shared" si="12"/>
        <v>35690839.673171461</v>
      </c>
      <c r="K38" s="83" t="s">
        <v>154</v>
      </c>
      <c r="L38" s="39">
        <f t="shared" si="8"/>
        <v>22.7</v>
      </c>
      <c r="M38" s="78">
        <f t="shared" si="9"/>
        <v>8.8888888999999992E-3</v>
      </c>
      <c r="N38" s="87">
        <f t="shared" si="13"/>
        <v>920845937.99003839</v>
      </c>
      <c r="O38" s="83" t="s">
        <v>268</v>
      </c>
      <c r="P38" s="39">
        <f t="shared" si="10"/>
        <v>101</v>
      </c>
      <c r="Q38" s="78">
        <f t="shared" si="11"/>
        <v>2.2267206500000001E-2</v>
      </c>
      <c r="R38" s="87">
        <f t="shared" si="14"/>
        <v>348308036.81440765</v>
      </c>
    </row>
    <row r="39" spans="1:18">
      <c r="A39" s="40" t="s">
        <v>199</v>
      </c>
      <c r="B39" s="11" t="s">
        <v>200</v>
      </c>
      <c r="C39" s="96">
        <v>412</v>
      </c>
      <c r="D39" s="93">
        <v>-4.8309179000000004E-3</v>
      </c>
      <c r="E39" s="94">
        <v>21401310.926176399</v>
      </c>
      <c r="F39" s="35"/>
      <c r="G39" s="47" t="s">
        <v>234</v>
      </c>
      <c r="H39" s="39">
        <f t="shared" si="6"/>
        <v>1500</v>
      </c>
      <c r="I39" s="78">
        <f t="shared" si="7"/>
        <v>4.5296167200000001E-2</v>
      </c>
      <c r="J39" s="87">
        <f t="shared" si="12"/>
        <v>33355094.286347281</v>
      </c>
      <c r="K39" s="83" t="s">
        <v>172</v>
      </c>
      <c r="L39" s="39">
        <f t="shared" si="8"/>
        <v>28.5</v>
      </c>
      <c r="M39" s="78">
        <f t="shared" si="9"/>
        <v>3.5211268000000001E-3</v>
      </c>
      <c r="N39" s="87">
        <f t="shared" si="13"/>
        <v>350439131.04611027</v>
      </c>
      <c r="O39" s="83" t="s">
        <v>208</v>
      </c>
      <c r="P39" s="39">
        <f t="shared" si="10"/>
        <v>543</v>
      </c>
      <c r="Q39" s="78">
        <f t="shared" si="11"/>
        <v>1.8761726100000001E-2</v>
      </c>
      <c r="R39" s="87">
        <f t="shared" si="14"/>
        <v>131249043.20598491</v>
      </c>
    </row>
    <row r="40" spans="1:18" ht="17.25" thickBot="1">
      <c r="A40" s="40" t="s">
        <v>103</v>
      </c>
      <c r="B40" s="11" t="s">
        <v>104</v>
      </c>
      <c r="C40" s="96">
        <v>2140</v>
      </c>
      <c r="D40" s="93">
        <v>-6.9605568E-3</v>
      </c>
      <c r="E40" s="94">
        <v>11648172.871411821</v>
      </c>
      <c r="F40" s="35"/>
      <c r="G40" s="53" t="s">
        <v>186</v>
      </c>
      <c r="H40" s="37">
        <f t="shared" si="6"/>
        <v>28.2</v>
      </c>
      <c r="I40" s="80">
        <f t="shared" si="7"/>
        <v>4.4444444399999998E-2</v>
      </c>
      <c r="J40" s="88">
        <f t="shared" si="12"/>
        <v>935148095.93308771</v>
      </c>
      <c r="K40" s="85" t="s">
        <v>196</v>
      </c>
      <c r="L40" s="37">
        <f t="shared" si="8"/>
        <v>22.1</v>
      </c>
      <c r="M40" s="80">
        <f t="shared" si="9"/>
        <v>-8.9686099000000005E-3</v>
      </c>
      <c r="N40" s="88">
        <f t="shared" si="13"/>
        <v>653194775.98685086</v>
      </c>
      <c r="O40" s="85" t="s">
        <v>210</v>
      </c>
      <c r="P40" s="37">
        <f t="shared" si="10"/>
        <v>219</v>
      </c>
      <c r="Q40" s="80">
        <f t="shared" si="11"/>
        <v>4.5871560000000002E-3</v>
      </c>
      <c r="R40" s="88">
        <f t="shared" si="14"/>
        <v>45499852.713309549</v>
      </c>
    </row>
    <row r="41" spans="1:18">
      <c r="A41" s="40" t="s">
        <v>137</v>
      </c>
      <c r="B41" s="11" t="s">
        <v>138</v>
      </c>
      <c r="C41" s="96">
        <v>43670</v>
      </c>
      <c r="D41" s="93">
        <v>-8.8515659999999999E-3</v>
      </c>
      <c r="E41" s="94">
        <v>866504.14447649999</v>
      </c>
      <c r="F41" s="35"/>
      <c r="G41" s="52" t="s">
        <v>230</v>
      </c>
      <c r="H41" s="38">
        <f t="shared" si="6"/>
        <v>198</v>
      </c>
      <c r="I41" s="77">
        <f t="shared" si="7"/>
        <v>4.21052632E-2</v>
      </c>
      <c r="J41" s="86">
        <f t="shared" si="12"/>
        <v>182676100.34023836</v>
      </c>
      <c r="K41" s="82" t="s">
        <v>218</v>
      </c>
      <c r="L41" s="38">
        <f t="shared" si="8"/>
        <v>32.200000000000003</v>
      </c>
      <c r="M41" s="77">
        <f t="shared" si="9"/>
        <v>-1.22699387E-2</v>
      </c>
      <c r="N41" s="86">
        <f t="shared" si="13"/>
        <v>670986564.58198118</v>
      </c>
      <c r="O41" s="82" t="s">
        <v>296</v>
      </c>
      <c r="P41" s="38">
        <f t="shared" si="10"/>
        <v>464</v>
      </c>
      <c r="Q41" s="77">
        <f t="shared" si="11"/>
        <v>-2.1505375999999999E-3</v>
      </c>
      <c r="R41" s="86">
        <f t="shared" si="14"/>
        <v>3055700308.152215</v>
      </c>
    </row>
    <row r="42" spans="1:18">
      <c r="A42" s="40" t="s">
        <v>195</v>
      </c>
      <c r="B42" s="11" t="s">
        <v>196</v>
      </c>
      <c r="C42" s="96">
        <v>22.1</v>
      </c>
      <c r="D42" s="93">
        <v>-8.9686099000000005E-3</v>
      </c>
      <c r="E42" s="94">
        <v>653194775.98685086</v>
      </c>
      <c r="F42" s="35"/>
      <c r="G42" s="47" t="s">
        <v>90</v>
      </c>
      <c r="H42" s="39">
        <f t="shared" si="6"/>
        <v>411000</v>
      </c>
      <c r="I42" s="78">
        <f t="shared" si="7"/>
        <v>4.0242976499999999E-2</v>
      </c>
      <c r="J42" s="87">
        <f t="shared" si="12"/>
        <v>70825.071637360001</v>
      </c>
      <c r="K42" s="83" t="s">
        <v>266</v>
      </c>
      <c r="L42" s="39">
        <f t="shared" si="8"/>
        <v>95.2</v>
      </c>
      <c r="M42" s="78">
        <f t="shared" si="9"/>
        <v>-1.2448132799999999E-2</v>
      </c>
      <c r="N42" s="87">
        <f t="shared" si="13"/>
        <v>115020024.91256526</v>
      </c>
      <c r="O42" s="83" t="s">
        <v>142</v>
      </c>
      <c r="P42" s="39">
        <f t="shared" si="10"/>
        <v>425</v>
      </c>
      <c r="Q42" s="78">
        <f t="shared" si="11"/>
        <v>-4.6838406999999997E-3</v>
      </c>
      <c r="R42" s="87">
        <f t="shared" si="14"/>
        <v>23077602.09104846</v>
      </c>
    </row>
    <row r="43" spans="1:18">
      <c r="A43" s="40" t="s">
        <v>115</v>
      </c>
      <c r="B43" s="11" t="s">
        <v>116</v>
      </c>
      <c r="C43" s="96">
        <v>712</v>
      </c>
      <c r="D43" s="93">
        <v>-9.7357441000000006E-3</v>
      </c>
      <c r="E43" s="94">
        <v>13250705.03714784</v>
      </c>
      <c r="F43" s="35"/>
      <c r="G43" s="47" t="s">
        <v>152</v>
      </c>
      <c r="H43" s="39">
        <f t="shared" si="6"/>
        <v>49.5</v>
      </c>
      <c r="I43" s="78">
        <f t="shared" si="7"/>
        <v>3.7735849100000003E-2</v>
      </c>
      <c r="J43" s="87">
        <f t="shared" si="12"/>
        <v>2910687292.7312379</v>
      </c>
      <c r="K43" s="83" t="s">
        <v>198</v>
      </c>
      <c r="L43" s="39">
        <f t="shared" si="8"/>
        <v>31.7</v>
      </c>
      <c r="M43" s="78">
        <f t="shared" si="9"/>
        <v>-1.2461059199999999E-2</v>
      </c>
      <c r="N43" s="87">
        <f t="shared" si="13"/>
        <v>710415390.52347708</v>
      </c>
      <c r="O43" s="83" t="s">
        <v>200</v>
      </c>
      <c r="P43" s="39">
        <f t="shared" si="10"/>
        <v>412</v>
      </c>
      <c r="Q43" s="78">
        <f t="shared" si="11"/>
        <v>-4.8309179000000004E-3</v>
      </c>
      <c r="R43" s="87">
        <f t="shared" si="14"/>
        <v>21401310.926176399</v>
      </c>
    </row>
    <row r="44" spans="1:18">
      <c r="A44" s="40" t="s">
        <v>273</v>
      </c>
      <c r="B44" s="11" t="s">
        <v>274</v>
      </c>
      <c r="C44" s="96">
        <v>9265</v>
      </c>
      <c r="D44" s="93">
        <v>-1.0678056599999999E-2</v>
      </c>
      <c r="E44" s="94">
        <v>1472001.31396899</v>
      </c>
      <c r="F44" s="35"/>
      <c r="G44" s="47" t="s">
        <v>228</v>
      </c>
      <c r="H44" s="39">
        <f t="shared" si="6"/>
        <v>20.8</v>
      </c>
      <c r="I44" s="78">
        <f t="shared" si="7"/>
        <v>3.4825870600000003E-2</v>
      </c>
      <c r="J44" s="87">
        <f t="shared" si="12"/>
        <v>2117926078.9033074</v>
      </c>
      <c r="K44" s="83" t="s">
        <v>236</v>
      </c>
      <c r="L44" s="39">
        <f t="shared" si="8"/>
        <v>77.099999999999994</v>
      </c>
      <c r="M44" s="78">
        <f t="shared" si="9"/>
        <v>-1.5325670499999999E-2</v>
      </c>
      <c r="N44" s="87">
        <f t="shared" si="13"/>
        <v>162530751.14292106</v>
      </c>
      <c r="O44" s="83" t="s">
        <v>116</v>
      </c>
      <c r="P44" s="39">
        <f t="shared" si="10"/>
        <v>712</v>
      </c>
      <c r="Q44" s="78">
        <f t="shared" si="11"/>
        <v>-9.7357441000000006E-3</v>
      </c>
      <c r="R44" s="87">
        <f t="shared" si="14"/>
        <v>13250705.03714784</v>
      </c>
    </row>
    <row r="45" spans="1:18">
      <c r="A45" s="40" t="s">
        <v>223</v>
      </c>
      <c r="B45" s="11" t="s">
        <v>224</v>
      </c>
      <c r="C45" s="96">
        <v>2225</v>
      </c>
      <c r="D45" s="93">
        <v>-1.11111111E-2</v>
      </c>
      <c r="E45" s="94">
        <v>18316910.496805739</v>
      </c>
      <c r="F45" s="35"/>
      <c r="G45" s="47" t="s">
        <v>254</v>
      </c>
      <c r="H45" s="44">
        <f t="shared" si="6"/>
        <v>96.4</v>
      </c>
      <c r="I45" s="79">
        <f t="shared" si="7"/>
        <v>2.66240682E-2</v>
      </c>
      <c r="J45" s="91">
        <f t="shared" si="12"/>
        <v>465849614.02352536</v>
      </c>
      <c r="K45" s="84" t="s">
        <v>72</v>
      </c>
      <c r="L45" s="44">
        <f t="shared" si="8"/>
        <v>36.799999999999997</v>
      </c>
      <c r="M45" s="79">
        <f t="shared" si="9"/>
        <v>-2.3872679000000001E-2</v>
      </c>
      <c r="N45" s="91">
        <f t="shared" si="13"/>
        <v>204655481.95683226</v>
      </c>
      <c r="O45" s="84" t="s">
        <v>134</v>
      </c>
      <c r="P45" s="44">
        <f t="shared" si="10"/>
        <v>159</v>
      </c>
      <c r="Q45" s="79">
        <f t="shared" si="11"/>
        <v>-1.24223602E-2</v>
      </c>
      <c r="R45" s="91">
        <f t="shared" si="14"/>
        <v>111719936.86229645</v>
      </c>
    </row>
    <row r="46" spans="1:18">
      <c r="A46" s="40" t="s">
        <v>217</v>
      </c>
      <c r="B46" s="11" t="s">
        <v>218</v>
      </c>
      <c r="C46" s="96">
        <v>32.200000000000003</v>
      </c>
      <c r="D46" s="93">
        <v>-1.22699387E-2</v>
      </c>
      <c r="E46" s="94">
        <v>670986564.58198118</v>
      </c>
      <c r="F46" s="35"/>
      <c r="G46" s="49" t="s">
        <v>112</v>
      </c>
      <c r="H46" s="39">
        <f t="shared" si="6"/>
        <v>286</v>
      </c>
      <c r="I46" s="78">
        <f t="shared" si="7"/>
        <v>2.50896057E-2</v>
      </c>
      <c r="J46" s="100">
        <f t="shared" si="12"/>
        <v>124230562.26929228</v>
      </c>
      <c r="K46" s="83" t="s">
        <v>100</v>
      </c>
      <c r="L46" s="39">
        <f t="shared" si="8"/>
        <v>8.42</v>
      </c>
      <c r="M46" s="78">
        <f t="shared" si="9"/>
        <v>-2.5462963000000002E-2</v>
      </c>
      <c r="N46" s="100">
        <f t="shared" si="13"/>
        <v>40603714252.478439</v>
      </c>
      <c r="O46" s="83" t="s">
        <v>270</v>
      </c>
      <c r="P46" s="39">
        <f t="shared" si="10"/>
        <v>546</v>
      </c>
      <c r="Q46" s="78">
        <f t="shared" si="11"/>
        <v>-1.26582278E-2</v>
      </c>
      <c r="R46" s="100">
        <f t="shared" si="14"/>
        <v>13933725.526438929</v>
      </c>
    </row>
    <row r="47" spans="1:18">
      <c r="A47" s="40" t="s">
        <v>133</v>
      </c>
      <c r="B47" s="11" t="s">
        <v>134</v>
      </c>
      <c r="C47" s="96">
        <v>159</v>
      </c>
      <c r="D47" s="93">
        <v>-1.24223602E-2</v>
      </c>
      <c r="E47" s="94">
        <v>111719936.86229645</v>
      </c>
      <c r="F47" s="35"/>
      <c r="G47" s="47" t="s">
        <v>214</v>
      </c>
      <c r="H47" s="39">
        <f t="shared" si="6"/>
        <v>25.1</v>
      </c>
      <c r="I47" s="78">
        <f t="shared" si="7"/>
        <v>2.44897959E-2</v>
      </c>
      <c r="J47" s="87">
        <f t="shared" si="12"/>
        <v>692060063.74470866</v>
      </c>
      <c r="K47" s="83" t="s">
        <v>65</v>
      </c>
      <c r="L47" s="39">
        <f t="shared" si="8"/>
        <v>75.5</v>
      </c>
      <c r="M47" s="78">
        <f t="shared" si="9"/>
        <v>-3.5759897800000003E-2</v>
      </c>
      <c r="N47" s="87">
        <f t="shared" si="13"/>
        <v>168280782.94978562</v>
      </c>
      <c r="O47" s="83" t="s">
        <v>216</v>
      </c>
      <c r="P47" s="39">
        <f t="shared" si="10"/>
        <v>480</v>
      </c>
      <c r="Q47" s="78">
        <f t="shared" si="11"/>
        <v>-1.4373716599999999E-2</v>
      </c>
      <c r="R47" s="87">
        <f t="shared" si="14"/>
        <v>14934884.967800761</v>
      </c>
    </row>
    <row r="48" spans="1:18">
      <c r="A48" s="40" t="s">
        <v>265</v>
      </c>
      <c r="B48" s="11" t="s">
        <v>266</v>
      </c>
      <c r="C48" s="96">
        <v>95.2</v>
      </c>
      <c r="D48" s="93">
        <v>-1.2448132799999999E-2</v>
      </c>
      <c r="E48" s="94">
        <v>115020024.91256526</v>
      </c>
      <c r="F48" s="35"/>
      <c r="G48" s="47" t="s">
        <v>63</v>
      </c>
      <c r="H48" s="39">
        <f t="shared" si="6"/>
        <v>124550</v>
      </c>
      <c r="I48" s="78">
        <f t="shared" si="7"/>
        <v>2.3838881999999999E-2</v>
      </c>
      <c r="J48" s="87">
        <f t="shared" si="12"/>
        <v>2067718.6005476599</v>
      </c>
      <c r="K48" s="83" t="s">
        <v>126</v>
      </c>
      <c r="L48" s="39">
        <f t="shared" si="8"/>
        <v>68.5</v>
      </c>
      <c r="M48" s="78">
        <f t="shared" si="9"/>
        <v>-4.0616246500000001E-2</v>
      </c>
      <c r="N48" s="87">
        <f t="shared" si="13"/>
        <v>590973593.84817219</v>
      </c>
      <c r="O48" s="83" t="s">
        <v>238</v>
      </c>
      <c r="P48" s="39">
        <f t="shared" si="10"/>
        <v>315</v>
      </c>
      <c r="Q48" s="78">
        <f t="shared" si="11"/>
        <v>-1.5625E-2</v>
      </c>
      <c r="R48" s="87">
        <f t="shared" si="14"/>
        <v>28491556.04290843</v>
      </c>
    </row>
    <row r="49" spans="1:18">
      <c r="A49" s="40" t="s">
        <v>197</v>
      </c>
      <c r="B49" s="11" t="s">
        <v>198</v>
      </c>
      <c r="C49" s="96">
        <v>31.7</v>
      </c>
      <c r="D49" s="93">
        <v>-1.2461059199999999E-2</v>
      </c>
      <c r="E49" s="94">
        <v>710415390.52347708</v>
      </c>
      <c r="F49" s="35"/>
      <c r="G49" s="47" t="s">
        <v>122</v>
      </c>
      <c r="H49" s="39">
        <f t="shared" si="6"/>
        <v>129</v>
      </c>
      <c r="I49" s="78">
        <f t="shared" si="7"/>
        <v>2.3809523799999999E-2</v>
      </c>
      <c r="J49" s="87">
        <f t="shared" si="12"/>
        <v>351467192.77889866</v>
      </c>
      <c r="K49" s="83"/>
      <c r="L49" s="39" t="str">
        <f t="shared" si="8"/>
        <v/>
      </c>
      <c r="M49" s="78" t="str">
        <f t="shared" si="9"/>
        <v/>
      </c>
      <c r="N49" s="87" t="str">
        <f t="shared" si="13"/>
        <v/>
      </c>
      <c r="O49" s="83" t="s">
        <v>51</v>
      </c>
      <c r="P49" s="39">
        <f t="shared" si="10"/>
        <v>632</v>
      </c>
      <c r="Q49" s="78">
        <f t="shared" si="11"/>
        <v>-1.7107309500000001E-2</v>
      </c>
      <c r="R49" s="87">
        <f t="shared" si="14"/>
        <v>55977637.442598447</v>
      </c>
    </row>
    <row r="50" spans="1:18" ht="17.25" thickBot="1">
      <c r="A50" s="40" t="s">
        <v>191</v>
      </c>
      <c r="B50" s="11" t="s">
        <v>192</v>
      </c>
      <c r="C50" s="96">
        <v>1180</v>
      </c>
      <c r="D50" s="93">
        <v>-1.2552301300000001E-2</v>
      </c>
      <c r="E50" s="94">
        <v>24620393.29886885</v>
      </c>
      <c r="F50" s="35"/>
      <c r="G50" s="53" t="s">
        <v>54</v>
      </c>
      <c r="H50" s="37">
        <f t="shared" si="6"/>
        <v>398</v>
      </c>
      <c r="I50" s="80">
        <f t="shared" si="7"/>
        <v>2.3136246799999999E-2</v>
      </c>
      <c r="J50" s="88">
        <f t="shared" si="12"/>
        <v>55579916.228638314</v>
      </c>
      <c r="K50" s="85"/>
      <c r="L50" s="37" t="str">
        <f t="shared" si="8"/>
        <v/>
      </c>
      <c r="M50" s="80" t="str">
        <f t="shared" si="9"/>
        <v/>
      </c>
      <c r="N50" s="88" t="str">
        <f t="shared" si="13"/>
        <v/>
      </c>
      <c r="O50" s="85" t="s">
        <v>252</v>
      </c>
      <c r="P50" s="37">
        <f t="shared" si="10"/>
        <v>590</v>
      </c>
      <c r="Q50" s="80">
        <f t="shared" si="11"/>
        <v>-1.8302828600000001E-2</v>
      </c>
      <c r="R50" s="88">
        <f t="shared" si="14"/>
        <v>22806241.054825012</v>
      </c>
    </row>
    <row r="51" spans="1:18">
      <c r="A51" s="40" t="s">
        <v>269</v>
      </c>
      <c r="B51" s="11" t="s">
        <v>270</v>
      </c>
      <c r="C51" s="96">
        <v>546</v>
      </c>
      <c r="D51" s="93">
        <v>-1.26582278E-2</v>
      </c>
      <c r="E51" s="94">
        <v>13933725.526438929</v>
      </c>
      <c r="F51" s="35"/>
    </row>
    <row r="52" spans="1:18" ht="17.25" thickBot="1">
      <c r="A52" s="40" t="s">
        <v>48</v>
      </c>
      <c r="B52" s="11" t="s">
        <v>49</v>
      </c>
      <c r="C52" s="96">
        <v>68103000</v>
      </c>
      <c r="D52" s="93">
        <v>-1.37004156E-2</v>
      </c>
      <c r="E52" s="94">
        <v>6837.2689323200002</v>
      </c>
      <c r="F52" s="35"/>
    </row>
    <row r="53" spans="1:18" ht="17.25" thickBot="1">
      <c r="A53" s="40" t="s">
        <v>215</v>
      </c>
      <c r="B53" s="11" t="s">
        <v>216</v>
      </c>
      <c r="C53" s="96">
        <v>480</v>
      </c>
      <c r="D53" s="93">
        <v>-1.4373716599999999E-2</v>
      </c>
      <c r="E53" s="94">
        <v>14934884.967800761</v>
      </c>
      <c r="F53" s="35"/>
      <c r="G53" s="139" t="s">
        <v>285</v>
      </c>
      <c r="H53" s="140"/>
      <c r="I53" s="140"/>
      <c r="J53" s="141"/>
      <c r="K53" s="139" t="s">
        <v>288</v>
      </c>
      <c r="L53" s="140"/>
      <c r="M53" s="140"/>
      <c r="N53" s="141"/>
      <c r="O53" s="139" t="s">
        <v>289</v>
      </c>
      <c r="P53" s="140"/>
      <c r="Q53" s="140"/>
      <c r="R53" s="141"/>
    </row>
    <row r="54" spans="1:18" ht="17.25" thickBot="1">
      <c r="A54" s="40" t="s">
        <v>235</v>
      </c>
      <c r="B54" s="11" t="s">
        <v>236</v>
      </c>
      <c r="C54" s="96">
        <v>77.099999999999994</v>
      </c>
      <c r="D54" s="93">
        <v>-1.5325670499999999E-2</v>
      </c>
      <c r="E54" s="94">
        <v>162530751.14292106</v>
      </c>
      <c r="F54" s="35"/>
      <c r="G54" s="172" t="s">
        <v>55</v>
      </c>
      <c r="H54" s="184">
        <f ca="1">NOW()</f>
        <v>44319.059008217591</v>
      </c>
      <c r="I54" s="185"/>
      <c r="J54" s="186"/>
      <c r="K54" s="174" t="s">
        <v>55</v>
      </c>
      <c r="L54" s="184">
        <f ca="1">NOW()</f>
        <v>44319.059008217591</v>
      </c>
      <c r="M54" s="185"/>
      <c r="N54" s="186"/>
      <c r="O54" s="174" t="s">
        <v>55</v>
      </c>
      <c r="P54" s="184">
        <f ca="1">NOW()</f>
        <v>44319.059008217591</v>
      </c>
      <c r="Q54" s="185"/>
      <c r="R54" s="186"/>
    </row>
    <row r="55" spans="1:18" ht="17.25" thickBot="1">
      <c r="A55" s="40" t="s">
        <v>237</v>
      </c>
      <c r="B55" s="11" t="s">
        <v>238</v>
      </c>
      <c r="C55" s="96">
        <v>315</v>
      </c>
      <c r="D55" s="93">
        <v>-1.5625E-2</v>
      </c>
      <c r="E55" s="94">
        <v>28491556.04290843</v>
      </c>
      <c r="F55" s="35"/>
      <c r="G55" s="173"/>
      <c r="H55" s="51" t="s">
        <v>58</v>
      </c>
      <c r="I55" s="74" t="s">
        <v>59</v>
      </c>
      <c r="J55" s="70" t="s">
        <v>294</v>
      </c>
      <c r="K55" s="159"/>
      <c r="L55" s="51" t="s">
        <v>58</v>
      </c>
      <c r="M55" s="74" t="s">
        <v>59</v>
      </c>
      <c r="N55" s="70" t="s">
        <v>294</v>
      </c>
      <c r="O55" s="159"/>
      <c r="P55" s="51" t="s">
        <v>58</v>
      </c>
      <c r="Q55" s="74" t="s">
        <v>59</v>
      </c>
      <c r="R55" s="70" t="s">
        <v>294</v>
      </c>
    </row>
    <row r="56" spans="1:18">
      <c r="A56" s="40" t="s">
        <v>243</v>
      </c>
      <c r="B56" s="11" t="s">
        <v>244</v>
      </c>
      <c r="C56" s="96">
        <v>3885</v>
      </c>
      <c r="D56" s="93">
        <v>-1.6455696200000001E-2</v>
      </c>
      <c r="E56" s="94">
        <v>8279678.6976503003</v>
      </c>
      <c r="F56" s="35"/>
      <c r="G56" s="55" t="s">
        <v>144</v>
      </c>
      <c r="H56" s="38">
        <f t="shared" ref="H56:H75" si="15">_xlfn.IFNA(VLOOKUP(G56, $B$2:$D$200, 2, FALSE), "")</f>
        <v>9415</v>
      </c>
      <c r="I56" s="77">
        <f t="shared" ref="I56:I65" si="16">_xlfn.IFNA(VLOOKUP(G56, $B$2:$D$200, 3, FALSE), "")</f>
        <v>-2.8379773E-2</v>
      </c>
      <c r="J56" s="86">
        <f>_xlfn.IFNA(VLOOKUP(G56, $B$2:$E$200, 4, FALSE), "")</f>
        <v>1452358.6676085901</v>
      </c>
      <c r="K56" s="82" t="s">
        <v>220</v>
      </c>
      <c r="L56" s="38">
        <f t="shared" ref="L56:L75" si="17">_xlfn.IFNA(VLOOKUP(K56, $B$2:$D$200, 2, FALSE), "")</f>
        <v>25.9</v>
      </c>
      <c r="M56" s="77">
        <f t="shared" ref="M56:M75" si="18">_xlfn.IFNA(VLOOKUP(K56, $B$2:$D$200, 3, FALSE), "")</f>
        <v>0.26341463409999999</v>
      </c>
      <c r="N56" s="86">
        <f>_xlfn.IFNA(VLOOKUP(K56, $B$2:$E$200, 4, FALSE), "")</f>
        <v>1029131349.2015455</v>
      </c>
      <c r="O56" s="82" t="s">
        <v>264</v>
      </c>
      <c r="P56" s="38">
        <f t="shared" ref="P56:P75" si="19">_xlfn.IFNA(VLOOKUP(O56, $B$2:$D$200, 2, FALSE), "")</f>
        <v>184</v>
      </c>
      <c r="Q56" s="77">
        <f t="shared" ref="Q56:Q75" si="20">_xlfn.IFNA(VLOOKUP(O56, $B$2:$D$200, 3, FALSE), "")</f>
        <v>-2.1276595700000001E-2</v>
      </c>
      <c r="R56" s="86">
        <f>_xlfn.IFNA(VLOOKUP(O56, $B$2:$E$200, 4, FALSE), "")</f>
        <v>27199845.0717218</v>
      </c>
    </row>
    <row r="57" spans="1:18">
      <c r="A57" s="40" t="s">
        <v>50</v>
      </c>
      <c r="B57" s="11" t="s">
        <v>51</v>
      </c>
      <c r="C57" s="96">
        <v>632</v>
      </c>
      <c r="D57" s="93">
        <v>-1.7107309500000001E-2</v>
      </c>
      <c r="E57" s="94">
        <v>55977637.442598447</v>
      </c>
      <c r="F57" s="35"/>
      <c r="G57" s="56" t="s">
        <v>284</v>
      </c>
      <c r="H57" s="39">
        <f t="shared" si="15"/>
        <v>468</v>
      </c>
      <c r="I57" s="78">
        <f t="shared" si="16"/>
        <v>-2.9045643199999999E-2</v>
      </c>
      <c r="J57" s="87">
        <f t="shared" ref="J57:J75" si="21">_xlfn.IFNA(VLOOKUP(G57, $B$2:$E$200, 4, FALSE), "")</f>
        <v>27732014.760875259</v>
      </c>
      <c r="K57" s="83" t="s">
        <v>186</v>
      </c>
      <c r="L57" s="39">
        <f t="shared" si="17"/>
        <v>28.2</v>
      </c>
      <c r="M57" s="78">
        <f t="shared" si="18"/>
        <v>4.4444444399999998E-2</v>
      </c>
      <c r="N57" s="87">
        <f t="shared" ref="N57:N75" si="22">_xlfn.IFNA(VLOOKUP(K57, $B$2:$E$200, 4, FALSE), "")</f>
        <v>935148095.93308771</v>
      </c>
      <c r="O57" s="83" t="s">
        <v>260</v>
      </c>
      <c r="P57" s="39">
        <f t="shared" si="19"/>
        <v>137</v>
      </c>
      <c r="Q57" s="78">
        <f t="shared" si="20"/>
        <v>-2.1428571399999999E-2</v>
      </c>
      <c r="R57" s="87">
        <f t="shared" ref="R57:R75" si="23">_xlfn.IFNA(VLOOKUP(O57, $B$2:$E$200, 4, FALSE), "")</f>
        <v>167045877.11344936</v>
      </c>
    </row>
    <row r="58" spans="1:18">
      <c r="A58" s="40" t="s">
        <v>85</v>
      </c>
      <c r="B58" s="11" t="s">
        <v>86</v>
      </c>
      <c r="C58" s="96">
        <v>7750</v>
      </c>
      <c r="D58" s="93">
        <v>-1.7121115999999999E-2</v>
      </c>
      <c r="E58" s="94">
        <v>18221094.85577289</v>
      </c>
      <c r="F58" s="35"/>
      <c r="G58" s="56" t="s">
        <v>108</v>
      </c>
      <c r="H58" s="39">
        <f t="shared" si="15"/>
        <v>49510</v>
      </c>
      <c r="I58" s="78">
        <f t="shared" si="16"/>
        <v>-2.9976488999999999E-2</v>
      </c>
      <c r="J58" s="87">
        <f t="shared" si="21"/>
        <v>615065.91509064997</v>
      </c>
      <c r="K58" s="83" t="s">
        <v>152</v>
      </c>
      <c r="L58" s="39">
        <f t="shared" si="17"/>
        <v>49.5</v>
      </c>
      <c r="M58" s="78">
        <f t="shared" si="18"/>
        <v>3.7735849100000003E-2</v>
      </c>
      <c r="N58" s="87">
        <f t="shared" si="22"/>
        <v>2910687292.7312379</v>
      </c>
      <c r="O58" s="83" t="s">
        <v>57</v>
      </c>
      <c r="P58" s="39">
        <f t="shared" si="19"/>
        <v>410</v>
      </c>
      <c r="Q58" s="78">
        <f t="shared" si="20"/>
        <v>-2.1479713599999999E-2</v>
      </c>
      <c r="R58" s="87">
        <f t="shared" si="23"/>
        <v>127197238.57289258</v>
      </c>
    </row>
    <row r="59" spans="1:18">
      <c r="A59" s="40" t="s">
        <v>179</v>
      </c>
      <c r="B59" s="11" t="s">
        <v>180</v>
      </c>
      <c r="C59" s="96">
        <v>4775</v>
      </c>
      <c r="D59" s="93">
        <v>-1.74897119E-2</v>
      </c>
      <c r="E59" s="94">
        <v>5897867.3788783904</v>
      </c>
      <c r="F59" s="35"/>
      <c r="G59" s="56" t="s">
        <v>94</v>
      </c>
      <c r="H59" s="39">
        <f t="shared" si="15"/>
        <v>113200</v>
      </c>
      <c r="I59" s="78">
        <f t="shared" si="16"/>
        <v>-2.9991430999999999E-2</v>
      </c>
      <c r="J59" s="87">
        <f t="shared" si="21"/>
        <v>871108.71058931004</v>
      </c>
      <c r="K59" s="83" t="s">
        <v>228</v>
      </c>
      <c r="L59" s="39">
        <f t="shared" si="17"/>
        <v>20.8</v>
      </c>
      <c r="M59" s="78">
        <f t="shared" si="18"/>
        <v>3.4825870600000003E-2</v>
      </c>
      <c r="N59" s="87">
        <f t="shared" si="22"/>
        <v>2117926078.9033074</v>
      </c>
      <c r="O59" s="83" t="s">
        <v>120</v>
      </c>
      <c r="P59" s="39">
        <f t="shared" si="19"/>
        <v>226</v>
      </c>
      <c r="Q59" s="78">
        <f t="shared" si="20"/>
        <v>-2.1645021600000001E-2</v>
      </c>
      <c r="R59" s="87">
        <f t="shared" si="23"/>
        <v>72110653.993112668</v>
      </c>
    </row>
    <row r="60" spans="1:18">
      <c r="A60" s="40" t="s">
        <v>247</v>
      </c>
      <c r="B60" s="11" t="s">
        <v>248</v>
      </c>
      <c r="C60" s="96">
        <v>3320</v>
      </c>
      <c r="D60" s="93">
        <v>-1.7751479300000001E-2</v>
      </c>
      <c r="E60" s="94">
        <v>2188372.1188608599</v>
      </c>
      <c r="F60" s="35"/>
      <c r="G60" s="56" t="s">
        <v>158</v>
      </c>
      <c r="H60" s="39">
        <f t="shared" si="15"/>
        <v>11230</v>
      </c>
      <c r="I60" s="78">
        <f t="shared" si="16"/>
        <v>-3.10612597E-2</v>
      </c>
      <c r="J60" s="91">
        <f t="shared" si="21"/>
        <v>3295011.9465722698</v>
      </c>
      <c r="K60" s="84" t="s">
        <v>254</v>
      </c>
      <c r="L60" s="44">
        <f t="shared" si="17"/>
        <v>96.4</v>
      </c>
      <c r="M60" s="79">
        <f t="shared" si="18"/>
        <v>2.66240682E-2</v>
      </c>
      <c r="N60" s="91">
        <f t="shared" si="22"/>
        <v>465849614.02352536</v>
      </c>
      <c r="O60" s="84" t="s">
        <v>256</v>
      </c>
      <c r="P60" s="44">
        <f t="shared" si="19"/>
        <v>269</v>
      </c>
      <c r="Q60" s="79">
        <f t="shared" si="20"/>
        <v>-2.1818181799999999E-2</v>
      </c>
      <c r="R60" s="91">
        <f t="shared" si="23"/>
        <v>19818091.630865831</v>
      </c>
    </row>
    <row r="61" spans="1:18">
      <c r="A61" s="40" t="s">
        <v>251</v>
      </c>
      <c r="B61" s="11" t="s">
        <v>252</v>
      </c>
      <c r="C61" s="96">
        <v>590</v>
      </c>
      <c r="D61" s="93">
        <v>-1.8302828600000001E-2</v>
      </c>
      <c r="E61" s="94">
        <v>22806241.054825012</v>
      </c>
      <c r="F61" s="35"/>
      <c r="G61" s="60" t="s">
        <v>140</v>
      </c>
      <c r="H61" s="45">
        <f t="shared" si="15"/>
        <v>3840</v>
      </c>
      <c r="I61" s="81">
        <f t="shared" si="16"/>
        <v>-3.1525851200000003E-2</v>
      </c>
      <c r="J61" s="100">
        <f t="shared" si="21"/>
        <v>1893046.96892725</v>
      </c>
      <c r="K61" s="83" t="s">
        <v>214</v>
      </c>
      <c r="L61" s="39">
        <f t="shared" si="17"/>
        <v>25.1</v>
      </c>
      <c r="M61" s="78">
        <f t="shared" si="18"/>
        <v>2.44897959E-2</v>
      </c>
      <c r="N61" s="100">
        <f t="shared" si="22"/>
        <v>692060063.74470866</v>
      </c>
      <c r="O61" s="83" t="s">
        <v>170</v>
      </c>
      <c r="P61" s="39">
        <f t="shared" si="19"/>
        <v>537</v>
      </c>
      <c r="Q61" s="78">
        <f t="shared" si="20"/>
        <v>-2.1857923500000001E-2</v>
      </c>
      <c r="R61" s="100">
        <f t="shared" si="23"/>
        <v>29346216.127755709</v>
      </c>
    </row>
    <row r="62" spans="1:18">
      <c r="A62" s="40" t="s">
        <v>81</v>
      </c>
      <c r="B62" s="11" t="s">
        <v>82</v>
      </c>
      <c r="C62" s="96">
        <v>1590</v>
      </c>
      <c r="D62" s="93">
        <v>-1.8518518500000001E-2</v>
      </c>
      <c r="E62" s="94">
        <v>2985497.91572823</v>
      </c>
      <c r="F62" s="35"/>
      <c r="G62" s="56" t="s">
        <v>190</v>
      </c>
      <c r="H62" s="39">
        <f t="shared" si="15"/>
        <v>77180</v>
      </c>
      <c r="I62" s="78">
        <f t="shared" si="16"/>
        <v>-3.2347041100000001E-2</v>
      </c>
      <c r="J62" s="87">
        <f t="shared" si="21"/>
        <v>266668.83187885</v>
      </c>
      <c r="K62" s="83" t="s">
        <v>222</v>
      </c>
      <c r="L62" s="39">
        <f t="shared" si="17"/>
        <v>20.6</v>
      </c>
      <c r="M62" s="78">
        <f t="shared" si="18"/>
        <v>9.8039215999999995E-3</v>
      </c>
      <c r="N62" s="87">
        <f t="shared" si="22"/>
        <v>410497352.58961529</v>
      </c>
      <c r="O62" s="83" t="s">
        <v>128</v>
      </c>
      <c r="P62" s="39">
        <f t="shared" si="19"/>
        <v>626</v>
      </c>
      <c r="Q62" s="78">
        <f t="shared" si="20"/>
        <v>-2.1874999999999999E-2</v>
      </c>
      <c r="R62" s="87">
        <f t="shared" si="23"/>
        <v>8835192.1355857495</v>
      </c>
    </row>
    <row r="63" spans="1:18">
      <c r="A63" s="40" t="s">
        <v>239</v>
      </c>
      <c r="B63" s="11" t="s">
        <v>240</v>
      </c>
      <c r="C63" s="96">
        <v>210</v>
      </c>
      <c r="D63" s="93">
        <v>-1.8691588799999999E-2</v>
      </c>
      <c r="E63" s="94">
        <v>55134576.92300754</v>
      </c>
      <c r="F63" s="35"/>
      <c r="G63" s="56" t="s">
        <v>148</v>
      </c>
      <c r="H63" s="39">
        <f t="shared" si="15"/>
        <v>206</v>
      </c>
      <c r="I63" s="78">
        <f t="shared" si="16"/>
        <v>-3.2863849799999997E-2</v>
      </c>
      <c r="J63" s="87">
        <f t="shared" si="21"/>
        <v>65704739.722801819</v>
      </c>
      <c r="K63" s="83" t="s">
        <v>154</v>
      </c>
      <c r="L63" s="39">
        <f t="shared" si="17"/>
        <v>22.7</v>
      </c>
      <c r="M63" s="78">
        <f t="shared" si="18"/>
        <v>8.8888888999999992E-3</v>
      </c>
      <c r="N63" s="87">
        <f t="shared" si="22"/>
        <v>920845937.99003839</v>
      </c>
      <c r="O63" s="83" t="s">
        <v>174</v>
      </c>
      <c r="P63" s="39">
        <f t="shared" si="19"/>
        <v>303</v>
      </c>
      <c r="Q63" s="78">
        <f t="shared" si="20"/>
        <v>-2.2580645199999999E-2</v>
      </c>
      <c r="R63" s="87">
        <f t="shared" si="23"/>
        <v>62221972.589798249</v>
      </c>
    </row>
    <row r="64" spans="1:18">
      <c r="A64" s="40" t="s">
        <v>155</v>
      </c>
      <c r="B64" s="11" t="s">
        <v>156</v>
      </c>
      <c r="C64" s="96">
        <v>154</v>
      </c>
      <c r="D64" s="93">
        <v>-1.9108280299999999E-2</v>
      </c>
      <c r="E64" s="94">
        <v>496105278.42881584</v>
      </c>
      <c r="F64" s="35"/>
      <c r="G64" s="56" t="s">
        <v>67</v>
      </c>
      <c r="H64" s="39">
        <f t="shared" si="15"/>
        <v>9815</v>
      </c>
      <c r="I64" s="78">
        <f t="shared" si="16"/>
        <v>-3.3956692900000002E-2</v>
      </c>
      <c r="J64" s="87">
        <f t="shared" si="21"/>
        <v>3319969.1207406102</v>
      </c>
      <c r="K64" s="83" t="s">
        <v>172</v>
      </c>
      <c r="L64" s="39">
        <f t="shared" si="17"/>
        <v>28.5</v>
      </c>
      <c r="M64" s="78">
        <f t="shared" si="18"/>
        <v>3.5211268000000001E-3</v>
      </c>
      <c r="N64" s="87">
        <f t="shared" si="22"/>
        <v>350439131.04611027</v>
      </c>
      <c r="O64" s="83" t="s">
        <v>88</v>
      </c>
      <c r="P64" s="39">
        <f t="shared" si="19"/>
        <v>645</v>
      </c>
      <c r="Q64" s="78">
        <f t="shared" si="20"/>
        <v>-2.2727272699999999E-2</v>
      </c>
      <c r="R64" s="87">
        <f t="shared" si="23"/>
        <v>142478048.93208513</v>
      </c>
    </row>
    <row r="65" spans="1:18" ht="17.25" thickBot="1">
      <c r="A65" s="40" t="s">
        <v>77</v>
      </c>
      <c r="B65" s="11" t="s">
        <v>78</v>
      </c>
      <c r="C65" s="96">
        <v>1177500</v>
      </c>
      <c r="D65" s="93">
        <v>-1.9158683900000001E-2</v>
      </c>
      <c r="E65" s="94">
        <v>77717.965857639996</v>
      </c>
      <c r="F65" s="35"/>
      <c r="G65" s="57" t="s">
        <v>166</v>
      </c>
      <c r="H65" s="37">
        <f t="shared" si="15"/>
        <v>2515</v>
      </c>
      <c r="I65" s="80">
        <f t="shared" si="16"/>
        <v>-3.4548944300000002E-2</v>
      </c>
      <c r="J65" s="88">
        <f t="shared" si="21"/>
        <v>4427226.4559789803</v>
      </c>
      <c r="K65" s="85" t="s">
        <v>196</v>
      </c>
      <c r="L65" s="37">
        <f t="shared" si="17"/>
        <v>22.1</v>
      </c>
      <c r="M65" s="80">
        <f t="shared" si="18"/>
        <v>-8.9686099000000005E-3</v>
      </c>
      <c r="N65" s="88">
        <f t="shared" si="22"/>
        <v>653194775.98685086</v>
      </c>
      <c r="O65" s="85" t="s">
        <v>278</v>
      </c>
      <c r="P65" s="37">
        <f t="shared" si="19"/>
        <v>152</v>
      </c>
      <c r="Q65" s="80">
        <f t="shared" si="20"/>
        <v>-2.5641025599999999E-2</v>
      </c>
      <c r="R65" s="88">
        <f t="shared" si="23"/>
        <v>64433477.723824874</v>
      </c>
    </row>
    <row r="66" spans="1:18">
      <c r="A66" s="40" t="s">
        <v>193</v>
      </c>
      <c r="B66" s="11" t="s">
        <v>194</v>
      </c>
      <c r="C66" s="96">
        <v>14690</v>
      </c>
      <c r="D66" s="93">
        <v>-1.9359145500000001E-2</v>
      </c>
      <c r="E66" s="94">
        <v>1463452.1641613501</v>
      </c>
      <c r="F66" s="35"/>
      <c r="G66" s="56" t="s">
        <v>232</v>
      </c>
      <c r="H66" s="38">
        <f t="shared" si="15"/>
        <v>195</v>
      </c>
      <c r="I66" s="77">
        <f t="shared" ref="I66:I75" si="24">_xlfn.IFNA(VLOOKUP(G66, $B$2:$D$200, 3, FALSE), "")</f>
        <v>-3.4653465299999998E-2</v>
      </c>
      <c r="J66" s="86">
        <f t="shared" si="21"/>
        <v>59478289.895222299</v>
      </c>
      <c r="K66" s="82" t="s">
        <v>218</v>
      </c>
      <c r="L66" s="38">
        <f t="shared" si="17"/>
        <v>32.200000000000003</v>
      </c>
      <c r="M66" s="77">
        <f t="shared" si="18"/>
        <v>-1.22699387E-2</v>
      </c>
      <c r="N66" s="86">
        <f t="shared" si="22"/>
        <v>670986564.58198118</v>
      </c>
      <c r="O66" s="82" t="s">
        <v>246</v>
      </c>
      <c r="P66" s="38">
        <f t="shared" si="19"/>
        <v>440</v>
      </c>
      <c r="Q66" s="77">
        <f t="shared" si="20"/>
        <v>-2.65486726E-2</v>
      </c>
      <c r="R66" s="86">
        <f t="shared" si="23"/>
        <v>21658099.521047112</v>
      </c>
    </row>
    <row r="67" spans="1:18">
      <c r="A67" s="40" t="s">
        <v>181</v>
      </c>
      <c r="B67" s="11" t="s">
        <v>182</v>
      </c>
      <c r="C67" s="96">
        <v>493</v>
      </c>
      <c r="D67" s="93">
        <v>-1.9880715699999999E-2</v>
      </c>
      <c r="E67" s="94">
        <v>10724201.32180493</v>
      </c>
      <c r="F67" s="35"/>
      <c r="G67" s="56" t="s">
        <v>162</v>
      </c>
      <c r="H67" s="39">
        <f t="shared" si="15"/>
        <v>2170</v>
      </c>
      <c r="I67" s="78">
        <f t="shared" si="24"/>
        <v>-3.5555555599999997E-2</v>
      </c>
      <c r="J67" s="87">
        <f t="shared" si="21"/>
        <v>12086279.332594009</v>
      </c>
      <c r="K67" s="83" t="s">
        <v>266</v>
      </c>
      <c r="L67" s="39">
        <f t="shared" si="17"/>
        <v>95.2</v>
      </c>
      <c r="M67" s="78">
        <f t="shared" si="18"/>
        <v>-1.2448132799999999E-2</v>
      </c>
      <c r="N67" s="87">
        <f t="shared" si="22"/>
        <v>115020024.91256526</v>
      </c>
      <c r="O67" s="83" t="s">
        <v>226</v>
      </c>
      <c r="P67" s="39">
        <f t="shared" si="19"/>
        <v>541</v>
      </c>
      <c r="Q67" s="78">
        <f t="shared" si="20"/>
        <v>-2.6978417300000002E-2</v>
      </c>
      <c r="R67" s="87">
        <f t="shared" si="23"/>
        <v>13784237.43244087</v>
      </c>
    </row>
    <row r="68" spans="1:18">
      <c r="A68" s="40" t="s">
        <v>123</v>
      </c>
      <c r="B68" s="11" t="s">
        <v>124</v>
      </c>
      <c r="C68" s="96">
        <v>7620</v>
      </c>
      <c r="D68" s="93">
        <v>-1.9935691299999999E-2</v>
      </c>
      <c r="E68" s="94">
        <v>1203862.4563494099</v>
      </c>
      <c r="F68" s="35"/>
      <c r="G68" s="56" t="s">
        <v>76</v>
      </c>
      <c r="H68" s="39">
        <f t="shared" si="15"/>
        <v>47390</v>
      </c>
      <c r="I68" s="78">
        <f t="shared" si="24"/>
        <v>-3.5612535600000002E-2</v>
      </c>
      <c r="J68" s="87">
        <f t="shared" si="21"/>
        <v>950418.92097761994</v>
      </c>
      <c r="K68" s="83" t="s">
        <v>198</v>
      </c>
      <c r="L68" s="39">
        <f t="shared" si="17"/>
        <v>31.7</v>
      </c>
      <c r="M68" s="78">
        <f t="shared" si="18"/>
        <v>-1.2461059199999999E-2</v>
      </c>
      <c r="N68" s="87">
        <f t="shared" si="22"/>
        <v>710415390.52347708</v>
      </c>
      <c r="O68" s="83" t="s">
        <v>282</v>
      </c>
      <c r="P68" s="39">
        <f t="shared" si="19"/>
        <v>180</v>
      </c>
      <c r="Q68" s="78">
        <f t="shared" si="20"/>
        <v>-2.7027026999999999E-2</v>
      </c>
      <c r="R68" s="87">
        <f t="shared" si="23"/>
        <v>32485240.649387378</v>
      </c>
    </row>
    <row r="69" spans="1:18">
      <c r="A69" s="40" t="s">
        <v>60</v>
      </c>
      <c r="B69" s="11" t="s">
        <v>61</v>
      </c>
      <c r="C69" s="96">
        <v>1710</v>
      </c>
      <c r="D69" s="93">
        <v>-2.0057306600000002E-2</v>
      </c>
      <c r="E69" s="94">
        <v>23120351.646380629</v>
      </c>
      <c r="F69" s="35"/>
      <c r="G69" s="56" t="s">
        <v>65</v>
      </c>
      <c r="H69" s="39">
        <f t="shared" si="15"/>
        <v>75.5</v>
      </c>
      <c r="I69" s="78">
        <f t="shared" si="24"/>
        <v>-3.5759897800000003E-2</v>
      </c>
      <c r="J69" s="87">
        <f t="shared" si="21"/>
        <v>168280782.94978562</v>
      </c>
      <c r="K69" s="83" t="s">
        <v>236</v>
      </c>
      <c r="L69" s="39">
        <f t="shared" si="17"/>
        <v>77.099999999999994</v>
      </c>
      <c r="M69" s="78">
        <f t="shared" si="18"/>
        <v>-1.5325670499999999E-2</v>
      </c>
      <c r="N69" s="87">
        <f t="shared" si="22"/>
        <v>162530751.14292106</v>
      </c>
      <c r="O69" s="83" t="s">
        <v>136</v>
      </c>
      <c r="P69" s="39">
        <f t="shared" si="19"/>
        <v>244</v>
      </c>
      <c r="Q69" s="78">
        <f t="shared" si="20"/>
        <v>-2.78884462E-2</v>
      </c>
      <c r="R69" s="87">
        <f t="shared" si="23"/>
        <v>40339305.178109132</v>
      </c>
    </row>
    <row r="70" spans="1:18">
      <c r="A70" s="40" t="s">
        <v>129</v>
      </c>
      <c r="B70" s="11" t="s">
        <v>130</v>
      </c>
      <c r="C70" s="96">
        <v>322800</v>
      </c>
      <c r="D70" s="93">
        <v>-2.0333839199999999E-2</v>
      </c>
      <c r="E70" s="94">
        <v>106291.03682126</v>
      </c>
      <c r="F70" s="35"/>
      <c r="G70" s="56" t="s">
        <v>258</v>
      </c>
      <c r="H70" s="39">
        <f t="shared" si="15"/>
        <v>753</v>
      </c>
      <c r="I70" s="78">
        <f t="shared" si="24"/>
        <v>-3.5851472500000002E-2</v>
      </c>
      <c r="J70" s="91">
        <f t="shared" si="21"/>
        <v>22688650.83747223</v>
      </c>
      <c r="K70" s="84" t="s">
        <v>72</v>
      </c>
      <c r="L70" s="44">
        <f t="shared" si="17"/>
        <v>36.799999999999997</v>
      </c>
      <c r="M70" s="79">
        <f t="shared" si="18"/>
        <v>-2.3872679000000001E-2</v>
      </c>
      <c r="N70" s="91">
        <f t="shared" si="22"/>
        <v>204655481.95683226</v>
      </c>
      <c r="O70" s="84" t="s">
        <v>168</v>
      </c>
      <c r="P70" s="44">
        <f t="shared" si="19"/>
        <v>206</v>
      </c>
      <c r="Q70" s="79">
        <f t="shared" si="20"/>
        <v>-2.8301886799999999E-2</v>
      </c>
      <c r="R70" s="91">
        <f t="shared" si="23"/>
        <v>142522009.83256695</v>
      </c>
    </row>
    <row r="71" spans="1:18">
      <c r="A71" s="40" t="s">
        <v>263</v>
      </c>
      <c r="B71" s="11" t="s">
        <v>264</v>
      </c>
      <c r="C71" s="96">
        <v>184</v>
      </c>
      <c r="D71" s="93">
        <v>-2.1276595700000001E-2</v>
      </c>
      <c r="E71" s="94">
        <v>27199845.0717218</v>
      </c>
      <c r="F71" s="35"/>
      <c r="G71" s="60" t="s">
        <v>184</v>
      </c>
      <c r="H71" s="45">
        <f t="shared" si="15"/>
        <v>2605</v>
      </c>
      <c r="I71" s="81">
        <f t="shared" si="24"/>
        <v>-3.6968576699999998E-2</v>
      </c>
      <c r="J71" s="100">
        <f t="shared" si="21"/>
        <v>2004264.3752580499</v>
      </c>
      <c r="K71" s="83" t="s">
        <v>100</v>
      </c>
      <c r="L71" s="39">
        <f t="shared" si="17"/>
        <v>8.42</v>
      </c>
      <c r="M71" s="78">
        <f t="shared" si="18"/>
        <v>-2.5462963000000002E-2</v>
      </c>
      <c r="N71" s="100">
        <f t="shared" si="22"/>
        <v>40603714252.478439</v>
      </c>
      <c r="O71" s="83" t="s">
        <v>284</v>
      </c>
      <c r="P71" s="39">
        <f t="shared" si="19"/>
        <v>468</v>
      </c>
      <c r="Q71" s="78">
        <f t="shared" si="20"/>
        <v>-2.9045643199999999E-2</v>
      </c>
      <c r="R71" s="100">
        <f t="shared" si="23"/>
        <v>27732014.760875259</v>
      </c>
    </row>
    <row r="72" spans="1:18">
      <c r="A72" s="40" t="s">
        <v>241</v>
      </c>
      <c r="B72" s="11" t="s">
        <v>242</v>
      </c>
      <c r="C72" s="96">
        <v>6420</v>
      </c>
      <c r="D72" s="93">
        <v>-2.13414634E-2</v>
      </c>
      <c r="E72" s="94">
        <v>1450218.0285869299</v>
      </c>
      <c r="F72" s="35"/>
      <c r="G72" s="56" t="s">
        <v>204</v>
      </c>
      <c r="H72" s="39">
        <f t="shared" si="15"/>
        <v>9965</v>
      </c>
      <c r="I72" s="78">
        <f t="shared" si="24"/>
        <v>-3.81274131E-2</v>
      </c>
      <c r="J72" s="87">
        <f t="shared" si="21"/>
        <v>19609951.72536296</v>
      </c>
      <c r="K72" s="83" t="s">
        <v>65</v>
      </c>
      <c r="L72" s="39">
        <f t="shared" si="17"/>
        <v>75.5</v>
      </c>
      <c r="M72" s="78">
        <f t="shared" si="18"/>
        <v>-3.5759897800000003E-2</v>
      </c>
      <c r="N72" s="87">
        <f t="shared" si="22"/>
        <v>168280782.94978562</v>
      </c>
      <c r="O72" s="83" t="s">
        <v>148</v>
      </c>
      <c r="P72" s="39">
        <f t="shared" si="19"/>
        <v>206</v>
      </c>
      <c r="Q72" s="78">
        <f t="shared" si="20"/>
        <v>-3.2863849799999997E-2</v>
      </c>
      <c r="R72" s="87">
        <f t="shared" si="23"/>
        <v>65704739.722801819</v>
      </c>
    </row>
    <row r="73" spans="1:18">
      <c r="A73" s="40" t="s">
        <v>259</v>
      </c>
      <c r="B73" s="11" t="s">
        <v>260</v>
      </c>
      <c r="C73" s="96">
        <v>137</v>
      </c>
      <c r="D73" s="93">
        <v>-2.1428571399999999E-2</v>
      </c>
      <c r="E73" s="94">
        <v>167045877.11344936</v>
      </c>
      <c r="F73" s="35"/>
      <c r="G73" s="56" t="s">
        <v>92</v>
      </c>
      <c r="H73" s="39">
        <f t="shared" si="15"/>
        <v>1890</v>
      </c>
      <c r="I73" s="78">
        <f t="shared" si="24"/>
        <v>-3.8167938899999997E-2</v>
      </c>
      <c r="J73" s="87">
        <f t="shared" si="21"/>
        <v>489463618.95818239</v>
      </c>
      <c r="K73" s="83" t="s">
        <v>126</v>
      </c>
      <c r="L73" s="39">
        <f t="shared" si="17"/>
        <v>68.5</v>
      </c>
      <c r="M73" s="78">
        <f t="shared" si="18"/>
        <v>-4.0616246500000001E-2</v>
      </c>
      <c r="N73" s="87">
        <f t="shared" si="22"/>
        <v>590973593.84817219</v>
      </c>
      <c r="O73" s="83" t="s">
        <v>232</v>
      </c>
      <c r="P73" s="39">
        <f t="shared" si="19"/>
        <v>195</v>
      </c>
      <c r="Q73" s="78">
        <f t="shared" si="20"/>
        <v>-3.4653465299999998E-2</v>
      </c>
      <c r="R73" s="87">
        <f t="shared" si="23"/>
        <v>59478289.895222299</v>
      </c>
    </row>
    <row r="74" spans="1:18">
      <c r="A74" s="40" t="s">
        <v>175</v>
      </c>
      <c r="B74" s="11" t="s">
        <v>176</v>
      </c>
      <c r="C74" s="96">
        <v>2510</v>
      </c>
      <c r="D74" s="93">
        <v>-2.14424951E-2</v>
      </c>
      <c r="E74" s="94">
        <v>5616207.3446314204</v>
      </c>
      <c r="F74" s="35"/>
      <c r="G74" s="56" t="s">
        <v>250</v>
      </c>
      <c r="H74" s="39">
        <f t="shared" si="15"/>
        <v>241</v>
      </c>
      <c r="I74" s="78">
        <f t="shared" si="24"/>
        <v>-3.9840637499999998E-2</v>
      </c>
      <c r="J74" s="87">
        <f t="shared" si="21"/>
        <v>51643468.480071992</v>
      </c>
      <c r="K74" s="83"/>
      <c r="L74" s="39" t="str">
        <f t="shared" si="17"/>
        <v/>
      </c>
      <c r="M74" s="78" t="str">
        <f t="shared" si="18"/>
        <v/>
      </c>
      <c r="N74" s="87" t="str">
        <f t="shared" si="22"/>
        <v/>
      </c>
      <c r="O74" s="83" t="s">
        <v>258</v>
      </c>
      <c r="P74" s="39">
        <f t="shared" si="19"/>
        <v>753</v>
      </c>
      <c r="Q74" s="78">
        <f t="shared" si="20"/>
        <v>-3.5851472500000002E-2</v>
      </c>
      <c r="R74" s="87">
        <f t="shared" si="23"/>
        <v>22688650.83747223</v>
      </c>
    </row>
    <row r="75" spans="1:18" ht="17.25" thickBot="1">
      <c r="A75" s="40" t="s">
        <v>56</v>
      </c>
      <c r="B75" s="11" t="s">
        <v>57</v>
      </c>
      <c r="C75" s="96">
        <v>410</v>
      </c>
      <c r="D75" s="93">
        <v>-2.1479713599999999E-2</v>
      </c>
      <c r="E75" s="94">
        <v>127197238.57289258</v>
      </c>
      <c r="F75" s="35"/>
      <c r="G75" s="57" t="s">
        <v>126</v>
      </c>
      <c r="H75" s="37">
        <f t="shared" si="15"/>
        <v>68.5</v>
      </c>
      <c r="I75" s="80">
        <f t="shared" si="24"/>
        <v>-4.0616246500000001E-2</v>
      </c>
      <c r="J75" s="88">
        <f t="shared" si="21"/>
        <v>590973593.84817219</v>
      </c>
      <c r="K75" s="85"/>
      <c r="L75" s="37" t="str">
        <f t="shared" si="17"/>
        <v/>
      </c>
      <c r="M75" s="80" t="str">
        <f t="shared" si="18"/>
        <v/>
      </c>
      <c r="N75" s="88" t="str">
        <f t="shared" si="22"/>
        <v/>
      </c>
      <c r="O75" s="85" t="s">
        <v>250</v>
      </c>
      <c r="P75" s="37">
        <f t="shared" si="19"/>
        <v>241</v>
      </c>
      <c r="Q75" s="80">
        <f t="shared" si="20"/>
        <v>-3.9840637499999998E-2</v>
      </c>
      <c r="R75" s="88">
        <f t="shared" si="23"/>
        <v>51643468.480071992</v>
      </c>
    </row>
    <row r="76" spans="1:18">
      <c r="A76" s="40" t="s">
        <v>159</v>
      </c>
      <c r="B76" s="11" t="s">
        <v>160</v>
      </c>
      <c r="C76" s="96">
        <v>3170</v>
      </c>
      <c r="D76" s="93">
        <v>-2.1604938300000001E-2</v>
      </c>
      <c r="E76" s="94">
        <v>3097920.7183017498</v>
      </c>
      <c r="F76" s="35"/>
      <c r="G76" s="35"/>
      <c r="H76" s="35"/>
      <c r="I76" s="35"/>
    </row>
    <row r="77" spans="1:18">
      <c r="A77" s="40" t="s">
        <v>119</v>
      </c>
      <c r="B77" s="11" t="s">
        <v>120</v>
      </c>
      <c r="C77" s="96">
        <v>226</v>
      </c>
      <c r="D77" s="93">
        <v>-2.1645021600000001E-2</v>
      </c>
      <c r="E77" s="94">
        <v>72110653.993112668</v>
      </c>
      <c r="F77" s="35"/>
      <c r="G77" s="35"/>
      <c r="H77" s="35"/>
      <c r="I77" s="35"/>
    </row>
    <row r="78" spans="1:18">
      <c r="A78" s="40" t="s">
        <v>255</v>
      </c>
      <c r="B78" s="11" t="s">
        <v>256</v>
      </c>
      <c r="C78" s="96">
        <v>269</v>
      </c>
      <c r="D78" s="93">
        <v>-2.1818181799999999E-2</v>
      </c>
      <c r="E78" s="94">
        <v>19818091.630865831</v>
      </c>
      <c r="F78" s="35"/>
      <c r="G78" s="35"/>
      <c r="H78" s="35"/>
      <c r="I78" s="35"/>
    </row>
    <row r="79" spans="1:18">
      <c r="A79" s="40" t="s">
        <v>169</v>
      </c>
      <c r="B79" s="11" t="s">
        <v>170</v>
      </c>
      <c r="C79" s="96">
        <v>537</v>
      </c>
      <c r="D79" s="93">
        <v>-2.1857923500000001E-2</v>
      </c>
      <c r="E79" s="94">
        <v>29346216.127755709</v>
      </c>
      <c r="F79" s="35"/>
      <c r="G79" s="35"/>
      <c r="H79" s="35"/>
      <c r="I79" s="35"/>
    </row>
    <row r="80" spans="1:18">
      <c r="A80" s="40" t="s">
        <v>127</v>
      </c>
      <c r="B80" s="11" t="s">
        <v>128</v>
      </c>
      <c r="C80" s="96">
        <v>626</v>
      </c>
      <c r="D80" s="93">
        <v>-2.1874999999999999E-2</v>
      </c>
      <c r="E80" s="94">
        <v>8835192.1355857495</v>
      </c>
      <c r="F80" s="35"/>
      <c r="G80" s="35"/>
      <c r="H80" s="35"/>
      <c r="I80" s="35"/>
    </row>
    <row r="81" spans="1:9">
      <c r="A81" s="40" t="s">
        <v>205</v>
      </c>
      <c r="B81" s="11" t="s">
        <v>206</v>
      </c>
      <c r="C81" s="96">
        <v>37960</v>
      </c>
      <c r="D81" s="93">
        <v>-2.24053567E-2</v>
      </c>
      <c r="E81" s="94">
        <v>344693.59286898997</v>
      </c>
      <c r="F81" s="35"/>
      <c r="G81" s="35"/>
      <c r="H81" s="35"/>
      <c r="I81" s="35"/>
    </row>
    <row r="82" spans="1:9">
      <c r="A82" s="40" t="s">
        <v>173</v>
      </c>
      <c r="B82" s="11" t="s">
        <v>174</v>
      </c>
      <c r="C82" s="96">
        <v>303</v>
      </c>
      <c r="D82" s="93">
        <v>-2.2580645199999999E-2</v>
      </c>
      <c r="E82" s="94">
        <v>62221972.589798249</v>
      </c>
      <c r="F82" s="35"/>
      <c r="G82" s="35"/>
      <c r="H82" s="35"/>
      <c r="I82" s="35"/>
    </row>
    <row r="83" spans="1:9">
      <c r="A83" s="40" t="s">
        <v>87</v>
      </c>
      <c r="B83" s="11" t="s">
        <v>88</v>
      </c>
      <c r="C83" s="96">
        <v>645</v>
      </c>
      <c r="D83" s="93">
        <v>-2.2727272699999999E-2</v>
      </c>
      <c r="E83" s="94">
        <v>142478048.93208513</v>
      </c>
      <c r="F83" s="35"/>
      <c r="G83" s="35"/>
      <c r="H83" s="35"/>
      <c r="I83" s="35"/>
    </row>
    <row r="84" spans="1:9">
      <c r="A84" s="40" t="s">
        <v>71</v>
      </c>
      <c r="B84" s="11" t="s">
        <v>72</v>
      </c>
      <c r="C84" s="96">
        <v>36.799999999999997</v>
      </c>
      <c r="D84" s="93">
        <v>-2.3872679000000001E-2</v>
      </c>
      <c r="E84" s="94">
        <v>204655481.95683226</v>
      </c>
      <c r="F84" s="35"/>
      <c r="G84" s="35"/>
      <c r="H84" s="35"/>
      <c r="I84" s="35"/>
    </row>
    <row r="85" spans="1:9">
      <c r="A85" s="40" t="s">
        <v>271</v>
      </c>
      <c r="B85" s="11" t="s">
        <v>272</v>
      </c>
      <c r="C85" s="96">
        <v>2430</v>
      </c>
      <c r="D85" s="93">
        <v>-2.4096385500000001E-2</v>
      </c>
      <c r="E85" s="94">
        <v>4292182.5470521599</v>
      </c>
      <c r="F85" s="35"/>
      <c r="G85" s="35"/>
      <c r="H85" s="35"/>
      <c r="I85" s="35"/>
    </row>
    <row r="86" spans="1:9">
      <c r="A86" s="40" t="s">
        <v>73</v>
      </c>
      <c r="B86" s="11" t="s">
        <v>74</v>
      </c>
      <c r="C86" s="96">
        <v>27650</v>
      </c>
      <c r="D86" s="93">
        <v>-2.4347212399999998E-2</v>
      </c>
      <c r="E86" s="94">
        <v>256267.83107779</v>
      </c>
      <c r="F86" s="35"/>
      <c r="G86" s="35"/>
      <c r="H86" s="35"/>
      <c r="I86" s="35"/>
    </row>
    <row r="87" spans="1:9">
      <c r="A87" s="40" t="s">
        <v>275</v>
      </c>
      <c r="B87" s="11" t="s">
        <v>276</v>
      </c>
      <c r="C87" s="96">
        <v>4155</v>
      </c>
      <c r="D87" s="93">
        <v>-2.4647887300000001E-2</v>
      </c>
      <c r="E87" s="94">
        <v>1360335.16323687</v>
      </c>
      <c r="F87" s="35"/>
      <c r="G87" s="35"/>
      <c r="H87" s="35"/>
      <c r="I87" s="35"/>
    </row>
    <row r="88" spans="1:9">
      <c r="A88" s="40" t="s">
        <v>99</v>
      </c>
      <c r="B88" s="11" t="s">
        <v>100</v>
      </c>
      <c r="C88" s="96">
        <v>8.42</v>
      </c>
      <c r="D88" s="93">
        <v>-2.5462963000000002E-2</v>
      </c>
      <c r="E88" s="94">
        <v>40603714252.478439</v>
      </c>
      <c r="F88" s="35"/>
      <c r="G88" s="35"/>
      <c r="H88" s="35"/>
      <c r="I88" s="35"/>
    </row>
    <row r="89" spans="1:9">
      <c r="A89" s="40" t="s">
        <v>277</v>
      </c>
      <c r="B89" s="11" t="s">
        <v>278</v>
      </c>
      <c r="C89" s="96">
        <v>152</v>
      </c>
      <c r="D89" s="93">
        <v>-2.5641025599999999E-2</v>
      </c>
      <c r="E89" s="94">
        <v>64433477.723824874</v>
      </c>
      <c r="F89" s="35"/>
      <c r="G89" s="35"/>
      <c r="H89" s="35"/>
      <c r="I89" s="35"/>
    </row>
    <row r="90" spans="1:9">
      <c r="A90" s="40" t="s">
        <v>245</v>
      </c>
      <c r="B90" s="11" t="s">
        <v>246</v>
      </c>
      <c r="C90" s="96">
        <v>440</v>
      </c>
      <c r="D90" s="93">
        <v>-2.65486726E-2</v>
      </c>
      <c r="E90" s="94">
        <v>21658099.521047112</v>
      </c>
      <c r="F90" s="35"/>
      <c r="G90" s="35"/>
      <c r="H90" s="35"/>
      <c r="I90" s="35"/>
    </row>
    <row r="91" spans="1:9">
      <c r="A91" s="40" t="s">
        <v>225</v>
      </c>
      <c r="B91" s="11" t="s">
        <v>226</v>
      </c>
      <c r="C91" s="96">
        <v>541</v>
      </c>
      <c r="D91" s="93">
        <v>-2.6978417300000002E-2</v>
      </c>
      <c r="E91" s="94">
        <v>13784237.43244087</v>
      </c>
      <c r="F91" s="35"/>
      <c r="G91" s="35"/>
      <c r="H91" s="35"/>
      <c r="I91" s="35"/>
    </row>
    <row r="92" spans="1:9">
      <c r="A92" s="40" t="s">
        <v>281</v>
      </c>
      <c r="B92" s="11" t="s">
        <v>282</v>
      </c>
      <c r="C92" s="96">
        <v>180</v>
      </c>
      <c r="D92" s="93">
        <v>-2.7027026999999999E-2</v>
      </c>
      <c r="E92" s="94">
        <v>32485240.649387378</v>
      </c>
      <c r="F92" s="35"/>
      <c r="G92" s="35"/>
      <c r="H92" s="35"/>
      <c r="I92" s="35"/>
    </row>
    <row r="93" spans="1:9">
      <c r="A93" s="40" t="s">
        <v>177</v>
      </c>
      <c r="B93" s="11" t="s">
        <v>178</v>
      </c>
      <c r="C93" s="96">
        <v>49210</v>
      </c>
      <c r="D93" s="93">
        <v>-2.7662517300000002E-2</v>
      </c>
      <c r="E93" s="94">
        <v>168344.52717509001</v>
      </c>
      <c r="F93" s="35"/>
      <c r="G93" s="35"/>
      <c r="H93" s="35"/>
      <c r="I93" s="35"/>
    </row>
    <row r="94" spans="1:9">
      <c r="A94" s="40" t="s">
        <v>113</v>
      </c>
      <c r="B94" s="11" t="s">
        <v>114</v>
      </c>
      <c r="C94" s="96">
        <v>13270</v>
      </c>
      <c r="D94" s="93">
        <v>-2.78388278E-2</v>
      </c>
      <c r="E94" s="94">
        <v>748682.48920531</v>
      </c>
      <c r="F94" s="35"/>
      <c r="G94" s="35"/>
      <c r="H94" s="35"/>
      <c r="I94" s="35"/>
    </row>
    <row r="95" spans="1:9">
      <c r="A95" s="40" t="s">
        <v>135</v>
      </c>
      <c r="B95" s="11" t="s">
        <v>136</v>
      </c>
      <c r="C95" s="96">
        <v>244</v>
      </c>
      <c r="D95" s="93">
        <v>-2.78884462E-2</v>
      </c>
      <c r="E95" s="94">
        <v>40339305.178109132</v>
      </c>
      <c r="F95" s="35"/>
      <c r="G95" s="35"/>
      <c r="H95" s="35"/>
      <c r="I95" s="35"/>
    </row>
    <row r="96" spans="1:9">
      <c r="A96" s="40" t="s">
        <v>97</v>
      </c>
      <c r="B96" s="11" t="s">
        <v>98</v>
      </c>
      <c r="C96" s="96">
        <v>6745</v>
      </c>
      <c r="D96" s="93">
        <v>-2.8097982699999999E-2</v>
      </c>
      <c r="E96" s="94">
        <v>2851975.9621847202</v>
      </c>
      <c r="F96" s="35"/>
      <c r="G96" s="35"/>
      <c r="H96" s="35"/>
      <c r="I96" s="35"/>
    </row>
    <row r="97" spans="1:9">
      <c r="A97" s="40" t="s">
        <v>117</v>
      </c>
      <c r="B97" s="11" t="s">
        <v>118</v>
      </c>
      <c r="C97" s="96">
        <v>6705</v>
      </c>
      <c r="D97" s="93">
        <v>-2.8260869599999999E-2</v>
      </c>
      <c r="E97" s="94">
        <v>920830.75611842005</v>
      </c>
      <c r="F97" s="35"/>
      <c r="G97" s="35"/>
      <c r="H97" s="35"/>
      <c r="I97" s="35"/>
    </row>
    <row r="98" spans="1:9">
      <c r="A98" s="40" t="s">
        <v>167</v>
      </c>
      <c r="B98" s="11" t="s">
        <v>168</v>
      </c>
      <c r="C98" s="96">
        <v>206</v>
      </c>
      <c r="D98" s="93">
        <v>-2.8301886799999999E-2</v>
      </c>
      <c r="E98" s="94">
        <v>142522009.83256695</v>
      </c>
      <c r="F98" s="35"/>
      <c r="G98" s="35"/>
      <c r="H98" s="35"/>
      <c r="I98" s="35"/>
    </row>
    <row r="99" spans="1:9">
      <c r="A99" s="40" t="s">
        <v>143</v>
      </c>
      <c r="B99" s="11" t="s">
        <v>144</v>
      </c>
      <c r="C99" s="96">
        <v>9415</v>
      </c>
      <c r="D99" s="93">
        <v>-2.8379773E-2</v>
      </c>
      <c r="E99" s="94">
        <v>1452358.6676085901</v>
      </c>
      <c r="F99" s="35"/>
      <c r="G99" s="35"/>
      <c r="H99" s="35"/>
      <c r="I99" s="35"/>
    </row>
    <row r="100" spans="1:9">
      <c r="A100" s="40" t="s">
        <v>283</v>
      </c>
      <c r="B100" s="11" t="s">
        <v>284</v>
      </c>
      <c r="C100" s="96">
        <v>468</v>
      </c>
      <c r="D100" s="93">
        <v>-2.9045643199999999E-2</v>
      </c>
      <c r="E100" s="94">
        <v>27732014.760875259</v>
      </c>
      <c r="F100" s="35"/>
      <c r="G100" s="35"/>
      <c r="H100" s="35"/>
      <c r="I100" s="35"/>
    </row>
    <row r="101" spans="1:9">
      <c r="A101" s="40" t="s">
        <v>107</v>
      </c>
      <c r="B101" s="11" t="s">
        <v>108</v>
      </c>
      <c r="C101" s="96">
        <v>49510</v>
      </c>
      <c r="D101" s="93">
        <v>-2.9976488999999999E-2</v>
      </c>
      <c r="E101" s="94">
        <v>615065.91509064997</v>
      </c>
      <c r="F101" s="35"/>
      <c r="G101" s="35"/>
      <c r="H101" s="35"/>
      <c r="I101" s="35"/>
    </row>
    <row r="102" spans="1:9">
      <c r="A102" s="40" t="s">
        <v>93</v>
      </c>
      <c r="B102" s="11" t="s">
        <v>94</v>
      </c>
      <c r="C102" s="96">
        <v>113200</v>
      </c>
      <c r="D102" s="93">
        <v>-2.9991430999999999E-2</v>
      </c>
      <c r="E102" s="94">
        <v>871108.71058931004</v>
      </c>
      <c r="F102" s="35"/>
      <c r="G102" s="35"/>
      <c r="H102" s="35"/>
      <c r="I102" s="35"/>
    </row>
    <row r="103" spans="1:9">
      <c r="A103" s="40" t="s">
        <v>157</v>
      </c>
      <c r="B103" s="11" t="s">
        <v>158</v>
      </c>
      <c r="C103" s="96">
        <v>11230</v>
      </c>
      <c r="D103" s="93">
        <v>-3.10612597E-2</v>
      </c>
      <c r="E103" s="94">
        <v>3295011.9465722698</v>
      </c>
      <c r="F103" s="35"/>
      <c r="G103" s="35"/>
      <c r="H103" s="35"/>
      <c r="I103" s="35"/>
    </row>
    <row r="104" spans="1:9">
      <c r="A104" s="40" t="s">
        <v>139</v>
      </c>
      <c r="B104" s="11" t="s">
        <v>140</v>
      </c>
      <c r="C104" s="96">
        <v>3840</v>
      </c>
      <c r="D104" s="93">
        <v>-3.1525851200000003E-2</v>
      </c>
      <c r="E104" s="94">
        <v>1893046.96892725</v>
      </c>
      <c r="F104" s="35"/>
      <c r="G104" s="35"/>
      <c r="H104" s="35"/>
      <c r="I104" s="35"/>
    </row>
    <row r="105" spans="1:9">
      <c r="A105" s="40" t="s">
        <v>189</v>
      </c>
      <c r="B105" s="11" t="s">
        <v>190</v>
      </c>
      <c r="C105" s="96">
        <v>77180</v>
      </c>
      <c r="D105" s="93">
        <v>-3.2347041100000001E-2</v>
      </c>
      <c r="E105" s="94">
        <v>266668.83187885</v>
      </c>
      <c r="F105" s="35"/>
      <c r="G105" s="35"/>
      <c r="H105" s="35"/>
      <c r="I105" s="35"/>
    </row>
    <row r="106" spans="1:9">
      <c r="A106" s="40" t="s">
        <v>147</v>
      </c>
      <c r="B106" s="11" t="s">
        <v>148</v>
      </c>
      <c r="C106" s="96">
        <v>206</v>
      </c>
      <c r="D106" s="93">
        <v>-3.2863849799999997E-2</v>
      </c>
      <c r="E106" s="94">
        <v>65704739.722801819</v>
      </c>
      <c r="F106" s="35"/>
      <c r="G106" s="35"/>
      <c r="H106" s="35"/>
      <c r="I106" s="35"/>
    </row>
    <row r="107" spans="1:9">
      <c r="A107" s="40" t="s">
        <v>66</v>
      </c>
      <c r="B107" s="11" t="s">
        <v>67</v>
      </c>
      <c r="C107" s="96">
        <v>9815</v>
      </c>
      <c r="D107" s="93">
        <v>-3.3956692900000002E-2</v>
      </c>
      <c r="E107" s="94">
        <v>3319969.1207406102</v>
      </c>
      <c r="F107" s="35"/>
      <c r="G107" s="35"/>
      <c r="H107" s="35"/>
      <c r="I107" s="35"/>
    </row>
    <row r="108" spans="1:9">
      <c r="A108" s="40" t="s">
        <v>165</v>
      </c>
      <c r="B108" s="11" t="s">
        <v>166</v>
      </c>
      <c r="C108" s="96">
        <v>2515</v>
      </c>
      <c r="D108" s="93">
        <v>-3.4548944300000002E-2</v>
      </c>
      <c r="E108" s="94">
        <v>4427226.4559789803</v>
      </c>
      <c r="F108" s="35"/>
      <c r="G108" s="35"/>
      <c r="H108" s="35"/>
      <c r="I108" s="35"/>
    </row>
    <row r="109" spans="1:9">
      <c r="A109" s="40" t="s">
        <v>231</v>
      </c>
      <c r="B109" s="11" t="s">
        <v>232</v>
      </c>
      <c r="C109" s="96">
        <v>195</v>
      </c>
      <c r="D109" s="93">
        <v>-3.4653465299999998E-2</v>
      </c>
      <c r="E109" s="41">
        <v>59478289.895222299</v>
      </c>
    </row>
    <row r="110" spans="1:9">
      <c r="A110" s="40" t="s">
        <v>161</v>
      </c>
      <c r="B110" s="11" t="s">
        <v>162</v>
      </c>
      <c r="C110" s="96">
        <v>2170</v>
      </c>
      <c r="D110" s="93">
        <v>-3.5555555599999997E-2</v>
      </c>
      <c r="E110" s="41">
        <v>12086279.332594009</v>
      </c>
    </row>
    <row r="111" spans="1:9">
      <c r="A111" s="40" t="s">
        <v>75</v>
      </c>
      <c r="B111" s="11" t="s">
        <v>76</v>
      </c>
      <c r="C111" s="96">
        <v>47390</v>
      </c>
      <c r="D111" s="93">
        <v>-3.5612535600000002E-2</v>
      </c>
      <c r="E111" s="41">
        <v>950418.92097761994</v>
      </c>
    </row>
    <row r="112" spans="1:9">
      <c r="A112" s="40" t="s">
        <v>64</v>
      </c>
      <c r="B112" s="11" t="s">
        <v>65</v>
      </c>
      <c r="C112" s="96">
        <v>75.5</v>
      </c>
      <c r="D112" s="93">
        <v>-3.5759897800000003E-2</v>
      </c>
      <c r="E112" s="41">
        <v>168280782.94978562</v>
      </c>
    </row>
    <row r="113" spans="1:5">
      <c r="A113" s="40" t="s">
        <v>257</v>
      </c>
      <c r="B113" s="11" t="s">
        <v>258</v>
      </c>
      <c r="C113" s="96">
        <v>753</v>
      </c>
      <c r="D113" s="93">
        <v>-3.5851472500000002E-2</v>
      </c>
      <c r="E113" s="41">
        <v>22688650.83747223</v>
      </c>
    </row>
    <row r="114" spans="1:5">
      <c r="A114" s="40" t="s">
        <v>183</v>
      </c>
      <c r="B114" s="11" t="s">
        <v>184</v>
      </c>
      <c r="C114" s="96">
        <v>2605</v>
      </c>
      <c r="D114" s="93">
        <v>-3.6968576699999998E-2</v>
      </c>
      <c r="E114" s="41">
        <v>2004264.3752580499</v>
      </c>
    </row>
    <row r="115" spans="1:5">
      <c r="A115" s="40" t="s">
        <v>203</v>
      </c>
      <c r="B115" s="11" t="s">
        <v>204</v>
      </c>
      <c r="C115" s="96">
        <v>9965</v>
      </c>
      <c r="D115" s="93">
        <v>-3.81274131E-2</v>
      </c>
      <c r="E115" s="41">
        <v>19609951.72536296</v>
      </c>
    </row>
    <row r="116" spans="1:5">
      <c r="A116" s="40" t="s">
        <v>91</v>
      </c>
      <c r="B116" s="11" t="s">
        <v>92</v>
      </c>
      <c r="C116" s="96">
        <v>1890</v>
      </c>
      <c r="D116" s="93">
        <v>-3.8167938899999997E-2</v>
      </c>
      <c r="E116" s="41">
        <v>489463618.95818239</v>
      </c>
    </row>
    <row r="117" spans="1:5">
      <c r="A117" s="40" t="s">
        <v>249</v>
      </c>
      <c r="B117" s="11" t="s">
        <v>250</v>
      </c>
      <c r="C117" s="96">
        <v>241</v>
      </c>
      <c r="D117" s="93">
        <v>-3.9840637499999998E-2</v>
      </c>
      <c r="E117" s="41">
        <v>51643468.480071992</v>
      </c>
    </row>
    <row r="118" spans="1:5">
      <c r="A118" s="40" t="s">
        <v>125</v>
      </c>
      <c r="B118" s="11" t="s">
        <v>126</v>
      </c>
      <c r="C118" s="96">
        <v>68.5</v>
      </c>
      <c r="D118" s="93">
        <v>-4.0616246500000001E-2</v>
      </c>
      <c r="E118" s="41">
        <v>590973593.84817219</v>
      </c>
    </row>
    <row r="119" spans="1:5">
      <c r="A119" s="40"/>
      <c r="B119" s="11"/>
      <c r="C119" s="96"/>
      <c r="D119" s="93"/>
      <c r="E119" s="41"/>
    </row>
    <row r="120" spans="1:5">
      <c r="A120" s="40"/>
      <c r="B120" s="11"/>
      <c r="C120" s="96"/>
      <c r="D120" s="93"/>
      <c r="E120" s="41"/>
    </row>
    <row r="121" spans="1:5">
      <c r="A121" s="40"/>
      <c r="B121" s="11"/>
      <c r="C121" s="96"/>
      <c r="D121" s="93"/>
      <c r="E121" s="41"/>
    </row>
    <row r="122" spans="1:5">
      <c r="A122" s="40"/>
      <c r="B122" s="11"/>
      <c r="C122" s="96"/>
      <c r="D122" s="93"/>
      <c r="E122" s="41"/>
    </row>
    <row r="123" spans="1:5">
      <c r="A123" s="40"/>
      <c r="B123" s="11"/>
      <c r="C123" s="96"/>
      <c r="D123" s="93"/>
      <c r="E123" s="41"/>
    </row>
    <row r="124" spans="1:5">
      <c r="A124" s="40"/>
      <c r="B124" s="11"/>
      <c r="C124" s="96"/>
      <c r="D124" s="93"/>
      <c r="E124" s="41"/>
    </row>
    <row r="125" spans="1:5">
      <c r="A125" s="40"/>
      <c r="B125" s="11"/>
      <c r="C125" s="96"/>
      <c r="D125" s="93"/>
      <c r="E125" s="41"/>
    </row>
    <row r="126" spans="1:5">
      <c r="A126" s="40"/>
      <c r="B126" s="11"/>
      <c r="C126" s="96"/>
      <c r="D126" s="93"/>
      <c r="E126" s="41"/>
    </row>
    <row r="127" spans="1:5">
      <c r="A127" s="40"/>
      <c r="B127" s="11"/>
      <c r="C127" s="96"/>
      <c r="D127" s="93"/>
      <c r="E127" s="41"/>
    </row>
    <row r="128" spans="1:5">
      <c r="A128" s="40"/>
      <c r="B128" s="11"/>
      <c r="C128" s="96"/>
      <c r="D128" s="93"/>
      <c r="E128" s="41"/>
    </row>
    <row r="129" spans="1:5">
      <c r="A129" s="40"/>
      <c r="B129" s="11"/>
      <c r="C129" s="96"/>
      <c r="D129" s="93"/>
      <c r="E129" s="41"/>
    </row>
    <row r="130" spans="1:5">
      <c r="A130" s="40"/>
      <c r="B130" s="11"/>
      <c r="C130" s="96"/>
      <c r="D130" s="93"/>
      <c r="E130" s="41"/>
    </row>
    <row r="131" spans="1:5">
      <c r="A131" s="40"/>
      <c r="B131" s="11"/>
      <c r="C131" s="96"/>
      <c r="D131" s="93"/>
      <c r="E131" s="41"/>
    </row>
    <row r="132" spans="1:5">
      <c r="A132" s="40"/>
      <c r="B132" s="11"/>
      <c r="C132" s="96"/>
      <c r="D132" s="93"/>
      <c r="E132" s="41"/>
    </row>
    <row r="133" spans="1:5">
      <c r="A133" s="40"/>
      <c r="B133" s="11"/>
      <c r="C133" s="96"/>
      <c r="D133" s="93"/>
      <c r="E133" s="41"/>
    </row>
    <row r="134" spans="1:5">
      <c r="A134" s="40"/>
      <c r="B134" s="11"/>
      <c r="C134" s="96"/>
      <c r="D134" s="93"/>
      <c r="E134" s="41"/>
    </row>
    <row r="135" spans="1:5">
      <c r="A135" s="40"/>
      <c r="B135" s="11"/>
      <c r="C135" s="96"/>
      <c r="D135" s="93"/>
      <c r="E135" s="41"/>
    </row>
    <row r="136" spans="1:5">
      <c r="A136" s="40"/>
      <c r="B136" s="11"/>
      <c r="C136" s="96"/>
      <c r="D136" s="93"/>
      <c r="E136" s="41"/>
    </row>
    <row r="137" spans="1:5">
      <c r="A137" s="40"/>
      <c r="B137" s="11"/>
      <c r="C137" s="96"/>
      <c r="D137" s="93"/>
      <c r="E137" s="41"/>
    </row>
    <row r="138" spans="1:5">
      <c r="A138" s="40"/>
      <c r="B138" s="11"/>
      <c r="C138" s="96"/>
      <c r="D138" s="93"/>
      <c r="E138" s="41"/>
    </row>
    <row r="139" spans="1:5">
      <c r="A139" s="40"/>
      <c r="B139" s="11"/>
      <c r="C139" s="96"/>
      <c r="D139" s="93"/>
      <c r="E139" s="41"/>
    </row>
    <row r="140" spans="1:5">
      <c r="A140" s="40"/>
      <c r="B140" s="11"/>
      <c r="C140" s="96"/>
      <c r="D140" s="93"/>
      <c r="E140" s="41"/>
    </row>
    <row r="141" spans="1:5">
      <c r="A141" s="40"/>
      <c r="B141" s="11"/>
      <c r="C141" s="96"/>
      <c r="D141" s="93"/>
      <c r="E141" s="41"/>
    </row>
    <row r="142" spans="1:5">
      <c r="A142" s="40"/>
      <c r="B142" s="11"/>
      <c r="C142" s="96"/>
      <c r="D142" s="93"/>
      <c r="E142" s="41"/>
    </row>
    <row r="143" spans="1:5">
      <c r="A143" s="40"/>
      <c r="B143" s="11"/>
      <c r="C143" s="96"/>
      <c r="D143" s="93"/>
      <c r="E143" s="41"/>
    </row>
    <row r="144" spans="1:5">
      <c r="A144" s="40"/>
      <c r="B144" s="11"/>
      <c r="C144" s="96"/>
      <c r="D144" s="93"/>
      <c r="E144" s="41"/>
    </row>
    <row r="145" spans="1:5">
      <c r="A145" s="40"/>
      <c r="B145" s="11"/>
      <c r="C145" s="96"/>
      <c r="D145" s="93"/>
      <c r="E145" s="41"/>
    </row>
    <row r="146" spans="1:5">
      <c r="A146" s="40"/>
      <c r="B146" s="11"/>
      <c r="C146" s="96"/>
      <c r="D146" s="93"/>
      <c r="E146" s="41"/>
    </row>
    <row r="147" spans="1:5">
      <c r="A147" s="40"/>
      <c r="B147" s="11"/>
      <c r="C147" s="96"/>
      <c r="D147" s="93"/>
      <c r="E147" s="41"/>
    </row>
    <row r="148" spans="1:5">
      <c r="A148" s="40"/>
      <c r="B148" s="11"/>
      <c r="C148" s="96"/>
      <c r="D148" s="93"/>
      <c r="E148" s="41"/>
    </row>
    <row r="149" spans="1:5">
      <c r="A149" s="40"/>
      <c r="B149" s="11"/>
      <c r="C149" s="96"/>
      <c r="D149" s="93"/>
      <c r="E149" s="41"/>
    </row>
    <row r="150" spans="1:5">
      <c r="A150" s="40"/>
      <c r="B150" s="11"/>
      <c r="C150" s="96"/>
      <c r="D150" s="93"/>
      <c r="E150" s="41"/>
    </row>
    <row r="151" spans="1:5">
      <c r="A151" s="40"/>
      <c r="B151" s="11"/>
      <c r="C151" s="96"/>
      <c r="D151" s="93"/>
      <c r="E151" s="41"/>
    </row>
    <row r="152" spans="1:5">
      <c r="A152" s="40"/>
      <c r="B152" s="11"/>
      <c r="C152" s="96"/>
      <c r="D152" s="93"/>
      <c r="E152" s="41"/>
    </row>
    <row r="153" spans="1:5">
      <c r="A153" s="40"/>
      <c r="B153" s="11"/>
      <c r="C153" s="96"/>
      <c r="D153" s="93"/>
      <c r="E153" s="41"/>
    </row>
    <row r="154" spans="1:5">
      <c r="A154" s="40"/>
      <c r="B154" s="11"/>
      <c r="C154" s="96"/>
      <c r="D154" s="93"/>
      <c r="E154" s="41"/>
    </row>
    <row r="155" spans="1:5">
      <c r="A155" s="40"/>
      <c r="B155" s="11"/>
      <c r="C155" s="96"/>
      <c r="D155" s="93"/>
      <c r="E155" s="41"/>
    </row>
    <row r="156" spans="1:5">
      <c r="A156" s="40"/>
      <c r="B156" s="11"/>
      <c r="C156" s="96"/>
      <c r="D156" s="93"/>
      <c r="E156" s="41"/>
    </row>
    <row r="157" spans="1:5">
      <c r="A157" s="40"/>
      <c r="B157" s="11"/>
      <c r="C157" s="96"/>
      <c r="D157" s="93"/>
      <c r="E157" s="41"/>
    </row>
    <row r="158" spans="1:5">
      <c r="A158" s="40"/>
      <c r="B158" s="11"/>
      <c r="C158" s="96"/>
      <c r="D158" s="93"/>
      <c r="E158" s="41"/>
    </row>
    <row r="159" spans="1:5">
      <c r="A159" s="40"/>
      <c r="B159" s="11"/>
      <c r="C159" s="96"/>
      <c r="D159" s="93"/>
      <c r="E159" s="41"/>
    </row>
    <row r="160" spans="1:5">
      <c r="A160" s="40"/>
      <c r="B160" s="11"/>
      <c r="C160" s="96"/>
      <c r="D160" s="93"/>
      <c r="E160" s="41"/>
    </row>
    <row r="161" spans="1:5">
      <c r="A161" s="40"/>
      <c r="B161" s="11"/>
      <c r="C161" s="96"/>
      <c r="D161" s="93"/>
      <c r="E161" s="41"/>
    </row>
    <row r="162" spans="1:5">
      <c r="A162" s="40"/>
      <c r="B162" s="11"/>
      <c r="C162" s="96"/>
      <c r="D162" s="93"/>
      <c r="E162" s="41"/>
    </row>
    <row r="163" spans="1:5">
      <c r="A163" s="40"/>
      <c r="B163" s="11"/>
      <c r="C163" s="96"/>
      <c r="D163" s="93"/>
      <c r="E163" s="41"/>
    </row>
    <row r="164" spans="1:5">
      <c r="A164" s="40"/>
      <c r="B164" s="11"/>
      <c r="C164" s="96"/>
      <c r="D164" s="93"/>
      <c r="E164" s="41"/>
    </row>
    <row r="165" spans="1:5">
      <c r="A165" s="40"/>
      <c r="B165" s="11"/>
      <c r="C165" s="96"/>
      <c r="D165" s="93"/>
      <c r="E165" s="41"/>
    </row>
    <row r="166" spans="1:5">
      <c r="A166" s="40"/>
      <c r="B166" s="11"/>
      <c r="C166" s="96"/>
      <c r="D166" s="93"/>
      <c r="E166" s="41"/>
    </row>
    <row r="167" spans="1:5">
      <c r="A167" s="40"/>
      <c r="B167" s="11"/>
      <c r="C167" s="96"/>
      <c r="D167" s="93"/>
      <c r="E167" s="41"/>
    </row>
    <row r="168" spans="1:5">
      <c r="A168" s="40"/>
      <c r="B168" s="11"/>
      <c r="C168" s="96"/>
      <c r="D168" s="93"/>
      <c r="E168" s="41"/>
    </row>
    <row r="169" spans="1:5">
      <c r="A169" s="40"/>
      <c r="B169" s="11"/>
      <c r="C169" s="96"/>
      <c r="D169" s="93"/>
      <c r="E169" s="41"/>
    </row>
    <row r="170" spans="1:5">
      <c r="A170" s="40"/>
      <c r="B170" s="11"/>
      <c r="C170" s="96"/>
      <c r="D170" s="93"/>
      <c r="E170" s="41"/>
    </row>
    <row r="171" spans="1:5">
      <c r="A171" s="40"/>
      <c r="B171" s="11"/>
      <c r="C171" s="96"/>
      <c r="D171" s="93"/>
      <c r="E171" s="41"/>
    </row>
    <row r="172" spans="1:5">
      <c r="A172" s="40"/>
      <c r="B172" s="11"/>
      <c r="C172" s="96"/>
      <c r="D172" s="93"/>
      <c r="E172" s="41"/>
    </row>
    <row r="173" spans="1:5">
      <c r="A173" s="40"/>
      <c r="B173" s="11"/>
      <c r="C173" s="96"/>
      <c r="D173" s="93"/>
      <c r="E173" s="41"/>
    </row>
    <row r="174" spans="1:5">
      <c r="A174" s="40"/>
      <c r="B174" s="11"/>
      <c r="C174" s="96"/>
      <c r="D174" s="93"/>
      <c r="E174" s="41"/>
    </row>
    <row r="175" spans="1:5">
      <c r="A175" s="40"/>
      <c r="B175" s="11"/>
      <c r="C175" s="96"/>
      <c r="D175" s="93"/>
      <c r="E175" s="41"/>
    </row>
    <row r="176" spans="1:5">
      <c r="A176" s="40"/>
      <c r="B176" s="11"/>
      <c r="C176" s="96"/>
      <c r="D176" s="93"/>
      <c r="E176" s="41"/>
    </row>
    <row r="177" spans="1:5">
      <c r="A177" s="40"/>
      <c r="B177" s="11"/>
      <c r="C177" s="96"/>
      <c r="D177" s="93"/>
      <c r="E177" s="41"/>
    </row>
    <row r="178" spans="1:5">
      <c r="A178" s="40"/>
      <c r="B178" s="11"/>
      <c r="C178" s="96"/>
      <c r="D178" s="93"/>
      <c r="E178" s="41"/>
    </row>
    <row r="179" spans="1:5">
      <c r="A179" s="40"/>
      <c r="B179" s="11"/>
      <c r="C179" s="96"/>
      <c r="D179" s="93"/>
      <c r="E179" s="41"/>
    </row>
    <row r="180" spans="1:5">
      <c r="A180" s="40"/>
      <c r="B180" s="11"/>
      <c r="C180" s="96"/>
      <c r="D180" s="93"/>
      <c r="E180" s="41"/>
    </row>
    <row r="181" spans="1:5">
      <c r="A181" s="40"/>
      <c r="B181" s="11"/>
      <c r="C181" s="96"/>
      <c r="D181" s="93"/>
      <c r="E181" s="41"/>
    </row>
    <row r="182" spans="1:5">
      <c r="A182" s="40"/>
      <c r="B182" s="11"/>
      <c r="C182" s="96"/>
      <c r="D182" s="93"/>
      <c r="E182" s="41"/>
    </row>
    <row r="183" spans="1:5">
      <c r="A183" s="40"/>
      <c r="B183" s="11"/>
      <c r="C183" s="96"/>
      <c r="D183" s="93"/>
      <c r="E183" s="41"/>
    </row>
    <row r="184" spans="1:5">
      <c r="A184" s="40"/>
      <c r="B184" s="11"/>
      <c r="C184" s="96"/>
      <c r="D184" s="93"/>
      <c r="E184" s="41"/>
    </row>
    <row r="185" spans="1:5">
      <c r="A185" s="40"/>
      <c r="B185" s="11"/>
      <c r="C185" s="96"/>
      <c r="D185" s="93"/>
      <c r="E185" s="41"/>
    </row>
    <row r="186" spans="1:5">
      <c r="A186" s="40"/>
      <c r="B186" s="11"/>
      <c r="C186" s="96"/>
      <c r="D186" s="93"/>
      <c r="E186" s="41"/>
    </row>
    <row r="187" spans="1:5">
      <c r="A187" s="40"/>
      <c r="B187" s="11"/>
      <c r="C187" s="96"/>
      <c r="D187" s="93"/>
      <c r="E187" s="41"/>
    </row>
    <row r="188" spans="1:5">
      <c r="A188" s="40"/>
      <c r="B188" s="11"/>
      <c r="C188" s="96"/>
      <c r="D188" s="93"/>
      <c r="E188" s="41"/>
    </row>
    <row r="189" spans="1:5">
      <c r="A189" s="40"/>
      <c r="B189" s="11"/>
      <c r="C189" s="96"/>
      <c r="D189" s="93"/>
      <c r="E189" s="41"/>
    </row>
    <row r="190" spans="1:5">
      <c r="A190" s="40"/>
      <c r="B190" s="11"/>
      <c r="C190" s="96"/>
      <c r="D190" s="93"/>
      <c r="E190" s="41"/>
    </row>
    <row r="191" spans="1:5">
      <c r="A191" s="40"/>
      <c r="B191" s="11"/>
      <c r="C191" s="96"/>
      <c r="D191" s="93"/>
      <c r="E191" s="41"/>
    </row>
    <row r="192" spans="1:5">
      <c r="A192" s="40"/>
      <c r="B192" s="11"/>
      <c r="C192" s="96"/>
      <c r="D192" s="93"/>
      <c r="E192" s="41"/>
    </row>
    <row r="193" spans="1:5">
      <c r="A193" s="40"/>
      <c r="B193" s="11"/>
      <c r="C193" s="96"/>
      <c r="D193" s="93"/>
      <c r="E193" s="41"/>
    </row>
    <row r="194" spans="1:5">
      <c r="A194" s="40"/>
      <c r="B194" s="11"/>
      <c r="C194" s="96"/>
      <c r="D194" s="93"/>
      <c r="E194" s="41"/>
    </row>
    <row r="195" spans="1:5">
      <c r="A195" s="40"/>
      <c r="B195" s="11"/>
      <c r="C195" s="96"/>
      <c r="D195" s="93"/>
      <c r="E195" s="41"/>
    </row>
    <row r="196" spans="1:5">
      <c r="A196" s="40"/>
      <c r="B196" s="11"/>
      <c r="C196" s="96"/>
      <c r="D196" s="93"/>
      <c r="E196" s="41"/>
    </row>
    <row r="197" spans="1:5">
      <c r="A197" s="40"/>
      <c r="B197" s="11"/>
      <c r="C197" s="96"/>
      <c r="D197" s="93"/>
      <c r="E197" s="41"/>
    </row>
    <row r="198" spans="1:5">
      <c r="A198" s="40"/>
      <c r="B198" s="11"/>
      <c r="C198" s="96"/>
      <c r="D198" s="93"/>
      <c r="E198" s="41"/>
    </row>
    <row r="199" spans="1:5">
      <c r="A199" s="40"/>
      <c r="B199" s="97"/>
      <c r="C199" s="98"/>
      <c r="D199" s="93"/>
      <c r="E199" s="41"/>
    </row>
    <row r="200" spans="1:5" ht="17.25" thickBot="1">
      <c r="A200" s="42"/>
      <c r="B200" s="72"/>
      <c r="C200" s="99"/>
      <c r="D200" s="95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7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zoomScaleNormal="100" workbookViewId="0">
      <selection activeCell="G2" sqref="G2:I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9" t="s">
        <v>0</v>
      </c>
      <c r="B1" s="140"/>
      <c r="C1" s="140"/>
      <c r="D1" s="140"/>
      <c r="E1" s="140"/>
      <c r="F1" s="141"/>
      <c r="G1" s="169">
        <v>44317</v>
      </c>
      <c r="H1" s="170"/>
      <c r="I1" s="171"/>
      <c r="J1" s="139" t="s">
        <v>1</v>
      </c>
      <c r="K1" s="140"/>
      <c r="L1" s="140"/>
      <c r="M1" s="140"/>
      <c r="N1" s="140"/>
      <c r="O1" s="141"/>
      <c r="Q1" s="139" t="s">
        <v>2</v>
      </c>
      <c r="R1" s="141"/>
    </row>
    <row r="2" spans="1:19" ht="17.25" customHeight="1">
      <c r="A2" s="1" t="s">
        <v>3</v>
      </c>
      <c r="B2" s="166" t="s">
        <v>4</v>
      </c>
      <c r="C2" s="167"/>
      <c r="D2" s="167"/>
      <c r="E2" s="167"/>
      <c r="F2" s="168"/>
      <c r="G2" s="163" t="s">
        <v>46</v>
      </c>
      <c r="H2" s="164"/>
      <c r="I2" s="165"/>
      <c r="J2" s="1" t="s">
        <v>3</v>
      </c>
      <c r="K2" s="166" t="s">
        <v>5</v>
      </c>
      <c r="L2" s="167"/>
      <c r="M2" s="167"/>
      <c r="N2" s="167"/>
      <c r="O2" s="168"/>
      <c r="Q2" s="2" t="s">
        <v>6</v>
      </c>
      <c r="R2" s="3">
        <v>0.375</v>
      </c>
    </row>
    <row r="3" spans="1:19" ht="17.25" customHeight="1" thickBot="1">
      <c r="A3" s="4" t="s">
        <v>7</v>
      </c>
      <c r="B3" s="160" t="s">
        <v>8</v>
      </c>
      <c r="C3" s="161"/>
      <c r="D3" s="161"/>
      <c r="E3" s="161"/>
      <c r="F3" s="162"/>
      <c r="G3" s="15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158"/>
      <c r="I3" s="159"/>
      <c r="J3" s="4" t="s">
        <v>7</v>
      </c>
      <c r="K3" s="160" t="s">
        <v>9</v>
      </c>
      <c r="L3" s="161"/>
      <c r="M3" s="161"/>
      <c r="N3" s="161"/>
      <c r="O3" s="16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60" t="s">
        <v>12</v>
      </c>
      <c r="C4" s="161"/>
      <c r="D4" s="161"/>
      <c r="E4" s="161"/>
      <c r="F4" s="162"/>
      <c r="G4" s="163" t="s">
        <v>44</v>
      </c>
      <c r="H4" s="164"/>
      <c r="I4" s="165"/>
      <c r="J4" s="4" t="s">
        <v>11</v>
      </c>
      <c r="K4" s="160" t="s">
        <v>13</v>
      </c>
      <c r="L4" s="161"/>
      <c r="M4" s="161"/>
      <c r="N4" s="161"/>
      <c r="O4" s="162"/>
      <c r="Q4" s="66" t="s">
        <v>14</v>
      </c>
      <c r="R4" s="5">
        <v>0.95833333333333337</v>
      </c>
    </row>
    <row r="5" spans="1:19" ht="17.25" customHeight="1" thickBot="1">
      <c r="A5" s="4" t="s">
        <v>15</v>
      </c>
      <c r="B5" s="160" t="s">
        <v>16</v>
      </c>
      <c r="C5" s="161"/>
      <c r="D5" s="161"/>
      <c r="E5" s="161"/>
      <c r="F5" s="162"/>
      <c r="G5" s="15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158"/>
      <c r="I5" s="159"/>
      <c r="J5" s="4" t="s">
        <v>15</v>
      </c>
      <c r="K5" s="160" t="s">
        <v>17</v>
      </c>
      <c r="L5" s="161"/>
      <c r="M5" s="161"/>
      <c r="N5" s="161"/>
      <c r="O5" s="162"/>
    </row>
    <row r="6" spans="1:19">
      <c r="A6" s="4" t="s">
        <v>18</v>
      </c>
      <c r="B6" s="160" t="s">
        <v>19</v>
      </c>
      <c r="C6" s="161"/>
      <c r="D6" s="161"/>
      <c r="E6" s="161"/>
      <c r="F6" s="162"/>
      <c r="G6" s="163" t="s">
        <v>45</v>
      </c>
      <c r="H6" s="164"/>
      <c r="I6" s="165"/>
      <c r="J6" s="4" t="s">
        <v>18</v>
      </c>
      <c r="K6" s="160" t="s">
        <v>20</v>
      </c>
      <c r="L6" s="161"/>
      <c r="M6" s="161"/>
      <c r="N6" s="161"/>
      <c r="O6" s="162"/>
    </row>
    <row r="7" spans="1:19" ht="17.25" thickBot="1">
      <c r="A7" s="4" t="s">
        <v>21</v>
      </c>
      <c r="B7" s="160" t="s">
        <v>22</v>
      </c>
      <c r="C7" s="161"/>
      <c r="D7" s="161"/>
      <c r="E7" s="161"/>
      <c r="F7" s="162"/>
      <c r="G7" s="15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158"/>
      <c r="I7" s="159"/>
      <c r="J7" s="4" t="s">
        <v>21</v>
      </c>
      <c r="K7" s="160" t="s">
        <v>23</v>
      </c>
      <c r="L7" s="161"/>
      <c r="M7" s="161"/>
      <c r="N7" s="161"/>
      <c r="O7" s="162"/>
    </row>
    <row r="8" spans="1:19" ht="17.25" thickBot="1">
      <c r="A8" s="4" t="s">
        <v>24</v>
      </c>
      <c r="B8" s="160" t="s">
        <v>25</v>
      </c>
      <c r="C8" s="161"/>
      <c r="D8" s="161"/>
      <c r="E8" s="161"/>
      <c r="F8" s="162"/>
      <c r="G8" s="163" t="s">
        <v>285</v>
      </c>
      <c r="H8" s="164"/>
      <c r="I8" s="165"/>
      <c r="J8" s="4" t="s">
        <v>24</v>
      </c>
      <c r="K8" s="160" t="s">
        <v>26</v>
      </c>
      <c r="L8" s="161"/>
      <c r="M8" s="161"/>
      <c r="N8" s="161"/>
      <c r="O8" s="162"/>
      <c r="Q8" s="139" t="s">
        <v>27</v>
      </c>
      <c r="R8" s="141"/>
    </row>
    <row r="9" spans="1:19" ht="17.25" thickBot="1">
      <c r="A9" s="4" t="s">
        <v>28</v>
      </c>
      <c r="B9" s="160"/>
      <c r="C9" s="161"/>
      <c r="D9" s="161"/>
      <c r="E9" s="161"/>
      <c r="F9" s="162"/>
      <c r="G9" s="15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158"/>
      <c r="I9" s="159"/>
      <c r="J9" s="4" t="s">
        <v>28</v>
      </c>
      <c r="K9" s="160" t="s">
        <v>293</v>
      </c>
      <c r="L9" s="161"/>
      <c r="M9" s="161"/>
      <c r="N9" s="161"/>
      <c r="O9" s="162"/>
      <c r="Q9" s="2" t="s">
        <v>29</v>
      </c>
      <c r="R9" s="6">
        <v>10</v>
      </c>
    </row>
    <row r="10" spans="1:19">
      <c r="A10" s="4" t="s">
        <v>30</v>
      </c>
      <c r="B10" s="160"/>
      <c r="C10" s="161"/>
      <c r="D10" s="161"/>
      <c r="E10" s="161"/>
      <c r="F10" s="162"/>
      <c r="G10" s="163" t="s">
        <v>47</v>
      </c>
      <c r="H10" s="164"/>
      <c r="I10" s="165"/>
      <c r="J10" s="4" t="s">
        <v>30</v>
      </c>
      <c r="K10" s="160"/>
      <c r="L10" s="161"/>
      <c r="M10" s="161"/>
      <c r="N10" s="161"/>
      <c r="O10" s="162"/>
      <c r="Q10" s="2" t="s">
        <v>31</v>
      </c>
      <c r="R10" s="6">
        <v>100</v>
      </c>
    </row>
    <row r="11" spans="1:19" ht="17.25" thickBot="1">
      <c r="A11" s="7" t="s">
        <v>32</v>
      </c>
      <c r="B11" s="154"/>
      <c r="C11" s="155"/>
      <c r="D11" s="155"/>
      <c r="E11" s="155"/>
      <c r="F11" s="156"/>
      <c r="G11" s="15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158"/>
      <c r="I11" s="159"/>
      <c r="J11" s="7" t="s">
        <v>32</v>
      </c>
      <c r="K11" s="154"/>
      <c r="L11" s="155"/>
      <c r="M11" s="155"/>
      <c r="N11" s="155"/>
      <c r="O11" s="156"/>
      <c r="Q11" s="66" t="s">
        <v>33</v>
      </c>
      <c r="R11" s="8">
        <v>1000</v>
      </c>
    </row>
    <row r="12" spans="1:19" ht="17.25" thickBot="1"/>
    <row r="13" spans="1:19" ht="17.25" customHeight="1" thickBot="1">
      <c r="A13" s="139" t="s">
        <v>34</v>
      </c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1"/>
      <c r="Q13" s="138"/>
      <c r="R13" s="138"/>
      <c r="S13" s="138"/>
    </row>
    <row r="14" spans="1:19" ht="17.25" customHeight="1" thickBot="1">
      <c r="A14" s="112" t="s">
        <v>35</v>
      </c>
      <c r="B14" s="139" t="s">
        <v>36</v>
      </c>
      <c r="C14" s="141"/>
      <c r="D14" s="139" t="s">
        <v>37</v>
      </c>
      <c r="E14" s="140"/>
      <c r="F14" s="141"/>
      <c r="G14" s="142">
        <f>_xlfn.IFNA(VLOOKUP(B14, 현재가테이블!$B$2:$D$200, 2, FALSE), "-")</f>
        <v>68103000</v>
      </c>
      <c r="H14" s="143"/>
      <c r="I14" s="144"/>
      <c r="J14" s="139" t="s">
        <v>38</v>
      </c>
      <c r="K14" s="140"/>
      <c r="L14" s="141"/>
      <c r="M14" s="145">
        <f>_xlfn.IFNA(VLOOKUP(B14, 현재가테이블!$B$2:$D$200, 3, FALSE), "-")</f>
        <v>-1.37004156E-2</v>
      </c>
      <c r="N14" s="146"/>
      <c r="O14" s="147"/>
      <c r="Q14" s="138"/>
      <c r="R14" s="138"/>
      <c r="S14" s="138"/>
    </row>
    <row r="15" spans="1:19" ht="17.25" customHeight="1" thickBot="1">
      <c r="A15" s="148" t="s">
        <v>39</v>
      </c>
      <c r="B15" s="149" t="str">
        <f>TEXT($G$1, "[$-ko-KR]yyyy-mm-dd(ddd) ") &amp; "오전 00:00"</f>
        <v>2021-05-01(토) 오전 00:00</v>
      </c>
      <c r="C15" s="150"/>
      <c r="D15" s="151" t="str">
        <f>TEXT($G$1, "[$-ko-KR]yyyy-mm-dd(ddd) ") &amp; "오후 14:00"</f>
        <v>2021-05-01(토) 오후 14:00</v>
      </c>
      <c r="E15" s="152"/>
      <c r="F15" s="153"/>
      <c r="G15" s="151" t="str">
        <f>TEXT($G$1, "[$-ko-KR]yyyy-mm-dd(ddd) ") &amp; "오후 19:00"</f>
        <v>2021-05-01(토) 오후 19:00</v>
      </c>
      <c r="H15" s="152"/>
      <c r="I15" s="153"/>
      <c r="J15" s="151" t="str">
        <f>TEXT($G$1, "[$-ko-KR]yyyy-mm-dd(ddd) ") &amp; "오후 21:00"</f>
        <v>2021-05-01(토) 오후 21:00</v>
      </c>
      <c r="K15" s="152"/>
      <c r="L15" s="153"/>
      <c r="M15" s="151" t="str">
        <f>TEXT($G$1+1, "[$-ko-KR]yyyy-mm-dd(ddd) ") &amp; "오전 00:00"</f>
        <v>2021-05-02(일) 오전 00:00</v>
      </c>
      <c r="N15" s="152"/>
      <c r="O15" s="153"/>
      <c r="Q15" s="138"/>
      <c r="R15" s="138"/>
      <c r="S15" s="138"/>
    </row>
    <row r="16" spans="1:19" ht="17.25" customHeight="1" thickBot="1">
      <c r="A16" s="148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6" t="s">
        <v>41</v>
      </c>
      <c r="M16" s="2" t="s">
        <v>37</v>
      </c>
      <c r="N16" s="10" t="s">
        <v>40</v>
      </c>
      <c r="O16" s="67" t="s">
        <v>41</v>
      </c>
      <c r="Q16" s="117"/>
      <c r="R16" s="117"/>
      <c r="S16" s="117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101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138"/>
      <c r="R17" s="138"/>
      <c r="S17" s="138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102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138"/>
      <c r="R18" s="138"/>
      <c r="S18" s="138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102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117"/>
      <c r="R19" s="117"/>
      <c r="S19" s="117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102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117"/>
      <c r="R20" s="117"/>
      <c r="S20" s="117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6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117"/>
      <c r="R21" s="117"/>
      <c r="S21" s="117"/>
    </row>
    <row r="22" spans="1:19" ht="17.25" customHeight="1" thickBot="1">
      <c r="A22" s="17"/>
      <c r="B22" s="107" t="str">
        <f t="shared" si="0"/>
        <v/>
      </c>
      <c r="C22" s="108" t="str">
        <f t="shared" si="1"/>
        <v/>
      </c>
      <c r="D22" s="107" t="str">
        <f t="shared" si="2"/>
        <v/>
      </c>
      <c r="E22" s="108" t="str">
        <f t="shared" si="3"/>
        <v/>
      </c>
      <c r="F22" s="109" t="str">
        <f t="shared" si="4"/>
        <v/>
      </c>
      <c r="G22" s="110" t="str">
        <f t="shared" si="5"/>
        <v/>
      </c>
      <c r="H22" s="108" t="str">
        <f t="shared" si="6"/>
        <v/>
      </c>
      <c r="I22" s="111" t="str">
        <f t="shared" si="7"/>
        <v/>
      </c>
      <c r="J22" s="107" t="str">
        <f t="shared" si="8"/>
        <v/>
      </c>
      <c r="K22" s="108" t="str">
        <f t="shared" si="9"/>
        <v/>
      </c>
      <c r="L22" s="109" t="str">
        <f t="shared" si="10"/>
        <v/>
      </c>
      <c r="M22" s="110" t="str">
        <f t="shared" si="11"/>
        <v/>
      </c>
      <c r="N22" s="108" t="str">
        <f t="shared" si="12"/>
        <v/>
      </c>
      <c r="O22" s="109" t="str">
        <f t="shared" si="13"/>
        <v/>
      </c>
      <c r="Q22" s="117"/>
      <c r="R22" s="117"/>
      <c r="S22" s="11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2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17"/>
      <c r="R23" s="117"/>
      <c r="S23" s="11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2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17"/>
      <c r="R24" s="117"/>
      <c r="S24" s="11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2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5" t="str">
        <f t="shared" si="4"/>
        <v/>
      </c>
      <c r="G26" s="103" t="str">
        <f t="shared" si="5"/>
        <v/>
      </c>
      <c r="H26" s="25" t="str">
        <f t="shared" si="6"/>
        <v/>
      </c>
      <c r="I26" s="104" t="str">
        <f t="shared" si="7"/>
        <v/>
      </c>
      <c r="J26" s="24" t="str">
        <f t="shared" si="8"/>
        <v/>
      </c>
      <c r="K26" s="25" t="str">
        <f t="shared" si="9"/>
        <v/>
      </c>
      <c r="L26" s="105" t="str">
        <f t="shared" si="10"/>
        <v/>
      </c>
      <c r="M26" s="103" t="str">
        <f t="shared" si="11"/>
        <v/>
      </c>
      <c r="N26" s="25" t="str">
        <f t="shared" si="12"/>
        <v/>
      </c>
      <c r="O26" s="105" t="str">
        <f t="shared" si="13"/>
        <v/>
      </c>
      <c r="Q26" s="129"/>
      <c r="R26" s="130"/>
      <c r="S26" s="13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1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32"/>
      <c r="R27" s="133"/>
      <c r="S27" s="13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2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35"/>
      <c r="R28" s="136"/>
      <c r="S28" s="13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2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17"/>
      <c r="R29" s="117"/>
      <c r="S29" s="11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2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38"/>
      <c r="R30" s="138"/>
      <c r="S30" s="13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6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38"/>
      <c r="R31" s="138"/>
      <c r="S31" s="138"/>
    </row>
    <row r="32" spans="1:19" ht="17.25" customHeight="1" thickBot="1">
      <c r="A32" s="17"/>
      <c r="B32" s="107" t="str">
        <f t="shared" si="0"/>
        <v/>
      </c>
      <c r="C32" s="108" t="str">
        <f t="shared" si="1"/>
        <v/>
      </c>
      <c r="D32" s="107" t="str">
        <f t="shared" si="2"/>
        <v/>
      </c>
      <c r="E32" s="108" t="str">
        <f t="shared" si="3"/>
        <v/>
      </c>
      <c r="F32" s="109" t="str">
        <f t="shared" si="4"/>
        <v/>
      </c>
      <c r="G32" s="110" t="str">
        <f t="shared" si="5"/>
        <v/>
      </c>
      <c r="H32" s="108" t="str">
        <f t="shared" si="6"/>
        <v/>
      </c>
      <c r="I32" s="111" t="str">
        <f t="shared" si="7"/>
        <v/>
      </c>
      <c r="J32" s="107" t="str">
        <f t="shared" si="8"/>
        <v/>
      </c>
      <c r="K32" s="108" t="str">
        <f t="shared" si="9"/>
        <v/>
      </c>
      <c r="L32" s="109" t="str">
        <f t="shared" si="10"/>
        <v/>
      </c>
      <c r="M32" s="110" t="str">
        <f t="shared" si="11"/>
        <v/>
      </c>
      <c r="N32" s="108" t="str">
        <f t="shared" si="12"/>
        <v/>
      </c>
      <c r="O32" s="109" t="str">
        <f t="shared" si="13"/>
        <v/>
      </c>
      <c r="Q32" s="117"/>
      <c r="R32" s="117"/>
      <c r="S32" s="11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2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17"/>
      <c r="R33" s="117"/>
      <c r="S33" s="11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2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17"/>
      <c r="R34" s="117"/>
      <c r="S34" s="11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2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18"/>
      <c r="R35" s="119"/>
      <c r="S35" s="120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5" t="str">
        <f t="shared" si="4"/>
        <v/>
      </c>
      <c r="G36" s="103" t="str">
        <f t="shared" si="5"/>
        <v/>
      </c>
      <c r="H36" s="25" t="str">
        <f t="shared" si="6"/>
        <v/>
      </c>
      <c r="I36" s="104" t="str">
        <f t="shared" si="7"/>
        <v/>
      </c>
      <c r="J36" s="24" t="str">
        <f t="shared" si="8"/>
        <v/>
      </c>
      <c r="K36" s="25" t="str">
        <f t="shared" si="9"/>
        <v/>
      </c>
      <c r="L36" s="105" t="str">
        <f t="shared" si="10"/>
        <v/>
      </c>
      <c r="M36" s="103" t="str">
        <f t="shared" si="11"/>
        <v/>
      </c>
      <c r="N36" s="25" t="str">
        <f t="shared" si="12"/>
        <v/>
      </c>
      <c r="O36" s="105" t="str">
        <f t="shared" si="13"/>
        <v/>
      </c>
      <c r="Q36" s="121"/>
      <c r="R36" s="122"/>
      <c r="S36" s="123"/>
    </row>
    <row r="37" spans="1:19" ht="17.25" customHeight="1" thickBot="1">
      <c r="A37" s="26" t="s">
        <v>42</v>
      </c>
      <c r="B37" s="127">
        <v>300000</v>
      </c>
      <c r="C37" s="128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124"/>
      <c r="R37" s="125"/>
      <c r="S37" s="126"/>
    </row>
    <row r="38" spans="1:19" ht="17.25" customHeight="1"/>
    <row r="39" spans="1:19" ht="17.25" customHeight="1" thickBot="1"/>
    <row r="40" spans="1:19" ht="17.25" customHeight="1" thickBot="1">
      <c r="A40" s="139" t="s">
        <v>44</v>
      </c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1"/>
      <c r="Q40" s="138"/>
      <c r="R40" s="138"/>
      <c r="S40" s="138"/>
    </row>
    <row r="41" spans="1:19" ht="17.25" customHeight="1" thickBot="1">
      <c r="A41" s="112" t="s">
        <v>298</v>
      </c>
      <c r="B41" s="139" t="s">
        <v>49</v>
      </c>
      <c r="C41" s="141"/>
      <c r="D41" s="139" t="s">
        <v>58</v>
      </c>
      <c r="E41" s="140"/>
      <c r="F41" s="141"/>
      <c r="G41" s="142">
        <f>_xlfn.IFNA(VLOOKUP(B41, 현재가테이블!$B$2:$D$200, 2, FALSE), "-")</f>
        <v>68103000</v>
      </c>
      <c r="H41" s="143"/>
      <c r="I41" s="144"/>
      <c r="J41" s="139" t="s">
        <v>59</v>
      </c>
      <c r="K41" s="140"/>
      <c r="L41" s="141"/>
      <c r="M41" s="145">
        <f>_xlfn.IFNA(VLOOKUP(B41, 현재가테이블!$B$2:$D$200, 3, FALSE), "-")</f>
        <v>-1.37004156E-2</v>
      </c>
      <c r="N41" s="146"/>
      <c r="O41" s="147"/>
      <c r="Q41" s="138"/>
      <c r="R41" s="138"/>
      <c r="S41" s="138"/>
    </row>
    <row r="42" spans="1:19" ht="17.25" customHeight="1" thickBot="1">
      <c r="A42" s="187" t="s">
        <v>55</v>
      </c>
      <c r="B42" s="189" t="str">
        <f>TEXT($G$1, "[$-ko-KR]yyyy-mm-dd(ddd) ") &amp; "오전 00:00"</f>
        <v>2021-05-01(토) 오전 00:00</v>
      </c>
      <c r="C42" s="190"/>
      <c r="D42" s="151" t="str">
        <f>TEXT($G$1, "[$-ko-KR]yyyy-mm-dd(ddd) ") &amp; "오후 14:00"</f>
        <v>2021-05-01(토) 오후 14:00</v>
      </c>
      <c r="E42" s="152"/>
      <c r="F42" s="153"/>
      <c r="G42" s="151" t="str">
        <f>TEXT($G$1, "[$-ko-KR]yyyy-mm-dd(ddd) ") &amp; "오후 19:00"</f>
        <v>2021-05-01(토) 오후 19:00</v>
      </c>
      <c r="H42" s="152"/>
      <c r="I42" s="153"/>
      <c r="J42" s="151" t="str">
        <f>TEXT($G$1, "[$-ko-KR]yyyy-mm-dd(ddd) ") &amp; "오후 21:00"</f>
        <v>2021-05-01(토) 오후 21:00</v>
      </c>
      <c r="K42" s="152"/>
      <c r="L42" s="153"/>
      <c r="M42" s="151" t="str">
        <f>TEXT($G$1+1, "[$-ko-KR]yyyy-mm-dd(ddd) ") &amp; "오전 00:00"</f>
        <v>2021-05-02(일) 오전 00:00</v>
      </c>
      <c r="N42" s="152"/>
      <c r="O42" s="153"/>
      <c r="Q42" s="138"/>
      <c r="R42" s="138"/>
      <c r="S42" s="138"/>
    </row>
    <row r="43" spans="1:19" ht="17.25" customHeight="1" thickBot="1">
      <c r="A43" s="188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6" t="s">
        <v>300</v>
      </c>
      <c r="M43" s="2" t="s">
        <v>58</v>
      </c>
      <c r="N43" s="10" t="s">
        <v>299</v>
      </c>
      <c r="O43" s="67" t="s">
        <v>300</v>
      </c>
      <c r="Q43" s="117"/>
      <c r="R43" s="117"/>
      <c r="S43" s="117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101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138"/>
      <c r="R44" s="138"/>
      <c r="S44" s="138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102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138"/>
      <c r="R45" s="138"/>
      <c r="S45" s="138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102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117"/>
      <c r="R46" s="117"/>
      <c r="S46" s="117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102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117"/>
      <c r="R47" s="117"/>
      <c r="S47" s="117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6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117"/>
      <c r="R48" s="117"/>
      <c r="S48" s="117"/>
    </row>
    <row r="49" spans="1:19" ht="17.25" customHeight="1" thickBot="1">
      <c r="A49" s="17" t="s">
        <v>72</v>
      </c>
      <c r="B49" s="107">
        <v>35.4</v>
      </c>
      <c r="C49" s="108">
        <v>2.3121387300000001E-2</v>
      </c>
      <c r="D49" s="107">
        <v>37.200000000000003</v>
      </c>
      <c r="E49" s="108">
        <f>IF(ISNUMBER(D49), (D49 - $B49) / $B49, "")</f>
        <v>5.0847457627118765E-2</v>
      </c>
      <c r="F49" s="109">
        <f>IF(ISNUMBER(D49), $B64 * E49, "")</f>
        <v>15254.23728813563</v>
      </c>
      <c r="G49" s="110">
        <v>36.6</v>
      </c>
      <c r="H49" s="108">
        <f>IF(ISNUMBER(G49), (G49 - $B49) / $B49, "")</f>
        <v>3.3898305084745846E-2</v>
      </c>
      <c r="I49" s="111">
        <f>IF(ISNUMBER(G49), $B64 * H49, "")</f>
        <v>10169.491525423753</v>
      </c>
      <c r="J49" s="107">
        <v>36.9</v>
      </c>
      <c r="K49" s="108">
        <f>IF(ISNUMBER(J49), (J49 - $B49) / $B49, "")</f>
        <v>4.2372881355932208E-2</v>
      </c>
      <c r="L49" s="109">
        <f>IF(ISNUMBER(J49), $B64 * K49, "")</f>
        <v>12711.864406779663</v>
      </c>
      <c r="M49" s="110">
        <v>37.4</v>
      </c>
      <c r="N49" s="108">
        <f>IF(ISNUMBER(M49), (M49 - $B49) / $B49, "")</f>
        <v>5.6497175141242938E-2</v>
      </c>
      <c r="O49" s="109">
        <f>IF(ISNUMBER(M49), $B64 * N49, "")</f>
        <v>16949.152542372882</v>
      </c>
      <c r="Q49" s="117"/>
      <c r="R49" s="117"/>
      <c r="S49" s="117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102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117"/>
      <c r="R50" s="117"/>
      <c r="S50" s="117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102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117"/>
      <c r="R51" s="117"/>
      <c r="S51" s="117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102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5">
        <f>IF(ISNUMBER(D53), $B64 * E53, "")</f>
        <v>0</v>
      </c>
      <c r="G53" s="103">
        <v>19.899999999999999</v>
      </c>
      <c r="H53" s="25">
        <f t="shared" si="19"/>
        <v>-9.9502487562190458E-3</v>
      </c>
      <c r="I53" s="104">
        <f>IF(ISNUMBER(G53), $B64 * H53, "")</f>
        <v>-2985.0746268657135</v>
      </c>
      <c r="J53" s="24">
        <v>20.100000000000001</v>
      </c>
      <c r="K53" s="25">
        <f t="shared" si="20"/>
        <v>0</v>
      </c>
      <c r="L53" s="105">
        <f>IF(ISNUMBER(J53), $B64 * K53, "")</f>
        <v>0</v>
      </c>
      <c r="M53" s="103">
        <v>20.100000000000001</v>
      </c>
      <c r="N53" s="25">
        <f t="shared" si="21"/>
        <v>0</v>
      </c>
      <c r="O53" s="105">
        <f>IF(ISNUMBER(M53), $B64 * N53, "")</f>
        <v>0</v>
      </c>
      <c r="Q53" s="129"/>
      <c r="R53" s="130"/>
      <c r="S53" s="131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101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132"/>
      <c r="R54" s="133"/>
      <c r="S54" s="134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102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135"/>
      <c r="R55" s="136"/>
      <c r="S55" s="137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102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117"/>
      <c r="R56" s="117"/>
      <c r="S56" s="117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102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138"/>
      <c r="R57" s="138"/>
      <c r="S57" s="138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6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138"/>
      <c r="R58" s="138"/>
      <c r="S58" s="138"/>
    </row>
    <row r="59" spans="1:19" ht="17.25" customHeight="1" thickBot="1">
      <c r="A59" s="17" t="s">
        <v>186</v>
      </c>
      <c r="B59" s="107">
        <v>26.1</v>
      </c>
      <c r="C59" s="108">
        <v>-3.8167939000000001E-3</v>
      </c>
      <c r="D59" s="107">
        <v>26.6</v>
      </c>
      <c r="E59" s="108">
        <f>IF(ISNUMBER(D59), (D59 - $B59) / $B59, "")</f>
        <v>1.9157088122605363E-2</v>
      </c>
      <c r="F59" s="109">
        <f>IF(ISNUMBER(D59), $B64 * E59, "")</f>
        <v>5747.1264367816084</v>
      </c>
      <c r="G59" s="110">
        <v>26.2</v>
      </c>
      <c r="H59" s="108">
        <f>IF(ISNUMBER(G59), (G59 - $B59) / $B59, "")</f>
        <v>3.8314176245209911E-3</v>
      </c>
      <c r="I59" s="111">
        <f>IF(ISNUMBER(G59), $B64 * H59, "")</f>
        <v>1149.4252873562973</v>
      </c>
      <c r="J59" s="107">
        <v>26.5</v>
      </c>
      <c r="K59" s="108">
        <f>IF(ISNUMBER(J59), (J59 - $B59) / $B59, "")</f>
        <v>1.5325670498084237E-2</v>
      </c>
      <c r="L59" s="109">
        <f>IF(ISNUMBER(J59), $B64 * K59, "")</f>
        <v>4597.7011494252711</v>
      </c>
      <c r="M59" s="110">
        <v>26.3</v>
      </c>
      <c r="N59" s="108">
        <f>IF(ISNUMBER(M59), (M59 - $B59) / $B59, "")</f>
        <v>7.6628352490421183E-3</v>
      </c>
      <c r="O59" s="109">
        <f>IF(ISNUMBER(M59), $B64 * N59, "")</f>
        <v>2298.8505747126355</v>
      </c>
      <c r="Q59" s="117"/>
      <c r="R59" s="117"/>
      <c r="S59" s="117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102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117"/>
      <c r="R60" s="117"/>
      <c r="S60" s="117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102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117"/>
      <c r="R61" s="117"/>
      <c r="S61" s="117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102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118"/>
      <c r="R62" s="119"/>
      <c r="S62" s="120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5" t="str">
        <f>IF(ISNUMBER(D63), $B64 * E63, "")</f>
        <v/>
      </c>
      <c r="G63" s="103" t="s">
        <v>297</v>
      </c>
      <c r="H63" s="25" t="str">
        <f t="shared" si="27"/>
        <v/>
      </c>
      <c r="I63" s="104" t="str">
        <f>IF(ISNUMBER(G63), $B64 * H63, "")</f>
        <v/>
      </c>
      <c r="J63" s="24" t="s">
        <v>297</v>
      </c>
      <c r="K63" s="25" t="str">
        <f t="shared" si="28"/>
        <v/>
      </c>
      <c r="L63" s="105" t="str">
        <f>IF(ISNUMBER(J63), $B64 * K63, "")</f>
        <v/>
      </c>
      <c r="M63" s="103" t="s">
        <v>297</v>
      </c>
      <c r="N63" s="25" t="str">
        <f t="shared" si="29"/>
        <v/>
      </c>
      <c r="O63" s="105" t="str">
        <f>IF(ISNUMBER(M63), $B64 * N63, "")</f>
        <v/>
      </c>
      <c r="Q63" s="121"/>
      <c r="R63" s="122"/>
      <c r="S63" s="123"/>
    </row>
    <row r="64" spans="1:19" ht="17.25" customHeight="1" thickBot="1">
      <c r="A64" s="26" t="s">
        <v>301</v>
      </c>
      <c r="B64" s="127">
        <f>$B$37</f>
        <v>300000</v>
      </c>
      <c r="C64" s="128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124"/>
      <c r="R64" s="125"/>
      <c r="S64" s="126"/>
    </row>
    <row r="65" spans="1:19" ht="17.25" customHeight="1"/>
    <row r="66" spans="1:19" ht="17.25" customHeight="1" thickBot="1"/>
    <row r="67" spans="1:19" ht="17.25" thickBot="1">
      <c r="A67" s="139" t="s">
        <v>45</v>
      </c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1"/>
      <c r="Q67" s="138"/>
      <c r="R67" s="138"/>
      <c r="S67" s="138"/>
    </row>
    <row r="68" spans="1:19" ht="17.25" thickBot="1">
      <c r="A68" s="112" t="s">
        <v>298</v>
      </c>
      <c r="B68" s="139" t="s">
        <v>49</v>
      </c>
      <c r="C68" s="141"/>
      <c r="D68" s="139" t="s">
        <v>58</v>
      </c>
      <c r="E68" s="140"/>
      <c r="F68" s="141"/>
      <c r="G68" s="142">
        <f>_xlfn.IFNA(VLOOKUP(B68, 현재가테이블!$B$2:$D$200, 2, FALSE), "-")</f>
        <v>68103000</v>
      </c>
      <c r="H68" s="143"/>
      <c r="I68" s="144"/>
      <c r="J68" s="139" t="s">
        <v>59</v>
      </c>
      <c r="K68" s="140"/>
      <c r="L68" s="141"/>
      <c r="M68" s="145">
        <f>_xlfn.IFNA(VLOOKUP(B68, 현재가테이블!$B$2:$D$200, 3, FALSE), "-")</f>
        <v>-1.37004156E-2</v>
      </c>
      <c r="N68" s="146"/>
      <c r="O68" s="147"/>
      <c r="Q68" s="138"/>
      <c r="R68" s="138"/>
      <c r="S68" s="138"/>
    </row>
    <row r="69" spans="1:19" ht="17.25" thickBot="1">
      <c r="A69" s="187" t="s">
        <v>55</v>
      </c>
      <c r="B69" s="189" t="str">
        <f>TEXT($G$1, "[$-ko-KR]yyyy-mm-dd(ddd) ") &amp; "오전 00:00"</f>
        <v>2021-05-01(토) 오전 00:00</v>
      </c>
      <c r="C69" s="190"/>
      <c r="D69" s="151" t="str">
        <f>TEXT($G$1, "[$-ko-KR]yyyy-mm-dd(ddd) ") &amp; "오후 14:00"</f>
        <v>2021-05-01(토) 오후 14:00</v>
      </c>
      <c r="E69" s="152"/>
      <c r="F69" s="153"/>
      <c r="G69" s="151" t="str">
        <f>TEXT($G$1, "[$-ko-KR]yyyy-mm-dd(ddd) ") &amp; "오후 19:00"</f>
        <v>2021-05-01(토) 오후 19:00</v>
      </c>
      <c r="H69" s="152"/>
      <c r="I69" s="153"/>
      <c r="J69" s="151" t="str">
        <f>TEXT($G$1, "[$-ko-KR]yyyy-mm-dd(ddd) ") &amp; "오후 21:00"</f>
        <v>2021-05-01(토) 오후 21:00</v>
      </c>
      <c r="K69" s="152"/>
      <c r="L69" s="153"/>
      <c r="M69" s="151" t="str">
        <f>TEXT($G$1+1, "[$-ko-KR]yyyy-mm-dd(ddd) ") &amp; "오전 00:00"</f>
        <v>2021-05-02(일) 오전 00:00</v>
      </c>
      <c r="N69" s="152"/>
      <c r="O69" s="153"/>
      <c r="Q69" s="138"/>
      <c r="R69" s="138"/>
      <c r="S69" s="138"/>
    </row>
    <row r="70" spans="1:19" ht="17.25" thickBot="1">
      <c r="A70" s="188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6" t="s">
        <v>300</v>
      </c>
      <c r="M70" s="2" t="s">
        <v>58</v>
      </c>
      <c r="N70" s="10" t="s">
        <v>299</v>
      </c>
      <c r="O70" s="67" t="s">
        <v>300</v>
      </c>
      <c r="Q70" s="117"/>
      <c r="R70" s="117"/>
      <c r="S70" s="117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101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138"/>
      <c r="R71" s="138"/>
      <c r="S71" s="138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102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138"/>
      <c r="R72" s="138"/>
      <c r="S72" s="138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102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117"/>
      <c r="R73" s="117"/>
      <c r="S73" s="117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102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117"/>
      <c r="R74" s="117"/>
      <c r="S74" s="117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6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117"/>
      <c r="R75" s="117"/>
      <c r="S75" s="117"/>
    </row>
    <row r="76" spans="1:19" ht="17.25" thickBot="1">
      <c r="A76" s="17" t="s">
        <v>156</v>
      </c>
      <c r="B76" s="107">
        <v>151</v>
      </c>
      <c r="C76" s="108">
        <v>4.13793103E-2</v>
      </c>
      <c r="D76" s="107">
        <v>156</v>
      </c>
      <c r="E76" s="108">
        <f>IF(ISNUMBER(D76), (D76 - $B76) / $B76, "")</f>
        <v>3.3112582781456956E-2</v>
      </c>
      <c r="F76" s="109">
        <f>IF(ISNUMBER(D76), $B91 * E76, "")</f>
        <v>9933.7748344370866</v>
      </c>
      <c r="G76" s="110">
        <v>155</v>
      </c>
      <c r="H76" s="108">
        <f>IF(ISNUMBER(G76), (G76 - $B76) / $B76, "")</f>
        <v>2.6490066225165563E-2</v>
      </c>
      <c r="I76" s="111">
        <f>IF(ISNUMBER(G76), $B91 * H76, "")</f>
        <v>7947.0198675496686</v>
      </c>
      <c r="J76" s="107">
        <v>156</v>
      </c>
      <c r="K76" s="108">
        <f>IF(ISNUMBER(J76), (J76 - $B76) / $B76, "")</f>
        <v>3.3112582781456956E-2</v>
      </c>
      <c r="L76" s="109">
        <f>IF(ISNUMBER(J76), $B91 * K76, "")</f>
        <v>9933.7748344370866</v>
      </c>
      <c r="M76" s="110">
        <v>153</v>
      </c>
      <c r="N76" s="108">
        <f>IF(ISNUMBER(M76), (M76 - $B76) / $B76, "")</f>
        <v>1.3245033112582781E-2</v>
      </c>
      <c r="O76" s="109">
        <f>IF(ISNUMBER(M76), $B91 * N76, "")</f>
        <v>3973.5099337748343</v>
      </c>
      <c r="Q76" s="117"/>
      <c r="R76" s="117"/>
      <c r="S76" s="117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102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117"/>
      <c r="R77" s="117"/>
      <c r="S77" s="117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102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117"/>
      <c r="R78" s="117"/>
      <c r="S78" s="117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102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5">
        <f>IF(ISNUMBER(D80), $B91 * E80, "")</f>
        <v>27717.391304347824</v>
      </c>
      <c r="G80" s="103">
        <v>200</v>
      </c>
      <c r="H80" s="25">
        <f t="shared" si="35"/>
        <v>8.6956521739130432E-2</v>
      </c>
      <c r="I80" s="104">
        <f>IF(ISNUMBER(G80), $B91 * H80, "")</f>
        <v>26086.956521739128</v>
      </c>
      <c r="J80" s="24">
        <v>203</v>
      </c>
      <c r="K80" s="25">
        <f t="shared" si="36"/>
        <v>0.10326086956521739</v>
      </c>
      <c r="L80" s="105">
        <f>IF(ISNUMBER(J80), $B91 * K80, "")</f>
        <v>30978.260869565216</v>
      </c>
      <c r="M80" s="103">
        <v>202</v>
      </c>
      <c r="N80" s="25">
        <f t="shared" si="37"/>
        <v>9.7826086956521743E-2</v>
      </c>
      <c r="O80" s="105">
        <f>IF(ISNUMBER(M80), $B91 * N80, "")</f>
        <v>29347.826086956524</v>
      </c>
      <c r="Q80" s="129"/>
      <c r="R80" s="130"/>
      <c r="S80" s="131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101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132"/>
      <c r="R81" s="133"/>
      <c r="S81" s="134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102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135"/>
      <c r="R82" s="136"/>
      <c r="S82" s="137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102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117"/>
      <c r="R83" s="117"/>
      <c r="S83" s="117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102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138"/>
      <c r="R84" s="138"/>
      <c r="S84" s="138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6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138"/>
      <c r="R85" s="138"/>
      <c r="S85" s="138"/>
    </row>
    <row r="86" spans="1:19" ht="17.25" thickBot="1">
      <c r="A86" s="17" t="s">
        <v>142</v>
      </c>
      <c r="B86" s="107">
        <v>410</v>
      </c>
      <c r="C86" s="108">
        <v>2.2443890300000002E-2</v>
      </c>
      <c r="D86" s="107">
        <v>441</v>
      </c>
      <c r="E86" s="108">
        <f>IF(ISNUMBER(D86), (D86 - $B86) / $B86, "")</f>
        <v>7.5609756097560973E-2</v>
      </c>
      <c r="F86" s="109">
        <f>IF(ISNUMBER(D86), $B91 * E86, "")</f>
        <v>22682.926829268294</v>
      </c>
      <c r="G86" s="110">
        <v>428</v>
      </c>
      <c r="H86" s="108">
        <f>IF(ISNUMBER(G86), (G86 - $B86) / $B86, "")</f>
        <v>4.3902439024390241E-2</v>
      </c>
      <c r="I86" s="111">
        <f>IF(ISNUMBER(G86), $B91 * H86, "")</f>
        <v>13170.731707317073</v>
      </c>
      <c r="J86" s="107">
        <v>430</v>
      </c>
      <c r="K86" s="108">
        <f>IF(ISNUMBER(J86), (J86 - $B86) / $B86, "")</f>
        <v>4.878048780487805E-2</v>
      </c>
      <c r="L86" s="109">
        <f>IF(ISNUMBER(J86), $B91 * K86, "")</f>
        <v>14634.146341463415</v>
      </c>
      <c r="M86" s="110">
        <v>428</v>
      </c>
      <c r="N86" s="108">
        <f>IF(ISNUMBER(M86), (M86 - $B86) / $B86, "")</f>
        <v>4.3902439024390241E-2</v>
      </c>
      <c r="O86" s="109">
        <f>IF(ISNUMBER(M86), $B91 * N86, "")</f>
        <v>13170.731707317073</v>
      </c>
      <c r="Q86" s="117"/>
      <c r="R86" s="117"/>
      <c r="S86" s="117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102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117"/>
      <c r="R87" s="117"/>
      <c r="S87" s="117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102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117"/>
      <c r="R88" s="117"/>
      <c r="S88" s="117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102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118"/>
      <c r="R89" s="119"/>
      <c r="S89" s="120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5">
        <f>IF(ISNUMBER(D90), $B91 * E90, "")</f>
        <v>3272.727272727273</v>
      </c>
      <c r="G90" s="103">
        <v>274</v>
      </c>
      <c r="H90" s="25">
        <f t="shared" si="43"/>
        <v>-3.6363636363636364E-3</v>
      </c>
      <c r="I90" s="104">
        <f>IF(ISNUMBER(G90), $B91 * H90, "")</f>
        <v>-1090.909090909091</v>
      </c>
      <c r="J90" s="24">
        <v>278</v>
      </c>
      <c r="K90" s="25">
        <f t="shared" si="44"/>
        <v>1.090909090909091E-2</v>
      </c>
      <c r="L90" s="105">
        <f>IF(ISNUMBER(J90), $B91 * K90, "")</f>
        <v>3272.727272727273</v>
      </c>
      <c r="M90" s="103">
        <v>276</v>
      </c>
      <c r="N90" s="25">
        <f t="shared" si="45"/>
        <v>3.6363636363636364E-3</v>
      </c>
      <c r="O90" s="105">
        <f>IF(ISNUMBER(M90), $B91 * N90, "")</f>
        <v>1090.909090909091</v>
      </c>
      <c r="Q90" s="121"/>
      <c r="R90" s="122"/>
      <c r="S90" s="123"/>
    </row>
    <row r="91" spans="1:19" ht="17.25" thickBot="1">
      <c r="A91" s="26" t="s">
        <v>301</v>
      </c>
      <c r="B91" s="127">
        <f>$B$37</f>
        <v>300000</v>
      </c>
      <c r="C91" s="128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124"/>
      <c r="R91" s="125"/>
      <c r="S91" s="126"/>
    </row>
    <row r="93" spans="1:19" ht="17.25" thickBot="1"/>
    <row r="94" spans="1:19" ht="17.25" thickBot="1">
      <c r="A94" s="139" t="s">
        <v>46</v>
      </c>
      <c r="B94" s="140"/>
      <c r="C94" s="140"/>
      <c r="D94" s="140"/>
      <c r="E94" s="140"/>
      <c r="F94" s="140"/>
      <c r="G94" s="140"/>
      <c r="H94" s="140"/>
      <c r="I94" s="140"/>
      <c r="J94" s="140"/>
      <c r="K94" s="140"/>
      <c r="L94" s="140"/>
      <c r="M94" s="140"/>
      <c r="N94" s="140"/>
      <c r="O94" s="141"/>
      <c r="Q94" s="138"/>
      <c r="R94" s="138"/>
      <c r="S94" s="138"/>
    </row>
    <row r="95" spans="1:19" ht="17.25" thickBot="1">
      <c r="A95" s="112" t="s">
        <v>298</v>
      </c>
      <c r="B95" s="139" t="s">
        <v>49</v>
      </c>
      <c r="C95" s="141"/>
      <c r="D95" s="139" t="s">
        <v>58</v>
      </c>
      <c r="E95" s="140"/>
      <c r="F95" s="141"/>
      <c r="G95" s="142">
        <f>_xlfn.IFNA(VLOOKUP(B95, 현재가테이블!$B$2:$D$200, 2, FALSE), "-")</f>
        <v>68103000</v>
      </c>
      <c r="H95" s="143"/>
      <c r="I95" s="144"/>
      <c r="J95" s="139" t="s">
        <v>59</v>
      </c>
      <c r="K95" s="140"/>
      <c r="L95" s="141"/>
      <c r="M95" s="145">
        <f>_xlfn.IFNA(VLOOKUP(B95, 현재가테이블!$B$2:$D$200, 3, FALSE), "-")</f>
        <v>-1.37004156E-2</v>
      </c>
      <c r="N95" s="146"/>
      <c r="O95" s="147"/>
      <c r="Q95" s="138"/>
      <c r="R95" s="138"/>
      <c r="S95" s="138"/>
    </row>
    <row r="96" spans="1:19" ht="17.25" thickBot="1">
      <c r="A96" s="187" t="s">
        <v>55</v>
      </c>
      <c r="B96" s="189" t="str">
        <f>TEXT($G$1, "[$-ko-KR]yyyy-mm-dd(ddd) ") &amp; "오전 00:00"</f>
        <v>2021-05-01(토) 오전 00:00</v>
      </c>
      <c r="C96" s="190"/>
      <c r="D96" s="151" t="str">
        <f>TEXT($G$1, "[$-ko-KR]yyyy-mm-dd(ddd) ") &amp; "오후 14:00"</f>
        <v>2021-05-01(토) 오후 14:00</v>
      </c>
      <c r="E96" s="152"/>
      <c r="F96" s="153"/>
      <c r="G96" s="151" t="str">
        <f>TEXT($G$1, "[$-ko-KR]yyyy-mm-dd(ddd) ") &amp; "오후 19:00"</f>
        <v>2021-05-01(토) 오후 19:00</v>
      </c>
      <c r="H96" s="152"/>
      <c r="I96" s="153"/>
      <c r="J96" s="151" t="str">
        <f>TEXT($G$1, "[$-ko-KR]yyyy-mm-dd(ddd) ") &amp; "오후 21:00"</f>
        <v>2021-05-01(토) 오후 21:00</v>
      </c>
      <c r="K96" s="152"/>
      <c r="L96" s="153"/>
      <c r="M96" s="151" t="str">
        <f>TEXT($G$1+1, "[$-ko-KR]yyyy-mm-dd(ddd) ") &amp; "오전 00:00"</f>
        <v>2021-05-02(일) 오전 00:00</v>
      </c>
      <c r="N96" s="152"/>
      <c r="O96" s="153"/>
      <c r="Q96" s="138"/>
      <c r="R96" s="138"/>
      <c r="S96" s="138"/>
    </row>
    <row r="97" spans="1:19" ht="17.25" thickBot="1">
      <c r="A97" s="188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6" t="s">
        <v>300</v>
      </c>
      <c r="M97" s="2" t="s">
        <v>58</v>
      </c>
      <c r="N97" s="10" t="s">
        <v>299</v>
      </c>
      <c r="O97" s="67" t="s">
        <v>300</v>
      </c>
      <c r="Q97" s="117"/>
      <c r="R97" s="117"/>
      <c r="S97" s="117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101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138"/>
      <c r="R98" s="138"/>
      <c r="S98" s="138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102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138"/>
      <c r="R99" s="138"/>
      <c r="S99" s="138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102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117"/>
      <c r="R100" s="117"/>
      <c r="S100" s="117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102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117"/>
      <c r="R101" s="117"/>
      <c r="S101" s="117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6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117"/>
      <c r="R102" s="117"/>
      <c r="S102" s="117"/>
    </row>
    <row r="103" spans="1:19" ht="17.25" thickBot="1">
      <c r="A103" s="17" t="s">
        <v>162</v>
      </c>
      <c r="B103" s="107">
        <v>2225</v>
      </c>
      <c r="C103" s="108">
        <v>7.7481840199999999E-2</v>
      </c>
      <c r="D103" s="107">
        <v>2230</v>
      </c>
      <c r="E103" s="108">
        <f>IF(ISNUMBER(D103), (D103 - $B103) / $B103, "")</f>
        <v>2.2471910112359553E-3</v>
      </c>
      <c r="F103" s="109">
        <f>IF(ISNUMBER(D103), $B118 * E103, "")</f>
        <v>674.15730337078662</v>
      </c>
      <c r="G103" s="110">
        <v>2225</v>
      </c>
      <c r="H103" s="108">
        <f>IF(ISNUMBER(G103), (G103 - $B103) / $B103, "")</f>
        <v>0</v>
      </c>
      <c r="I103" s="111">
        <f>IF(ISNUMBER(G103), $B118 * H103, "")</f>
        <v>0</v>
      </c>
      <c r="J103" s="107">
        <v>2225</v>
      </c>
      <c r="K103" s="108">
        <f>IF(ISNUMBER(J103), (J103 - $B103) / $B103, "")</f>
        <v>0</v>
      </c>
      <c r="L103" s="109">
        <f>IF(ISNUMBER(J103), $B118 * K103, "")</f>
        <v>0</v>
      </c>
      <c r="M103" s="110">
        <v>2220</v>
      </c>
      <c r="N103" s="108">
        <f>IF(ISNUMBER(M103), (M103 - $B103) / $B103, "")</f>
        <v>-2.2471910112359553E-3</v>
      </c>
      <c r="O103" s="109">
        <f>IF(ISNUMBER(M103), $B118 * N103, "")</f>
        <v>-674.15730337078662</v>
      </c>
      <c r="Q103" s="117"/>
      <c r="R103" s="117"/>
      <c r="S103" s="117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102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117"/>
      <c r="R104" s="117"/>
      <c r="S104" s="117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102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117"/>
      <c r="R105" s="117"/>
      <c r="S105" s="117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102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5">
        <f>IF(ISNUMBER(D107), $B118 * E107, "")</f>
        <v>479.23322683706067</v>
      </c>
      <c r="G107" s="103">
        <v>619</v>
      </c>
      <c r="H107" s="25">
        <f t="shared" si="51"/>
        <v>-1.1182108626198083E-2</v>
      </c>
      <c r="I107" s="104">
        <f>IF(ISNUMBER(G107), $B118 * H107, "")</f>
        <v>-3354.6325878594248</v>
      </c>
      <c r="J107" s="24">
        <v>626</v>
      </c>
      <c r="K107" s="25">
        <f t="shared" si="52"/>
        <v>0</v>
      </c>
      <c r="L107" s="105">
        <f>IF(ISNUMBER(J107), $B118 * K107, "")</f>
        <v>0</v>
      </c>
      <c r="M107" s="103">
        <v>620</v>
      </c>
      <c r="N107" s="25">
        <f t="shared" si="53"/>
        <v>-9.5846645367412137E-3</v>
      </c>
      <c r="O107" s="105">
        <f>IF(ISNUMBER(M107), $B118 * N107, "")</f>
        <v>-2875.3993610223642</v>
      </c>
      <c r="Q107" s="129"/>
      <c r="R107" s="130"/>
      <c r="S107" s="131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101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132"/>
      <c r="R108" s="133"/>
      <c r="S108" s="134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102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135"/>
      <c r="R109" s="136"/>
      <c r="S109" s="137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102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117"/>
      <c r="R110" s="117"/>
      <c r="S110" s="117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102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138"/>
      <c r="R111" s="138"/>
      <c r="S111" s="138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6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138"/>
      <c r="R112" s="138"/>
      <c r="S112" s="138"/>
    </row>
    <row r="113" spans="1:19" ht="17.25" thickBot="1">
      <c r="A113" s="17" t="s">
        <v>192</v>
      </c>
      <c r="B113" s="107">
        <v>1175</v>
      </c>
      <c r="C113" s="108">
        <v>5.38116592E-2</v>
      </c>
      <c r="D113" s="107">
        <v>1180</v>
      </c>
      <c r="E113" s="108">
        <f>IF(ISNUMBER(D113), (D113 - $B113) / $B113, "")</f>
        <v>4.2553191489361703E-3</v>
      </c>
      <c r="F113" s="109">
        <f>IF(ISNUMBER(D113), $B118 * E113, "")</f>
        <v>1276.5957446808511</v>
      </c>
      <c r="G113" s="110">
        <v>1165</v>
      </c>
      <c r="H113" s="108">
        <f>IF(ISNUMBER(G113), (G113 - $B113) / $B113, "")</f>
        <v>-8.5106382978723406E-3</v>
      </c>
      <c r="I113" s="111">
        <f>IF(ISNUMBER(G113), $B118 * H113, "")</f>
        <v>-2553.1914893617022</v>
      </c>
      <c r="J113" s="107">
        <v>1180</v>
      </c>
      <c r="K113" s="108">
        <f>IF(ISNUMBER(J113), (J113 - $B113) / $B113, "")</f>
        <v>4.2553191489361703E-3</v>
      </c>
      <c r="L113" s="109">
        <f>IF(ISNUMBER(J113), $B118 * K113, "")</f>
        <v>1276.5957446808511</v>
      </c>
      <c r="M113" s="110">
        <v>1170</v>
      </c>
      <c r="N113" s="108">
        <f>IF(ISNUMBER(M113), (M113 - $B113) / $B113, "")</f>
        <v>-4.2553191489361703E-3</v>
      </c>
      <c r="O113" s="109">
        <f>IF(ISNUMBER(M113), $B118 * N113, "")</f>
        <v>-1276.5957446808511</v>
      </c>
      <c r="Q113" s="117"/>
      <c r="R113" s="117"/>
      <c r="S113" s="117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102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117"/>
      <c r="R114" s="117"/>
      <c r="S114" s="117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102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117"/>
      <c r="R115" s="117"/>
      <c r="S115" s="117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102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118"/>
      <c r="R116" s="119"/>
      <c r="S116" s="120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5">
        <f>IF(ISNUMBER(D117), $B118 * E117, "")</f>
        <v>1119.6487376509331</v>
      </c>
      <c r="G117" s="103">
        <v>45490</v>
      </c>
      <c r="H117" s="25">
        <f t="shared" si="59"/>
        <v>-1.3172338090010978E-3</v>
      </c>
      <c r="I117" s="104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5">
        <f>IF(ISNUMBER(J117), $B118 * K117, "")</f>
        <v>6256.8605927552144</v>
      </c>
      <c r="M117" s="103">
        <v>46510</v>
      </c>
      <c r="N117" s="25">
        <f t="shared" si="61"/>
        <v>2.1075740944017565E-2</v>
      </c>
      <c r="O117" s="105">
        <f>IF(ISNUMBER(M117), $B118 * N117, "")</f>
        <v>6322.7222832052694</v>
      </c>
      <c r="Q117" s="121"/>
      <c r="R117" s="122"/>
      <c r="S117" s="123"/>
    </row>
    <row r="118" spans="1:19" ht="17.25" thickBot="1">
      <c r="A118" s="26" t="s">
        <v>301</v>
      </c>
      <c r="B118" s="127">
        <f>$B$37</f>
        <v>300000</v>
      </c>
      <c r="C118" s="128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124"/>
      <c r="R118" s="125"/>
      <c r="S118" s="126"/>
    </row>
    <row r="120" spans="1:19" ht="17.25" thickBot="1"/>
    <row r="121" spans="1:19" ht="17.25" thickBot="1">
      <c r="A121" s="139" t="s">
        <v>288</v>
      </c>
      <c r="B121" s="140"/>
      <c r="C121" s="140"/>
      <c r="D121" s="140"/>
      <c r="E121" s="140"/>
      <c r="F121" s="140"/>
      <c r="G121" s="140"/>
      <c r="H121" s="140"/>
      <c r="I121" s="140"/>
      <c r="J121" s="140"/>
      <c r="K121" s="140"/>
      <c r="L121" s="140"/>
      <c r="M121" s="140"/>
      <c r="N121" s="140"/>
      <c r="O121" s="141"/>
      <c r="Q121" s="138"/>
      <c r="R121" s="138"/>
      <c r="S121" s="138"/>
    </row>
    <row r="122" spans="1:19" ht="17.25" thickBot="1">
      <c r="A122" s="112" t="s">
        <v>298</v>
      </c>
      <c r="B122" s="139" t="s">
        <v>49</v>
      </c>
      <c r="C122" s="141"/>
      <c r="D122" s="139" t="s">
        <v>58</v>
      </c>
      <c r="E122" s="140"/>
      <c r="F122" s="141"/>
      <c r="G122" s="142">
        <f>_xlfn.IFNA(VLOOKUP(B122, 현재가테이블!$B$2:$D$200, 2, FALSE), "-")</f>
        <v>68103000</v>
      </c>
      <c r="H122" s="143"/>
      <c r="I122" s="144"/>
      <c r="J122" s="139" t="s">
        <v>59</v>
      </c>
      <c r="K122" s="140"/>
      <c r="L122" s="141"/>
      <c r="M122" s="145">
        <f>_xlfn.IFNA(VLOOKUP(B122, 현재가테이블!$B$2:$D$200, 3, FALSE), "-")</f>
        <v>-1.37004156E-2</v>
      </c>
      <c r="N122" s="146"/>
      <c r="O122" s="147"/>
      <c r="Q122" s="138"/>
      <c r="R122" s="138"/>
      <c r="S122" s="138"/>
    </row>
    <row r="123" spans="1:19" ht="17.25" thickBot="1">
      <c r="A123" s="187" t="s">
        <v>55</v>
      </c>
      <c r="B123" s="189" t="str">
        <f>TEXT($G$1, "[$-ko-KR]yyyy-mm-dd(ddd) ") &amp; "오전 00:00"</f>
        <v>2021-05-01(토) 오전 00:00</v>
      </c>
      <c r="C123" s="190"/>
      <c r="D123" s="151" t="str">
        <f>TEXT($G$1, "[$-ko-KR]yyyy-mm-dd(ddd) ") &amp; "오후 14:00"</f>
        <v>2021-05-01(토) 오후 14:00</v>
      </c>
      <c r="E123" s="152"/>
      <c r="F123" s="153"/>
      <c r="G123" s="151" t="str">
        <f>TEXT($G$1, "[$-ko-KR]yyyy-mm-dd(ddd) ") &amp; "오후 19:00"</f>
        <v>2021-05-01(토) 오후 19:00</v>
      </c>
      <c r="H123" s="152"/>
      <c r="I123" s="153"/>
      <c r="J123" s="151" t="str">
        <f>TEXT($G$1, "[$-ko-KR]yyyy-mm-dd(ddd) ") &amp; "오후 21:00"</f>
        <v>2021-05-01(토) 오후 21:00</v>
      </c>
      <c r="K123" s="152"/>
      <c r="L123" s="153"/>
      <c r="M123" s="151" t="str">
        <f>TEXT($G$1+1, "[$-ko-KR]yyyy-mm-dd(ddd) ") &amp; "오전 00:00"</f>
        <v>2021-05-02(일) 오전 00:00</v>
      </c>
      <c r="N123" s="152"/>
      <c r="O123" s="153"/>
      <c r="Q123" s="138"/>
      <c r="R123" s="138"/>
      <c r="S123" s="138"/>
    </row>
    <row r="124" spans="1:19" ht="17.25" thickBot="1">
      <c r="A124" s="188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6" t="s">
        <v>300</v>
      </c>
      <c r="M124" s="2" t="s">
        <v>58</v>
      </c>
      <c r="N124" s="10" t="s">
        <v>299</v>
      </c>
      <c r="O124" s="67" t="s">
        <v>300</v>
      </c>
      <c r="Q124" s="117"/>
      <c r="R124" s="117"/>
      <c r="S124" s="117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101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138"/>
      <c r="R125" s="138"/>
      <c r="S125" s="138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102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138"/>
      <c r="R126" s="138"/>
      <c r="S126" s="138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102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117"/>
      <c r="R127" s="117"/>
      <c r="S127" s="117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102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117"/>
      <c r="R128" s="117"/>
      <c r="S128" s="117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6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117"/>
      <c r="R129" s="117"/>
      <c r="S129" s="117"/>
    </row>
    <row r="130" spans="1:19" ht="17.25" thickBot="1">
      <c r="A130" s="17" t="s">
        <v>72</v>
      </c>
      <c r="B130" s="107">
        <v>35.4</v>
      </c>
      <c r="C130" s="108">
        <v>2.3121387300000001E-2</v>
      </c>
      <c r="D130" s="107">
        <v>37.200000000000003</v>
      </c>
      <c r="E130" s="108">
        <f>IF(ISNUMBER(D130), (D130 - $B130) / $B130, "")</f>
        <v>5.0847457627118765E-2</v>
      </c>
      <c r="F130" s="109">
        <f>IF(ISNUMBER(D130), $B145 * E130, "")</f>
        <v>15254.23728813563</v>
      </c>
      <c r="G130" s="110">
        <v>36.6</v>
      </c>
      <c r="H130" s="108">
        <f>IF(ISNUMBER(G130), (G130 - $B130) / $B130, "")</f>
        <v>3.3898305084745846E-2</v>
      </c>
      <c r="I130" s="111">
        <f>IF(ISNUMBER(G130), $B145 * H130, "")</f>
        <v>10169.491525423753</v>
      </c>
      <c r="J130" s="107">
        <v>36.9</v>
      </c>
      <c r="K130" s="108">
        <f>IF(ISNUMBER(J130), (J130 - $B130) / $B130, "")</f>
        <v>4.2372881355932208E-2</v>
      </c>
      <c r="L130" s="109">
        <f>IF(ISNUMBER(J130), $B145 * K130, "")</f>
        <v>12711.864406779663</v>
      </c>
      <c r="M130" s="110">
        <v>37.4</v>
      </c>
      <c r="N130" s="108">
        <f>IF(ISNUMBER(M130), (M130 - $B130) / $B130, "")</f>
        <v>5.6497175141242938E-2</v>
      </c>
      <c r="O130" s="109">
        <f>IF(ISNUMBER(M130), $B145 * N130, "")</f>
        <v>16949.152542372882</v>
      </c>
      <c r="Q130" s="117"/>
      <c r="R130" s="117"/>
      <c r="S130" s="117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102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117"/>
      <c r="R131" s="117"/>
      <c r="S131" s="117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102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117"/>
      <c r="R132" s="117"/>
      <c r="S132" s="117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102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5">
        <f>IF(ISNUMBER(D134), $B145 * E134, "")</f>
        <v>0</v>
      </c>
      <c r="G134" s="103">
        <v>19.899999999999999</v>
      </c>
      <c r="H134" s="25">
        <f t="shared" si="67"/>
        <v>-9.9502487562190458E-3</v>
      </c>
      <c r="I134" s="104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5">
        <f>IF(ISNUMBER(J134), $B145 * K134, "")</f>
        <v>0</v>
      </c>
      <c r="M134" s="103">
        <v>20.100000000000001</v>
      </c>
      <c r="N134" s="25">
        <f t="shared" si="69"/>
        <v>0</v>
      </c>
      <c r="O134" s="105">
        <f>IF(ISNUMBER(M134), $B145 * N134, "")</f>
        <v>0</v>
      </c>
      <c r="Q134" s="129"/>
      <c r="R134" s="130"/>
      <c r="S134" s="131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101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132"/>
      <c r="R135" s="133"/>
      <c r="S135" s="134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102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135"/>
      <c r="R136" s="136"/>
      <c r="S136" s="137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102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117"/>
      <c r="R137" s="117"/>
      <c r="S137" s="117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102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138"/>
      <c r="R138" s="138"/>
      <c r="S138" s="138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6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138"/>
      <c r="R139" s="138"/>
      <c r="S139" s="138"/>
    </row>
    <row r="140" spans="1:19" ht="17.25" thickBot="1">
      <c r="A140" s="17" t="s">
        <v>186</v>
      </c>
      <c r="B140" s="107">
        <v>26.1</v>
      </c>
      <c r="C140" s="108">
        <v>-3.8167939000000001E-3</v>
      </c>
      <c r="D140" s="107">
        <v>26.6</v>
      </c>
      <c r="E140" s="108">
        <f>IF(ISNUMBER(D140), (D140 - $B140) / $B140, "")</f>
        <v>1.9157088122605363E-2</v>
      </c>
      <c r="F140" s="109">
        <f>IF(ISNUMBER(D140), $B145 * E140, "")</f>
        <v>5747.1264367816084</v>
      </c>
      <c r="G140" s="110">
        <v>26.2</v>
      </c>
      <c r="H140" s="108">
        <f>IF(ISNUMBER(G140), (G140 - $B140) / $B140, "")</f>
        <v>3.8314176245209911E-3</v>
      </c>
      <c r="I140" s="111">
        <f>IF(ISNUMBER(G140), $B145 * H140, "")</f>
        <v>1149.4252873562973</v>
      </c>
      <c r="J140" s="107">
        <v>26.5</v>
      </c>
      <c r="K140" s="108">
        <f>IF(ISNUMBER(J140), (J140 - $B140) / $B140, "")</f>
        <v>1.5325670498084237E-2</v>
      </c>
      <c r="L140" s="109">
        <f>IF(ISNUMBER(J140), $B145 * K140, "")</f>
        <v>4597.7011494252711</v>
      </c>
      <c r="M140" s="110">
        <v>26.3</v>
      </c>
      <c r="N140" s="108">
        <f>IF(ISNUMBER(M140), (M140 - $B140) / $B140, "")</f>
        <v>7.6628352490421183E-3</v>
      </c>
      <c r="O140" s="109">
        <f>IF(ISNUMBER(M140), $B145 * N140, "")</f>
        <v>2298.8505747126355</v>
      </c>
      <c r="Q140" s="117"/>
      <c r="R140" s="117"/>
      <c r="S140" s="117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102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117"/>
      <c r="R141" s="117"/>
      <c r="S141" s="117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102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117"/>
      <c r="R142" s="117"/>
      <c r="S142" s="117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102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118"/>
      <c r="R143" s="119"/>
      <c r="S143" s="120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5" t="str">
        <f>IF(ISNUMBER(D144), $B145 * E144, "")</f>
        <v/>
      </c>
      <c r="G144" s="103" t="s">
        <v>297</v>
      </c>
      <c r="H144" s="25" t="str">
        <f t="shared" si="75"/>
        <v/>
      </c>
      <c r="I144" s="104" t="str">
        <f>IF(ISNUMBER(G144), $B145 * H144, "")</f>
        <v/>
      </c>
      <c r="J144" s="24" t="s">
        <v>297</v>
      </c>
      <c r="K144" s="25" t="str">
        <f t="shared" si="76"/>
        <v/>
      </c>
      <c r="L144" s="105" t="str">
        <f>IF(ISNUMBER(J144), $B145 * K144, "")</f>
        <v/>
      </c>
      <c r="M144" s="103" t="s">
        <v>297</v>
      </c>
      <c r="N144" s="25" t="str">
        <f t="shared" si="77"/>
        <v/>
      </c>
      <c r="O144" s="105" t="str">
        <f>IF(ISNUMBER(M144), $B145 * N144, "")</f>
        <v/>
      </c>
      <c r="Q144" s="121"/>
      <c r="R144" s="122"/>
      <c r="S144" s="123"/>
    </row>
    <row r="145" spans="1:19" ht="17.25" thickBot="1">
      <c r="A145" s="26" t="s">
        <v>301</v>
      </c>
      <c r="B145" s="127">
        <f>$B$37</f>
        <v>300000</v>
      </c>
      <c r="C145" s="128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124"/>
      <c r="R145" s="125"/>
      <c r="S145" s="126"/>
    </row>
    <row r="147" spans="1:19" ht="17.25" thickBot="1"/>
    <row r="148" spans="1:19" ht="17.25" thickBot="1">
      <c r="A148" s="139" t="s">
        <v>289</v>
      </c>
      <c r="B148" s="140"/>
      <c r="C148" s="140"/>
      <c r="D148" s="140"/>
      <c r="E148" s="140"/>
      <c r="F148" s="140"/>
      <c r="G148" s="140"/>
      <c r="H148" s="140"/>
      <c r="I148" s="140"/>
      <c r="J148" s="140"/>
      <c r="K148" s="140"/>
      <c r="L148" s="140"/>
      <c r="M148" s="140"/>
      <c r="N148" s="140"/>
      <c r="O148" s="141"/>
      <c r="Q148" s="138"/>
      <c r="R148" s="138"/>
      <c r="S148" s="138"/>
    </row>
    <row r="149" spans="1:19" ht="17.25" thickBot="1">
      <c r="A149" s="112" t="s">
        <v>298</v>
      </c>
      <c r="B149" s="139" t="s">
        <v>49</v>
      </c>
      <c r="C149" s="141"/>
      <c r="D149" s="139" t="s">
        <v>58</v>
      </c>
      <c r="E149" s="140"/>
      <c r="F149" s="141"/>
      <c r="G149" s="142">
        <f>_xlfn.IFNA(VLOOKUP(B149, 현재가테이블!$B$2:$D$200, 2, FALSE), "-")</f>
        <v>68103000</v>
      </c>
      <c r="H149" s="143"/>
      <c r="I149" s="144"/>
      <c r="J149" s="139" t="s">
        <v>59</v>
      </c>
      <c r="K149" s="140"/>
      <c r="L149" s="141"/>
      <c r="M149" s="145">
        <f>_xlfn.IFNA(VLOOKUP(B149, 현재가테이블!$B$2:$D$200, 3, FALSE), "-")</f>
        <v>-1.37004156E-2</v>
      </c>
      <c r="N149" s="146"/>
      <c r="O149" s="147"/>
      <c r="Q149" s="138"/>
      <c r="R149" s="138"/>
      <c r="S149" s="138"/>
    </row>
    <row r="150" spans="1:19" ht="17.25" thickBot="1">
      <c r="A150" s="187" t="s">
        <v>55</v>
      </c>
      <c r="B150" s="189" t="str">
        <f>TEXT($G$1, "[$-ko-KR]yyyy-mm-dd(ddd) ") &amp; "오전 00:00"</f>
        <v>2021-05-01(토) 오전 00:00</v>
      </c>
      <c r="C150" s="190"/>
      <c r="D150" s="151" t="str">
        <f>TEXT($G$1, "[$-ko-KR]yyyy-mm-dd(ddd) ") &amp; "오후 14:00"</f>
        <v>2021-05-01(토) 오후 14:00</v>
      </c>
      <c r="E150" s="152"/>
      <c r="F150" s="153"/>
      <c r="G150" s="151" t="str">
        <f>TEXT($G$1, "[$-ko-KR]yyyy-mm-dd(ddd) ") &amp; "오후 19:00"</f>
        <v>2021-05-01(토) 오후 19:00</v>
      </c>
      <c r="H150" s="152"/>
      <c r="I150" s="153"/>
      <c r="J150" s="151" t="str">
        <f>TEXT($G$1, "[$-ko-KR]yyyy-mm-dd(ddd) ") &amp; "오후 21:00"</f>
        <v>2021-05-01(토) 오후 21:00</v>
      </c>
      <c r="K150" s="152"/>
      <c r="L150" s="153"/>
      <c r="M150" s="151" t="str">
        <f>TEXT($G$1+1, "[$-ko-KR]yyyy-mm-dd(ddd) ") &amp; "오전 00:00"</f>
        <v>2021-05-02(일) 오전 00:00</v>
      </c>
      <c r="N150" s="152"/>
      <c r="O150" s="153"/>
      <c r="Q150" s="138"/>
      <c r="R150" s="138"/>
      <c r="S150" s="138"/>
    </row>
    <row r="151" spans="1:19" ht="17.25" thickBot="1">
      <c r="A151" s="188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6" t="s">
        <v>300</v>
      </c>
      <c r="M151" s="2" t="s">
        <v>58</v>
      </c>
      <c r="N151" s="10" t="s">
        <v>299</v>
      </c>
      <c r="O151" s="67" t="s">
        <v>300</v>
      </c>
      <c r="Q151" s="117"/>
      <c r="R151" s="117"/>
      <c r="S151" s="117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101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138"/>
      <c r="R152" s="138"/>
      <c r="S152" s="138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102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138"/>
      <c r="R153" s="138"/>
      <c r="S153" s="138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102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117"/>
      <c r="R154" s="117"/>
      <c r="S154" s="117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102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117"/>
      <c r="R155" s="117"/>
      <c r="S155" s="117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6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117"/>
      <c r="R156" s="117"/>
      <c r="S156" s="117"/>
    </row>
    <row r="157" spans="1:19" ht="17.25" thickBot="1">
      <c r="A157" s="17" t="s">
        <v>282</v>
      </c>
      <c r="B157" s="107">
        <v>182</v>
      </c>
      <c r="C157" s="108">
        <v>0</v>
      </c>
      <c r="D157" s="107">
        <v>181</v>
      </c>
      <c r="E157" s="108">
        <f>IF(ISNUMBER(D157), (D157 - $B157) / $B157, "")</f>
        <v>-5.4945054945054949E-3</v>
      </c>
      <c r="F157" s="109">
        <f>IF(ISNUMBER(D157), $B172 * E157, "")</f>
        <v>-1648.3516483516485</v>
      </c>
      <c r="G157" s="110">
        <v>182</v>
      </c>
      <c r="H157" s="108">
        <f>IF(ISNUMBER(G157), (G157 - $B157) / $B157, "")</f>
        <v>0</v>
      </c>
      <c r="I157" s="111">
        <f>IF(ISNUMBER(G157), $B172 * H157, "")</f>
        <v>0</v>
      </c>
      <c r="J157" s="107">
        <v>182</v>
      </c>
      <c r="K157" s="108">
        <f>IF(ISNUMBER(J157), (J157 - $B157) / $B157, "")</f>
        <v>0</v>
      </c>
      <c r="L157" s="109">
        <f>IF(ISNUMBER(J157), $B172 * K157, "")</f>
        <v>0</v>
      </c>
      <c r="M157" s="110">
        <v>184</v>
      </c>
      <c r="N157" s="108">
        <f>IF(ISNUMBER(M157), (M157 - $B157) / $B157, "")</f>
        <v>1.098901098901099E-2</v>
      </c>
      <c r="O157" s="109">
        <f>IF(ISNUMBER(M157), $B172 * N157, "")</f>
        <v>3296.7032967032969</v>
      </c>
      <c r="Q157" s="117"/>
      <c r="R157" s="117"/>
      <c r="S157" s="117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102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117"/>
      <c r="R158" s="117"/>
      <c r="S158" s="117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102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117"/>
      <c r="R159" s="117"/>
      <c r="S159" s="117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102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5">
        <f>IF(ISNUMBER(D161), $B172 * E161, "")</f>
        <v>0</v>
      </c>
      <c r="G161" s="103">
        <v>182</v>
      </c>
      <c r="H161" s="25">
        <f t="shared" si="83"/>
        <v>0</v>
      </c>
      <c r="I161" s="104">
        <f>IF(ISNUMBER(G161), $B172 * H161, "")</f>
        <v>0</v>
      </c>
      <c r="J161" s="24">
        <v>185</v>
      </c>
      <c r="K161" s="25">
        <f t="shared" si="84"/>
        <v>1.6483516483516484E-2</v>
      </c>
      <c r="L161" s="105">
        <f>IF(ISNUMBER(J161), $B172 * K161, "")</f>
        <v>4945.0549450549452</v>
      </c>
      <c r="M161" s="103">
        <v>186</v>
      </c>
      <c r="N161" s="25">
        <f t="shared" si="85"/>
        <v>2.197802197802198E-2</v>
      </c>
      <c r="O161" s="105">
        <f>IF(ISNUMBER(M161), $B172 * N161, "")</f>
        <v>6593.4065934065939</v>
      </c>
      <c r="Q161" s="129"/>
      <c r="R161" s="130"/>
      <c r="S161" s="131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101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132"/>
      <c r="R162" s="133"/>
      <c r="S162" s="134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102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135"/>
      <c r="R163" s="136"/>
      <c r="S163" s="137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102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117"/>
      <c r="R164" s="117"/>
      <c r="S164" s="117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102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138"/>
      <c r="R165" s="138"/>
      <c r="S165" s="138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6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138"/>
      <c r="R166" s="138"/>
      <c r="S166" s="138"/>
    </row>
    <row r="167" spans="1:19" ht="17.25" thickBot="1">
      <c r="A167" s="17" t="s">
        <v>258</v>
      </c>
      <c r="B167" s="107">
        <v>751</v>
      </c>
      <c r="C167" s="108">
        <v>-7.9260237999999993E-3</v>
      </c>
      <c r="D167" s="107">
        <v>747</v>
      </c>
      <c r="E167" s="108">
        <f>IF(ISNUMBER(D167), (D167 - $B167) / $B167, "")</f>
        <v>-5.3262316910785623E-3</v>
      </c>
      <c r="F167" s="109">
        <f>IF(ISNUMBER(D167), $B172 * E167, "")</f>
        <v>-1597.8695073235688</v>
      </c>
      <c r="G167" s="110">
        <v>746</v>
      </c>
      <c r="H167" s="108">
        <f>IF(ISNUMBER(G167), (G167 - $B167) / $B167, "")</f>
        <v>-6.6577896138482022E-3</v>
      </c>
      <c r="I167" s="111">
        <f>IF(ISNUMBER(G167), $B172 * H167, "")</f>
        <v>-1997.3368841544607</v>
      </c>
      <c r="J167" s="107">
        <v>748</v>
      </c>
      <c r="K167" s="108">
        <f>IF(ISNUMBER(J167), (J167 - $B167) / $B167, "")</f>
        <v>-3.9946737683089215E-3</v>
      </c>
      <c r="L167" s="109">
        <f>IF(ISNUMBER(J167), $B172 * K167, "")</f>
        <v>-1198.4021304926764</v>
      </c>
      <c r="M167" s="110">
        <v>751</v>
      </c>
      <c r="N167" s="108">
        <f>IF(ISNUMBER(M167), (M167 - $B167) / $B167, "")</f>
        <v>0</v>
      </c>
      <c r="O167" s="109">
        <f>IF(ISNUMBER(M167), $B172 * N167, "")</f>
        <v>0</v>
      </c>
      <c r="Q167" s="117"/>
      <c r="R167" s="117"/>
      <c r="S167" s="117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102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117"/>
      <c r="R168" s="117"/>
      <c r="S168" s="117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102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117"/>
      <c r="R169" s="117"/>
      <c r="S169" s="117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102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118"/>
      <c r="R170" s="119"/>
      <c r="S170" s="120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5">
        <f>IF(ISNUMBER(D171), $B172 * E171, "")</f>
        <v>1025.6410256410256</v>
      </c>
      <c r="G171" s="103">
        <v>588</v>
      </c>
      <c r="H171" s="25">
        <f t="shared" si="91"/>
        <v>5.1282051282051282E-3</v>
      </c>
      <c r="I171" s="104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5">
        <f>IF(ISNUMBER(J171), $B172 * K171, "")</f>
        <v>2051.2820512820513</v>
      </c>
      <c r="M171" s="103">
        <v>589</v>
      </c>
      <c r="N171" s="25">
        <f t="shared" si="93"/>
        <v>6.8376068376068376E-3</v>
      </c>
      <c r="O171" s="105">
        <f>IF(ISNUMBER(M171), $B172 * N171, "")</f>
        <v>2051.2820512820513</v>
      </c>
      <c r="Q171" s="121"/>
      <c r="R171" s="122"/>
      <c r="S171" s="123"/>
    </row>
    <row r="172" spans="1:19" ht="17.25" thickBot="1">
      <c r="A172" s="26" t="s">
        <v>301</v>
      </c>
      <c r="B172" s="127">
        <f>$B$37</f>
        <v>300000</v>
      </c>
      <c r="C172" s="128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124"/>
      <c r="R172" s="125"/>
      <c r="S172" s="126"/>
    </row>
    <row r="174" spans="1:19" ht="17.25" thickBot="1"/>
    <row r="175" spans="1:19" ht="17.25" thickBot="1">
      <c r="A175" s="139" t="s">
        <v>285</v>
      </c>
      <c r="B175" s="140"/>
      <c r="C175" s="140"/>
      <c r="D175" s="140"/>
      <c r="E175" s="140"/>
      <c r="F175" s="140"/>
      <c r="G175" s="140"/>
      <c r="H175" s="140"/>
      <c r="I175" s="140"/>
      <c r="J175" s="140"/>
      <c r="K175" s="140"/>
      <c r="L175" s="140"/>
      <c r="M175" s="140"/>
      <c r="N175" s="140"/>
      <c r="O175" s="141"/>
      <c r="Q175" s="138"/>
      <c r="R175" s="138"/>
      <c r="S175" s="138"/>
    </row>
    <row r="176" spans="1:19" ht="17.25" thickBot="1">
      <c r="A176" s="112" t="s">
        <v>298</v>
      </c>
      <c r="B176" s="139" t="s">
        <v>49</v>
      </c>
      <c r="C176" s="141"/>
      <c r="D176" s="139" t="s">
        <v>58</v>
      </c>
      <c r="E176" s="140"/>
      <c r="F176" s="141"/>
      <c r="G176" s="142">
        <f>_xlfn.IFNA(VLOOKUP(B176, 현재가테이블!$B$2:$D$200, 2, FALSE), "-")</f>
        <v>68103000</v>
      </c>
      <c r="H176" s="143"/>
      <c r="I176" s="144"/>
      <c r="J176" s="139" t="s">
        <v>59</v>
      </c>
      <c r="K176" s="140"/>
      <c r="L176" s="141"/>
      <c r="M176" s="145">
        <f>_xlfn.IFNA(VLOOKUP(B176, 현재가테이블!$B$2:$D$200, 3, FALSE), "-")</f>
        <v>-1.37004156E-2</v>
      </c>
      <c r="N176" s="146"/>
      <c r="O176" s="147"/>
      <c r="Q176" s="138"/>
      <c r="R176" s="138"/>
      <c r="S176" s="138"/>
    </row>
    <row r="177" spans="1:19" ht="17.25" thickBot="1">
      <c r="A177" s="187" t="s">
        <v>55</v>
      </c>
      <c r="B177" s="189" t="str">
        <f>TEXT($G$1, "[$-ko-KR]yyyy-mm-dd(ddd) ") &amp; "오전 00:00"</f>
        <v>2021-05-01(토) 오전 00:00</v>
      </c>
      <c r="C177" s="190"/>
      <c r="D177" s="151" t="str">
        <f>TEXT($G$1, "[$-ko-KR]yyyy-mm-dd(ddd) ") &amp; "오후 14:00"</f>
        <v>2021-05-01(토) 오후 14:00</v>
      </c>
      <c r="E177" s="152"/>
      <c r="F177" s="153"/>
      <c r="G177" s="151" t="str">
        <f>TEXT($G$1, "[$-ko-KR]yyyy-mm-dd(ddd) ") &amp; "오후 19:00"</f>
        <v>2021-05-01(토) 오후 19:00</v>
      </c>
      <c r="H177" s="152"/>
      <c r="I177" s="153"/>
      <c r="J177" s="151" t="str">
        <f>TEXT($G$1, "[$-ko-KR]yyyy-mm-dd(ddd) ") &amp; "오후 21:00"</f>
        <v>2021-05-01(토) 오후 21:00</v>
      </c>
      <c r="K177" s="152"/>
      <c r="L177" s="153"/>
      <c r="M177" s="151" t="str">
        <f>TEXT($G$1+1, "[$-ko-KR]yyyy-mm-dd(ddd) ") &amp; "오전 00:00"</f>
        <v>2021-05-02(일) 오전 00:00</v>
      </c>
      <c r="N177" s="152"/>
      <c r="O177" s="153"/>
      <c r="Q177" s="138"/>
      <c r="R177" s="138"/>
      <c r="S177" s="138"/>
    </row>
    <row r="178" spans="1:19" ht="17.25" thickBot="1">
      <c r="A178" s="188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6" t="s">
        <v>300</v>
      </c>
      <c r="M178" s="2" t="s">
        <v>58</v>
      </c>
      <c r="N178" s="10" t="s">
        <v>299</v>
      </c>
      <c r="O178" s="67" t="s">
        <v>300</v>
      </c>
      <c r="Q178" s="117"/>
      <c r="R178" s="117"/>
      <c r="S178" s="117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101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138"/>
      <c r="R179" s="138"/>
      <c r="S179" s="138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102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138"/>
      <c r="R180" s="138"/>
      <c r="S180" s="138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102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117"/>
      <c r="R181" s="117"/>
      <c r="S181" s="117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102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117"/>
      <c r="R182" s="117"/>
      <c r="S182" s="117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6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117"/>
      <c r="R183" s="117"/>
      <c r="S183" s="117"/>
    </row>
    <row r="184" spans="1:19" ht="17.25" thickBot="1">
      <c r="A184" s="17" t="s">
        <v>246</v>
      </c>
      <c r="B184" s="107">
        <v>438</v>
      </c>
      <c r="C184" s="108">
        <v>-9.0497738000000008E-3</v>
      </c>
      <c r="D184" s="107">
        <v>443</v>
      </c>
      <c r="E184" s="108">
        <f>IF(ISNUMBER(D184), (D184 - $B184) / $B184, "")</f>
        <v>1.1415525114155251E-2</v>
      </c>
      <c r="F184" s="109">
        <f>IF(ISNUMBER(D184), $B199 * E184, "")</f>
        <v>3424.6575342465753</v>
      </c>
      <c r="G184" s="110">
        <v>441</v>
      </c>
      <c r="H184" s="108">
        <f>IF(ISNUMBER(G184), (G184 - $B184) / $B184, "")</f>
        <v>6.8493150684931503E-3</v>
      </c>
      <c r="I184" s="111">
        <f>IF(ISNUMBER(G184), $B199 * H184, "")</f>
        <v>2054.794520547945</v>
      </c>
      <c r="J184" s="107">
        <v>444</v>
      </c>
      <c r="K184" s="108">
        <f>IF(ISNUMBER(J184), (J184 - $B184) / $B184, "")</f>
        <v>1.3698630136986301E-2</v>
      </c>
      <c r="L184" s="109">
        <f>IF(ISNUMBER(J184), $B199 * K184, "")</f>
        <v>4109.58904109589</v>
      </c>
      <c r="M184" s="110">
        <v>444</v>
      </c>
      <c r="N184" s="108">
        <f>IF(ISNUMBER(M184), (M184 - $B184) / $B184, "")</f>
        <v>1.3698630136986301E-2</v>
      </c>
      <c r="O184" s="109">
        <f>IF(ISNUMBER(M184), $B199 * N184, "")</f>
        <v>4109.58904109589</v>
      </c>
      <c r="Q184" s="117"/>
      <c r="R184" s="117"/>
      <c r="S184" s="117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102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117"/>
      <c r="R185" s="117"/>
      <c r="S185" s="117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102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117"/>
      <c r="R186" s="117"/>
      <c r="S186" s="117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102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5">
        <f>IF(ISNUMBER(D188), $B199 * E188, "")</f>
        <v>1145.0381679389313</v>
      </c>
      <c r="G188" s="103">
        <v>526</v>
      </c>
      <c r="H188" s="25">
        <f t="shared" si="99"/>
        <v>3.8167938931297708E-3</v>
      </c>
      <c r="I188" s="104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5">
        <f>IF(ISNUMBER(J188), $B199 * K188, "")</f>
        <v>3435.1145038167938</v>
      </c>
      <c r="M188" s="103">
        <v>530</v>
      </c>
      <c r="N188" s="25">
        <f t="shared" si="101"/>
        <v>1.1450381679389313E-2</v>
      </c>
      <c r="O188" s="105">
        <f>IF(ISNUMBER(M188), $B199 * N188, "")</f>
        <v>3435.1145038167938</v>
      </c>
      <c r="Q188" s="129"/>
      <c r="R188" s="130"/>
      <c r="S188" s="131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101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132"/>
      <c r="R189" s="133"/>
      <c r="S189" s="134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102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135"/>
      <c r="R190" s="136"/>
      <c r="S190" s="137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102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117"/>
      <c r="R191" s="117"/>
      <c r="S191" s="117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102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138"/>
      <c r="R192" s="138"/>
      <c r="S192" s="138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6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138"/>
      <c r="R193" s="138"/>
      <c r="S193" s="138"/>
    </row>
    <row r="194" spans="1:19" ht="17.25" thickBot="1">
      <c r="A194" s="17" t="s">
        <v>158</v>
      </c>
      <c r="B194" s="107">
        <v>11710</v>
      </c>
      <c r="C194" s="108">
        <v>-2.98260149E-2</v>
      </c>
      <c r="D194" s="107">
        <v>11610</v>
      </c>
      <c r="E194" s="108">
        <f>IF(ISNUMBER(D194), (D194 - $B194) / $B194, "")</f>
        <v>-8.539709649871904E-3</v>
      </c>
      <c r="F194" s="109">
        <f>IF(ISNUMBER(D194), $B199 * E194, "")</f>
        <v>-2561.9128949615711</v>
      </c>
      <c r="G194" s="110">
        <v>11460</v>
      </c>
      <c r="H194" s="108">
        <f>IF(ISNUMBER(G194), (G194 - $B194) / $B194, "")</f>
        <v>-2.1349274124679761E-2</v>
      </c>
      <c r="I194" s="111">
        <f>IF(ISNUMBER(G194), $B199 * H194, "")</f>
        <v>-6404.7822374039279</v>
      </c>
      <c r="J194" s="107">
        <v>11510</v>
      </c>
      <c r="K194" s="108">
        <f>IF(ISNUMBER(J194), (J194 - $B194) / $B194, "")</f>
        <v>-1.7079419299743808E-2</v>
      </c>
      <c r="L194" s="109">
        <f>IF(ISNUMBER(J194), $B199 * K194, "")</f>
        <v>-5123.8257899231421</v>
      </c>
      <c r="M194" s="110">
        <v>11480</v>
      </c>
      <c r="N194" s="108">
        <f>IF(ISNUMBER(M194), (M194 - $B194) / $B194, "")</f>
        <v>-1.9641332194705381E-2</v>
      </c>
      <c r="O194" s="109">
        <f>IF(ISNUMBER(M194), $B199 * N194, "")</f>
        <v>-5892.3996584116139</v>
      </c>
      <c r="Q194" s="117"/>
      <c r="R194" s="117"/>
      <c r="S194" s="117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102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117"/>
      <c r="R195" s="117"/>
      <c r="S195" s="117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102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117"/>
      <c r="R196" s="117"/>
      <c r="S196" s="117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102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118"/>
      <c r="R197" s="119"/>
      <c r="S197" s="120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5">
        <f>IF(ISNUMBER(D198), $B199 * E198, "")</f>
        <v>-598.80239520958082</v>
      </c>
      <c r="G198" s="103">
        <v>9980</v>
      </c>
      <c r="H198" s="25">
        <f t="shared" si="107"/>
        <v>-3.9920159680638719E-3</v>
      </c>
      <c r="I198" s="104">
        <f>IF(ISNUMBER(G198), $B199 * H198, "")</f>
        <v>-1197.6047904191616</v>
      </c>
      <c r="J198" s="24">
        <v>10020</v>
      </c>
      <c r="K198" s="25">
        <f t="shared" si="108"/>
        <v>0</v>
      </c>
      <c r="L198" s="105">
        <f>IF(ISNUMBER(J198), $B199 * K198, "")</f>
        <v>0</v>
      </c>
      <c r="M198" s="103">
        <v>10040</v>
      </c>
      <c r="N198" s="25">
        <f t="shared" si="109"/>
        <v>1.996007984031936E-3</v>
      </c>
      <c r="O198" s="105">
        <f>IF(ISNUMBER(M198), $B199 * N198, "")</f>
        <v>598.80239520958082</v>
      </c>
      <c r="Q198" s="121"/>
      <c r="R198" s="122"/>
      <c r="S198" s="123"/>
    </row>
    <row r="199" spans="1:19" ht="17.25" thickBot="1">
      <c r="A199" s="26" t="s">
        <v>301</v>
      </c>
      <c r="B199" s="127">
        <f>$B$37</f>
        <v>300000</v>
      </c>
      <c r="C199" s="128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124"/>
      <c r="R199" s="125"/>
      <c r="S199" s="126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0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21" priority="157">
      <formula>AND($N17 &gt; 0, ISNUMBER($N17))</formula>
    </cfRule>
    <cfRule type="expression" dxfId="1022" priority="158">
      <formula>AND($N17 = 0 * ISNUMBER($N17))</formula>
    </cfRule>
    <cfRule type="expression" dxfId="1023" priority="159">
      <formula>AND($N17 &lt; 0, ISNUMBER($N17))</formula>
    </cfRule>
  </conditionalFormatting>
  <conditionalFormatting sqref="A17:F36">
    <cfRule type="expression" dxfId="1018" priority="166">
      <formula>AND($E17 &gt; 0, ISNUMBER($E17))</formula>
    </cfRule>
    <cfRule type="expression" dxfId="1019" priority="167">
      <formula>AND($E17 = 0 * ISNUMBER($E17))</formula>
    </cfRule>
    <cfRule type="expression" dxfId="1020" priority="168">
      <formula>AND($E17 &lt; 0, ISNUMBER($E17))</formula>
    </cfRule>
  </conditionalFormatting>
  <conditionalFormatting sqref="A17:C36 G17:I36">
    <cfRule type="expression" dxfId="1015" priority="163">
      <formula>AND($H17 &gt; 0, ISNUMBER($H17))</formula>
    </cfRule>
    <cfRule type="expression" dxfId="1016" priority="164">
      <formula>AND($H17 = 0 * ISNUMBER($H17))</formula>
    </cfRule>
    <cfRule type="expression" dxfId="1017" priority="165">
      <formula>AND($H17 &lt; 0, ISNUMBER($H17))</formula>
    </cfRule>
  </conditionalFormatting>
  <conditionalFormatting sqref="A17:C36 J17:L36">
    <cfRule type="expression" dxfId="1014" priority="160">
      <formula>AND($K17 &gt; 0, ISNUMBER($K17))</formula>
    </cfRule>
    <cfRule type="expression" dxfId="1013" priority="161">
      <formula>AND($K17 = 0 * ISNUMBER($K17))</formula>
    </cfRule>
    <cfRule type="expression" dxfId="1012" priority="162">
      <formula>AND($K17 &lt; 0, ISNUMBER($K17))</formula>
    </cfRule>
  </conditionalFormatting>
  <conditionalFormatting sqref="D15:F16 E37:F37">
    <cfRule type="expression" dxfId="1011" priority="154">
      <formula>$E$37 &gt; 0</formula>
    </cfRule>
    <cfRule type="expression" dxfId="1010" priority="155">
      <formula>$E$37 = 0</formula>
    </cfRule>
    <cfRule type="expression" dxfId="1009" priority="156">
      <formula>$E$37 &lt; 0</formula>
    </cfRule>
  </conditionalFormatting>
  <conditionalFormatting sqref="G15:I16 H37:I37">
    <cfRule type="expression" dxfId="1008" priority="151">
      <formula>$H$37 &gt; 0</formula>
    </cfRule>
    <cfRule type="expression" dxfId="1007" priority="152">
      <formula>$H$37 = 0</formula>
    </cfRule>
    <cfRule type="expression" dxfId="1006" priority="153">
      <formula>$H$37 &lt; 0</formula>
    </cfRule>
  </conditionalFormatting>
  <conditionalFormatting sqref="J15:L16 K37:L37">
    <cfRule type="expression" dxfId="1005" priority="148">
      <formula>$K$37 &gt; 0</formula>
    </cfRule>
    <cfRule type="expression" dxfId="1004" priority="149">
      <formula>$K$37 = 0</formula>
    </cfRule>
    <cfRule type="expression" dxfId="1003" priority="150">
      <formula>$K$37 &lt; 0</formula>
    </cfRule>
  </conditionalFormatting>
  <conditionalFormatting sqref="M15:O16 N37:O37">
    <cfRule type="expression" dxfId="1002" priority="145">
      <formula>$N$37 &gt; 0</formula>
    </cfRule>
    <cfRule type="expression" dxfId="1001" priority="146">
      <formula>$N$37 = 0</formula>
    </cfRule>
    <cfRule type="expression" dxfId="1000" priority="147">
      <formula>$N$37 &lt; 0</formula>
    </cfRule>
  </conditionalFormatting>
  <conditionalFormatting sqref="A44:C63 M44:O63">
    <cfRule type="expression" dxfId="999" priority="133">
      <formula>AND($N44 &gt; 0, ISNUMBER($N44))</formula>
    </cfRule>
    <cfRule type="expression" dxfId="998" priority="134">
      <formula>AND($N44 = 0 * ISNUMBER($N44))</formula>
    </cfRule>
    <cfRule type="expression" dxfId="997" priority="135">
      <formula>AND($N44 &lt; 0, ISNUMBER($N44))</formula>
    </cfRule>
  </conditionalFormatting>
  <conditionalFormatting sqref="A44:F63">
    <cfRule type="expression" dxfId="996" priority="142">
      <formula>AND($E44 &gt; 0, ISNUMBER($E44))</formula>
    </cfRule>
    <cfRule type="expression" dxfId="995" priority="143">
      <formula>AND($E44 = 0 * ISNUMBER($E44))</formula>
    </cfRule>
    <cfRule type="expression" dxfId="994" priority="144">
      <formula>AND($E44 &lt; 0, ISNUMBER($E44))</formula>
    </cfRule>
  </conditionalFormatting>
  <conditionalFormatting sqref="A44:C63 G44:I63">
    <cfRule type="expression" dxfId="993" priority="139">
      <formula>AND($H44 &gt; 0, ISNUMBER($H44))</formula>
    </cfRule>
    <cfRule type="expression" dxfId="992" priority="140">
      <formula>AND($H44 = 0 * ISNUMBER($H44))</formula>
    </cfRule>
    <cfRule type="expression" dxfId="991" priority="141">
      <formula>AND($H44 &lt; 0, ISNUMBER($H44))</formula>
    </cfRule>
  </conditionalFormatting>
  <conditionalFormatting sqref="A44:C63 J44:L63">
    <cfRule type="expression" dxfId="990" priority="136">
      <formula>AND($K44 &gt; 0, ISNUMBER($K44))</formula>
    </cfRule>
    <cfRule type="expression" dxfId="989" priority="137">
      <formula>AND($K44 = 0 * ISNUMBER($K44))</formula>
    </cfRule>
    <cfRule type="expression" dxfId="988" priority="138">
      <formula>AND($K44 &lt; 0, ISNUMBER($K44))</formula>
    </cfRule>
  </conditionalFormatting>
  <conditionalFormatting sqref="D42:F43 E64:F64">
    <cfRule type="expression" dxfId="987" priority="130">
      <formula>$E$64 &gt; 0</formula>
    </cfRule>
    <cfRule type="expression" dxfId="986" priority="131">
      <formula>$E$64 = 0</formula>
    </cfRule>
    <cfRule type="expression" dxfId="985" priority="132">
      <formula>$E$64 &lt; 0</formula>
    </cfRule>
  </conditionalFormatting>
  <conditionalFormatting sqref="G42:I43 H64:I64">
    <cfRule type="expression" dxfId="984" priority="127">
      <formula>$H$64 &gt; 0</formula>
    </cfRule>
    <cfRule type="expression" dxfId="983" priority="128">
      <formula>$H$64 = 0</formula>
    </cfRule>
    <cfRule type="expression" dxfId="982" priority="129">
      <formula>$H$64 &lt; 0</formula>
    </cfRule>
  </conditionalFormatting>
  <conditionalFormatting sqref="J42:L43 K64:L64">
    <cfRule type="expression" dxfId="981" priority="124">
      <formula>$K$64 &gt; 0</formula>
    </cfRule>
    <cfRule type="expression" dxfId="980" priority="125">
      <formula>$K$64 = 0</formula>
    </cfRule>
    <cfRule type="expression" dxfId="979" priority="126">
      <formula>$K$64 &lt; 0</formula>
    </cfRule>
  </conditionalFormatting>
  <conditionalFormatting sqref="M42:O43 N64:O64">
    <cfRule type="expression" dxfId="978" priority="121">
      <formula>$N$64 &gt; 0</formula>
    </cfRule>
    <cfRule type="expression" dxfId="977" priority="122">
      <formula>$N$64 = 0</formula>
    </cfRule>
    <cfRule type="expression" dxfId="976" priority="123">
      <formula>$N$64 &lt; 0</formula>
    </cfRule>
  </conditionalFormatting>
  <conditionalFormatting sqref="A71:C90 M71:O90">
    <cfRule type="expression" dxfId="975" priority="109">
      <formula>AND($N71 &gt; 0, ISNUMBER($N71))</formula>
    </cfRule>
    <cfRule type="expression" dxfId="974" priority="110">
      <formula>AND($N71 = 0 * ISNUMBER($N71))</formula>
    </cfRule>
    <cfRule type="expression" dxfId="973" priority="111">
      <formula>AND($N71 &lt; 0, ISNUMBER($N71))</formula>
    </cfRule>
  </conditionalFormatting>
  <conditionalFormatting sqref="A71:F90">
    <cfRule type="expression" dxfId="972" priority="118">
      <formula>AND($E71 &gt; 0, ISNUMBER($E71))</formula>
    </cfRule>
    <cfRule type="expression" dxfId="971" priority="119">
      <formula>AND($E71 = 0 * ISNUMBER($E71))</formula>
    </cfRule>
    <cfRule type="expression" dxfId="970" priority="120">
      <formula>AND($E71 &lt; 0, ISNUMBER($E71))</formula>
    </cfRule>
  </conditionalFormatting>
  <conditionalFormatting sqref="A71:C90 G71:I90">
    <cfRule type="expression" dxfId="969" priority="115">
      <formula>AND($H71 &gt; 0, ISNUMBER($H71))</formula>
    </cfRule>
    <cfRule type="expression" dxfId="968" priority="116">
      <formula>AND($H71 = 0 * ISNUMBER($H71))</formula>
    </cfRule>
    <cfRule type="expression" dxfId="967" priority="117">
      <formula>AND($H71 &lt; 0, ISNUMBER($H71))</formula>
    </cfRule>
  </conditionalFormatting>
  <conditionalFormatting sqref="A71:C90 J71:L90">
    <cfRule type="expression" dxfId="966" priority="112">
      <formula>AND($K71 &gt; 0, ISNUMBER($K71))</formula>
    </cfRule>
    <cfRule type="expression" dxfId="965" priority="113">
      <formula>AND($K71 = 0 * ISNUMBER($K71))</formula>
    </cfRule>
    <cfRule type="expression" dxfId="964" priority="114">
      <formula>AND($K71 &lt; 0, ISNUMBER($K71))</formula>
    </cfRule>
  </conditionalFormatting>
  <conditionalFormatting sqref="D69:F70 E91:F91">
    <cfRule type="expression" dxfId="963" priority="106">
      <formula>$E$91 &gt; 0</formula>
    </cfRule>
    <cfRule type="expression" dxfId="962" priority="107">
      <formula>$E$91 = 0</formula>
    </cfRule>
    <cfRule type="expression" dxfId="961" priority="108">
      <formula>$E$91 &lt; 0</formula>
    </cfRule>
  </conditionalFormatting>
  <conditionalFormatting sqref="G69:I70 H91:I91">
    <cfRule type="expression" dxfId="960" priority="103">
      <formula>$H$91 &gt; 0</formula>
    </cfRule>
    <cfRule type="expression" dxfId="959" priority="104">
      <formula>$H$91 = 0</formula>
    </cfRule>
    <cfRule type="expression" dxfId="958" priority="105">
      <formula>$H$91 &lt; 0</formula>
    </cfRule>
  </conditionalFormatting>
  <conditionalFormatting sqref="J69:L70 K91:L91">
    <cfRule type="expression" dxfId="957" priority="100">
      <formula>$K$91 &gt; 0</formula>
    </cfRule>
    <cfRule type="expression" dxfId="956" priority="101">
      <formula>$K$91 = 0</formula>
    </cfRule>
    <cfRule type="expression" dxfId="955" priority="102">
      <formula>$K$91 &lt; 0</formula>
    </cfRule>
  </conditionalFormatting>
  <conditionalFormatting sqref="M69:O70 N91:O91">
    <cfRule type="expression" dxfId="954" priority="97">
      <formula>$N$91 &gt; 0</formula>
    </cfRule>
    <cfRule type="expression" dxfId="953" priority="98">
      <formula>$N$91 = 0</formula>
    </cfRule>
    <cfRule type="expression" dxfId="952" priority="99">
      <formula>$N$91 &lt; 0</formula>
    </cfRule>
  </conditionalFormatting>
  <conditionalFormatting sqref="A98:C117 M98:O117">
    <cfRule type="expression" dxfId="951" priority="85">
      <formula>AND($N98 &gt; 0, ISNUMBER($N98))</formula>
    </cfRule>
    <cfRule type="expression" dxfId="950" priority="86">
      <formula>AND($N98 = 0 * ISNUMBER($N98))</formula>
    </cfRule>
    <cfRule type="expression" dxfId="949" priority="87">
      <formula>AND($N98 &lt; 0, ISNUMBER($N98))</formula>
    </cfRule>
  </conditionalFormatting>
  <conditionalFormatting sqref="A98:F117">
    <cfRule type="expression" dxfId="948" priority="94">
      <formula>AND($E98 &gt; 0, ISNUMBER($E98))</formula>
    </cfRule>
    <cfRule type="expression" dxfId="947" priority="95">
      <formula>AND($E98 = 0 * ISNUMBER($E98))</formula>
    </cfRule>
    <cfRule type="expression" dxfId="946" priority="96">
      <formula>AND($E98 &lt; 0, ISNUMBER($E98))</formula>
    </cfRule>
  </conditionalFormatting>
  <conditionalFormatting sqref="A98:C117 G98:I117">
    <cfRule type="expression" dxfId="945" priority="91">
      <formula>AND($H98 &gt; 0, ISNUMBER($H98))</formula>
    </cfRule>
    <cfRule type="expression" dxfId="944" priority="92">
      <formula>AND($H98 = 0 * ISNUMBER($H98))</formula>
    </cfRule>
    <cfRule type="expression" dxfId="943" priority="93">
      <formula>AND($H98 &lt; 0, ISNUMBER($H98))</formula>
    </cfRule>
  </conditionalFormatting>
  <conditionalFormatting sqref="A98:C117 J98:L117">
    <cfRule type="expression" dxfId="942" priority="88">
      <formula>AND($K98 &gt; 0, ISNUMBER($K98))</formula>
    </cfRule>
    <cfRule type="expression" dxfId="941" priority="89">
      <formula>AND($K98 = 0 * ISNUMBER($K98))</formula>
    </cfRule>
    <cfRule type="expression" dxfId="940" priority="90">
      <formula>AND($K98 &lt; 0, ISNUMBER($K98))</formula>
    </cfRule>
  </conditionalFormatting>
  <conditionalFormatting sqref="D96:F97 E118:F118">
    <cfRule type="expression" dxfId="939" priority="82">
      <formula>$E$118 &gt; 0</formula>
    </cfRule>
    <cfRule type="expression" dxfId="938" priority="83">
      <formula>$E$118 = 0</formula>
    </cfRule>
    <cfRule type="expression" dxfId="937" priority="84">
      <formula>$E$118 &lt; 0</formula>
    </cfRule>
  </conditionalFormatting>
  <conditionalFormatting sqref="G96:I97 H118:I118">
    <cfRule type="expression" dxfId="936" priority="79">
      <formula>$H$118 &gt; 0</formula>
    </cfRule>
    <cfRule type="expression" dxfId="935" priority="80">
      <formula>$H$118 = 0</formula>
    </cfRule>
    <cfRule type="expression" dxfId="934" priority="81">
      <formula>$H$118 &lt; 0</formula>
    </cfRule>
  </conditionalFormatting>
  <conditionalFormatting sqref="J96:L97 K118:L118">
    <cfRule type="expression" dxfId="933" priority="76">
      <formula>$K$118 &gt; 0</formula>
    </cfRule>
    <cfRule type="expression" dxfId="932" priority="77">
      <formula>$K$118 = 0</formula>
    </cfRule>
    <cfRule type="expression" dxfId="931" priority="78">
      <formula>$K$118 &lt; 0</formula>
    </cfRule>
  </conditionalFormatting>
  <conditionalFormatting sqref="M96:O97 N118:O118">
    <cfRule type="expression" dxfId="930" priority="73">
      <formula>$N$118 &gt; 0</formula>
    </cfRule>
    <cfRule type="expression" dxfId="929" priority="74">
      <formula>$N$118 = 0</formula>
    </cfRule>
    <cfRule type="expression" dxfId="928" priority="75">
      <formula>$N$118 &lt; 0</formula>
    </cfRule>
  </conditionalFormatting>
  <conditionalFormatting sqref="A125:C144 M125:O144">
    <cfRule type="expression" dxfId="927" priority="61">
      <formula>AND($N125 &gt; 0, ISNUMBER($N125))</formula>
    </cfRule>
    <cfRule type="expression" dxfId="926" priority="62">
      <formula>AND($N125 = 0 * ISNUMBER($N125))</formula>
    </cfRule>
    <cfRule type="expression" dxfId="925" priority="63">
      <formula>AND($N125 &lt; 0, ISNUMBER($N125))</formula>
    </cfRule>
  </conditionalFormatting>
  <conditionalFormatting sqref="A125:F144">
    <cfRule type="expression" dxfId="924" priority="70">
      <formula>AND($E125 &gt; 0, ISNUMBER($E125))</formula>
    </cfRule>
    <cfRule type="expression" dxfId="923" priority="71">
      <formula>AND($E125 = 0 * ISNUMBER($E125))</formula>
    </cfRule>
    <cfRule type="expression" dxfId="922" priority="72">
      <formula>AND($E125 &lt; 0, ISNUMBER($E125))</formula>
    </cfRule>
  </conditionalFormatting>
  <conditionalFormatting sqref="A125:C144 G125:I144">
    <cfRule type="expression" dxfId="921" priority="67">
      <formula>AND($H125 &gt; 0, ISNUMBER($H125))</formula>
    </cfRule>
    <cfRule type="expression" dxfId="920" priority="68">
      <formula>AND($H125 = 0 * ISNUMBER($H125))</formula>
    </cfRule>
    <cfRule type="expression" dxfId="919" priority="69">
      <formula>AND($H125 &lt; 0, ISNUMBER($H125))</formula>
    </cfRule>
  </conditionalFormatting>
  <conditionalFormatting sqref="A125:C144 J125:L144">
    <cfRule type="expression" dxfId="918" priority="64">
      <formula>AND($K125 &gt; 0, ISNUMBER($K125))</formula>
    </cfRule>
    <cfRule type="expression" dxfId="917" priority="65">
      <formula>AND($K125 = 0 * ISNUMBER($K125))</formula>
    </cfRule>
    <cfRule type="expression" dxfId="916" priority="66">
      <formula>AND($K125 &lt; 0, ISNUMBER($K125))</formula>
    </cfRule>
  </conditionalFormatting>
  <conditionalFormatting sqref="D123:F124 E145:F145">
    <cfRule type="expression" dxfId="915" priority="58">
      <formula>$E$145 &gt; 0</formula>
    </cfRule>
    <cfRule type="expression" dxfId="914" priority="59">
      <formula>$E$145 = 0</formula>
    </cfRule>
    <cfRule type="expression" dxfId="913" priority="60">
      <formula>$E$145 &lt; 0</formula>
    </cfRule>
  </conditionalFormatting>
  <conditionalFormatting sqref="G123:I124 H145:I145">
    <cfRule type="expression" dxfId="912" priority="55">
      <formula>$H$145 &gt; 0</formula>
    </cfRule>
    <cfRule type="expression" dxfId="911" priority="56">
      <formula>$H$145 = 0</formula>
    </cfRule>
    <cfRule type="expression" dxfId="910" priority="57">
      <formula>$H$145 &lt; 0</formula>
    </cfRule>
  </conditionalFormatting>
  <conditionalFormatting sqref="J123:L124 K145:L145">
    <cfRule type="expression" dxfId="909" priority="52">
      <formula>$K$145 &gt; 0</formula>
    </cfRule>
    <cfRule type="expression" dxfId="908" priority="53">
      <formula>$K$145 = 0</formula>
    </cfRule>
    <cfRule type="expression" dxfId="907" priority="54">
      <formula>$K$145 &lt; 0</formula>
    </cfRule>
  </conditionalFormatting>
  <conditionalFormatting sqref="M123:O124 N145:O145">
    <cfRule type="expression" dxfId="906" priority="49">
      <formula>$N$145 &gt; 0</formula>
    </cfRule>
    <cfRule type="expression" dxfId="905" priority="50">
      <formula>$N$145 = 0</formula>
    </cfRule>
    <cfRule type="expression" dxfId="904" priority="51">
      <formula>$N$145 &lt; 0</formula>
    </cfRule>
  </conditionalFormatting>
  <conditionalFormatting sqref="A152:C171 M152:O171">
    <cfRule type="expression" dxfId="903" priority="37">
      <formula>AND($N152 &gt; 0, ISNUMBER($N152))</formula>
    </cfRule>
    <cfRule type="expression" dxfId="902" priority="38">
      <formula>AND($N152 = 0 * ISNUMBER($N152))</formula>
    </cfRule>
    <cfRule type="expression" dxfId="901" priority="39">
      <formula>AND($N152 &lt; 0, ISNUMBER($N152))</formula>
    </cfRule>
  </conditionalFormatting>
  <conditionalFormatting sqref="A152:F171">
    <cfRule type="expression" dxfId="900" priority="46">
      <formula>AND($E152 &gt; 0, ISNUMBER($E152))</formula>
    </cfRule>
    <cfRule type="expression" dxfId="899" priority="47">
      <formula>AND($E152 = 0 * ISNUMBER($E152))</formula>
    </cfRule>
    <cfRule type="expression" dxfId="898" priority="48">
      <formula>AND($E152 &lt; 0, ISNUMBER($E152))</formula>
    </cfRule>
  </conditionalFormatting>
  <conditionalFormatting sqref="A152:C171 G152:I171">
    <cfRule type="expression" dxfId="897" priority="43">
      <formula>AND($H152 &gt; 0, ISNUMBER($H152))</formula>
    </cfRule>
    <cfRule type="expression" dxfId="896" priority="44">
      <formula>AND($H152 = 0 * ISNUMBER($H152))</formula>
    </cfRule>
    <cfRule type="expression" dxfId="895" priority="45">
      <formula>AND($H152 &lt; 0, ISNUMBER($H152))</formula>
    </cfRule>
  </conditionalFormatting>
  <conditionalFormatting sqref="A152:C171 J152:L171">
    <cfRule type="expression" dxfId="894" priority="40">
      <formula>AND($K152 &gt; 0, ISNUMBER($K152))</formula>
    </cfRule>
    <cfRule type="expression" dxfId="893" priority="41">
      <formula>AND($K152 = 0 * ISNUMBER($K152))</formula>
    </cfRule>
    <cfRule type="expression" dxfId="892" priority="42">
      <formula>AND($K152 &lt; 0, ISNUMBER($K152))</formula>
    </cfRule>
  </conditionalFormatting>
  <conditionalFormatting sqref="D150:F151 E172:F172">
    <cfRule type="expression" dxfId="891" priority="34">
      <formula>$E$172 &gt; 0</formula>
    </cfRule>
    <cfRule type="expression" dxfId="890" priority="35">
      <formula>$E$172 = 0</formula>
    </cfRule>
    <cfRule type="expression" dxfId="889" priority="36">
      <formula>$E$172 &lt; 0</formula>
    </cfRule>
  </conditionalFormatting>
  <conditionalFormatting sqref="G150:I151 H172:I172">
    <cfRule type="expression" dxfId="888" priority="31">
      <formula>$H$172 &gt; 0</formula>
    </cfRule>
    <cfRule type="expression" dxfId="887" priority="32">
      <formula>$H$172 = 0</formula>
    </cfRule>
    <cfRule type="expression" dxfId="886" priority="33">
      <formula>$H$172 &lt; 0</formula>
    </cfRule>
  </conditionalFormatting>
  <conditionalFormatting sqref="J150:L151 K172:L172">
    <cfRule type="expression" dxfId="885" priority="28">
      <formula>$K$172 &gt; 0</formula>
    </cfRule>
    <cfRule type="expression" dxfId="884" priority="29">
      <formula>$K$172 = 0</formula>
    </cfRule>
    <cfRule type="expression" dxfId="883" priority="30">
      <formula>$K$172 &lt; 0</formula>
    </cfRule>
  </conditionalFormatting>
  <conditionalFormatting sqref="M150:O151 N172:O172">
    <cfRule type="expression" dxfId="882" priority="25">
      <formula>$N$172 &gt; 0</formula>
    </cfRule>
    <cfRule type="expression" dxfId="881" priority="26">
      <formula>$N$172 = 0</formula>
    </cfRule>
    <cfRule type="expression" dxfId="880" priority="27">
      <formula>$N$172 &lt; 0</formula>
    </cfRule>
  </conditionalFormatting>
  <conditionalFormatting sqref="A179:C198 M179:O198">
    <cfRule type="expression" dxfId="879" priority="13">
      <formula>AND($N179 &gt; 0, ISNUMBER($N179))</formula>
    </cfRule>
    <cfRule type="expression" dxfId="878" priority="14">
      <formula>AND($N179 = 0 * ISNUMBER($N179))</formula>
    </cfRule>
    <cfRule type="expression" dxfId="877" priority="15">
      <formula>AND($N179 &lt; 0, ISNUMBER($N179))</formula>
    </cfRule>
  </conditionalFormatting>
  <conditionalFormatting sqref="A179:F198">
    <cfRule type="expression" dxfId="876" priority="22">
      <formula>AND($E179 &gt; 0, ISNUMBER($E179))</formula>
    </cfRule>
    <cfRule type="expression" dxfId="875" priority="23">
      <formula>AND($E179 = 0 * ISNUMBER($E179))</formula>
    </cfRule>
    <cfRule type="expression" dxfId="874" priority="24">
      <formula>AND($E179 &lt; 0, ISNUMBER($E179))</formula>
    </cfRule>
  </conditionalFormatting>
  <conditionalFormatting sqref="A179:C198 G179:I198">
    <cfRule type="expression" dxfId="873" priority="19">
      <formula>AND($H179 &gt; 0, ISNUMBER($H179))</formula>
    </cfRule>
    <cfRule type="expression" dxfId="872" priority="20">
      <formula>AND($H179 = 0 * ISNUMBER($H179))</formula>
    </cfRule>
    <cfRule type="expression" dxfId="871" priority="21">
      <formula>AND($H179 &lt; 0, ISNUMBER($H179))</formula>
    </cfRule>
  </conditionalFormatting>
  <conditionalFormatting sqref="A179:C198 J179:L198">
    <cfRule type="expression" dxfId="870" priority="16">
      <formula>AND($K179 &gt; 0, ISNUMBER($K179))</formula>
    </cfRule>
    <cfRule type="expression" dxfId="869" priority="17">
      <formula>AND($K179 = 0 * ISNUMBER($K179))</formula>
    </cfRule>
    <cfRule type="expression" dxfId="868" priority="18">
      <formula>AND($K179 &lt; 0, ISNUMBER($K179))</formula>
    </cfRule>
  </conditionalFormatting>
  <conditionalFormatting sqref="D177:F178 E199:F199">
    <cfRule type="expression" dxfId="867" priority="10">
      <formula>$E$199 &gt; 0</formula>
    </cfRule>
    <cfRule type="expression" dxfId="866" priority="11">
      <formula>$E$199 = 0</formula>
    </cfRule>
    <cfRule type="expression" dxfId="865" priority="12">
      <formula>$E$199 &lt; 0</formula>
    </cfRule>
  </conditionalFormatting>
  <conditionalFormatting sqref="G177:I178 H199:I199">
    <cfRule type="expression" dxfId="864" priority="7">
      <formula>$H$199 &gt; 0</formula>
    </cfRule>
    <cfRule type="expression" dxfId="863" priority="8">
      <formula>$H$199 = 0</formula>
    </cfRule>
    <cfRule type="expression" dxfId="862" priority="9">
      <formula>$H$199 &lt; 0</formula>
    </cfRule>
  </conditionalFormatting>
  <conditionalFormatting sqref="J177:L178 K199:L199">
    <cfRule type="expression" dxfId="861" priority="4">
      <formula>$K$199 &gt; 0</formula>
    </cfRule>
    <cfRule type="expression" dxfId="860" priority="5">
      <formula>$K$199 = 0</formula>
    </cfRule>
    <cfRule type="expression" dxfId="859" priority="6">
      <formula>$K$199 &lt; 0</formula>
    </cfRule>
  </conditionalFormatting>
  <conditionalFormatting sqref="M177:O178 N199:O199">
    <cfRule type="expression" dxfId="858" priority="1">
      <formula>$N$199 &gt; 0</formula>
    </cfRule>
    <cfRule type="expression" dxfId="857" priority="2">
      <formula>$N$199 = 0</formula>
    </cfRule>
    <cfRule type="expression" dxfId="8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zoomScaleNormal="100" workbookViewId="0">
      <selection activeCell="G2" sqref="G2:I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9" t="s">
        <v>0</v>
      </c>
      <c r="B1" s="140"/>
      <c r="C1" s="140"/>
      <c r="D1" s="140"/>
      <c r="E1" s="140"/>
      <c r="F1" s="141"/>
      <c r="G1" s="169">
        <v>44318</v>
      </c>
      <c r="H1" s="170"/>
      <c r="I1" s="171"/>
      <c r="J1" s="139" t="s">
        <v>1</v>
      </c>
      <c r="K1" s="140"/>
      <c r="L1" s="140"/>
      <c r="M1" s="140"/>
      <c r="N1" s="140"/>
      <c r="O1" s="141"/>
      <c r="Q1" s="139" t="s">
        <v>2</v>
      </c>
      <c r="R1" s="141"/>
    </row>
    <row r="2" spans="1:19" ht="17.25" customHeight="1">
      <c r="A2" s="1" t="s">
        <v>3</v>
      </c>
      <c r="B2" s="166" t="s">
        <v>4</v>
      </c>
      <c r="C2" s="167"/>
      <c r="D2" s="167"/>
      <c r="E2" s="167"/>
      <c r="F2" s="168"/>
      <c r="G2" s="163" t="s">
        <v>46</v>
      </c>
      <c r="H2" s="164"/>
      <c r="I2" s="165"/>
      <c r="J2" s="1" t="s">
        <v>3</v>
      </c>
      <c r="K2" s="166" t="s">
        <v>5</v>
      </c>
      <c r="L2" s="167"/>
      <c r="M2" s="167"/>
      <c r="N2" s="167"/>
      <c r="O2" s="168"/>
      <c r="Q2" s="2" t="s">
        <v>6</v>
      </c>
      <c r="R2" s="3">
        <v>0.375</v>
      </c>
    </row>
    <row r="3" spans="1:19" ht="17.25" customHeight="1" thickBot="1">
      <c r="A3" s="4" t="s">
        <v>7</v>
      </c>
      <c r="B3" s="160" t="s">
        <v>8</v>
      </c>
      <c r="C3" s="161"/>
      <c r="D3" s="161"/>
      <c r="E3" s="161"/>
      <c r="F3" s="162"/>
      <c r="G3" s="15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158"/>
      <c r="I3" s="159"/>
      <c r="J3" s="4" t="s">
        <v>7</v>
      </c>
      <c r="K3" s="160" t="s">
        <v>9</v>
      </c>
      <c r="L3" s="161"/>
      <c r="M3" s="161"/>
      <c r="N3" s="161"/>
      <c r="O3" s="16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60" t="s">
        <v>12</v>
      </c>
      <c r="C4" s="161"/>
      <c r="D4" s="161"/>
      <c r="E4" s="161"/>
      <c r="F4" s="162"/>
      <c r="G4" s="163" t="s">
        <v>44</v>
      </c>
      <c r="H4" s="164"/>
      <c r="I4" s="165"/>
      <c r="J4" s="4" t="s">
        <v>11</v>
      </c>
      <c r="K4" s="160" t="s">
        <v>13</v>
      </c>
      <c r="L4" s="161"/>
      <c r="M4" s="161"/>
      <c r="N4" s="161"/>
      <c r="O4" s="162"/>
      <c r="Q4" s="66" t="s">
        <v>14</v>
      </c>
      <c r="R4" s="5">
        <v>0.95833333333333337</v>
      </c>
    </row>
    <row r="5" spans="1:19" ht="17.25" customHeight="1" thickBot="1">
      <c r="A5" s="4" t="s">
        <v>15</v>
      </c>
      <c r="B5" s="160" t="s">
        <v>16</v>
      </c>
      <c r="C5" s="161"/>
      <c r="D5" s="161"/>
      <c r="E5" s="161"/>
      <c r="F5" s="162"/>
      <c r="G5" s="15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158"/>
      <c r="I5" s="159"/>
      <c r="J5" s="4" t="s">
        <v>15</v>
      </c>
      <c r="K5" s="160" t="s">
        <v>17</v>
      </c>
      <c r="L5" s="161"/>
      <c r="M5" s="161"/>
      <c r="N5" s="161"/>
      <c r="O5" s="162"/>
    </row>
    <row r="6" spans="1:19">
      <c r="A6" s="4" t="s">
        <v>18</v>
      </c>
      <c r="B6" s="160" t="s">
        <v>19</v>
      </c>
      <c r="C6" s="161"/>
      <c r="D6" s="161"/>
      <c r="E6" s="161"/>
      <c r="F6" s="162"/>
      <c r="G6" s="163" t="s">
        <v>45</v>
      </c>
      <c r="H6" s="164"/>
      <c r="I6" s="165"/>
      <c r="J6" s="4" t="s">
        <v>18</v>
      </c>
      <c r="K6" s="160" t="s">
        <v>20</v>
      </c>
      <c r="L6" s="161"/>
      <c r="M6" s="161"/>
      <c r="N6" s="161"/>
      <c r="O6" s="162"/>
    </row>
    <row r="7" spans="1:19" ht="17.25" thickBot="1">
      <c r="A7" s="4" t="s">
        <v>21</v>
      </c>
      <c r="B7" s="160" t="s">
        <v>22</v>
      </c>
      <c r="C7" s="161"/>
      <c r="D7" s="161"/>
      <c r="E7" s="161"/>
      <c r="F7" s="162"/>
      <c r="G7" s="15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158"/>
      <c r="I7" s="159"/>
      <c r="J7" s="4" t="s">
        <v>21</v>
      </c>
      <c r="K7" s="160" t="s">
        <v>23</v>
      </c>
      <c r="L7" s="161"/>
      <c r="M7" s="161"/>
      <c r="N7" s="161"/>
      <c r="O7" s="162"/>
    </row>
    <row r="8" spans="1:19" ht="17.25" thickBot="1">
      <c r="A8" s="4" t="s">
        <v>24</v>
      </c>
      <c r="B8" s="160" t="s">
        <v>25</v>
      </c>
      <c r="C8" s="161"/>
      <c r="D8" s="161"/>
      <c r="E8" s="161"/>
      <c r="F8" s="162"/>
      <c r="G8" s="163" t="s">
        <v>285</v>
      </c>
      <c r="H8" s="164"/>
      <c r="I8" s="165"/>
      <c r="J8" s="4" t="s">
        <v>24</v>
      </c>
      <c r="K8" s="160" t="s">
        <v>26</v>
      </c>
      <c r="L8" s="161"/>
      <c r="M8" s="161"/>
      <c r="N8" s="161"/>
      <c r="O8" s="162"/>
      <c r="Q8" s="139" t="s">
        <v>27</v>
      </c>
      <c r="R8" s="141"/>
    </row>
    <row r="9" spans="1:19" ht="17.25" thickBot="1">
      <c r="A9" s="4" t="s">
        <v>28</v>
      </c>
      <c r="B9" s="160"/>
      <c r="C9" s="161"/>
      <c r="D9" s="161"/>
      <c r="E9" s="161"/>
      <c r="F9" s="162"/>
      <c r="G9" s="15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158"/>
      <c r="I9" s="159"/>
      <c r="J9" s="4" t="s">
        <v>28</v>
      </c>
      <c r="K9" s="160" t="s">
        <v>293</v>
      </c>
      <c r="L9" s="161"/>
      <c r="M9" s="161"/>
      <c r="N9" s="161"/>
      <c r="O9" s="162"/>
      <c r="Q9" s="2" t="s">
        <v>29</v>
      </c>
      <c r="R9" s="6">
        <v>10</v>
      </c>
    </row>
    <row r="10" spans="1:19">
      <c r="A10" s="4" t="s">
        <v>30</v>
      </c>
      <c r="B10" s="160"/>
      <c r="C10" s="161"/>
      <c r="D10" s="161"/>
      <c r="E10" s="161"/>
      <c r="F10" s="162"/>
      <c r="G10" s="163" t="s">
        <v>47</v>
      </c>
      <c r="H10" s="164"/>
      <c r="I10" s="165"/>
      <c r="J10" s="4" t="s">
        <v>30</v>
      </c>
      <c r="K10" s="160"/>
      <c r="L10" s="161"/>
      <c r="M10" s="161"/>
      <c r="N10" s="161"/>
      <c r="O10" s="162"/>
      <c r="Q10" s="2" t="s">
        <v>31</v>
      </c>
      <c r="R10" s="6">
        <v>100</v>
      </c>
    </row>
    <row r="11" spans="1:19" ht="17.25" thickBot="1">
      <c r="A11" s="7" t="s">
        <v>32</v>
      </c>
      <c r="B11" s="154"/>
      <c r="C11" s="155"/>
      <c r="D11" s="155"/>
      <c r="E11" s="155"/>
      <c r="F11" s="156"/>
      <c r="G11" s="15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158"/>
      <c r="I11" s="159"/>
      <c r="J11" s="7" t="s">
        <v>32</v>
      </c>
      <c r="K11" s="154"/>
      <c r="L11" s="155"/>
      <c r="M11" s="155"/>
      <c r="N11" s="155"/>
      <c r="O11" s="156"/>
      <c r="Q11" s="66" t="s">
        <v>33</v>
      </c>
      <c r="R11" s="8">
        <v>1000</v>
      </c>
    </row>
    <row r="12" spans="1:19" ht="17.25" thickBot="1"/>
    <row r="13" spans="1:19" ht="17.25" customHeight="1" thickBot="1">
      <c r="A13" s="139" t="s">
        <v>34</v>
      </c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1"/>
      <c r="Q13" s="138"/>
      <c r="R13" s="138"/>
      <c r="S13" s="138"/>
    </row>
    <row r="14" spans="1:19" ht="17.25" customHeight="1" thickBot="1">
      <c r="A14" s="112" t="s">
        <v>35</v>
      </c>
      <c r="B14" s="139" t="s">
        <v>36</v>
      </c>
      <c r="C14" s="141"/>
      <c r="D14" s="139" t="s">
        <v>37</v>
      </c>
      <c r="E14" s="140"/>
      <c r="F14" s="141"/>
      <c r="G14" s="142">
        <f>_xlfn.IFNA(VLOOKUP(B14, 현재가테이블!$B$2:$D$200, 2, FALSE), "-")</f>
        <v>68103000</v>
      </c>
      <c r="H14" s="143"/>
      <c r="I14" s="144"/>
      <c r="J14" s="139" t="s">
        <v>38</v>
      </c>
      <c r="K14" s="140"/>
      <c r="L14" s="141"/>
      <c r="M14" s="145">
        <f>_xlfn.IFNA(VLOOKUP(B14, 현재가테이블!$B$2:$D$200, 3, FALSE), "-")</f>
        <v>-1.37004156E-2</v>
      </c>
      <c r="N14" s="146"/>
      <c r="O14" s="147"/>
      <c r="Q14" s="138"/>
      <c r="R14" s="138"/>
      <c r="S14" s="138"/>
    </row>
    <row r="15" spans="1:19" ht="17.25" customHeight="1" thickBot="1">
      <c r="A15" s="148" t="s">
        <v>39</v>
      </c>
      <c r="B15" s="149" t="str">
        <f>TEXT($G$1, "[$-ko-KR]yyyy-mm-dd(ddd) ") &amp; "오전 00:00"</f>
        <v>2021-05-02(일) 오전 00:00</v>
      </c>
      <c r="C15" s="150"/>
      <c r="D15" s="151" t="str">
        <f>TEXT($G$1, "[$-ko-KR]yyyy-mm-dd(ddd) ") &amp; "오후 14:00"</f>
        <v>2021-05-02(일) 오후 14:00</v>
      </c>
      <c r="E15" s="152"/>
      <c r="F15" s="153"/>
      <c r="G15" s="151" t="str">
        <f>TEXT($G$1, "[$-ko-KR]yyyy-mm-dd(ddd) ") &amp; "오후 19:00"</f>
        <v>2021-05-02(일) 오후 19:00</v>
      </c>
      <c r="H15" s="152"/>
      <c r="I15" s="153"/>
      <c r="J15" s="151" t="str">
        <f>TEXT($G$1, "[$-ko-KR]yyyy-mm-dd(ddd) ") &amp; "오후 21:00"</f>
        <v>2021-05-02(일) 오후 21:00</v>
      </c>
      <c r="K15" s="152"/>
      <c r="L15" s="153"/>
      <c r="M15" s="151" t="str">
        <f>TEXT($G$1+1, "[$-ko-KR]yyyy-mm-dd(ddd) ") &amp; "오전 00:00"</f>
        <v>2021-05-03(월) 오전 00:00</v>
      </c>
      <c r="N15" s="152"/>
      <c r="O15" s="153"/>
      <c r="Q15" s="138"/>
      <c r="R15" s="138"/>
      <c r="S15" s="138"/>
    </row>
    <row r="16" spans="1:19" ht="17.25" customHeight="1" thickBot="1">
      <c r="A16" s="148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6" t="s">
        <v>41</v>
      </c>
      <c r="M16" s="2" t="s">
        <v>37</v>
      </c>
      <c r="N16" s="10" t="s">
        <v>40</v>
      </c>
      <c r="O16" s="67" t="s">
        <v>41</v>
      </c>
      <c r="Q16" s="117"/>
      <c r="R16" s="117"/>
      <c r="S16" s="117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101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138"/>
      <c r="R17" s="138"/>
      <c r="S17" s="138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102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138"/>
      <c r="R18" s="138"/>
      <c r="S18" s="138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102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117"/>
      <c r="R19" s="117"/>
      <c r="S19" s="117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102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117"/>
      <c r="R20" s="117"/>
      <c r="S20" s="117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6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117"/>
      <c r="R21" s="117"/>
      <c r="S21" s="117"/>
    </row>
    <row r="22" spans="1:19" ht="17.25" customHeight="1" thickBot="1">
      <c r="A22" s="17"/>
      <c r="B22" s="107" t="str">
        <f t="shared" si="0"/>
        <v/>
      </c>
      <c r="C22" s="108" t="str">
        <f t="shared" si="1"/>
        <v/>
      </c>
      <c r="D22" s="107" t="str">
        <f t="shared" si="2"/>
        <v/>
      </c>
      <c r="E22" s="108" t="str">
        <f t="shared" si="3"/>
        <v/>
      </c>
      <c r="F22" s="109" t="str">
        <f t="shared" si="4"/>
        <v/>
      </c>
      <c r="G22" s="110" t="str">
        <f t="shared" si="5"/>
        <v/>
      </c>
      <c r="H22" s="108" t="str">
        <f t="shared" si="6"/>
        <v/>
      </c>
      <c r="I22" s="111" t="str">
        <f t="shared" si="7"/>
        <v/>
      </c>
      <c r="J22" s="107" t="str">
        <f t="shared" si="8"/>
        <v/>
      </c>
      <c r="K22" s="108" t="str">
        <f t="shared" si="9"/>
        <v/>
      </c>
      <c r="L22" s="109" t="str">
        <f t="shared" si="10"/>
        <v/>
      </c>
      <c r="M22" s="110" t="str">
        <f t="shared" si="11"/>
        <v/>
      </c>
      <c r="N22" s="108" t="str">
        <f t="shared" si="12"/>
        <v/>
      </c>
      <c r="O22" s="109" t="str">
        <f t="shared" si="13"/>
        <v/>
      </c>
      <c r="Q22" s="117"/>
      <c r="R22" s="117"/>
      <c r="S22" s="11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2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17"/>
      <c r="R23" s="117"/>
      <c r="S23" s="11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2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17"/>
      <c r="R24" s="117"/>
      <c r="S24" s="11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2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5" t="str">
        <f t="shared" si="4"/>
        <v/>
      </c>
      <c r="G26" s="103" t="str">
        <f t="shared" si="5"/>
        <v/>
      </c>
      <c r="H26" s="25" t="str">
        <f t="shared" si="6"/>
        <v/>
      </c>
      <c r="I26" s="104" t="str">
        <f t="shared" si="7"/>
        <v/>
      </c>
      <c r="J26" s="24" t="str">
        <f t="shared" si="8"/>
        <v/>
      </c>
      <c r="K26" s="25" t="str">
        <f t="shared" si="9"/>
        <v/>
      </c>
      <c r="L26" s="105" t="str">
        <f t="shared" si="10"/>
        <v/>
      </c>
      <c r="M26" s="103" t="str">
        <f t="shared" si="11"/>
        <v/>
      </c>
      <c r="N26" s="25" t="str">
        <f t="shared" si="12"/>
        <v/>
      </c>
      <c r="O26" s="105" t="str">
        <f t="shared" si="13"/>
        <v/>
      </c>
      <c r="Q26" s="129"/>
      <c r="R26" s="130"/>
      <c r="S26" s="13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1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32"/>
      <c r="R27" s="133"/>
      <c r="S27" s="13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2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35"/>
      <c r="R28" s="136"/>
      <c r="S28" s="13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2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17"/>
      <c r="R29" s="117"/>
      <c r="S29" s="11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2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38"/>
      <c r="R30" s="138"/>
      <c r="S30" s="13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6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38"/>
      <c r="R31" s="138"/>
      <c r="S31" s="138"/>
    </row>
    <row r="32" spans="1:19" ht="17.25" customHeight="1" thickBot="1">
      <c r="A32" s="17"/>
      <c r="B32" s="107" t="str">
        <f t="shared" si="0"/>
        <v/>
      </c>
      <c r="C32" s="108" t="str">
        <f t="shared" si="1"/>
        <v/>
      </c>
      <c r="D32" s="107" t="str">
        <f t="shared" si="2"/>
        <v/>
      </c>
      <c r="E32" s="108" t="str">
        <f t="shared" si="3"/>
        <v/>
      </c>
      <c r="F32" s="109" t="str">
        <f t="shared" si="4"/>
        <v/>
      </c>
      <c r="G32" s="110" t="str">
        <f t="shared" si="5"/>
        <v/>
      </c>
      <c r="H32" s="108" t="str">
        <f t="shared" si="6"/>
        <v/>
      </c>
      <c r="I32" s="111" t="str">
        <f t="shared" si="7"/>
        <v/>
      </c>
      <c r="J32" s="107" t="str">
        <f t="shared" si="8"/>
        <v/>
      </c>
      <c r="K32" s="108" t="str">
        <f t="shared" si="9"/>
        <v/>
      </c>
      <c r="L32" s="109" t="str">
        <f t="shared" si="10"/>
        <v/>
      </c>
      <c r="M32" s="110" t="str">
        <f t="shared" si="11"/>
        <v/>
      </c>
      <c r="N32" s="108" t="str">
        <f t="shared" si="12"/>
        <v/>
      </c>
      <c r="O32" s="109" t="str">
        <f t="shared" si="13"/>
        <v/>
      </c>
      <c r="Q32" s="117"/>
      <c r="R32" s="117"/>
      <c r="S32" s="11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2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17"/>
      <c r="R33" s="117"/>
      <c r="S33" s="11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2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17"/>
      <c r="R34" s="117"/>
      <c r="S34" s="11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2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18"/>
      <c r="R35" s="119"/>
      <c r="S35" s="120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5" t="str">
        <f t="shared" si="4"/>
        <v/>
      </c>
      <c r="G36" s="103" t="str">
        <f t="shared" si="5"/>
        <v/>
      </c>
      <c r="H36" s="25" t="str">
        <f t="shared" si="6"/>
        <v/>
      </c>
      <c r="I36" s="104" t="str">
        <f t="shared" si="7"/>
        <v/>
      </c>
      <c r="J36" s="24" t="str">
        <f t="shared" si="8"/>
        <v/>
      </c>
      <c r="K36" s="25" t="str">
        <f t="shared" si="9"/>
        <v/>
      </c>
      <c r="L36" s="105" t="str">
        <f t="shared" si="10"/>
        <v/>
      </c>
      <c r="M36" s="103" t="str">
        <f t="shared" si="11"/>
        <v/>
      </c>
      <c r="N36" s="25" t="str">
        <f t="shared" si="12"/>
        <v/>
      </c>
      <c r="O36" s="105" t="str">
        <f t="shared" si="13"/>
        <v/>
      </c>
      <c r="Q36" s="121"/>
      <c r="R36" s="122"/>
      <c r="S36" s="123"/>
    </row>
    <row r="37" spans="1:19" ht="17.25" customHeight="1" thickBot="1">
      <c r="A37" s="26" t="s">
        <v>42</v>
      </c>
      <c r="B37" s="127">
        <v>300000</v>
      </c>
      <c r="C37" s="128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124"/>
      <c r="R37" s="125"/>
      <c r="S37" s="126"/>
    </row>
    <row r="38" spans="1:19" ht="17.25" customHeight="1"/>
    <row r="39" spans="1:19" ht="17.25" customHeight="1" thickBot="1"/>
    <row r="40" spans="1:19" ht="17.25" customHeight="1" thickBot="1">
      <c r="A40" s="139" t="s">
        <v>44</v>
      </c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1"/>
      <c r="Q40" s="138"/>
      <c r="R40" s="138"/>
      <c r="S40" s="138"/>
    </row>
    <row r="41" spans="1:19" ht="17.25" customHeight="1" thickBot="1">
      <c r="A41" s="112" t="s">
        <v>298</v>
      </c>
      <c r="B41" s="139" t="s">
        <v>49</v>
      </c>
      <c r="C41" s="141"/>
      <c r="D41" s="139" t="s">
        <v>58</v>
      </c>
      <c r="E41" s="140"/>
      <c r="F41" s="141"/>
      <c r="G41" s="142">
        <f>_xlfn.IFNA(VLOOKUP(B41, 현재가테이블!$B$2:$D$200, 2, FALSE), "-")</f>
        <v>68103000</v>
      </c>
      <c r="H41" s="143"/>
      <c r="I41" s="144"/>
      <c r="J41" s="139" t="s">
        <v>59</v>
      </c>
      <c r="K41" s="140"/>
      <c r="L41" s="141"/>
      <c r="M41" s="145">
        <f>_xlfn.IFNA(VLOOKUP(B41, 현재가테이블!$B$2:$D$200, 3, FALSE), "-")</f>
        <v>-1.37004156E-2</v>
      </c>
      <c r="N41" s="146"/>
      <c r="O41" s="147"/>
      <c r="Q41" s="138"/>
      <c r="R41" s="138"/>
      <c r="S41" s="138"/>
    </row>
    <row r="42" spans="1:19" ht="17.25" customHeight="1" thickBot="1">
      <c r="A42" s="187" t="s">
        <v>55</v>
      </c>
      <c r="B42" s="189" t="str">
        <f>TEXT($G$1, "[$-ko-KR]yyyy-mm-dd(ddd) ") &amp; "오전 00:00"</f>
        <v>2021-05-02(일) 오전 00:00</v>
      </c>
      <c r="C42" s="190"/>
      <c r="D42" s="151" t="str">
        <f>TEXT($G$1, "[$-ko-KR]yyyy-mm-dd(ddd) ") &amp; "오후 14:00"</f>
        <v>2021-05-02(일) 오후 14:00</v>
      </c>
      <c r="E42" s="152"/>
      <c r="F42" s="153"/>
      <c r="G42" s="151" t="str">
        <f>TEXT($G$1, "[$-ko-KR]yyyy-mm-dd(ddd) ") &amp; "오후 19:00"</f>
        <v>2021-05-02(일) 오후 19:00</v>
      </c>
      <c r="H42" s="152"/>
      <c r="I42" s="153"/>
      <c r="J42" s="151" t="str">
        <f>TEXT($G$1, "[$-ko-KR]yyyy-mm-dd(ddd) ") &amp; "오후 21:00"</f>
        <v>2021-05-02(일) 오후 21:00</v>
      </c>
      <c r="K42" s="152"/>
      <c r="L42" s="153"/>
      <c r="M42" s="151" t="str">
        <f>TEXT($G$1+1, "[$-ko-KR]yyyy-mm-dd(ddd) ") &amp; "오전 00:00"</f>
        <v>2021-05-03(월) 오전 00:00</v>
      </c>
      <c r="N42" s="152"/>
      <c r="O42" s="153"/>
      <c r="Q42" s="138"/>
      <c r="R42" s="138"/>
      <c r="S42" s="138"/>
    </row>
    <row r="43" spans="1:19" ht="17.25" customHeight="1" thickBot="1">
      <c r="A43" s="188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6" t="s">
        <v>300</v>
      </c>
      <c r="M43" s="2" t="s">
        <v>58</v>
      </c>
      <c r="N43" s="10" t="s">
        <v>299</v>
      </c>
      <c r="O43" s="67" t="s">
        <v>300</v>
      </c>
      <c r="Q43" s="117"/>
      <c r="R43" s="117"/>
      <c r="S43" s="117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101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138"/>
      <c r="R44" s="138"/>
      <c r="S44" s="138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102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138"/>
      <c r="R45" s="138"/>
      <c r="S45" s="138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102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117"/>
      <c r="R46" s="117"/>
      <c r="S46" s="117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102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117"/>
      <c r="R47" s="117"/>
      <c r="S47" s="117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6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117"/>
      <c r="R48" s="117"/>
      <c r="S48" s="117"/>
    </row>
    <row r="49" spans="1:19" ht="17.25" customHeight="1" thickBot="1">
      <c r="A49" s="17" t="s">
        <v>198</v>
      </c>
      <c r="B49" s="107">
        <v>31.7</v>
      </c>
      <c r="C49" s="108">
        <v>-2.1604938300000001E-2</v>
      </c>
      <c r="D49" s="107">
        <v>31.5</v>
      </c>
      <c r="E49" s="108">
        <f>IF(ISNUMBER(D49), (D49 - $B49) / $B49, "")</f>
        <v>-6.3091482649842053E-3</v>
      </c>
      <c r="F49" s="109">
        <f>IF(ISNUMBER(D49), $B64 * E49, "")</f>
        <v>-1892.7444794952617</v>
      </c>
      <c r="G49" s="110">
        <v>31.4</v>
      </c>
      <c r="H49" s="108">
        <f>IF(ISNUMBER(G49), (G49 - $B49) / $B49, "")</f>
        <v>-9.4637223974763634E-3</v>
      </c>
      <c r="I49" s="111">
        <f>IF(ISNUMBER(G49), $B64 * H49, "")</f>
        <v>-2839.1167192429089</v>
      </c>
      <c r="J49" s="107">
        <v>31.4</v>
      </c>
      <c r="K49" s="108">
        <f>IF(ISNUMBER(J49), (J49 - $B49) / $B49, "")</f>
        <v>-9.4637223974763634E-3</v>
      </c>
      <c r="L49" s="109">
        <f>IF(ISNUMBER(J49), $B64 * K49, "")</f>
        <v>-2839.1167192429089</v>
      </c>
      <c r="M49" s="110">
        <v>31.6</v>
      </c>
      <c r="N49" s="108">
        <f>IF(ISNUMBER(M49), (M49 - $B49) / $B49, "")</f>
        <v>-3.1545741324920462E-3</v>
      </c>
      <c r="O49" s="109">
        <f>IF(ISNUMBER(M49), $B64 * N49, "")</f>
        <v>-946.37223974761389</v>
      </c>
      <c r="Q49" s="117"/>
      <c r="R49" s="117"/>
      <c r="S49" s="117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102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117"/>
      <c r="R50" s="117"/>
      <c r="S50" s="117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102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117"/>
      <c r="R51" s="117"/>
      <c r="S51" s="117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102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5">
        <f>IF(ISNUMBER(D53), $B64 * E53, "")</f>
        <v>-1239.6694214875768</v>
      </c>
      <c r="G53" s="103">
        <v>24</v>
      </c>
      <c r="H53" s="25">
        <f t="shared" si="19"/>
        <v>-8.2644628099173261E-3</v>
      </c>
      <c r="I53" s="104">
        <f>IF(ISNUMBER(G53), $B64 * H53, "")</f>
        <v>-2479.3388429751976</v>
      </c>
      <c r="J53" s="24">
        <v>24.2</v>
      </c>
      <c r="K53" s="25">
        <f t="shared" si="20"/>
        <v>0</v>
      </c>
      <c r="L53" s="105">
        <f>IF(ISNUMBER(J53), $B64 * K53, "")</f>
        <v>0</v>
      </c>
      <c r="M53" s="103">
        <v>24.5</v>
      </c>
      <c r="N53" s="25">
        <f t="shared" si="21"/>
        <v>1.2396694214876063E-2</v>
      </c>
      <c r="O53" s="105">
        <f>IF(ISNUMBER(M53), $B64 * N53, "")</f>
        <v>3719.0082644628187</v>
      </c>
      <c r="Q53" s="129"/>
      <c r="R53" s="130"/>
      <c r="S53" s="131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101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132"/>
      <c r="R54" s="133"/>
      <c r="S54" s="134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102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135"/>
      <c r="R55" s="136"/>
      <c r="S55" s="137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102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117"/>
      <c r="R56" s="117"/>
      <c r="S56" s="117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102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138"/>
      <c r="R57" s="138"/>
      <c r="S57" s="138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6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138"/>
      <c r="R58" s="138"/>
      <c r="S58" s="138"/>
    </row>
    <row r="59" spans="1:19" ht="17.25" customHeight="1" thickBot="1">
      <c r="A59" s="17" t="s">
        <v>218</v>
      </c>
      <c r="B59" s="107">
        <v>32.1</v>
      </c>
      <c r="C59" s="108">
        <v>-3.3132530100000002E-2</v>
      </c>
      <c r="D59" s="107">
        <v>31.5</v>
      </c>
      <c r="E59" s="108">
        <f>IF(ISNUMBER(D59), (D59 - $B59) / $B59, "")</f>
        <v>-1.8691588785046773E-2</v>
      </c>
      <c r="F59" s="109">
        <f>IF(ISNUMBER(D59), $B64 * E59, "")</f>
        <v>-5607.4766355140318</v>
      </c>
      <c r="G59" s="110">
        <v>31.8</v>
      </c>
      <c r="H59" s="108">
        <f>IF(ISNUMBER(G59), (G59 - $B59) / $B59, "")</f>
        <v>-9.3457943925233863E-3</v>
      </c>
      <c r="I59" s="111">
        <f>IF(ISNUMBER(G59), $B64 * H59, "")</f>
        <v>-2803.7383177570159</v>
      </c>
      <c r="J59" s="107">
        <v>31.8</v>
      </c>
      <c r="K59" s="108">
        <f>IF(ISNUMBER(J59), (J59 - $B59) / $B59, "")</f>
        <v>-9.3457943925233863E-3</v>
      </c>
      <c r="L59" s="109">
        <f>IF(ISNUMBER(J59), $B64 * K59, "")</f>
        <v>-2803.7383177570159</v>
      </c>
      <c r="M59" s="110">
        <v>32.1</v>
      </c>
      <c r="N59" s="108">
        <f>IF(ISNUMBER(M59), (M59 - $B59) / $B59, "")</f>
        <v>0</v>
      </c>
      <c r="O59" s="109">
        <f>IF(ISNUMBER(M59), $B64 * N59, "")</f>
        <v>0</v>
      </c>
      <c r="Q59" s="117"/>
      <c r="R59" s="117"/>
      <c r="S59" s="117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102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117"/>
      <c r="R60" s="117"/>
      <c r="S60" s="117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102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117"/>
      <c r="R61" s="117"/>
      <c r="S61" s="117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102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118"/>
      <c r="R62" s="119"/>
      <c r="S62" s="120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5" t="str">
        <f>IF(ISNUMBER(D63), $B64 * E63, "")</f>
        <v/>
      </c>
      <c r="G63" s="103" t="s">
        <v>297</v>
      </c>
      <c r="H63" s="25" t="str">
        <f t="shared" si="27"/>
        <v/>
      </c>
      <c r="I63" s="104" t="str">
        <f>IF(ISNUMBER(G63), $B64 * H63, "")</f>
        <v/>
      </c>
      <c r="J63" s="24" t="s">
        <v>297</v>
      </c>
      <c r="K63" s="25" t="str">
        <f t="shared" si="28"/>
        <v/>
      </c>
      <c r="L63" s="105" t="str">
        <f>IF(ISNUMBER(J63), $B64 * K63, "")</f>
        <v/>
      </c>
      <c r="M63" s="103" t="s">
        <v>297</v>
      </c>
      <c r="N63" s="25" t="str">
        <f t="shared" si="29"/>
        <v/>
      </c>
      <c r="O63" s="105" t="str">
        <f>IF(ISNUMBER(M63), $B64 * N63, "")</f>
        <v/>
      </c>
      <c r="Q63" s="121"/>
      <c r="R63" s="122"/>
      <c r="S63" s="123"/>
    </row>
    <row r="64" spans="1:19" ht="17.25" customHeight="1" thickBot="1">
      <c r="A64" s="26" t="s">
        <v>301</v>
      </c>
      <c r="B64" s="127">
        <f>$B$37</f>
        <v>300000</v>
      </c>
      <c r="C64" s="128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124"/>
      <c r="R64" s="125"/>
      <c r="S64" s="126"/>
    </row>
    <row r="65" spans="1:19" ht="17.25" customHeight="1"/>
    <row r="66" spans="1:19" ht="17.25" customHeight="1" thickBot="1"/>
    <row r="67" spans="1:19" ht="17.25" thickBot="1">
      <c r="A67" s="139" t="s">
        <v>45</v>
      </c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1"/>
      <c r="Q67" s="138"/>
      <c r="R67" s="138"/>
      <c r="S67" s="138"/>
    </row>
    <row r="68" spans="1:19" ht="17.25" thickBot="1">
      <c r="A68" s="112" t="s">
        <v>298</v>
      </c>
      <c r="B68" s="139" t="s">
        <v>49</v>
      </c>
      <c r="C68" s="141"/>
      <c r="D68" s="139" t="s">
        <v>58</v>
      </c>
      <c r="E68" s="140"/>
      <c r="F68" s="141"/>
      <c r="G68" s="142">
        <f>_xlfn.IFNA(VLOOKUP(B68, 현재가테이블!$B$2:$D$200, 2, FALSE), "-")</f>
        <v>68103000</v>
      </c>
      <c r="H68" s="143"/>
      <c r="I68" s="144"/>
      <c r="J68" s="139" t="s">
        <v>59</v>
      </c>
      <c r="K68" s="140"/>
      <c r="L68" s="141"/>
      <c r="M68" s="145">
        <f>_xlfn.IFNA(VLOOKUP(B68, 현재가테이블!$B$2:$D$200, 3, FALSE), "-")</f>
        <v>-1.37004156E-2</v>
      </c>
      <c r="N68" s="146"/>
      <c r="O68" s="147"/>
      <c r="Q68" s="138"/>
      <c r="R68" s="138"/>
      <c r="S68" s="138"/>
    </row>
    <row r="69" spans="1:19" ht="17.25" thickBot="1">
      <c r="A69" s="187" t="s">
        <v>55</v>
      </c>
      <c r="B69" s="189" t="str">
        <f>TEXT($G$1, "[$-ko-KR]yyyy-mm-dd(ddd) ") &amp; "오전 00:00"</f>
        <v>2021-05-02(일) 오전 00:00</v>
      </c>
      <c r="C69" s="190"/>
      <c r="D69" s="151" t="str">
        <f>TEXT($G$1, "[$-ko-KR]yyyy-mm-dd(ddd) ") &amp; "오후 14:00"</f>
        <v>2021-05-02(일) 오후 14:00</v>
      </c>
      <c r="E69" s="152"/>
      <c r="F69" s="153"/>
      <c r="G69" s="151" t="str">
        <f>TEXT($G$1, "[$-ko-KR]yyyy-mm-dd(ddd) ") &amp; "오후 19:00"</f>
        <v>2021-05-02(일) 오후 19:00</v>
      </c>
      <c r="H69" s="152"/>
      <c r="I69" s="153"/>
      <c r="J69" s="151" t="str">
        <f>TEXT($G$1, "[$-ko-KR]yyyy-mm-dd(ddd) ") &amp; "오후 21:00"</f>
        <v>2021-05-02(일) 오후 21:00</v>
      </c>
      <c r="K69" s="152"/>
      <c r="L69" s="153"/>
      <c r="M69" s="151" t="str">
        <f>TEXT($G$1+1, "[$-ko-KR]yyyy-mm-dd(ddd) ") &amp; "오전 00:00"</f>
        <v>2021-05-03(월) 오전 00:00</v>
      </c>
      <c r="N69" s="152"/>
      <c r="O69" s="153"/>
      <c r="Q69" s="138"/>
      <c r="R69" s="138"/>
      <c r="S69" s="138"/>
    </row>
    <row r="70" spans="1:19" ht="17.25" thickBot="1">
      <c r="A70" s="188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6" t="s">
        <v>300</v>
      </c>
      <c r="M70" s="2" t="s">
        <v>58</v>
      </c>
      <c r="N70" s="10" t="s">
        <v>299</v>
      </c>
      <c r="O70" s="67" t="s">
        <v>300</v>
      </c>
      <c r="Q70" s="117"/>
      <c r="R70" s="117"/>
      <c r="S70" s="117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101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138"/>
      <c r="R71" s="138"/>
      <c r="S71" s="138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102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138"/>
      <c r="R72" s="138"/>
      <c r="S72" s="138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102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117"/>
      <c r="R73" s="117"/>
      <c r="S73" s="117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102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117"/>
      <c r="R74" s="117"/>
      <c r="S74" s="117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6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117"/>
      <c r="R75" s="117"/>
      <c r="S75" s="117"/>
    </row>
    <row r="76" spans="1:19" ht="17.25" thickBot="1">
      <c r="A76" s="17" t="s">
        <v>226</v>
      </c>
      <c r="B76" s="107">
        <v>563</v>
      </c>
      <c r="C76" s="108">
        <v>3.8745387499999999E-2</v>
      </c>
      <c r="D76" s="107">
        <v>539</v>
      </c>
      <c r="E76" s="108">
        <f>IF(ISNUMBER(D76), (D76 - $B76) / $B76, "")</f>
        <v>-4.2628774422735348E-2</v>
      </c>
      <c r="F76" s="109">
        <f>IF(ISNUMBER(D76), $B91 * E76, "")</f>
        <v>-12788.632326820605</v>
      </c>
      <c r="G76" s="110">
        <v>535</v>
      </c>
      <c r="H76" s="108">
        <f>IF(ISNUMBER(G76), (G76 - $B76) / $B76, "")</f>
        <v>-4.9733570159857902E-2</v>
      </c>
      <c r="I76" s="111">
        <f>IF(ISNUMBER(G76), $B91 * H76, "")</f>
        <v>-14920.07104795737</v>
      </c>
      <c r="J76" s="107">
        <v>541</v>
      </c>
      <c r="K76" s="108">
        <f>IF(ISNUMBER(J76), (J76 - $B76) / $B76, "")</f>
        <v>-3.9076376554174071E-2</v>
      </c>
      <c r="L76" s="109">
        <f>IF(ISNUMBER(J76), $B91 * K76, "")</f>
        <v>-11722.912966252221</v>
      </c>
      <c r="M76" s="110">
        <v>543</v>
      </c>
      <c r="N76" s="108">
        <f>IF(ISNUMBER(M76), (M76 - $B76) / $B76, "")</f>
        <v>-3.5523978685612786E-2</v>
      </c>
      <c r="O76" s="109">
        <f>IF(ISNUMBER(M76), $B91 * N76, "")</f>
        <v>-10657.193605683837</v>
      </c>
      <c r="Q76" s="117"/>
      <c r="R76" s="117"/>
      <c r="S76" s="117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102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117"/>
      <c r="R77" s="117"/>
      <c r="S77" s="117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102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117"/>
      <c r="R78" s="117"/>
      <c r="S78" s="117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102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5">
        <f>IF(ISNUMBER(D80), $B91 * E80, "")</f>
        <v>-7535.3218210361074</v>
      </c>
      <c r="G80" s="103">
        <v>619</v>
      </c>
      <c r="H80" s="25">
        <f t="shared" si="35"/>
        <v>-2.8257456828885402E-2</v>
      </c>
      <c r="I80" s="104">
        <f>IF(ISNUMBER(G80), $B91 * H80, "")</f>
        <v>-8477.23704866562</v>
      </c>
      <c r="J80" s="24">
        <v>623</v>
      </c>
      <c r="K80" s="25">
        <f t="shared" si="36"/>
        <v>-2.197802197802198E-2</v>
      </c>
      <c r="L80" s="105">
        <f>IF(ISNUMBER(J80), $B91 * K80, "")</f>
        <v>-6593.4065934065939</v>
      </c>
      <c r="M80" s="103">
        <v>626</v>
      </c>
      <c r="N80" s="25">
        <f t="shared" si="37"/>
        <v>-1.726844583987441E-2</v>
      </c>
      <c r="O80" s="105">
        <f>IF(ISNUMBER(M80), $B91 * N80, "")</f>
        <v>-5180.5337519623226</v>
      </c>
      <c r="Q80" s="129"/>
      <c r="R80" s="130"/>
      <c r="S80" s="131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101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132"/>
      <c r="R81" s="133"/>
      <c r="S81" s="134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102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135"/>
      <c r="R82" s="136"/>
      <c r="S82" s="137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102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117"/>
      <c r="R83" s="117"/>
      <c r="S83" s="117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102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138"/>
      <c r="R84" s="138"/>
      <c r="S84" s="138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6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138"/>
      <c r="R85" s="138"/>
      <c r="S85" s="138"/>
    </row>
    <row r="86" spans="1:19" ht="17.25" thickBot="1">
      <c r="A86" s="17" t="s">
        <v>120</v>
      </c>
      <c r="B86" s="107">
        <v>230</v>
      </c>
      <c r="C86" s="108">
        <v>0</v>
      </c>
      <c r="D86" s="107">
        <v>228</v>
      </c>
      <c r="E86" s="108">
        <f>IF(ISNUMBER(D86), (D86 - $B86) / $B86, "")</f>
        <v>-8.6956521739130436E-3</v>
      </c>
      <c r="F86" s="109">
        <f>IF(ISNUMBER(D86), $B91 * E86, "")</f>
        <v>-2608.695652173913</v>
      </c>
      <c r="G86" s="110">
        <v>227</v>
      </c>
      <c r="H86" s="108">
        <f>IF(ISNUMBER(G86), (G86 - $B86) / $B86, "")</f>
        <v>-1.3043478260869565E-2</v>
      </c>
      <c r="I86" s="111">
        <f>IF(ISNUMBER(G86), $B91 * H86, "")</f>
        <v>-3913.0434782608695</v>
      </c>
      <c r="J86" s="107">
        <v>227</v>
      </c>
      <c r="K86" s="108">
        <f>IF(ISNUMBER(J86), (J86 - $B86) / $B86, "")</f>
        <v>-1.3043478260869565E-2</v>
      </c>
      <c r="L86" s="109">
        <f>IF(ISNUMBER(J86), $B91 * K86, "")</f>
        <v>-3913.0434782608695</v>
      </c>
      <c r="M86" s="110">
        <v>226</v>
      </c>
      <c r="N86" s="108">
        <f>IF(ISNUMBER(M86), (M86 - $B86) / $B86, "")</f>
        <v>-1.7391304347826087E-2</v>
      </c>
      <c r="O86" s="109">
        <f>IF(ISNUMBER(M86), $B91 * N86, "")</f>
        <v>-5217.391304347826</v>
      </c>
      <c r="Q86" s="117"/>
      <c r="R86" s="117"/>
      <c r="S86" s="117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102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117"/>
      <c r="R87" s="117"/>
      <c r="S87" s="117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102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117"/>
      <c r="R88" s="117"/>
      <c r="S88" s="117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102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118"/>
      <c r="R89" s="119"/>
      <c r="S89" s="120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5">
        <f>IF(ISNUMBER(D90), $B91 * E90, "")</f>
        <v>24255.319148936171</v>
      </c>
      <c r="G90" s="103">
        <v>255</v>
      </c>
      <c r="H90" s="25">
        <f t="shared" si="43"/>
        <v>8.5106382978723402E-2</v>
      </c>
      <c r="I90" s="104">
        <f>IF(ISNUMBER(G90), $B91 * H90, "")</f>
        <v>25531.91489361702</v>
      </c>
      <c r="J90" s="24">
        <v>255</v>
      </c>
      <c r="K90" s="25">
        <f t="shared" si="44"/>
        <v>8.5106382978723402E-2</v>
      </c>
      <c r="L90" s="105">
        <f>IF(ISNUMBER(J90), $B91 * K90, "")</f>
        <v>25531.91489361702</v>
      </c>
      <c r="M90" s="103">
        <v>254</v>
      </c>
      <c r="N90" s="25">
        <f t="shared" si="45"/>
        <v>8.085106382978724E-2</v>
      </c>
      <c r="O90" s="105">
        <f>IF(ISNUMBER(M90), $B91 * N90, "")</f>
        <v>24255.319148936171</v>
      </c>
      <c r="Q90" s="121"/>
      <c r="R90" s="122"/>
      <c r="S90" s="123"/>
    </row>
    <row r="91" spans="1:19" ht="17.25" thickBot="1">
      <c r="A91" s="26" t="s">
        <v>301</v>
      </c>
      <c r="B91" s="127">
        <f>$B$37</f>
        <v>300000</v>
      </c>
      <c r="C91" s="128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124"/>
      <c r="R91" s="125"/>
      <c r="S91" s="126"/>
    </row>
    <row r="93" spans="1:19" ht="17.25" thickBot="1"/>
    <row r="94" spans="1:19" ht="17.25" thickBot="1">
      <c r="A94" s="139" t="s">
        <v>46</v>
      </c>
      <c r="B94" s="140"/>
      <c r="C94" s="140"/>
      <c r="D94" s="140"/>
      <c r="E94" s="140"/>
      <c r="F94" s="140"/>
      <c r="G94" s="140"/>
      <c r="H94" s="140"/>
      <c r="I94" s="140"/>
      <c r="J94" s="140"/>
      <c r="K94" s="140"/>
      <c r="L94" s="140"/>
      <c r="M94" s="140"/>
      <c r="N94" s="140"/>
      <c r="O94" s="141"/>
      <c r="Q94" s="138"/>
      <c r="R94" s="138"/>
      <c r="S94" s="138"/>
    </row>
    <row r="95" spans="1:19" ht="17.25" thickBot="1">
      <c r="A95" s="112" t="s">
        <v>298</v>
      </c>
      <c r="B95" s="139" t="s">
        <v>49</v>
      </c>
      <c r="C95" s="141"/>
      <c r="D95" s="139" t="s">
        <v>58</v>
      </c>
      <c r="E95" s="140"/>
      <c r="F95" s="141"/>
      <c r="G95" s="142">
        <f>_xlfn.IFNA(VLOOKUP(B95, 현재가테이블!$B$2:$D$200, 2, FALSE), "-")</f>
        <v>68103000</v>
      </c>
      <c r="H95" s="143"/>
      <c r="I95" s="144"/>
      <c r="J95" s="139" t="s">
        <v>59</v>
      </c>
      <c r="K95" s="140"/>
      <c r="L95" s="141"/>
      <c r="M95" s="145">
        <f>_xlfn.IFNA(VLOOKUP(B95, 현재가테이블!$B$2:$D$200, 3, FALSE), "-")</f>
        <v>-1.37004156E-2</v>
      </c>
      <c r="N95" s="146"/>
      <c r="O95" s="147"/>
      <c r="Q95" s="138"/>
      <c r="R95" s="138"/>
      <c r="S95" s="138"/>
    </row>
    <row r="96" spans="1:19" ht="17.25" thickBot="1">
      <c r="A96" s="187" t="s">
        <v>55</v>
      </c>
      <c r="B96" s="189" t="str">
        <f>TEXT($G$1, "[$-ko-KR]yyyy-mm-dd(ddd) ") &amp; "오전 00:00"</f>
        <v>2021-05-02(일) 오전 00:00</v>
      </c>
      <c r="C96" s="190"/>
      <c r="D96" s="151" t="str">
        <f>TEXT($G$1, "[$-ko-KR]yyyy-mm-dd(ddd) ") &amp; "오후 14:00"</f>
        <v>2021-05-02(일) 오후 14:00</v>
      </c>
      <c r="E96" s="152"/>
      <c r="F96" s="153"/>
      <c r="G96" s="151" t="str">
        <f>TEXT($G$1, "[$-ko-KR]yyyy-mm-dd(ddd) ") &amp; "오후 19:00"</f>
        <v>2021-05-02(일) 오후 19:00</v>
      </c>
      <c r="H96" s="152"/>
      <c r="I96" s="153"/>
      <c r="J96" s="151" t="str">
        <f>TEXT($G$1, "[$-ko-KR]yyyy-mm-dd(ddd) ") &amp; "오후 21:00"</f>
        <v>2021-05-02(일) 오후 21:00</v>
      </c>
      <c r="K96" s="152"/>
      <c r="L96" s="153"/>
      <c r="M96" s="151" t="str">
        <f>TEXT($G$1+1, "[$-ko-KR]yyyy-mm-dd(ddd) ") &amp; "오전 00:00"</f>
        <v>2021-05-03(월) 오전 00:00</v>
      </c>
      <c r="N96" s="152"/>
      <c r="O96" s="153"/>
      <c r="Q96" s="138"/>
      <c r="R96" s="138"/>
      <c r="S96" s="138"/>
    </row>
    <row r="97" spans="1:19" ht="17.25" thickBot="1">
      <c r="A97" s="188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6" t="s">
        <v>300</v>
      </c>
      <c r="M97" s="2" t="s">
        <v>58</v>
      </c>
      <c r="N97" s="10" t="s">
        <v>299</v>
      </c>
      <c r="O97" s="67" t="s">
        <v>300</v>
      </c>
      <c r="Q97" s="117"/>
      <c r="R97" s="117"/>
      <c r="S97" s="117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101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138"/>
      <c r="R98" s="138"/>
      <c r="S98" s="138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102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138"/>
      <c r="R99" s="138"/>
      <c r="S99" s="138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102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117"/>
      <c r="R100" s="117"/>
      <c r="S100" s="117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102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117"/>
      <c r="R101" s="117"/>
      <c r="S101" s="117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6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117"/>
      <c r="R102" s="117"/>
      <c r="S102" s="117"/>
    </row>
    <row r="103" spans="1:19" ht="17.25" thickBot="1">
      <c r="A103" s="17" t="s">
        <v>74</v>
      </c>
      <c r="B103" s="107">
        <v>28460</v>
      </c>
      <c r="C103" s="108">
        <v>6.5518532399999996E-2</v>
      </c>
      <c r="D103" s="107">
        <v>27500</v>
      </c>
      <c r="E103" s="108">
        <f>IF(ISNUMBER(D103), (D103 - $B103) / $B103, "")</f>
        <v>-3.3731553056921992E-2</v>
      </c>
      <c r="F103" s="109">
        <f>IF(ISNUMBER(D103), $B118 * E103, "")</f>
        <v>-10119.465917076597</v>
      </c>
      <c r="G103" s="110">
        <v>27400</v>
      </c>
      <c r="H103" s="108">
        <f>IF(ISNUMBER(G103), (G103 - $B103) / $B103, "")</f>
        <v>-3.7245256500351369E-2</v>
      </c>
      <c r="I103" s="111">
        <f>IF(ISNUMBER(G103), $B118 * H103, "")</f>
        <v>-11173.576950105411</v>
      </c>
      <c r="J103" s="107">
        <v>27590</v>
      </c>
      <c r="K103" s="108">
        <f>IF(ISNUMBER(J103), (J103 - $B103) / $B103, "")</f>
        <v>-3.0569219957835559E-2</v>
      </c>
      <c r="L103" s="109">
        <f>IF(ISNUMBER(J103), $B118 * K103, "")</f>
        <v>-9170.7659873506673</v>
      </c>
      <c r="M103" s="110">
        <v>27670</v>
      </c>
      <c r="N103" s="108">
        <f>IF(ISNUMBER(M103), (M103 - $B103) / $B103, "")</f>
        <v>-2.7758257203092059E-2</v>
      </c>
      <c r="O103" s="109">
        <f>IF(ISNUMBER(M103), $B118 * N103, "")</f>
        <v>-8327.4771609276177</v>
      </c>
      <c r="Q103" s="117"/>
      <c r="R103" s="117"/>
      <c r="S103" s="117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102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117"/>
      <c r="R104" s="117"/>
      <c r="S104" s="117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102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117"/>
      <c r="R105" s="117"/>
      <c r="S105" s="117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102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5">
        <f>IF(ISNUMBER(D107), $B118 * E107, "")</f>
        <v>-6773.4887108521489</v>
      </c>
      <c r="G107" s="103">
        <v>6785</v>
      </c>
      <c r="H107" s="25">
        <f t="shared" si="51"/>
        <v>-1.1653313911143482E-2</v>
      </c>
      <c r="I107" s="104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5">
        <f>IF(ISNUMBER(J107), $B118 * K107, "")</f>
        <v>-5899.4901675163883</v>
      </c>
      <c r="M107" s="103">
        <v>6780</v>
      </c>
      <c r="N107" s="25">
        <f t="shared" si="53"/>
        <v>-1.2381646030589949E-2</v>
      </c>
      <c r="O107" s="105">
        <f>IF(ISNUMBER(M107), $B118 * N107, "")</f>
        <v>-3714.4938091769845</v>
      </c>
      <c r="Q107" s="129"/>
      <c r="R107" s="130"/>
      <c r="S107" s="131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101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132"/>
      <c r="R108" s="133"/>
      <c r="S108" s="134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102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135"/>
      <c r="R109" s="136"/>
      <c r="S109" s="137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102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117"/>
      <c r="R110" s="117"/>
      <c r="S110" s="117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102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138"/>
      <c r="R111" s="138"/>
      <c r="S111" s="138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6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138"/>
      <c r="R112" s="138"/>
      <c r="S112" s="138"/>
    </row>
    <row r="113" spans="1:19" ht="17.25" thickBot="1">
      <c r="A113" s="17" t="s">
        <v>122</v>
      </c>
      <c r="B113" s="107">
        <v>126</v>
      </c>
      <c r="C113" s="108">
        <v>3.2786885199999997E-2</v>
      </c>
      <c r="D113" s="107">
        <v>129</v>
      </c>
      <c r="E113" s="108">
        <f>IF(ISNUMBER(D113), (D113 - $B113) / $B113, "")</f>
        <v>2.3809523809523808E-2</v>
      </c>
      <c r="F113" s="109">
        <f>IF(ISNUMBER(D113), $B118 * E113, "")</f>
        <v>7142.8571428571422</v>
      </c>
      <c r="G113" s="110">
        <v>129</v>
      </c>
      <c r="H113" s="108">
        <f>IF(ISNUMBER(G113), (G113 - $B113) / $B113, "")</f>
        <v>2.3809523809523808E-2</v>
      </c>
      <c r="I113" s="111">
        <f>IF(ISNUMBER(G113), $B118 * H113, "")</f>
        <v>7142.8571428571422</v>
      </c>
      <c r="J113" s="107">
        <v>130</v>
      </c>
      <c r="K113" s="108">
        <f>IF(ISNUMBER(J113), (J113 - $B113) / $B113, "")</f>
        <v>3.1746031746031744E-2</v>
      </c>
      <c r="L113" s="109">
        <f>IF(ISNUMBER(J113), $B118 * K113, "")</f>
        <v>9523.8095238095229</v>
      </c>
      <c r="M113" s="110">
        <v>130</v>
      </c>
      <c r="N113" s="108">
        <f>IF(ISNUMBER(M113), (M113 - $B113) / $B113, "")</f>
        <v>3.1746031746031744E-2</v>
      </c>
      <c r="O113" s="109">
        <f>IF(ISNUMBER(M113), $B118 * N113, "")</f>
        <v>9523.8095238095229</v>
      </c>
      <c r="Q113" s="117"/>
      <c r="R113" s="117"/>
      <c r="S113" s="117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102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117"/>
      <c r="R114" s="117"/>
      <c r="S114" s="117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102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117"/>
      <c r="R115" s="117"/>
      <c r="S115" s="117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102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118"/>
      <c r="R116" s="119"/>
      <c r="S116" s="120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5">
        <f>IF(ISNUMBER(D117), $B118 * E117, "")</f>
        <v>-2988.0478087649403</v>
      </c>
      <c r="G117" s="103">
        <v>2485</v>
      </c>
      <c r="H117" s="25">
        <f t="shared" si="59"/>
        <v>-9.9601593625498006E-3</v>
      </c>
      <c r="I117" s="104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5">
        <f>IF(ISNUMBER(J117), $B118 * K117, "")</f>
        <v>1195.2191235059761</v>
      </c>
      <c r="M117" s="103">
        <v>2545</v>
      </c>
      <c r="N117" s="25">
        <f t="shared" si="61"/>
        <v>1.3944223107569721E-2</v>
      </c>
      <c r="O117" s="105">
        <f>IF(ISNUMBER(M117), $B118 * N117, "")</f>
        <v>4183.2669322709162</v>
      </c>
      <c r="Q117" s="121"/>
      <c r="R117" s="122"/>
      <c r="S117" s="123"/>
    </row>
    <row r="118" spans="1:19" ht="17.25" thickBot="1">
      <c r="A118" s="26" t="s">
        <v>301</v>
      </c>
      <c r="B118" s="127">
        <f>$B$37</f>
        <v>300000</v>
      </c>
      <c r="C118" s="128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124"/>
      <c r="R118" s="125"/>
      <c r="S118" s="126"/>
    </row>
    <row r="120" spans="1:19" ht="17.25" thickBot="1"/>
    <row r="121" spans="1:19" ht="17.25" thickBot="1">
      <c r="A121" s="139" t="s">
        <v>288</v>
      </c>
      <c r="B121" s="140"/>
      <c r="C121" s="140"/>
      <c r="D121" s="140"/>
      <c r="E121" s="140"/>
      <c r="F121" s="140"/>
      <c r="G121" s="140"/>
      <c r="H121" s="140"/>
      <c r="I121" s="140"/>
      <c r="J121" s="140"/>
      <c r="K121" s="140"/>
      <c r="L121" s="140"/>
      <c r="M121" s="140"/>
      <c r="N121" s="140"/>
      <c r="O121" s="141"/>
      <c r="Q121" s="138"/>
      <c r="R121" s="138"/>
      <c r="S121" s="138"/>
    </row>
    <row r="122" spans="1:19" ht="17.25" thickBot="1">
      <c r="A122" s="112" t="s">
        <v>298</v>
      </c>
      <c r="B122" s="139" t="s">
        <v>49</v>
      </c>
      <c r="C122" s="141"/>
      <c r="D122" s="139" t="s">
        <v>58</v>
      </c>
      <c r="E122" s="140"/>
      <c r="F122" s="141"/>
      <c r="G122" s="142">
        <f>_xlfn.IFNA(VLOOKUP(B122, 현재가테이블!$B$2:$D$200, 2, FALSE), "-")</f>
        <v>68103000</v>
      </c>
      <c r="H122" s="143"/>
      <c r="I122" s="144"/>
      <c r="J122" s="139" t="s">
        <v>59</v>
      </c>
      <c r="K122" s="140"/>
      <c r="L122" s="141"/>
      <c r="M122" s="145">
        <f>_xlfn.IFNA(VLOOKUP(B122, 현재가테이블!$B$2:$D$200, 3, FALSE), "-")</f>
        <v>-1.37004156E-2</v>
      </c>
      <c r="N122" s="146"/>
      <c r="O122" s="147"/>
      <c r="Q122" s="138"/>
      <c r="R122" s="138"/>
      <c r="S122" s="138"/>
    </row>
    <row r="123" spans="1:19" ht="17.25" thickBot="1">
      <c r="A123" s="187" t="s">
        <v>55</v>
      </c>
      <c r="B123" s="189" t="str">
        <f>TEXT($G$1, "[$-ko-KR]yyyy-mm-dd(ddd) ") &amp; "오전 00:00"</f>
        <v>2021-05-02(일) 오전 00:00</v>
      </c>
      <c r="C123" s="190"/>
      <c r="D123" s="151" t="str">
        <f>TEXT($G$1, "[$-ko-KR]yyyy-mm-dd(ddd) ") &amp; "오후 14:00"</f>
        <v>2021-05-02(일) 오후 14:00</v>
      </c>
      <c r="E123" s="152"/>
      <c r="F123" s="153"/>
      <c r="G123" s="151" t="str">
        <f>TEXT($G$1, "[$-ko-KR]yyyy-mm-dd(ddd) ") &amp; "오후 19:00"</f>
        <v>2021-05-02(일) 오후 19:00</v>
      </c>
      <c r="H123" s="152"/>
      <c r="I123" s="153"/>
      <c r="J123" s="151" t="str">
        <f>TEXT($G$1, "[$-ko-KR]yyyy-mm-dd(ddd) ") &amp; "오후 21:00"</f>
        <v>2021-05-02(일) 오후 21:00</v>
      </c>
      <c r="K123" s="152"/>
      <c r="L123" s="153"/>
      <c r="M123" s="151" t="str">
        <f>TEXT($G$1+1, "[$-ko-KR]yyyy-mm-dd(ddd) ") &amp; "오전 00:00"</f>
        <v>2021-05-03(월) 오전 00:00</v>
      </c>
      <c r="N123" s="152"/>
      <c r="O123" s="153"/>
      <c r="Q123" s="138"/>
      <c r="R123" s="138"/>
      <c r="S123" s="138"/>
    </row>
    <row r="124" spans="1:19" ht="17.25" thickBot="1">
      <c r="A124" s="188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6" t="s">
        <v>300</v>
      </c>
      <c r="M124" s="2" t="s">
        <v>58</v>
      </c>
      <c r="N124" s="10" t="s">
        <v>299</v>
      </c>
      <c r="O124" s="67" t="s">
        <v>300</v>
      </c>
      <c r="Q124" s="117"/>
      <c r="R124" s="117"/>
      <c r="S124" s="117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101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138"/>
      <c r="R125" s="138"/>
      <c r="S125" s="138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102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138"/>
      <c r="R126" s="138"/>
      <c r="S126" s="138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102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117"/>
      <c r="R127" s="117"/>
      <c r="S127" s="117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102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117"/>
      <c r="R128" s="117"/>
      <c r="S128" s="117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6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117"/>
      <c r="R129" s="117"/>
      <c r="S129" s="117"/>
    </row>
    <row r="130" spans="1:19" ht="17.25" thickBot="1">
      <c r="A130" s="17" t="s">
        <v>198</v>
      </c>
      <c r="B130" s="107">
        <v>31.7</v>
      </c>
      <c r="C130" s="108">
        <v>-2.1604938300000001E-2</v>
      </c>
      <c r="D130" s="107">
        <v>31.5</v>
      </c>
      <c r="E130" s="108">
        <f>IF(ISNUMBER(D130), (D130 - $B130) / $B130, "")</f>
        <v>-6.3091482649842053E-3</v>
      </c>
      <c r="F130" s="109">
        <f>IF(ISNUMBER(D130), $B145 * E130, "")</f>
        <v>-1892.7444794952617</v>
      </c>
      <c r="G130" s="110">
        <v>31.4</v>
      </c>
      <c r="H130" s="108">
        <f>IF(ISNUMBER(G130), (G130 - $B130) / $B130, "")</f>
        <v>-9.4637223974763634E-3</v>
      </c>
      <c r="I130" s="111">
        <f>IF(ISNUMBER(G130), $B145 * H130, "")</f>
        <v>-2839.1167192429089</v>
      </c>
      <c r="J130" s="107">
        <v>31.4</v>
      </c>
      <c r="K130" s="108">
        <f>IF(ISNUMBER(J130), (J130 - $B130) / $B130, "")</f>
        <v>-9.4637223974763634E-3</v>
      </c>
      <c r="L130" s="109">
        <f>IF(ISNUMBER(J130), $B145 * K130, "")</f>
        <v>-2839.1167192429089</v>
      </c>
      <c r="M130" s="110">
        <v>31.6</v>
      </c>
      <c r="N130" s="108">
        <f>IF(ISNUMBER(M130), (M130 - $B130) / $B130, "")</f>
        <v>-3.1545741324920462E-3</v>
      </c>
      <c r="O130" s="109">
        <f>IF(ISNUMBER(M130), $B145 * N130, "")</f>
        <v>-946.37223974761389</v>
      </c>
      <c r="Q130" s="117"/>
      <c r="R130" s="117"/>
      <c r="S130" s="117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102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117"/>
      <c r="R131" s="117"/>
      <c r="S131" s="117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102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117"/>
      <c r="R132" s="117"/>
      <c r="S132" s="117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102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5">
        <f>IF(ISNUMBER(D134), $B145 * E134, "")</f>
        <v>-1239.6694214875768</v>
      </c>
      <c r="G134" s="103">
        <v>24</v>
      </c>
      <c r="H134" s="25">
        <f t="shared" si="67"/>
        <v>-8.2644628099173261E-3</v>
      </c>
      <c r="I134" s="104">
        <f>IF(ISNUMBER(G134), $B145 * H134, "")</f>
        <v>-2479.3388429751976</v>
      </c>
      <c r="J134" s="24">
        <v>24.2</v>
      </c>
      <c r="K134" s="25">
        <f t="shared" si="68"/>
        <v>0</v>
      </c>
      <c r="L134" s="105">
        <f>IF(ISNUMBER(J134), $B145 * K134, "")</f>
        <v>0</v>
      </c>
      <c r="M134" s="103">
        <v>24.5</v>
      </c>
      <c r="N134" s="25">
        <f t="shared" si="69"/>
        <v>1.2396694214876063E-2</v>
      </c>
      <c r="O134" s="105">
        <f>IF(ISNUMBER(M134), $B145 * N134, "")</f>
        <v>3719.0082644628187</v>
      </c>
      <c r="Q134" s="129"/>
      <c r="R134" s="130"/>
      <c r="S134" s="131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101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132"/>
      <c r="R135" s="133"/>
      <c r="S135" s="134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102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135"/>
      <c r="R136" s="136"/>
      <c r="S136" s="137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102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117"/>
      <c r="R137" s="117"/>
      <c r="S137" s="117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102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138"/>
      <c r="R138" s="138"/>
      <c r="S138" s="138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6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138"/>
      <c r="R139" s="138"/>
      <c r="S139" s="138"/>
    </row>
    <row r="140" spans="1:19" ht="17.25" thickBot="1">
      <c r="A140" s="17" t="s">
        <v>218</v>
      </c>
      <c r="B140" s="107">
        <v>32.1</v>
      </c>
      <c r="C140" s="108">
        <v>-3.3132530100000002E-2</v>
      </c>
      <c r="D140" s="107">
        <v>31.5</v>
      </c>
      <c r="E140" s="108">
        <f>IF(ISNUMBER(D140), (D140 - $B140) / $B140, "")</f>
        <v>-1.8691588785046773E-2</v>
      </c>
      <c r="F140" s="109">
        <f>IF(ISNUMBER(D140), $B145 * E140, "")</f>
        <v>-5607.4766355140318</v>
      </c>
      <c r="G140" s="110">
        <v>31.8</v>
      </c>
      <c r="H140" s="108">
        <f>IF(ISNUMBER(G140), (G140 - $B140) / $B140, "")</f>
        <v>-9.3457943925233863E-3</v>
      </c>
      <c r="I140" s="111">
        <f>IF(ISNUMBER(G140), $B145 * H140, "")</f>
        <v>-2803.7383177570159</v>
      </c>
      <c r="J140" s="107">
        <v>31.8</v>
      </c>
      <c r="K140" s="108">
        <f>IF(ISNUMBER(J140), (J140 - $B140) / $B140, "")</f>
        <v>-9.3457943925233863E-3</v>
      </c>
      <c r="L140" s="109">
        <f>IF(ISNUMBER(J140), $B145 * K140, "")</f>
        <v>-2803.7383177570159</v>
      </c>
      <c r="M140" s="110">
        <v>32.1</v>
      </c>
      <c r="N140" s="108">
        <f>IF(ISNUMBER(M140), (M140 - $B140) / $B140, "")</f>
        <v>0</v>
      </c>
      <c r="O140" s="109">
        <f>IF(ISNUMBER(M140), $B145 * N140, "")</f>
        <v>0</v>
      </c>
      <c r="Q140" s="117"/>
      <c r="R140" s="117"/>
      <c r="S140" s="117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102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117"/>
      <c r="R141" s="117"/>
      <c r="S141" s="117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102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117"/>
      <c r="R142" s="117"/>
      <c r="S142" s="117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102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118"/>
      <c r="R143" s="119"/>
      <c r="S143" s="120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5" t="str">
        <f>IF(ISNUMBER(D144), $B145 * E144, "")</f>
        <v/>
      </c>
      <c r="G144" s="103" t="s">
        <v>297</v>
      </c>
      <c r="H144" s="25" t="str">
        <f t="shared" si="75"/>
        <v/>
      </c>
      <c r="I144" s="104" t="str">
        <f>IF(ISNUMBER(G144), $B145 * H144, "")</f>
        <v/>
      </c>
      <c r="J144" s="24" t="s">
        <v>297</v>
      </c>
      <c r="K144" s="25" t="str">
        <f t="shared" si="76"/>
        <v/>
      </c>
      <c r="L144" s="105" t="str">
        <f>IF(ISNUMBER(J144), $B145 * K144, "")</f>
        <v/>
      </c>
      <c r="M144" s="103" t="s">
        <v>297</v>
      </c>
      <c r="N144" s="25" t="str">
        <f t="shared" si="77"/>
        <v/>
      </c>
      <c r="O144" s="105" t="str">
        <f>IF(ISNUMBER(M144), $B145 * N144, "")</f>
        <v/>
      </c>
      <c r="Q144" s="121"/>
      <c r="R144" s="122"/>
      <c r="S144" s="123"/>
    </row>
    <row r="145" spans="1:19" ht="17.25" thickBot="1">
      <c r="A145" s="26" t="s">
        <v>301</v>
      </c>
      <c r="B145" s="127">
        <f>$B$37</f>
        <v>300000</v>
      </c>
      <c r="C145" s="128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124"/>
      <c r="R145" s="125"/>
      <c r="S145" s="126"/>
    </row>
    <row r="147" spans="1:19" ht="17.25" thickBot="1"/>
    <row r="148" spans="1:19" ht="17.25" thickBot="1">
      <c r="A148" s="139" t="s">
        <v>289</v>
      </c>
      <c r="B148" s="140"/>
      <c r="C148" s="140"/>
      <c r="D148" s="140"/>
      <c r="E148" s="140"/>
      <c r="F148" s="140"/>
      <c r="G148" s="140"/>
      <c r="H148" s="140"/>
      <c r="I148" s="140"/>
      <c r="J148" s="140"/>
      <c r="K148" s="140"/>
      <c r="L148" s="140"/>
      <c r="M148" s="140"/>
      <c r="N148" s="140"/>
      <c r="O148" s="141"/>
      <c r="Q148" s="138"/>
      <c r="R148" s="138"/>
      <c r="S148" s="138"/>
    </row>
    <row r="149" spans="1:19" ht="17.25" thickBot="1">
      <c r="A149" s="112" t="s">
        <v>298</v>
      </c>
      <c r="B149" s="139" t="s">
        <v>49</v>
      </c>
      <c r="C149" s="141"/>
      <c r="D149" s="139" t="s">
        <v>58</v>
      </c>
      <c r="E149" s="140"/>
      <c r="F149" s="141"/>
      <c r="G149" s="142">
        <f>_xlfn.IFNA(VLOOKUP(B149, 현재가테이블!$B$2:$D$200, 2, FALSE), "-")</f>
        <v>68103000</v>
      </c>
      <c r="H149" s="143"/>
      <c r="I149" s="144"/>
      <c r="J149" s="139" t="s">
        <v>59</v>
      </c>
      <c r="K149" s="140"/>
      <c r="L149" s="141"/>
      <c r="M149" s="145">
        <f>_xlfn.IFNA(VLOOKUP(B149, 현재가테이블!$B$2:$D$200, 3, FALSE), "-")</f>
        <v>-1.37004156E-2</v>
      </c>
      <c r="N149" s="146"/>
      <c r="O149" s="147"/>
      <c r="Q149" s="138"/>
      <c r="R149" s="138"/>
      <c r="S149" s="138"/>
    </row>
    <row r="150" spans="1:19" ht="17.25" thickBot="1">
      <c r="A150" s="187" t="s">
        <v>55</v>
      </c>
      <c r="B150" s="189" t="str">
        <f>TEXT($G$1, "[$-ko-KR]yyyy-mm-dd(ddd) ") &amp; "오전 00:00"</f>
        <v>2021-05-02(일) 오전 00:00</v>
      </c>
      <c r="C150" s="190"/>
      <c r="D150" s="151" t="str">
        <f>TEXT($G$1, "[$-ko-KR]yyyy-mm-dd(ddd) ") &amp; "오후 14:00"</f>
        <v>2021-05-02(일) 오후 14:00</v>
      </c>
      <c r="E150" s="152"/>
      <c r="F150" s="153"/>
      <c r="G150" s="151" t="str">
        <f>TEXT($G$1, "[$-ko-KR]yyyy-mm-dd(ddd) ") &amp; "오후 19:00"</f>
        <v>2021-05-02(일) 오후 19:00</v>
      </c>
      <c r="H150" s="152"/>
      <c r="I150" s="153"/>
      <c r="J150" s="151" t="str">
        <f>TEXT($G$1, "[$-ko-KR]yyyy-mm-dd(ddd) ") &amp; "오후 21:00"</f>
        <v>2021-05-02(일) 오후 21:00</v>
      </c>
      <c r="K150" s="152"/>
      <c r="L150" s="153"/>
      <c r="M150" s="151" t="str">
        <f>TEXT($G$1+1, "[$-ko-KR]yyyy-mm-dd(ddd) ") &amp; "오전 00:00"</f>
        <v>2021-05-03(월) 오전 00:00</v>
      </c>
      <c r="N150" s="152"/>
      <c r="O150" s="153"/>
      <c r="Q150" s="138"/>
      <c r="R150" s="138"/>
      <c r="S150" s="138"/>
    </row>
    <row r="151" spans="1:19" ht="17.25" thickBot="1">
      <c r="A151" s="188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6" t="s">
        <v>300</v>
      </c>
      <c r="M151" s="2" t="s">
        <v>58</v>
      </c>
      <c r="N151" s="10" t="s">
        <v>299</v>
      </c>
      <c r="O151" s="67" t="s">
        <v>300</v>
      </c>
      <c r="Q151" s="117"/>
      <c r="R151" s="117"/>
      <c r="S151" s="117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101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138"/>
      <c r="R152" s="138"/>
      <c r="S152" s="138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102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138"/>
      <c r="R153" s="138"/>
      <c r="S153" s="138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102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117"/>
      <c r="R154" s="117"/>
      <c r="S154" s="117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102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117"/>
      <c r="R155" s="117"/>
      <c r="S155" s="117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6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117"/>
      <c r="R156" s="117"/>
      <c r="S156" s="117"/>
    </row>
    <row r="157" spans="1:19" ht="17.25" thickBot="1">
      <c r="A157" s="17" t="s">
        <v>282</v>
      </c>
      <c r="B157" s="107">
        <v>184</v>
      </c>
      <c r="C157" s="108">
        <v>-1.6042780699999998E-2</v>
      </c>
      <c r="D157" s="107">
        <v>178</v>
      </c>
      <c r="E157" s="108">
        <f>IF(ISNUMBER(D157), (D157 - $B157) / $B157, "")</f>
        <v>-3.2608695652173912E-2</v>
      </c>
      <c r="F157" s="109">
        <f>IF(ISNUMBER(D157), $B172 * E157, "")</f>
        <v>-9782.608695652174</v>
      </c>
      <c r="G157" s="110">
        <v>178</v>
      </c>
      <c r="H157" s="108">
        <f>IF(ISNUMBER(G157), (G157 - $B157) / $B157, "")</f>
        <v>-3.2608695652173912E-2</v>
      </c>
      <c r="I157" s="111">
        <f>IF(ISNUMBER(G157), $B172 * H157, "")</f>
        <v>-9782.608695652174</v>
      </c>
      <c r="J157" s="107">
        <v>179</v>
      </c>
      <c r="K157" s="108">
        <f>IF(ISNUMBER(J157), (J157 - $B157) / $B157, "")</f>
        <v>-2.717391304347826E-2</v>
      </c>
      <c r="L157" s="109">
        <f>IF(ISNUMBER(J157), $B172 * K157, "")</f>
        <v>-8152.173913043478</v>
      </c>
      <c r="M157" s="110">
        <v>181</v>
      </c>
      <c r="N157" s="108">
        <f>IF(ISNUMBER(M157), (M157 - $B157) / $B157, "")</f>
        <v>-1.6304347826086956E-2</v>
      </c>
      <c r="O157" s="109">
        <f>IF(ISNUMBER(M157), $B172 * N157, "")</f>
        <v>-4891.304347826087</v>
      </c>
      <c r="Q157" s="117"/>
      <c r="R157" s="117"/>
      <c r="S157" s="117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102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117"/>
      <c r="R158" s="117"/>
      <c r="S158" s="117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102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117"/>
      <c r="R159" s="117"/>
      <c r="S159" s="117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102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5">
        <f>IF(ISNUMBER(D161), $B172 * E161, "")</f>
        <v>-7972.0279720279723</v>
      </c>
      <c r="G161" s="103">
        <v>696</v>
      </c>
      <c r="H161" s="25">
        <f t="shared" si="83"/>
        <v>-2.6573426573426574E-2</v>
      </c>
      <c r="I161" s="104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5">
        <f>IF(ISNUMBER(J161), $B172 * K161, "")</f>
        <v>-5454.545454545454</v>
      </c>
      <c r="M161" s="103">
        <v>706</v>
      </c>
      <c r="N161" s="25">
        <f t="shared" si="85"/>
        <v>-1.2587412587412588E-2</v>
      </c>
      <c r="O161" s="105">
        <f>IF(ISNUMBER(M161), $B172 * N161, "")</f>
        <v>-3776.2237762237764</v>
      </c>
      <c r="Q161" s="129"/>
      <c r="R161" s="130"/>
      <c r="S161" s="131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101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132"/>
      <c r="R162" s="133"/>
      <c r="S162" s="134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102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135"/>
      <c r="R163" s="136"/>
      <c r="S163" s="137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102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117"/>
      <c r="R164" s="117"/>
      <c r="S164" s="117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102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138"/>
      <c r="R165" s="138"/>
      <c r="S165" s="138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6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138"/>
      <c r="R166" s="138"/>
      <c r="S166" s="138"/>
    </row>
    <row r="167" spans="1:19" ht="17.25" thickBot="1">
      <c r="A167" s="17" t="s">
        <v>264</v>
      </c>
      <c r="B167" s="107">
        <v>183</v>
      </c>
      <c r="C167" s="108">
        <v>-2.65957447E-2</v>
      </c>
      <c r="D167" s="107">
        <v>181</v>
      </c>
      <c r="E167" s="108">
        <f>IF(ISNUMBER(D167), (D167 - $B167) / $B167, "")</f>
        <v>-1.092896174863388E-2</v>
      </c>
      <c r="F167" s="109">
        <f>IF(ISNUMBER(D167), $B172 * E167, "")</f>
        <v>-3278.688524590164</v>
      </c>
      <c r="G167" s="110">
        <v>182</v>
      </c>
      <c r="H167" s="108">
        <f>IF(ISNUMBER(G167), (G167 - $B167) / $B167, "")</f>
        <v>-5.4644808743169399E-3</v>
      </c>
      <c r="I167" s="111">
        <f>IF(ISNUMBER(G167), $B172 * H167, "")</f>
        <v>-1639.344262295082</v>
      </c>
      <c r="J167" s="107">
        <v>182</v>
      </c>
      <c r="K167" s="108">
        <f>IF(ISNUMBER(J167), (J167 - $B167) / $B167, "")</f>
        <v>-5.4644808743169399E-3</v>
      </c>
      <c r="L167" s="109">
        <f>IF(ISNUMBER(J167), $B172 * K167, "")</f>
        <v>-1639.344262295082</v>
      </c>
      <c r="M167" s="110">
        <v>184</v>
      </c>
      <c r="N167" s="108">
        <f>IF(ISNUMBER(M167), (M167 - $B167) / $B167, "")</f>
        <v>5.4644808743169399E-3</v>
      </c>
      <c r="O167" s="109">
        <f>IF(ISNUMBER(M167), $B172 * N167, "")</f>
        <v>1639.344262295082</v>
      </c>
      <c r="Q167" s="117"/>
      <c r="R167" s="117"/>
      <c r="S167" s="117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102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117"/>
      <c r="R168" s="117"/>
      <c r="S168" s="117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102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117"/>
      <c r="R169" s="117"/>
      <c r="S169" s="117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102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118"/>
      <c r="R170" s="119"/>
      <c r="S170" s="120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5">
        <f>IF(ISNUMBER(D171), $B172 * E171, "")</f>
        <v>-5106.3829787234044</v>
      </c>
      <c r="G171" s="103">
        <v>462</v>
      </c>
      <c r="H171" s="25">
        <f t="shared" si="91"/>
        <v>-1.7021276595744681E-2</v>
      </c>
      <c r="I171" s="104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5">
        <f>IF(ISNUMBER(J171), $B172 * K171, "")</f>
        <v>-3191.4893617021276</v>
      </c>
      <c r="M171" s="103">
        <v>469</v>
      </c>
      <c r="N171" s="25">
        <f t="shared" si="93"/>
        <v>-2.1276595744680851E-3</v>
      </c>
      <c r="O171" s="105">
        <f>IF(ISNUMBER(M171), $B172 * N171, "")</f>
        <v>-638.29787234042556</v>
      </c>
      <c r="Q171" s="121"/>
      <c r="R171" s="122"/>
      <c r="S171" s="123"/>
    </row>
    <row r="172" spans="1:19" ht="17.25" thickBot="1">
      <c r="A172" s="26" t="s">
        <v>301</v>
      </c>
      <c r="B172" s="127">
        <f>$B$37</f>
        <v>300000</v>
      </c>
      <c r="C172" s="128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124"/>
      <c r="R172" s="125"/>
      <c r="S172" s="126"/>
    </row>
    <row r="174" spans="1:19" ht="17.25" thickBot="1"/>
    <row r="175" spans="1:19" ht="17.25" thickBot="1">
      <c r="A175" s="139" t="s">
        <v>285</v>
      </c>
      <c r="B175" s="140"/>
      <c r="C175" s="140"/>
      <c r="D175" s="140"/>
      <c r="E175" s="140"/>
      <c r="F175" s="140"/>
      <c r="G175" s="140"/>
      <c r="H175" s="140"/>
      <c r="I175" s="140"/>
      <c r="J175" s="140"/>
      <c r="K175" s="140"/>
      <c r="L175" s="140"/>
      <c r="M175" s="140"/>
      <c r="N175" s="140"/>
      <c r="O175" s="141"/>
      <c r="Q175" s="138"/>
      <c r="R175" s="138"/>
      <c r="S175" s="138"/>
    </row>
    <row r="176" spans="1:19" ht="17.25" thickBot="1">
      <c r="A176" s="112" t="s">
        <v>298</v>
      </c>
      <c r="B176" s="139" t="s">
        <v>49</v>
      </c>
      <c r="C176" s="141"/>
      <c r="D176" s="139" t="s">
        <v>58</v>
      </c>
      <c r="E176" s="140"/>
      <c r="F176" s="141"/>
      <c r="G176" s="142">
        <f>_xlfn.IFNA(VLOOKUP(B176, 현재가테이블!$B$2:$D$200, 2, FALSE), "-")</f>
        <v>68103000</v>
      </c>
      <c r="H176" s="143"/>
      <c r="I176" s="144"/>
      <c r="J176" s="139" t="s">
        <v>59</v>
      </c>
      <c r="K176" s="140"/>
      <c r="L176" s="141"/>
      <c r="M176" s="145">
        <f>_xlfn.IFNA(VLOOKUP(B176, 현재가테이블!$B$2:$D$200, 3, FALSE), "-")</f>
        <v>-1.37004156E-2</v>
      </c>
      <c r="N176" s="146"/>
      <c r="O176" s="147"/>
      <c r="Q176" s="138"/>
      <c r="R176" s="138"/>
      <c r="S176" s="138"/>
    </row>
    <row r="177" spans="1:19" ht="17.25" thickBot="1">
      <c r="A177" s="187" t="s">
        <v>55</v>
      </c>
      <c r="B177" s="189" t="str">
        <f>TEXT($G$1, "[$-ko-KR]yyyy-mm-dd(ddd) ") &amp; "오전 00:00"</f>
        <v>2021-05-02(일) 오전 00:00</v>
      </c>
      <c r="C177" s="190"/>
      <c r="D177" s="151" t="str">
        <f>TEXT($G$1, "[$-ko-KR]yyyy-mm-dd(ddd) ") &amp; "오후 14:00"</f>
        <v>2021-05-02(일) 오후 14:00</v>
      </c>
      <c r="E177" s="152"/>
      <c r="F177" s="153"/>
      <c r="G177" s="151" t="str">
        <f>TEXT($G$1, "[$-ko-KR]yyyy-mm-dd(ddd) ") &amp; "오후 19:00"</f>
        <v>2021-05-02(일) 오후 19:00</v>
      </c>
      <c r="H177" s="152"/>
      <c r="I177" s="153"/>
      <c r="J177" s="151" t="str">
        <f>TEXT($G$1, "[$-ko-KR]yyyy-mm-dd(ddd) ") &amp; "오후 21:00"</f>
        <v>2021-05-02(일) 오후 21:00</v>
      </c>
      <c r="K177" s="152"/>
      <c r="L177" s="153"/>
      <c r="M177" s="151" t="str">
        <f>TEXT($G$1+1, "[$-ko-KR]yyyy-mm-dd(ddd) ") &amp; "오전 00:00"</f>
        <v>2021-05-03(월) 오전 00:00</v>
      </c>
      <c r="N177" s="152"/>
      <c r="O177" s="153"/>
      <c r="Q177" s="138"/>
      <c r="R177" s="138"/>
      <c r="S177" s="138"/>
    </row>
    <row r="178" spans="1:19" ht="17.25" thickBot="1">
      <c r="A178" s="188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6" t="s">
        <v>300</v>
      </c>
      <c r="M178" s="2" t="s">
        <v>58</v>
      </c>
      <c r="N178" s="10" t="s">
        <v>299</v>
      </c>
      <c r="O178" s="67" t="s">
        <v>300</v>
      </c>
      <c r="Q178" s="117"/>
      <c r="R178" s="117"/>
      <c r="S178" s="117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101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138"/>
      <c r="R179" s="138"/>
      <c r="S179" s="138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102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138"/>
      <c r="R180" s="138"/>
      <c r="S180" s="138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102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117"/>
      <c r="R181" s="117"/>
      <c r="S181" s="117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102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117"/>
      <c r="R182" s="117"/>
      <c r="S182" s="117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6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117"/>
      <c r="R183" s="117"/>
      <c r="S183" s="117"/>
    </row>
    <row r="184" spans="1:19" ht="17.25" thickBot="1">
      <c r="A184" s="17" t="s">
        <v>61</v>
      </c>
      <c r="B184" s="107">
        <v>1710</v>
      </c>
      <c r="C184" s="108">
        <v>-2.84090909E-2</v>
      </c>
      <c r="D184" s="107">
        <v>1695</v>
      </c>
      <c r="E184" s="108">
        <f>IF(ISNUMBER(D184), (D184 - $B184) / $B184, "")</f>
        <v>-8.771929824561403E-3</v>
      </c>
      <c r="F184" s="109">
        <f>IF(ISNUMBER(D184), $B199 * E184, "")</f>
        <v>-2631.5789473684208</v>
      </c>
      <c r="G184" s="110">
        <v>1700</v>
      </c>
      <c r="H184" s="108">
        <f>IF(ISNUMBER(G184), (G184 - $B184) / $B184, "")</f>
        <v>-5.8479532163742687E-3</v>
      </c>
      <c r="I184" s="111">
        <f>IF(ISNUMBER(G184), $B199 * H184, "")</f>
        <v>-1754.3859649122805</v>
      </c>
      <c r="J184" s="107">
        <v>1700</v>
      </c>
      <c r="K184" s="108">
        <f>IF(ISNUMBER(J184), (J184 - $B184) / $B184, "")</f>
        <v>-5.8479532163742687E-3</v>
      </c>
      <c r="L184" s="109">
        <f>IF(ISNUMBER(J184), $B199 * K184, "")</f>
        <v>-1754.3859649122805</v>
      </c>
      <c r="M184" s="110">
        <v>1715</v>
      </c>
      <c r="N184" s="108">
        <f>IF(ISNUMBER(M184), (M184 - $B184) / $B184, "")</f>
        <v>2.9239766081871343E-3</v>
      </c>
      <c r="O184" s="109">
        <f>IF(ISNUMBER(M184), $B199 * N184, "")</f>
        <v>877.19298245614027</v>
      </c>
      <c r="Q184" s="117"/>
      <c r="R184" s="117"/>
      <c r="S184" s="117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102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117"/>
      <c r="R185" s="117"/>
      <c r="S185" s="117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102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117"/>
      <c r="R186" s="117"/>
      <c r="S186" s="117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102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5">
        <f>IF(ISNUMBER(D188), $B199 * E188, "")</f>
        <v>21428.571428571428</v>
      </c>
      <c r="G188" s="103">
        <v>1500</v>
      </c>
      <c r="H188" s="25">
        <f t="shared" si="99"/>
        <v>7.1428571428571425E-2</v>
      </c>
      <c r="I188" s="104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5">
        <f>IF(ISNUMBER(J188), $B199 * K188, "")</f>
        <v>22500</v>
      </c>
      <c r="M188" s="103">
        <v>1500</v>
      </c>
      <c r="N188" s="25">
        <f t="shared" si="101"/>
        <v>7.1428571428571425E-2</v>
      </c>
      <c r="O188" s="105">
        <f>IF(ISNUMBER(M188), $B199 * N188, "")</f>
        <v>21428.571428571428</v>
      </c>
      <c r="Q188" s="129"/>
      <c r="R188" s="130"/>
      <c r="S188" s="131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101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132"/>
      <c r="R189" s="133"/>
      <c r="S189" s="134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102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135"/>
      <c r="R190" s="136"/>
      <c r="S190" s="137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102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117"/>
      <c r="R191" s="117"/>
      <c r="S191" s="117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102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138"/>
      <c r="R192" s="138"/>
      <c r="S192" s="138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6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138"/>
      <c r="R193" s="138"/>
      <c r="S193" s="138"/>
    </row>
    <row r="194" spans="1:19" ht="17.25" thickBot="1">
      <c r="A194" s="17" t="s">
        <v>190</v>
      </c>
      <c r="B194" s="107">
        <v>78410</v>
      </c>
      <c r="C194" s="108">
        <v>-4.1325345399999998E-2</v>
      </c>
      <c r="D194" s="107">
        <v>76720</v>
      </c>
      <c r="E194" s="108">
        <f>IF(ISNUMBER(D194), (D194 - $B194) / $B194, "")</f>
        <v>-2.1553373294222675E-2</v>
      </c>
      <c r="F194" s="109">
        <f>IF(ISNUMBER(D194), $B199 * E194, "")</f>
        <v>-6466.0119882668023</v>
      </c>
      <c r="G194" s="110">
        <v>76560</v>
      </c>
      <c r="H194" s="108">
        <f>IF(ISNUMBER(G194), (G194 - $B194) / $B194, "")</f>
        <v>-2.3593929345746716E-2</v>
      </c>
      <c r="I194" s="111">
        <f>IF(ISNUMBER(G194), $B199 * H194, "")</f>
        <v>-7078.1788037240149</v>
      </c>
      <c r="J194" s="107">
        <v>76820</v>
      </c>
      <c r="K194" s="108">
        <f>IF(ISNUMBER(J194), (J194 - $B194) / $B194, "")</f>
        <v>-2.027802576202015E-2</v>
      </c>
      <c r="L194" s="109">
        <f>IF(ISNUMBER(J194), $B199 * K194, "")</f>
        <v>-6083.4077286060447</v>
      </c>
      <c r="M194" s="110">
        <v>77290</v>
      </c>
      <c r="N194" s="108">
        <f>IF(ISNUMBER(M194), (M194 - $B194) / $B194, "")</f>
        <v>-1.4283892360668283E-2</v>
      </c>
      <c r="O194" s="109">
        <f>IF(ISNUMBER(M194), $B199 * N194, "")</f>
        <v>-4285.1677082004844</v>
      </c>
      <c r="Q194" s="117"/>
      <c r="R194" s="117"/>
      <c r="S194" s="117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102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117"/>
      <c r="R195" s="117"/>
      <c r="S195" s="117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102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117"/>
      <c r="R196" s="117"/>
      <c r="S196" s="117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102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118"/>
      <c r="R197" s="119"/>
      <c r="S197" s="120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5">
        <f>IF(ISNUMBER(D198), $B199 * E198, "")</f>
        <v>-11456.85997171147</v>
      </c>
      <c r="G198" s="103">
        <v>68</v>
      </c>
      <c r="H198" s="25">
        <f t="shared" si="107"/>
        <v>-3.8189533239038231E-2</v>
      </c>
      <c r="I198" s="104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5">
        <f>IF(ISNUMBER(J198), $B199 * K198, "")</f>
        <v>-9335.2192362093465</v>
      </c>
      <c r="M198" s="103">
        <v>68.7</v>
      </c>
      <c r="N198" s="25">
        <f t="shared" si="109"/>
        <v>-2.8288543140028287E-2</v>
      </c>
      <c r="O198" s="105">
        <f>IF(ISNUMBER(M198), $B199 * N198, "")</f>
        <v>-8486.5629420084861</v>
      </c>
      <c r="Q198" s="121"/>
      <c r="R198" s="122"/>
      <c r="S198" s="123"/>
    </row>
    <row r="199" spans="1:19" ht="17.25" thickBot="1">
      <c r="A199" s="26" t="s">
        <v>301</v>
      </c>
      <c r="B199" s="127">
        <f>$B$37</f>
        <v>300000</v>
      </c>
      <c r="C199" s="128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124"/>
      <c r="R199" s="125"/>
      <c r="S199" s="126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63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63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63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63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63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63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63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63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63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63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627" priority="157">
      <formula>AND($N17 &gt; 0, ISNUMBER($N17))</formula>
    </cfRule>
    <cfRule type="expression" dxfId="628" priority="158">
      <formula>AND($N17 = 0 * ISNUMBER($N17))</formula>
    </cfRule>
    <cfRule type="expression" dxfId="629" priority="159">
      <formula>AND($N17 &lt; 0, ISNUMBER($N17))</formula>
    </cfRule>
  </conditionalFormatting>
  <conditionalFormatting sqref="A17:F36">
    <cfRule type="expression" dxfId="624" priority="166">
      <formula>AND($E17 &gt; 0, ISNUMBER($E17))</formula>
    </cfRule>
    <cfRule type="expression" dxfId="625" priority="167">
      <formula>AND($E17 = 0 * ISNUMBER($E17))</formula>
    </cfRule>
    <cfRule type="expression" dxfId="626" priority="168">
      <formula>AND($E17 &lt; 0, ISNUMBER($E17))</formula>
    </cfRule>
  </conditionalFormatting>
  <conditionalFormatting sqref="A17:C36 G17:I36">
    <cfRule type="expression" dxfId="621" priority="163">
      <formula>AND($H17 &gt; 0, ISNUMBER($H17))</formula>
    </cfRule>
    <cfRule type="expression" dxfId="622" priority="164">
      <formula>AND($H17 = 0 * ISNUMBER($H17))</formula>
    </cfRule>
    <cfRule type="expression" dxfId="623" priority="165">
      <formula>AND($H17 &lt; 0, ISNUMBER($H17))</formula>
    </cfRule>
  </conditionalFormatting>
  <conditionalFormatting sqref="A17:C36 J17:L36">
    <cfRule type="expression" dxfId="620" priority="160">
      <formula>AND($K17 &gt; 0, ISNUMBER($K17))</formula>
    </cfRule>
    <cfRule type="expression" dxfId="619" priority="161">
      <formula>AND($K17 = 0 * ISNUMBER($K17))</formula>
    </cfRule>
    <cfRule type="expression" dxfId="618" priority="162">
      <formula>AND($K17 &lt; 0, ISNUMBER($K17))</formula>
    </cfRule>
  </conditionalFormatting>
  <conditionalFormatting sqref="D15:F16 E37:F37">
    <cfRule type="expression" dxfId="617" priority="154">
      <formula>$E$37 &gt; 0</formula>
    </cfRule>
    <cfRule type="expression" dxfId="616" priority="155">
      <formula>$E$37 = 0</formula>
    </cfRule>
    <cfRule type="expression" dxfId="615" priority="156">
      <formula>$E$37 &lt; 0</formula>
    </cfRule>
  </conditionalFormatting>
  <conditionalFormatting sqref="G15:I16 H37:I37">
    <cfRule type="expression" dxfId="614" priority="151">
      <formula>$H$37 &gt; 0</formula>
    </cfRule>
    <cfRule type="expression" dxfId="613" priority="152">
      <formula>$H$37 = 0</formula>
    </cfRule>
    <cfRule type="expression" dxfId="612" priority="153">
      <formula>$H$37 &lt; 0</formula>
    </cfRule>
  </conditionalFormatting>
  <conditionalFormatting sqref="J15:L16 K37:L37">
    <cfRule type="expression" dxfId="611" priority="148">
      <formula>$K$37 &gt; 0</formula>
    </cfRule>
    <cfRule type="expression" dxfId="610" priority="149">
      <formula>$K$37 = 0</formula>
    </cfRule>
    <cfRule type="expression" dxfId="609" priority="150">
      <formula>$K$37 &lt; 0</formula>
    </cfRule>
  </conditionalFormatting>
  <conditionalFormatting sqref="M15:O16 N37:O37">
    <cfRule type="expression" dxfId="608" priority="145">
      <formula>$N$37 &gt; 0</formula>
    </cfRule>
    <cfRule type="expression" dxfId="607" priority="146">
      <formula>$N$37 = 0</formula>
    </cfRule>
    <cfRule type="expression" dxfId="606" priority="147">
      <formula>$N$37 &lt; 0</formula>
    </cfRule>
  </conditionalFormatting>
  <conditionalFormatting sqref="A44:C63 M44:O63">
    <cfRule type="expression" dxfId="605" priority="133">
      <formula>AND($N44 &gt; 0, ISNUMBER($N44))</formula>
    </cfRule>
    <cfRule type="expression" dxfId="604" priority="134">
      <formula>AND($N44 = 0 * ISNUMBER($N44))</formula>
    </cfRule>
    <cfRule type="expression" dxfId="603" priority="135">
      <formula>AND($N44 &lt; 0, ISNUMBER($N44))</formula>
    </cfRule>
  </conditionalFormatting>
  <conditionalFormatting sqref="A44:F63">
    <cfRule type="expression" dxfId="602" priority="142">
      <formula>AND($E44 &gt; 0, ISNUMBER($E44))</formula>
    </cfRule>
    <cfRule type="expression" dxfId="601" priority="143">
      <formula>AND($E44 = 0 * ISNUMBER($E44))</formula>
    </cfRule>
    <cfRule type="expression" dxfId="600" priority="144">
      <formula>AND($E44 &lt; 0, ISNUMBER($E44))</formula>
    </cfRule>
  </conditionalFormatting>
  <conditionalFormatting sqref="A44:C63 G44:I63">
    <cfRule type="expression" dxfId="599" priority="139">
      <formula>AND($H44 &gt; 0, ISNUMBER($H44))</formula>
    </cfRule>
    <cfRule type="expression" dxfId="598" priority="140">
      <formula>AND($H44 = 0 * ISNUMBER($H44))</formula>
    </cfRule>
    <cfRule type="expression" dxfId="597" priority="141">
      <formula>AND($H44 &lt; 0, ISNUMBER($H44))</formula>
    </cfRule>
  </conditionalFormatting>
  <conditionalFormatting sqref="A44:C63 J44:L63">
    <cfRule type="expression" dxfId="596" priority="136">
      <formula>AND($K44 &gt; 0, ISNUMBER($K44))</formula>
    </cfRule>
    <cfRule type="expression" dxfId="595" priority="137">
      <formula>AND($K44 = 0 * ISNUMBER($K44))</formula>
    </cfRule>
    <cfRule type="expression" dxfId="594" priority="138">
      <formula>AND($K44 &lt; 0, ISNUMBER($K44))</formula>
    </cfRule>
  </conditionalFormatting>
  <conditionalFormatting sqref="D42:F43 E64:F64">
    <cfRule type="expression" dxfId="593" priority="130">
      <formula>$E$64 &gt; 0</formula>
    </cfRule>
    <cfRule type="expression" dxfId="592" priority="131">
      <formula>$E$64 = 0</formula>
    </cfRule>
    <cfRule type="expression" dxfId="591" priority="132">
      <formula>$E$64 &lt; 0</formula>
    </cfRule>
  </conditionalFormatting>
  <conditionalFormatting sqref="G42:I43 H64:I64">
    <cfRule type="expression" dxfId="590" priority="127">
      <formula>$H$64 &gt; 0</formula>
    </cfRule>
    <cfRule type="expression" dxfId="589" priority="128">
      <formula>$H$64 = 0</formula>
    </cfRule>
    <cfRule type="expression" dxfId="588" priority="129">
      <formula>$H$64 &lt; 0</formula>
    </cfRule>
  </conditionalFormatting>
  <conditionalFormatting sqref="J42:L43 K64:L64">
    <cfRule type="expression" dxfId="587" priority="124">
      <formula>$K$64 &gt; 0</formula>
    </cfRule>
    <cfRule type="expression" dxfId="586" priority="125">
      <formula>$K$64 = 0</formula>
    </cfRule>
    <cfRule type="expression" dxfId="585" priority="126">
      <formula>$K$64 &lt; 0</formula>
    </cfRule>
  </conditionalFormatting>
  <conditionalFormatting sqref="M42:O43 N64:O64">
    <cfRule type="expression" dxfId="584" priority="121">
      <formula>$N$64 &gt; 0</formula>
    </cfRule>
    <cfRule type="expression" dxfId="583" priority="122">
      <formula>$N$64 = 0</formula>
    </cfRule>
    <cfRule type="expression" dxfId="582" priority="123">
      <formula>$N$64 &lt; 0</formula>
    </cfRule>
  </conditionalFormatting>
  <conditionalFormatting sqref="A71:C90 M71:O90">
    <cfRule type="expression" dxfId="581" priority="109">
      <formula>AND($N71 &gt; 0, ISNUMBER($N71))</formula>
    </cfRule>
    <cfRule type="expression" dxfId="580" priority="110">
      <formula>AND($N71 = 0 * ISNUMBER($N71))</formula>
    </cfRule>
    <cfRule type="expression" dxfId="579" priority="111">
      <formula>AND($N71 &lt; 0, ISNUMBER($N71))</formula>
    </cfRule>
  </conditionalFormatting>
  <conditionalFormatting sqref="A71:F90">
    <cfRule type="expression" dxfId="578" priority="118">
      <formula>AND($E71 &gt; 0, ISNUMBER($E71))</formula>
    </cfRule>
    <cfRule type="expression" dxfId="577" priority="119">
      <formula>AND($E71 = 0 * ISNUMBER($E71))</formula>
    </cfRule>
    <cfRule type="expression" dxfId="576" priority="120">
      <formula>AND($E71 &lt; 0, ISNUMBER($E71))</formula>
    </cfRule>
  </conditionalFormatting>
  <conditionalFormatting sqref="A71:C90 G71:I90">
    <cfRule type="expression" dxfId="575" priority="115">
      <formula>AND($H71 &gt; 0, ISNUMBER($H71))</formula>
    </cfRule>
    <cfRule type="expression" dxfId="574" priority="116">
      <formula>AND($H71 = 0 * ISNUMBER($H71))</formula>
    </cfRule>
    <cfRule type="expression" dxfId="573" priority="117">
      <formula>AND($H71 &lt; 0, ISNUMBER($H71))</formula>
    </cfRule>
  </conditionalFormatting>
  <conditionalFormatting sqref="A71:C90 J71:L90">
    <cfRule type="expression" dxfId="572" priority="112">
      <formula>AND($K71 &gt; 0, ISNUMBER($K71))</formula>
    </cfRule>
    <cfRule type="expression" dxfId="571" priority="113">
      <formula>AND($K71 = 0 * ISNUMBER($K71))</formula>
    </cfRule>
    <cfRule type="expression" dxfId="570" priority="114">
      <formula>AND($K71 &lt; 0, ISNUMBER($K71))</formula>
    </cfRule>
  </conditionalFormatting>
  <conditionalFormatting sqref="D69:F70 E91:F91">
    <cfRule type="expression" dxfId="569" priority="106">
      <formula>$E$91 &gt; 0</formula>
    </cfRule>
    <cfRule type="expression" dxfId="568" priority="107">
      <formula>$E$91 = 0</formula>
    </cfRule>
    <cfRule type="expression" dxfId="567" priority="108">
      <formula>$E$91 &lt; 0</formula>
    </cfRule>
  </conditionalFormatting>
  <conditionalFormatting sqref="G69:I70 H91:I91">
    <cfRule type="expression" dxfId="566" priority="103">
      <formula>$H$91 &gt; 0</formula>
    </cfRule>
    <cfRule type="expression" dxfId="565" priority="104">
      <formula>$H$91 = 0</formula>
    </cfRule>
    <cfRule type="expression" dxfId="564" priority="105">
      <formula>$H$91 &lt; 0</formula>
    </cfRule>
  </conditionalFormatting>
  <conditionalFormatting sqref="J69:L70 K91:L91">
    <cfRule type="expression" dxfId="563" priority="100">
      <formula>$K$91 &gt; 0</formula>
    </cfRule>
    <cfRule type="expression" dxfId="562" priority="101">
      <formula>$K$91 = 0</formula>
    </cfRule>
    <cfRule type="expression" dxfId="561" priority="102">
      <formula>$K$91 &lt; 0</formula>
    </cfRule>
  </conditionalFormatting>
  <conditionalFormatting sqref="M69:O70 N91:O91">
    <cfRule type="expression" dxfId="560" priority="97">
      <formula>$N$91 &gt; 0</formula>
    </cfRule>
    <cfRule type="expression" dxfId="559" priority="98">
      <formula>$N$91 = 0</formula>
    </cfRule>
    <cfRule type="expression" dxfId="558" priority="99">
      <formula>$N$91 &lt; 0</formula>
    </cfRule>
  </conditionalFormatting>
  <conditionalFormatting sqref="A98:C117 M98:O117">
    <cfRule type="expression" dxfId="557" priority="85">
      <formula>AND($N98 &gt; 0, ISNUMBER($N98))</formula>
    </cfRule>
    <cfRule type="expression" dxfId="556" priority="86">
      <formula>AND($N98 = 0 * ISNUMBER($N98))</formula>
    </cfRule>
    <cfRule type="expression" dxfId="555" priority="87">
      <formula>AND($N98 &lt; 0, ISNUMBER($N98))</formula>
    </cfRule>
  </conditionalFormatting>
  <conditionalFormatting sqref="A98:F117">
    <cfRule type="expression" dxfId="554" priority="94">
      <formula>AND($E98 &gt; 0, ISNUMBER($E98))</formula>
    </cfRule>
    <cfRule type="expression" dxfId="553" priority="95">
      <formula>AND($E98 = 0 * ISNUMBER($E98))</formula>
    </cfRule>
    <cfRule type="expression" dxfId="552" priority="96">
      <formula>AND($E98 &lt; 0, ISNUMBER($E98))</formula>
    </cfRule>
  </conditionalFormatting>
  <conditionalFormatting sqref="A98:C117 G98:I117">
    <cfRule type="expression" dxfId="551" priority="91">
      <formula>AND($H98 &gt; 0, ISNUMBER($H98))</formula>
    </cfRule>
    <cfRule type="expression" dxfId="550" priority="92">
      <formula>AND($H98 = 0 * ISNUMBER($H98))</formula>
    </cfRule>
    <cfRule type="expression" dxfId="549" priority="93">
      <formula>AND($H98 &lt; 0, ISNUMBER($H98))</formula>
    </cfRule>
  </conditionalFormatting>
  <conditionalFormatting sqref="A98:C117 J98:L117">
    <cfRule type="expression" dxfId="548" priority="88">
      <formula>AND($K98 &gt; 0, ISNUMBER($K98))</formula>
    </cfRule>
    <cfRule type="expression" dxfId="547" priority="89">
      <formula>AND($K98 = 0 * ISNUMBER($K98))</formula>
    </cfRule>
    <cfRule type="expression" dxfId="546" priority="90">
      <formula>AND($K98 &lt; 0, ISNUMBER($K98))</formula>
    </cfRule>
  </conditionalFormatting>
  <conditionalFormatting sqref="D96:F97 E118:F118">
    <cfRule type="expression" dxfId="545" priority="82">
      <formula>$E$118 &gt; 0</formula>
    </cfRule>
    <cfRule type="expression" dxfId="544" priority="83">
      <formula>$E$118 = 0</formula>
    </cfRule>
    <cfRule type="expression" dxfId="543" priority="84">
      <formula>$E$118 &lt; 0</formula>
    </cfRule>
  </conditionalFormatting>
  <conditionalFormatting sqref="G96:I97 H118:I118">
    <cfRule type="expression" dxfId="542" priority="79">
      <formula>$H$118 &gt; 0</formula>
    </cfRule>
    <cfRule type="expression" dxfId="541" priority="80">
      <formula>$H$118 = 0</formula>
    </cfRule>
    <cfRule type="expression" dxfId="540" priority="81">
      <formula>$H$118 &lt; 0</formula>
    </cfRule>
  </conditionalFormatting>
  <conditionalFormatting sqref="J96:L97 K118:L118">
    <cfRule type="expression" dxfId="539" priority="76">
      <formula>$K$118 &gt; 0</formula>
    </cfRule>
    <cfRule type="expression" dxfId="538" priority="77">
      <formula>$K$118 = 0</formula>
    </cfRule>
    <cfRule type="expression" dxfId="537" priority="78">
      <formula>$K$118 &lt; 0</formula>
    </cfRule>
  </conditionalFormatting>
  <conditionalFormatting sqref="M96:O97 N118:O118">
    <cfRule type="expression" dxfId="536" priority="73">
      <formula>$N$118 &gt; 0</formula>
    </cfRule>
    <cfRule type="expression" dxfId="535" priority="74">
      <formula>$N$118 = 0</formula>
    </cfRule>
    <cfRule type="expression" dxfId="534" priority="75">
      <formula>$N$118 &lt; 0</formula>
    </cfRule>
  </conditionalFormatting>
  <conditionalFormatting sqref="A125:C144 M125:O144">
    <cfRule type="expression" dxfId="533" priority="61">
      <formula>AND($N125 &gt; 0, ISNUMBER($N125))</formula>
    </cfRule>
    <cfRule type="expression" dxfId="532" priority="62">
      <formula>AND($N125 = 0 * ISNUMBER($N125))</formula>
    </cfRule>
    <cfRule type="expression" dxfId="531" priority="63">
      <formula>AND($N125 &lt; 0, ISNUMBER($N125))</formula>
    </cfRule>
  </conditionalFormatting>
  <conditionalFormatting sqref="A125:F144">
    <cfRule type="expression" dxfId="530" priority="70">
      <formula>AND($E125 &gt; 0, ISNUMBER($E125))</formula>
    </cfRule>
    <cfRule type="expression" dxfId="529" priority="71">
      <formula>AND($E125 = 0 * ISNUMBER($E125))</formula>
    </cfRule>
    <cfRule type="expression" dxfId="528" priority="72">
      <formula>AND($E125 &lt; 0, ISNUMBER($E125))</formula>
    </cfRule>
  </conditionalFormatting>
  <conditionalFormatting sqref="A125:C144 G125:I144">
    <cfRule type="expression" dxfId="527" priority="67">
      <formula>AND($H125 &gt; 0, ISNUMBER($H125))</formula>
    </cfRule>
    <cfRule type="expression" dxfId="526" priority="68">
      <formula>AND($H125 = 0 * ISNUMBER($H125))</formula>
    </cfRule>
    <cfRule type="expression" dxfId="525" priority="69">
      <formula>AND($H125 &lt; 0, ISNUMBER($H125))</formula>
    </cfRule>
  </conditionalFormatting>
  <conditionalFormatting sqref="A125:C144 J125:L144">
    <cfRule type="expression" dxfId="524" priority="64">
      <formula>AND($K125 &gt; 0, ISNUMBER($K125))</formula>
    </cfRule>
    <cfRule type="expression" dxfId="523" priority="65">
      <formula>AND($K125 = 0 * ISNUMBER($K125))</formula>
    </cfRule>
    <cfRule type="expression" dxfId="522" priority="66">
      <formula>AND($K125 &lt; 0, ISNUMBER($K125))</formula>
    </cfRule>
  </conditionalFormatting>
  <conditionalFormatting sqref="D123:F124 E145:F145">
    <cfRule type="expression" dxfId="521" priority="58">
      <formula>$E$145 &gt; 0</formula>
    </cfRule>
    <cfRule type="expression" dxfId="520" priority="59">
      <formula>$E$145 = 0</formula>
    </cfRule>
    <cfRule type="expression" dxfId="519" priority="60">
      <formula>$E$145 &lt; 0</formula>
    </cfRule>
  </conditionalFormatting>
  <conditionalFormatting sqref="G123:I124 H145:I145">
    <cfRule type="expression" dxfId="518" priority="55">
      <formula>$H$145 &gt; 0</formula>
    </cfRule>
    <cfRule type="expression" dxfId="517" priority="56">
      <formula>$H$145 = 0</formula>
    </cfRule>
    <cfRule type="expression" dxfId="516" priority="57">
      <formula>$H$145 &lt; 0</formula>
    </cfRule>
  </conditionalFormatting>
  <conditionalFormatting sqref="J123:L124 K145:L145">
    <cfRule type="expression" dxfId="515" priority="52">
      <formula>$K$145 &gt; 0</formula>
    </cfRule>
    <cfRule type="expression" dxfId="514" priority="53">
      <formula>$K$145 = 0</formula>
    </cfRule>
    <cfRule type="expression" dxfId="513" priority="54">
      <formula>$K$145 &lt; 0</formula>
    </cfRule>
  </conditionalFormatting>
  <conditionalFormatting sqref="M123:O124 N145:O145">
    <cfRule type="expression" dxfId="512" priority="49">
      <formula>$N$145 &gt; 0</formula>
    </cfRule>
    <cfRule type="expression" dxfId="511" priority="50">
      <formula>$N$145 = 0</formula>
    </cfRule>
    <cfRule type="expression" dxfId="510" priority="51">
      <formula>$N$145 &lt; 0</formula>
    </cfRule>
  </conditionalFormatting>
  <conditionalFormatting sqref="A152:C171 M152:O171">
    <cfRule type="expression" dxfId="509" priority="37">
      <formula>AND($N152 &gt; 0, ISNUMBER($N152))</formula>
    </cfRule>
    <cfRule type="expression" dxfId="508" priority="38">
      <formula>AND($N152 = 0 * ISNUMBER($N152))</formula>
    </cfRule>
    <cfRule type="expression" dxfId="507" priority="39">
      <formula>AND($N152 &lt; 0, ISNUMBER($N152))</formula>
    </cfRule>
  </conditionalFormatting>
  <conditionalFormatting sqref="A152:F171">
    <cfRule type="expression" dxfId="506" priority="46">
      <formula>AND($E152 &gt; 0, ISNUMBER($E152))</formula>
    </cfRule>
    <cfRule type="expression" dxfId="505" priority="47">
      <formula>AND($E152 = 0 * ISNUMBER($E152))</formula>
    </cfRule>
    <cfRule type="expression" dxfId="504" priority="48">
      <formula>AND($E152 &lt; 0, ISNUMBER($E152))</formula>
    </cfRule>
  </conditionalFormatting>
  <conditionalFormatting sqref="A152:C171 G152:I171">
    <cfRule type="expression" dxfId="503" priority="43">
      <formula>AND($H152 &gt; 0, ISNUMBER($H152))</formula>
    </cfRule>
    <cfRule type="expression" dxfId="502" priority="44">
      <formula>AND($H152 = 0 * ISNUMBER($H152))</formula>
    </cfRule>
    <cfRule type="expression" dxfId="501" priority="45">
      <formula>AND($H152 &lt; 0, ISNUMBER($H152))</formula>
    </cfRule>
  </conditionalFormatting>
  <conditionalFormatting sqref="A152:C171 J152:L171">
    <cfRule type="expression" dxfId="500" priority="40">
      <formula>AND($K152 &gt; 0, ISNUMBER($K152))</formula>
    </cfRule>
    <cfRule type="expression" dxfId="499" priority="41">
      <formula>AND($K152 = 0 * ISNUMBER($K152))</formula>
    </cfRule>
    <cfRule type="expression" dxfId="498" priority="42">
      <formula>AND($K152 &lt; 0, ISNUMBER($K152))</formula>
    </cfRule>
  </conditionalFormatting>
  <conditionalFormatting sqref="D150:F151 E172:F172">
    <cfRule type="expression" dxfId="497" priority="34">
      <formula>$E$172 &gt; 0</formula>
    </cfRule>
    <cfRule type="expression" dxfId="496" priority="35">
      <formula>$E$172 = 0</formula>
    </cfRule>
    <cfRule type="expression" dxfId="495" priority="36">
      <formula>$E$172 &lt; 0</formula>
    </cfRule>
  </conditionalFormatting>
  <conditionalFormatting sqref="G150:I151 H172:I172">
    <cfRule type="expression" dxfId="494" priority="31">
      <formula>$H$172 &gt; 0</formula>
    </cfRule>
    <cfRule type="expression" dxfId="493" priority="32">
      <formula>$H$172 = 0</formula>
    </cfRule>
    <cfRule type="expression" dxfId="492" priority="33">
      <formula>$H$172 &lt; 0</formula>
    </cfRule>
  </conditionalFormatting>
  <conditionalFormatting sqref="J150:L151 K172:L172">
    <cfRule type="expression" dxfId="491" priority="28">
      <formula>$K$172 &gt; 0</formula>
    </cfRule>
    <cfRule type="expression" dxfId="490" priority="29">
      <formula>$K$172 = 0</formula>
    </cfRule>
    <cfRule type="expression" dxfId="489" priority="30">
      <formula>$K$172 &lt; 0</formula>
    </cfRule>
  </conditionalFormatting>
  <conditionalFormatting sqref="M150:O151 N172:O172">
    <cfRule type="expression" dxfId="488" priority="25">
      <formula>$N$172 &gt; 0</formula>
    </cfRule>
    <cfRule type="expression" dxfId="487" priority="26">
      <formula>$N$172 = 0</formula>
    </cfRule>
    <cfRule type="expression" dxfId="486" priority="27">
      <formula>$N$172 &lt; 0</formula>
    </cfRule>
  </conditionalFormatting>
  <conditionalFormatting sqref="A179:C198 M179:O198">
    <cfRule type="expression" dxfId="485" priority="13">
      <formula>AND($N179 &gt; 0, ISNUMBER($N179))</formula>
    </cfRule>
    <cfRule type="expression" dxfId="484" priority="14">
      <formula>AND($N179 = 0 * ISNUMBER($N179))</formula>
    </cfRule>
    <cfRule type="expression" dxfId="483" priority="15">
      <formula>AND($N179 &lt; 0, ISNUMBER($N179))</formula>
    </cfRule>
  </conditionalFormatting>
  <conditionalFormatting sqref="A179:F198">
    <cfRule type="expression" dxfId="482" priority="22">
      <formula>AND($E179 &gt; 0, ISNUMBER($E179))</formula>
    </cfRule>
    <cfRule type="expression" dxfId="481" priority="23">
      <formula>AND($E179 = 0 * ISNUMBER($E179))</formula>
    </cfRule>
    <cfRule type="expression" dxfId="480" priority="24">
      <formula>AND($E179 &lt; 0, ISNUMBER($E179))</formula>
    </cfRule>
  </conditionalFormatting>
  <conditionalFormatting sqref="A179:C198 G179:I198">
    <cfRule type="expression" dxfId="479" priority="19">
      <formula>AND($H179 &gt; 0, ISNUMBER($H179))</formula>
    </cfRule>
    <cfRule type="expression" dxfId="478" priority="20">
      <formula>AND($H179 = 0 * ISNUMBER($H179))</formula>
    </cfRule>
    <cfRule type="expression" dxfId="477" priority="21">
      <formula>AND($H179 &lt; 0, ISNUMBER($H179))</formula>
    </cfRule>
  </conditionalFormatting>
  <conditionalFormatting sqref="A179:C198 J179:L198">
    <cfRule type="expression" dxfId="476" priority="16">
      <formula>AND($K179 &gt; 0, ISNUMBER($K179))</formula>
    </cfRule>
    <cfRule type="expression" dxfId="475" priority="17">
      <formula>AND($K179 = 0 * ISNUMBER($K179))</formula>
    </cfRule>
    <cfRule type="expression" dxfId="474" priority="18">
      <formula>AND($K179 &lt; 0, ISNUMBER($K179))</formula>
    </cfRule>
  </conditionalFormatting>
  <conditionalFormatting sqref="D177:F178 E199:F199">
    <cfRule type="expression" dxfId="473" priority="10">
      <formula>$E$199 &gt; 0</formula>
    </cfRule>
    <cfRule type="expression" dxfId="472" priority="11">
      <formula>$E$199 = 0</formula>
    </cfRule>
    <cfRule type="expression" dxfId="471" priority="12">
      <formula>$E$199 &lt; 0</formula>
    </cfRule>
  </conditionalFormatting>
  <conditionalFormatting sqref="G177:I178 H199:I199">
    <cfRule type="expression" dxfId="470" priority="7">
      <formula>$H$199 &gt; 0</formula>
    </cfRule>
    <cfRule type="expression" dxfId="469" priority="8">
      <formula>$H$199 = 0</formula>
    </cfRule>
    <cfRule type="expression" dxfId="468" priority="9">
      <formula>$H$199 &lt; 0</formula>
    </cfRule>
  </conditionalFormatting>
  <conditionalFormatting sqref="J177:L178 K199:L199">
    <cfRule type="expression" dxfId="467" priority="4">
      <formula>$K$199 &gt; 0</formula>
    </cfRule>
    <cfRule type="expression" dxfId="466" priority="5">
      <formula>$K$199 = 0</formula>
    </cfRule>
    <cfRule type="expression" dxfId="465" priority="6">
      <formula>$K$199 &lt; 0</formula>
    </cfRule>
  </conditionalFormatting>
  <conditionalFormatting sqref="M177:O178 N199:O199">
    <cfRule type="expression" dxfId="464" priority="1">
      <formula>$N$199 &gt; 0</formula>
    </cfRule>
    <cfRule type="expression" dxfId="463" priority="2">
      <formula>$N$199 = 0</formula>
    </cfRule>
    <cfRule type="expression" dxfId="46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abSelected="1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39" t="s">
        <v>0</v>
      </c>
      <c r="B1" s="140"/>
      <c r="C1" s="140"/>
      <c r="D1" s="140"/>
      <c r="E1" s="140"/>
      <c r="F1" s="141"/>
      <c r="G1" s="169">
        <v>44319</v>
      </c>
      <c r="H1" s="170"/>
      <c r="I1" s="171"/>
      <c r="J1" s="139" t="s">
        <v>1</v>
      </c>
      <c r="K1" s="140"/>
      <c r="L1" s="140"/>
      <c r="M1" s="140"/>
      <c r="N1" s="140"/>
      <c r="O1" s="141"/>
      <c r="Q1" s="139" t="s">
        <v>2</v>
      </c>
      <c r="R1" s="141"/>
    </row>
    <row r="2" spans="1:19" ht="17.25" customHeight="1">
      <c r="A2" s="1" t="s">
        <v>3</v>
      </c>
      <c r="B2" s="166" t="s">
        <v>4</v>
      </c>
      <c r="C2" s="167"/>
      <c r="D2" s="167"/>
      <c r="E2" s="167"/>
      <c r="F2" s="168"/>
      <c r="G2" s="163" t="s">
        <v>46</v>
      </c>
      <c r="H2" s="164"/>
      <c r="I2" s="165"/>
      <c r="J2" s="1" t="s">
        <v>3</v>
      </c>
      <c r="K2" s="166" t="s">
        <v>5</v>
      </c>
      <c r="L2" s="167"/>
      <c r="M2" s="167"/>
      <c r="N2" s="167"/>
      <c r="O2" s="168"/>
      <c r="Q2" s="2" t="s">
        <v>6</v>
      </c>
      <c r="R2" s="3">
        <v>0.375</v>
      </c>
    </row>
    <row r="3" spans="1:19" ht="17.25" customHeight="1" thickBot="1">
      <c r="A3" s="4" t="s">
        <v>7</v>
      </c>
      <c r="B3" s="160" t="s">
        <v>8</v>
      </c>
      <c r="C3" s="161"/>
      <c r="D3" s="161"/>
      <c r="E3" s="161"/>
      <c r="F3" s="162"/>
      <c r="G3" s="15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58"/>
      <c r="I3" s="159"/>
      <c r="J3" s="4" t="s">
        <v>7</v>
      </c>
      <c r="K3" s="160" t="s">
        <v>9</v>
      </c>
      <c r="L3" s="161"/>
      <c r="M3" s="161"/>
      <c r="N3" s="161"/>
      <c r="O3" s="16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60" t="s">
        <v>12</v>
      </c>
      <c r="C4" s="161"/>
      <c r="D4" s="161"/>
      <c r="E4" s="161"/>
      <c r="F4" s="162"/>
      <c r="G4" s="163" t="s">
        <v>44</v>
      </c>
      <c r="H4" s="164"/>
      <c r="I4" s="165"/>
      <c r="J4" s="4" t="s">
        <v>11</v>
      </c>
      <c r="K4" s="160" t="s">
        <v>13</v>
      </c>
      <c r="L4" s="161"/>
      <c r="M4" s="161"/>
      <c r="N4" s="161"/>
      <c r="O4" s="162"/>
      <c r="Q4" s="66" t="s">
        <v>14</v>
      </c>
      <c r="R4" s="5">
        <v>0.95833333333333337</v>
      </c>
    </row>
    <row r="5" spans="1:19" ht="17.25" customHeight="1" thickBot="1">
      <c r="A5" s="4" t="s">
        <v>15</v>
      </c>
      <c r="B5" s="160" t="s">
        <v>16</v>
      </c>
      <c r="C5" s="161"/>
      <c r="D5" s="161"/>
      <c r="E5" s="161"/>
      <c r="F5" s="162"/>
      <c r="G5" s="15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58"/>
      <c r="I5" s="159"/>
      <c r="J5" s="4" t="s">
        <v>15</v>
      </c>
      <c r="K5" s="160" t="s">
        <v>17</v>
      </c>
      <c r="L5" s="161"/>
      <c r="M5" s="161"/>
      <c r="N5" s="161"/>
      <c r="O5" s="162"/>
    </row>
    <row r="6" spans="1:19">
      <c r="A6" s="4" t="s">
        <v>18</v>
      </c>
      <c r="B6" s="160" t="s">
        <v>19</v>
      </c>
      <c r="C6" s="161"/>
      <c r="D6" s="161"/>
      <c r="E6" s="161"/>
      <c r="F6" s="162"/>
      <c r="G6" s="163" t="s">
        <v>45</v>
      </c>
      <c r="H6" s="164"/>
      <c r="I6" s="165"/>
      <c r="J6" s="4" t="s">
        <v>18</v>
      </c>
      <c r="K6" s="160" t="s">
        <v>20</v>
      </c>
      <c r="L6" s="161"/>
      <c r="M6" s="161"/>
      <c r="N6" s="161"/>
      <c r="O6" s="162"/>
    </row>
    <row r="7" spans="1:19" ht="17.25" thickBot="1">
      <c r="A7" s="4" t="s">
        <v>21</v>
      </c>
      <c r="B7" s="160" t="s">
        <v>22</v>
      </c>
      <c r="C7" s="161"/>
      <c r="D7" s="161"/>
      <c r="E7" s="161"/>
      <c r="F7" s="162"/>
      <c r="G7" s="15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58"/>
      <c r="I7" s="159"/>
      <c r="J7" s="4" t="s">
        <v>21</v>
      </c>
      <c r="K7" s="160" t="s">
        <v>23</v>
      </c>
      <c r="L7" s="161"/>
      <c r="M7" s="161"/>
      <c r="N7" s="161"/>
      <c r="O7" s="162"/>
    </row>
    <row r="8" spans="1:19" ht="17.25" thickBot="1">
      <c r="A8" s="4" t="s">
        <v>24</v>
      </c>
      <c r="B8" s="160" t="s">
        <v>25</v>
      </c>
      <c r="C8" s="161"/>
      <c r="D8" s="161"/>
      <c r="E8" s="161"/>
      <c r="F8" s="162"/>
      <c r="G8" s="163" t="s">
        <v>285</v>
      </c>
      <c r="H8" s="164"/>
      <c r="I8" s="165"/>
      <c r="J8" s="4" t="s">
        <v>24</v>
      </c>
      <c r="K8" s="160" t="s">
        <v>26</v>
      </c>
      <c r="L8" s="161"/>
      <c r="M8" s="161"/>
      <c r="N8" s="161"/>
      <c r="O8" s="162"/>
      <c r="Q8" s="139" t="s">
        <v>27</v>
      </c>
      <c r="R8" s="141"/>
    </row>
    <row r="9" spans="1:19" ht="17.25" thickBot="1">
      <c r="A9" s="4" t="s">
        <v>28</v>
      </c>
      <c r="B9" s="160"/>
      <c r="C9" s="161"/>
      <c r="D9" s="161"/>
      <c r="E9" s="161"/>
      <c r="F9" s="162"/>
      <c r="G9" s="15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58"/>
      <c r="I9" s="159"/>
      <c r="J9" s="4" t="s">
        <v>28</v>
      </c>
      <c r="K9" s="160" t="s">
        <v>293</v>
      </c>
      <c r="L9" s="161"/>
      <c r="M9" s="161"/>
      <c r="N9" s="161"/>
      <c r="O9" s="162"/>
      <c r="Q9" s="2" t="s">
        <v>29</v>
      </c>
      <c r="R9" s="6">
        <v>10</v>
      </c>
    </row>
    <row r="10" spans="1:19">
      <c r="A10" s="4" t="s">
        <v>30</v>
      </c>
      <c r="B10" s="160"/>
      <c r="C10" s="161"/>
      <c r="D10" s="161"/>
      <c r="E10" s="161"/>
      <c r="F10" s="162"/>
      <c r="G10" s="163" t="s">
        <v>47</v>
      </c>
      <c r="H10" s="164"/>
      <c r="I10" s="165"/>
      <c r="J10" s="4" t="s">
        <v>30</v>
      </c>
      <c r="K10" s="160"/>
      <c r="L10" s="161"/>
      <c r="M10" s="161"/>
      <c r="N10" s="161"/>
      <c r="O10" s="162"/>
      <c r="Q10" s="2" t="s">
        <v>31</v>
      </c>
      <c r="R10" s="6">
        <v>100</v>
      </c>
    </row>
    <row r="11" spans="1:19" ht="17.25" thickBot="1">
      <c r="A11" s="7" t="s">
        <v>32</v>
      </c>
      <c r="B11" s="154"/>
      <c r="C11" s="155"/>
      <c r="D11" s="155"/>
      <c r="E11" s="155"/>
      <c r="F11" s="156"/>
      <c r="G11" s="15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58"/>
      <c r="I11" s="159"/>
      <c r="J11" s="7" t="s">
        <v>32</v>
      </c>
      <c r="K11" s="154"/>
      <c r="L11" s="155"/>
      <c r="M11" s="155"/>
      <c r="N11" s="155"/>
      <c r="O11" s="156"/>
      <c r="Q11" s="66" t="s">
        <v>33</v>
      </c>
      <c r="R11" s="8">
        <v>1000</v>
      </c>
    </row>
    <row r="12" spans="1:19" ht="17.25" thickBot="1"/>
    <row r="13" spans="1:19" ht="17.25" customHeight="1" thickBot="1">
      <c r="A13" s="139" t="s">
        <v>34</v>
      </c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1"/>
      <c r="Q13" s="138"/>
      <c r="R13" s="138"/>
      <c r="S13" s="138"/>
    </row>
    <row r="14" spans="1:19" ht="17.25" customHeight="1" thickBot="1">
      <c r="A14" s="112" t="s">
        <v>35</v>
      </c>
      <c r="B14" s="139" t="s">
        <v>36</v>
      </c>
      <c r="C14" s="141"/>
      <c r="D14" s="139" t="s">
        <v>37</v>
      </c>
      <c r="E14" s="140"/>
      <c r="F14" s="141"/>
      <c r="G14" s="142">
        <f>_xlfn.IFNA(VLOOKUP(B14, 현재가테이블!$B$2:$D$200, 2, FALSE), "-")</f>
        <v>68103000</v>
      </c>
      <c r="H14" s="143"/>
      <c r="I14" s="144"/>
      <c r="J14" s="139" t="s">
        <v>38</v>
      </c>
      <c r="K14" s="140"/>
      <c r="L14" s="141"/>
      <c r="M14" s="145">
        <f>_xlfn.IFNA(VLOOKUP(B14, 현재가테이블!$B$2:$D$200, 3, FALSE), "-")</f>
        <v>-1.37004156E-2</v>
      </c>
      <c r="N14" s="146"/>
      <c r="O14" s="147"/>
      <c r="Q14" s="138"/>
      <c r="R14" s="138"/>
      <c r="S14" s="138"/>
    </row>
    <row r="15" spans="1:19" ht="17.25" customHeight="1" thickBot="1">
      <c r="A15" s="148" t="s">
        <v>39</v>
      </c>
      <c r="B15" s="149" t="str">
        <f>TEXT($G$1, "[$-ko-KR]yyyy-mm-dd(ddd) ") &amp; "오전 00:00"</f>
        <v>2021-05-03(월) 오전 00:00</v>
      </c>
      <c r="C15" s="150"/>
      <c r="D15" s="151" t="str">
        <f>TEXT($G$1, "[$-ko-KR]yyyy-mm-dd(ddd) ") &amp; "오후 14:00"</f>
        <v>2021-05-03(월) 오후 14:00</v>
      </c>
      <c r="E15" s="152"/>
      <c r="F15" s="153"/>
      <c r="G15" s="151" t="str">
        <f>TEXT($G$1, "[$-ko-KR]yyyy-mm-dd(ddd) ") &amp; "오후 19:00"</f>
        <v>2021-05-03(월) 오후 19:00</v>
      </c>
      <c r="H15" s="152"/>
      <c r="I15" s="153"/>
      <c r="J15" s="151" t="str">
        <f>TEXT($G$1, "[$-ko-KR]yyyy-mm-dd(ddd) ") &amp; "오후 21:00"</f>
        <v>2021-05-03(월) 오후 21:00</v>
      </c>
      <c r="K15" s="152"/>
      <c r="L15" s="153"/>
      <c r="M15" s="151" t="str">
        <f>TEXT($G$1+1, "[$-ko-KR]yyyy-mm-dd(ddd) ") &amp; "오전 00:00"</f>
        <v>2021-05-04(화) 오전 00:00</v>
      </c>
      <c r="N15" s="152"/>
      <c r="O15" s="153"/>
      <c r="Q15" s="138"/>
      <c r="R15" s="138"/>
      <c r="S15" s="138"/>
    </row>
    <row r="16" spans="1:19" ht="17.25" customHeight="1" thickBot="1">
      <c r="A16" s="148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6" t="s">
        <v>41</v>
      </c>
      <c r="M16" s="2" t="s">
        <v>37</v>
      </c>
      <c r="N16" s="10" t="s">
        <v>40</v>
      </c>
      <c r="O16" s="67" t="s">
        <v>41</v>
      </c>
      <c r="Q16" s="117"/>
      <c r="R16" s="117"/>
      <c r="S16" s="117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1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38"/>
      <c r="R17" s="138"/>
      <c r="S17" s="138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2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38"/>
      <c r="R18" s="138"/>
      <c r="S18" s="138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2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17"/>
      <c r="R19" s="117"/>
      <c r="S19" s="117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2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17"/>
      <c r="R20" s="117"/>
      <c r="S20" s="117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6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17"/>
      <c r="R21" s="117"/>
      <c r="S21" s="117"/>
    </row>
    <row r="22" spans="1:19" ht="17.25" customHeight="1" thickBot="1">
      <c r="A22" s="17"/>
      <c r="B22" s="107" t="str">
        <f t="shared" si="0"/>
        <v/>
      </c>
      <c r="C22" s="108" t="str">
        <f t="shared" si="1"/>
        <v/>
      </c>
      <c r="D22" s="107" t="str">
        <f t="shared" si="2"/>
        <v/>
      </c>
      <c r="E22" s="108" t="str">
        <f t="shared" si="3"/>
        <v/>
      </c>
      <c r="F22" s="109" t="str">
        <f t="shared" si="4"/>
        <v/>
      </c>
      <c r="G22" s="110" t="str">
        <f t="shared" si="5"/>
        <v/>
      </c>
      <c r="H22" s="108" t="str">
        <f t="shared" si="6"/>
        <v/>
      </c>
      <c r="I22" s="111" t="str">
        <f t="shared" si="7"/>
        <v/>
      </c>
      <c r="J22" s="107" t="str">
        <f t="shared" si="8"/>
        <v/>
      </c>
      <c r="K22" s="108" t="str">
        <f t="shared" si="9"/>
        <v/>
      </c>
      <c r="L22" s="109" t="str">
        <f t="shared" si="10"/>
        <v/>
      </c>
      <c r="M22" s="110" t="str">
        <f t="shared" si="11"/>
        <v/>
      </c>
      <c r="N22" s="108" t="str">
        <f t="shared" si="12"/>
        <v/>
      </c>
      <c r="O22" s="109" t="str">
        <f t="shared" si="13"/>
        <v/>
      </c>
      <c r="Q22" s="117"/>
      <c r="R22" s="117"/>
      <c r="S22" s="11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2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17"/>
      <c r="R23" s="117"/>
      <c r="S23" s="11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2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17"/>
      <c r="R24" s="117"/>
      <c r="S24" s="11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2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5" t="str">
        <f t="shared" si="4"/>
        <v/>
      </c>
      <c r="G26" s="103" t="str">
        <f t="shared" si="5"/>
        <v/>
      </c>
      <c r="H26" s="25" t="str">
        <f t="shared" si="6"/>
        <v/>
      </c>
      <c r="I26" s="104" t="str">
        <f t="shared" si="7"/>
        <v/>
      </c>
      <c r="J26" s="24" t="str">
        <f t="shared" si="8"/>
        <v/>
      </c>
      <c r="K26" s="25" t="str">
        <f t="shared" si="9"/>
        <v/>
      </c>
      <c r="L26" s="105" t="str">
        <f t="shared" si="10"/>
        <v/>
      </c>
      <c r="M26" s="103" t="str">
        <f t="shared" si="11"/>
        <v/>
      </c>
      <c r="N26" s="25" t="str">
        <f t="shared" si="12"/>
        <v/>
      </c>
      <c r="O26" s="105" t="str">
        <f t="shared" si="13"/>
        <v/>
      </c>
      <c r="Q26" s="129"/>
      <c r="R26" s="130"/>
      <c r="S26" s="13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1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32"/>
      <c r="R27" s="133"/>
      <c r="S27" s="13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2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35"/>
      <c r="R28" s="136"/>
      <c r="S28" s="13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2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17"/>
      <c r="R29" s="117"/>
      <c r="S29" s="11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2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38"/>
      <c r="R30" s="138"/>
      <c r="S30" s="13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6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38"/>
      <c r="R31" s="138"/>
      <c r="S31" s="138"/>
    </row>
    <row r="32" spans="1:19" ht="17.25" customHeight="1" thickBot="1">
      <c r="A32" s="17"/>
      <c r="B32" s="107" t="str">
        <f t="shared" si="0"/>
        <v/>
      </c>
      <c r="C32" s="108" t="str">
        <f t="shared" si="1"/>
        <v/>
      </c>
      <c r="D32" s="107" t="str">
        <f t="shared" si="2"/>
        <v/>
      </c>
      <c r="E32" s="108" t="str">
        <f t="shared" si="3"/>
        <v/>
      </c>
      <c r="F32" s="109" t="str">
        <f t="shared" si="4"/>
        <v/>
      </c>
      <c r="G32" s="110" t="str">
        <f t="shared" si="5"/>
        <v/>
      </c>
      <c r="H32" s="108" t="str">
        <f t="shared" si="6"/>
        <v/>
      </c>
      <c r="I32" s="111" t="str">
        <f t="shared" si="7"/>
        <v/>
      </c>
      <c r="J32" s="107" t="str">
        <f t="shared" si="8"/>
        <v/>
      </c>
      <c r="K32" s="108" t="str">
        <f t="shared" si="9"/>
        <v/>
      </c>
      <c r="L32" s="109" t="str">
        <f t="shared" si="10"/>
        <v/>
      </c>
      <c r="M32" s="110" t="str">
        <f t="shared" si="11"/>
        <v/>
      </c>
      <c r="N32" s="108" t="str">
        <f t="shared" si="12"/>
        <v/>
      </c>
      <c r="O32" s="109" t="str">
        <f t="shared" si="13"/>
        <v/>
      </c>
      <c r="Q32" s="117"/>
      <c r="R32" s="117"/>
      <c r="S32" s="11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2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17"/>
      <c r="R33" s="117"/>
      <c r="S33" s="11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2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17"/>
      <c r="R34" s="117"/>
      <c r="S34" s="11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2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18"/>
      <c r="R35" s="119"/>
      <c r="S35" s="120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5" t="str">
        <f t="shared" si="4"/>
        <v/>
      </c>
      <c r="G36" s="103" t="str">
        <f t="shared" si="5"/>
        <v/>
      </c>
      <c r="H36" s="25" t="str">
        <f t="shared" si="6"/>
        <v/>
      </c>
      <c r="I36" s="104" t="str">
        <f t="shared" si="7"/>
        <v/>
      </c>
      <c r="J36" s="24" t="str">
        <f t="shared" si="8"/>
        <v/>
      </c>
      <c r="K36" s="25" t="str">
        <f t="shared" si="9"/>
        <v/>
      </c>
      <c r="L36" s="105" t="str">
        <f t="shared" si="10"/>
        <v/>
      </c>
      <c r="M36" s="103" t="str">
        <f t="shared" si="11"/>
        <v/>
      </c>
      <c r="N36" s="25" t="str">
        <f t="shared" si="12"/>
        <v/>
      </c>
      <c r="O36" s="105" t="str">
        <f t="shared" si="13"/>
        <v/>
      </c>
      <c r="Q36" s="121"/>
      <c r="R36" s="122"/>
      <c r="S36" s="123"/>
    </row>
    <row r="37" spans="1:19" ht="17.25" customHeight="1" thickBot="1">
      <c r="A37" s="26" t="s">
        <v>42</v>
      </c>
      <c r="B37" s="127">
        <v>300000</v>
      </c>
      <c r="C37" s="128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24"/>
      <c r="R37" s="125"/>
      <c r="S37" s="126"/>
    </row>
    <row r="38" spans="1:19" ht="17.25" customHeight="1"/>
    <row r="39" spans="1:19" ht="17.25" customHeight="1" thickBot="1"/>
    <row r="40" spans="1:19" ht="17.25" customHeight="1" thickBot="1">
      <c r="A40" s="139" t="s">
        <v>44</v>
      </c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1"/>
      <c r="Q40" s="138"/>
      <c r="R40" s="138"/>
      <c r="S40" s="138"/>
    </row>
    <row r="41" spans="1:19" ht="17.25" customHeight="1" thickBot="1">
      <c r="A41" s="112" t="s">
        <v>298</v>
      </c>
      <c r="B41" s="139" t="s">
        <v>49</v>
      </c>
      <c r="C41" s="141"/>
      <c r="D41" s="139" t="s">
        <v>58</v>
      </c>
      <c r="E41" s="140"/>
      <c r="F41" s="141"/>
      <c r="G41" s="142">
        <f>_xlfn.IFNA(VLOOKUP(B41, 현재가테이블!$B$2:$D$200, 2, FALSE), "-")</f>
        <v>68103000</v>
      </c>
      <c r="H41" s="143"/>
      <c r="I41" s="144"/>
      <c r="J41" s="139" t="s">
        <v>59</v>
      </c>
      <c r="K41" s="140"/>
      <c r="L41" s="141"/>
      <c r="M41" s="145">
        <f>_xlfn.IFNA(VLOOKUP(B41, 현재가테이블!$B$2:$D$200, 3, FALSE), "-")</f>
        <v>-1.37004156E-2</v>
      </c>
      <c r="N41" s="146"/>
      <c r="O41" s="147"/>
      <c r="Q41" s="138"/>
      <c r="R41" s="138"/>
      <c r="S41" s="138"/>
    </row>
    <row r="42" spans="1:19" ht="17.25" customHeight="1" thickBot="1">
      <c r="A42" s="187" t="s">
        <v>55</v>
      </c>
      <c r="B42" s="189" t="str">
        <f>TEXT($G$1, "[$-ko-KR]yyyy-mm-dd(ddd) ") &amp; "오전 00:00"</f>
        <v>2021-05-03(월) 오전 00:00</v>
      </c>
      <c r="C42" s="190"/>
      <c r="D42" s="151" t="str">
        <f>TEXT($G$1, "[$-ko-KR]yyyy-mm-dd(ddd) ") &amp; "오후 14:00"</f>
        <v>2021-05-03(월) 오후 14:00</v>
      </c>
      <c r="E42" s="152"/>
      <c r="F42" s="153"/>
      <c r="G42" s="151" t="str">
        <f>TEXT($G$1, "[$-ko-KR]yyyy-mm-dd(ddd) ") &amp; "오후 19:00"</f>
        <v>2021-05-03(월) 오후 19:00</v>
      </c>
      <c r="H42" s="152"/>
      <c r="I42" s="153"/>
      <c r="J42" s="151" t="str">
        <f>TEXT($G$1, "[$-ko-KR]yyyy-mm-dd(ddd) ") &amp; "오후 21:00"</f>
        <v>2021-05-03(월) 오후 21:00</v>
      </c>
      <c r="K42" s="152"/>
      <c r="L42" s="153"/>
      <c r="M42" s="151" t="str">
        <f>TEXT($G$1+1, "[$-ko-KR]yyyy-mm-dd(ddd) ") &amp; "오전 00:00"</f>
        <v>2021-05-04(화) 오전 00:00</v>
      </c>
      <c r="N42" s="152"/>
      <c r="O42" s="153"/>
      <c r="Q42" s="138"/>
      <c r="R42" s="138"/>
      <c r="S42" s="138"/>
    </row>
    <row r="43" spans="1:19" ht="17.25" customHeight="1" thickBot="1">
      <c r="A43" s="188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6" t="s">
        <v>300</v>
      </c>
      <c r="M43" s="2" t="s">
        <v>58</v>
      </c>
      <c r="N43" s="10" t="s">
        <v>299</v>
      </c>
      <c r="O43" s="67" t="s">
        <v>300</v>
      </c>
      <c r="Q43" s="117"/>
      <c r="R43" s="117"/>
      <c r="S43" s="117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1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38"/>
      <c r="R44" s="138"/>
      <c r="S44" s="138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2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38"/>
      <c r="R45" s="138"/>
      <c r="S45" s="138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2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17"/>
      <c r="R46" s="117"/>
      <c r="S46" s="117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2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17"/>
      <c r="R47" s="117"/>
      <c r="S47" s="117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6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17"/>
      <c r="R48" s="117"/>
      <c r="S48" s="117"/>
    </row>
    <row r="49" spans="1:19" ht="17.25" customHeight="1" thickBot="1">
      <c r="A49" s="17" t="s">
        <v>214</v>
      </c>
      <c r="B49" s="107">
        <v>24.5</v>
      </c>
      <c r="C49" s="108">
        <v>0</v>
      </c>
      <c r="D49" s="107"/>
      <c r="E49" s="108" t="str">
        <f>IF(ISNUMBER(D49), (D49 - $B49) / $B49, "")</f>
        <v/>
      </c>
      <c r="F49" s="109" t="str">
        <f>IF(ISNUMBER(D49), $B64 * E49, "")</f>
        <v/>
      </c>
      <c r="G49" s="110"/>
      <c r="H49" s="108" t="str">
        <f>IF(ISNUMBER(G49), (G49 - $B49) / $B49, "")</f>
        <v/>
      </c>
      <c r="I49" s="111" t="str">
        <f>IF(ISNUMBER(G49), $B64 * H49, "")</f>
        <v/>
      </c>
      <c r="J49" s="107"/>
      <c r="K49" s="108" t="str">
        <f>IF(ISNUMBER(J49), (J49 - $B49) / $B49, "")</f>
        <v/>
      </c>
      <c r="L49" s="109" t="str">
        <f>IF(ISNUMBER(J49), $B64 * K49, "")</f>
        <v/>
      </c>
      <c r="M49" s="110"/>
      <c r="N49" s="108" t="str">
        <f>IF(ISNUMBER(M49), (M49 - $B49) / $B49, "")</f>
        <v/>
      </c>
      <c r="O49" s="109" t="str">
        <f>IF(ISNUMBER(M49), $B64 * N49, "")</f>
        <v/>
      </c>
      <c r="Q49" s="117"/>
      <c r="R49" s="117"/>
      <c r="S49" s="117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2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17"/>
      <c r="R50" s="117"/>
      <c r="S50" s="117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2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17"/>
      <c r="R51" s="117"/>
      <c r="S51" s="117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2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/>
      <c r="E53" s="25" t="str">
        <f t="shared" si="18"/>
        <v/>
      </c>
      <c r="F53" s="105" t="str">
        <f>IF(ISNUMBER(D53), $B64 * E53, "")</f>
        <v/>
      </c>
      <c r="G53" s="103"/>
      <c r="H53" s="25" t="str">
        <f t="shared" si="19"/>
        <v/>
      </c>
      <c r="I53" s="104" t="str">
        <f>IF(ISNUMBER(G53), $B64 * H53, "")</f>
        <v/>
      </c>
      <c r="J53" s="24"/>
      <c r="K53" s="25" t="str">
        <f t="shared" si="20"/>
        <v/>
      </c>
      <c r="L53" s="105" t="str">
        <f>IF(ISNUMBER(J53), $B64 * K53, "")</f>
        <v/>
      </c>
      <c r="M53" s="103"/>
      <c r="N53" s="25" t="str">
        <f t="shared" si="21"/>
        <v/>
      </c>
      <c r="O53" s="105" t="str">
        <f>IF(ISNUMBER(M53), $B64 * N53, "")</f>
        <v/>
      </c>
      <c r="Q53" s="129"/>
      <c r="R53" s="130"/>
      <c r="S53" s="131"/>
    </row>
    <row r="54" spans="1:19" ht="17.25" customHeight="1">
      <c r="A54" s="12" t="s">
        <v>236</v>
      </c>
      <c r="B54" s="13">
        <v>77.2</v>
      </c>
      <c r="C54" s="14">
        <v>-1.40485313E-2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1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32"/>
      <c r="R54" s="133"/>
      <c r="S54" s="134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2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35"/>
      <c r="R55" s="136"/>
      <c r="S55" s="137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2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17"/>
      <c r="R56" s="117"/>
      <c r="S56" s="117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2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38"/>
      <c r="R57" s="138"/>
      <c r="S57" s="138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6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38"/>
      <c r="R58" s="138"/>
      <c r="S58" s="138"/>
    </row>
    <row r="59" spans="1:19" ht="17.25" customHeight="1" thickBot="1">
      <c r="A59" s="17" t="s">
        <v>72</v>
      </c>
      <c r="B59" s="107">
        <v>36.799999999999997</v>
      </c>
      <c r="C59" s="108">
        <v>-2.3872679000000001E-2</v>
      </c>
      <c r="D59" s="107"/>
      <c r="E59" s="108" t="str">
        <f>IF(ISNUMBER(D59), (D59 - $B59) / $B59, "")</f>
        <v/>
      </c>
      <c r="F59" s="109" t="str">
        <f>IF(ISNUMBER(D59), $B64 * E59, "")</f>
        <v/>
      </c>
      <c r="G59" s="110"/>
      <c r="H59" s="108" t="str">
        <f>IF(ISNUMBER(G59), (G59 - $B59) / $B59, "")</f>
        <v/>
      </c>
      <c r="I59" s="111" t="str">
        <f>IF(ISNUMBER(G59), $B64 * H59, "")</f>
        <v/>
      </c>
      <c r="J59" s="107"/>
      <c r="K59" s="108" t="str">
        <f>IF(ISNUMBER(J59), (J59 - $B59) / $B59, "")</f>
        <v/>
      </c>
      <c r="L59" s="109" t="str">
        <f>IF(ISNUMBER(J59), $B64 * K59, "")</f>
        <v/>
      </c>
      <c r="M59" s="110"/>
      <c r="N59" s="108" t="str">
        <f>IF(ISNUMBER(M59), (M59 - $B59) / $B59, "")</f>
        <v/>
      </c>
      <c r="O59" s="109" t="str">
        <f>IF(ISNUMBER(M59), $B64 * N59, "")</f>
        <v/>
      </c>
      <c r="Q59" s="117"/>
      <c r="R59" s="117"/>
      <c r="S59" s="117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2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17"/>
      <c r="R60" s="117"/>
      <c r="S60" s="117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2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17"/>
      <c r="R61" s="117"/>
      <c r="S61" s="117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2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18"/>
      <c r="R62" s="119"/>
      <c r="S62" s="120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5" t="str">
        <f>IF(ISNUMBER(D63), $B64 * E63, "")</f>
        <v/>
      </c>
      <c r="G63" s="103"/>
      <c r="H63" s="25" t="str">
        <f t="shared" si="27"/>
        <v/>
      </c>
      <c r="I63" s="104" t="str">
        <f>IF(ISNUMBER(G63), $B64 * H63, "")</f>
        <v/>
      </c>
      <c r="J63" s="24"/>
      <c r="K63" s="25" t="str">
        <f t="shared" si="28"/>
        <v/>
      </c>
      <c r="L63" s="105" t="str">
        <f>IF(ISNUMBER(J63), $B64 * K63, "")</f>
        <v/>
      </c>
      <c r="M63" s="103"/>
      <c r="N63" s="25" t="str">
        <f t="shared" si="29"/>
        <v/>
      </c>
      <c r="O63" s="105" t="str">
        <f>IF(ISNUMBER(M63), $B64 * N63, "")</f>
        <v/>
      </c>
      <c r="Q63" s="121"/>
      <c r="R63" s="122"/>
      <c r="S63" s="123"/>
    </row>
    <row r="64" spans="1:19" ht="17.25" customHeight="1" thickBot="1">
      <c r="A64" s="26" t="s">
        <v>301</v>
      </c>
      <c r="B64" s="127">
        <f>$B$37</f>
        <v>300000</v>
      </c>
      <c r="C64" s="128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24"/>
      <c r="R64" s="125"/>
      <c r="S64" s="126"/>
    </row>
    <row r="65" spans="1:19" ht="17.25" customHeight="1"/>
    <row r="66" spans="1:19" ht="17.25" customHeight="1" thickBot="1"/>
    <row r="67" spans="1:19" ht="17.25" thickBot="1">
      <c r="A67" s="139" t="s">
        <v>45</v>
      </c>
      <c r="B67" s="140"/>
      <c r="C67" s="140"/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1"/>
      <c r="Q67" s="138"/>
      <c r="R67" s="138"/>
      <c r="S67" s="138"/>
    </row>
    <row r="68" spans="1:19" ht="17.25" thickBot="1">
      <c r="A68" s="112" t="s">
        <v>298</v>
      </c>
      <c r="B68" s="139" t="s">
        <v>49</v>
      </c>
      <c r="C68" s="141"/>
      <c r="D68" s="139" t="s">
        <v>58</v>
      </c>
      <c r="E68" s="140"/>
      <c r="F68" s="141"/>
      <c r="G68" s="142">
        <f>_xlfn.IFNA(VLOOKUP(B68, 현재가테이블!$B$2:$D$200, 2, FALSE), "-")</f>
        <v>68103000</v>
      </c>
      <c r="H68" s="143"/>
      <c r="I68" s="144"/>
      <c r="J68" s="139" t="s">
        <v>59</v>
      </c>
      <c r="K68" s="140"/>
      <c r="L68" s="141"/>
      <c r="M68" s="145">
        <f>_xlfn.IFNA(VLOOKUP(B68, 현재가테이블!$B$2:$D$200, 3, FALSE), "-")</f>
        <v>-1.37004156E-2</v>
      </c>
      <c r="N68" s="146"/>
      <c r="O68" s="147"/>
      <c r="Q68" s="138"/>
      <c r="R68" s="138"/>
      <c r="S68" s="138"/>
    </row>
    <row r="69" spans="1:19" ht="17.25" thickBot="1">
      <c r="A69" s="187" t="s">
        <v>55</v>
      </c>
      <c r="B69" s="189" t="str">
        <f>TEXT($G$1, "[$-ko-KR]yyyy-mm-dd(ddd) ") &amp; "오전 00:00"</f>
        <v>2021-05-03(월) 오전 00:00</v>
      </c>
      <c r="C69" s="190"/>
      <c r="D69" s="151" t="str">
        <f>TEXT($G$1, "[$-ko-KR]yyyy-mm-dd(ddd) ") &amp; "오후 14:00"</f>
        <v>2021-05-03(월) 오후 14:00</v>
      </c>
      <c r="E69" s="152"/>
      <c r="F69" s="153"/>
      <c r="G69" s="151" t="str">
        <f>TEXT($G$1, "[$-ko-KR]yyyy-mm-dd(ddd) ") &amp; "오후 19:00"</f>
        <v>2021-05-03(월) 오후 19:00</v>
      </c>
      <c r="H69" s="152"/>
      <c r="I69" s="153"/>
      <c r="J69" s="151" t="str">
        <f>TEXT($G$1, "[$-ko-KR]yyyy-mm-dd(ddd) ") &amp; "오후 21:00"</f>
        <v>2021-05-03(월) 오후 21:00</v>
      </c>
      <c r="K69" s="152"/>
      <c r="L69" s="153"/>
      <c r="M69" s="151" t="str">
        <f>TEXT($G$1+1, "[$-ko-KR]yyyy-mm-dd(ddd) ") &amp; "오전 00:00"</f>
        <v>2021-05-04(화) 오전 00:00</v>
      </c>
      <c r="N69" s="152"/>
      <c r="O69" s="153"/>
      <c r="Q69" s="138"/>
      <c r="R69" s="138"/>
      <c r="S69" s="138"/>
    </row>
    <row r="70" spans="1:19" ht="17.25" thickBot="1">
      <c r="A70" s="188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6" t="s">
        <v>300</v>
      </c>
      <c r="M70" s="2" t="s">
        <v>58</v>
      </c>
      <c r="N70" s="10" t="s">
        <v>299</v>
      </c>
      <c r="O70" s="67" t="s">
        <v>300</v>
      </c>
      <c r="Q70" s="117"/>
      <c r="R70" s="117"/>
      <c r="S70" s="117"/>
    </row>
    <row r="71" spans="1:19" ht="17.25" thickBot="1">
      <c r="A71" s="12" t="s">
        <v>202</v>
      </c>
      <c r="B71" s="13">
        <v>252</v>
      </c>
      <c r="C71" s="14">
        <v>0.1454545455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1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38"/>
      <c r="R71" s="138"/>
      <c r="S71" s="138"/>
    </row>
    <row r="72" spans="1:19" ht="17.25" thickBot="1">
      <c r="A72" s="17" t="s">
        <v>212</v>
      </c>
      <c r="B72" s="15">
        <v>181</v>
      </c>
      <c r="C72" s="32">
        <v>0.11042944790000001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2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38"/>
      <c r="R72" s="138"/>
      <c r="S72" s="138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2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17"/>
      <c r="R73" s="117"/>
      <c r="S73" s="117"/>
    </row>
    <row r="74" spans="1:19" ht="17.25" thickBot="1">
      <c r="A74" s="17" t="s">
        <v>230</v>
      </c>
      <c r="B74" s="15">
        <v>198</v>
      </c>
      <c r="C74" s="32">
        <v>4.21052632E-2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2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17"/>
      <c r="R74" s="117"/>
      <c r="S74" s="117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6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17"/>
      <c r="R75" s="117"/>
      <c r="S75" s="117"/>
    </row>
    <row r="76" spans="1:19" ht="17.25" thickBot="1">
      <c r="A76" s="17" t="s">
        <v>268</v>
      </c>
      <c r="B76" s="107">
        <v>101</v>
      </c>
      <c r="C76" s="108">
        <v>2.2267206500000001E-2</v>
      </c>
      <c r="D76" s="107"/>
      <c r="E76" s="108" t="str">
        <f>IF(ISNUMBER(D76), (D76 - $B76) / $B76, "")</f>
        <v/>
      </c>
      <c r="F76" s="109" t="str">
        <f>IF(ISNUMBER(D76), $B91 * E76, "")</f>
        <v/>
      </c>
      <c r="G76" s="110"/>
      <c r="H76" s="108" t="str">
        <f>IF(ISNUMBER(G76), (G76 - $B76) / $B76, "")</f>
        <v/>
      </c>
      <c r="I76" s="111" t="str">
        <f>IF(ISNUMBER(G76), $B91 * H76, "")</f>
        <v/>
      </c>
      <c r="J76" s="107"/>
      <c r="K76" s="108" t="str">
        <f>IF(ISNUMBER(J76), (J76 - $B76) / $B76, "")</f>
        <v/>
      </c>
      <c r="L76" s="109" t="str">
        <f>IF(ISNUMBER(J76), $B91 * K76, "")</f>
        <v/>
      </c>
      <c r="M76" s="110"/>
      <c r="N76" s="108" t="str">
        <f>IF(ISNUMBER(M76), (M76 - $B76) / $B76, "")</f>
        <v/>
      </c>
      <c r="O76" s="109" t="str">
        <f>IF(ISNUMBER(M76), $B91 * N76, "")</f>
        <v/>
      </c>
      <c r="Q76" s="117"/>
      <c r="R76" s="117"/>
      <c r="S76" s="117"/>
    </row>
    <row r="77" spans="1:19" ht="17.25" thickBot="1">
      <c r="A77" s="17" t="s">
        <v>112</v>
      </c>
      <c r="B77" s="15">
        <v>283</v>
      </c>
      <c r="C77" s="32">
        <v>1.43369176E-2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2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17"/>
      <c r="R77" s="117"/>
      <c r="S77" s="117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2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17"/>
      <c r="R78" s="117"/>
      <c r="S78" s="117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2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/>
      <c r="E80" s="25" t="str">
        <f t="shared" si="34"/>
        <v/>
      </c>
      <c r="F80" s="105" t="str">
        <f>IF(ISNUMBER(D80), $B91 * E80, "")</f>
        <v/>
      </c>
      <c r="G80" s="103"/>
      <c r="H80" s="25" t="str">
        <f t="shared" si="35"/>
        <v/>
      </c>
      <c r="I80" s="104" t="str">
        <f>IF(ISNUMBER(G80), $B91 * H80, "")</f>
        <v/>
      </c>
      <c r="J80" s="24"/>
      <c r="K80" s="25" t="str">
        <f t="shared" si="36"/>
        <v/>
      </c>
      <c r="L80" s="105" t="str">
        <f>IF(ISNUMBER(J80), $B91 * K80, "")</f>
        <v/>
      </c>
      <c r="M80" s="103"/>
      <c r="N80" s="25" t="str">
        <f t="shared" si="37"/>
        <v/>
      </c>
      <c r="O80" s="105" t="str">
        <f>IF(ISNUMBER(M80), $B91 * N80, "")</f>
        <v/>
      </c>
      <c r="Q80" s="129"/>
      <c r="R80" s="130"/>
      <c r="S80" s="131"/>
    </row>
    <row r="81" spans="1:19">
      <c r="A81" s="12" t="s">
        <v>142</v>
      </c>
      <c r="B81" s="13">
        <v>424</v>
      </c>
      <c r="C81" s="14">
        <v>-7.0257610999999998E-3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1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32"/>
      <c r="R81" s="133"/>
      <c r="S81" s="134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2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35"/>
      <c r="R82" s="136"/>
      <c r="S82" s="137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2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17"/>
      <c r="R83" s="117"/>
      <c r="S83" s="117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2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38"/>
      <c r="R84" s="138"/>
      <c r="S84" s="138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6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38"/>
      <c r="R85" s="138"/>
      <c r="S85" s="138"/>
    </row>
    <row r="86" spans="1:19" ht="17.25" thickBot="1">
      <c r="A86" s="17" t="s">
        <v>88</v>
      </c>
      <c r="B86" s="107">
        <v>649</v>
      </c>
      <c r="C86" s="108">
        <v>-1.6666666699999999E-2</v>
      </c>
      <c r="D86" s="107"/>
      <c r="E86" s="108" t="str">
        <f>IF(ISNUMBER(D86), (D86 - $B86) / $B86, "")</f>
        <v/>
      </c>
      <c r="F86" s="109" t="str">
        <f>IF(ISNUMBER(D86), $B91 * E86, "")</f>
        <v/>
      </c>
      <c r="G86" s="110"/>
      <c r="H86" s="108" t="str">
        <f>IF(ISNUMBER(G86), (G86 - $B86) / $B86, "")</f>
        <v/>
      </c>
      <c r="I86" s="111" t="str">
        <f>IF(ISNUMBER(G86), $B91 * H86, "")</f>
        <v/>
      </c>
      <c r="J86" s="107"/>
      <c r="K86" s="108" t="str">
        <f>IF(ISNUMBER(J86), (J86 - $B86) / $B86, "")</f>
        <v/>
      </c>
      <c r="L86" s="109" t="str">
        <f>IF(ISNUMBER(J86), $B91 * K86, "")</f>
        <v/>
      </c>
      <c r="M86" s="110"/>
      <c r="N86" s="108" t="str">
        <f>IF(ISNUMBER(M86), (M86 - $B86) / $B86, "")</f>
        <v/>
      </c>
      <c r="O86" s="109" t="str">
        <f>IF(ISNUMBER(M86), $B91 * N86, "")</f>
        <v/>
      </c>
      <c r="Q86" s="117"/>
      <c r="R86" s="117"/>
      <c r="S86" s="117"/>
    </row>
    <row r="87" spans="1:19" ht="17.25" thickBot="1">
      <c r="A87" s="17" t="s">
        <v>200</v>
      </c>
      <c r="B87" s="15">
        <v>407</v>
      </c>
      <c r="C87" s="32">
        <v>-1.69082126E-2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2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17"/>
      <c r="R87" s="117"/>
      <c r="S87" s="117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2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17"/>
      <c r="R88" s="117"/>
      <c r="S88" s="117"/>
    </row>
    <row r="89" spans="1:19">
      <c r="A89" s="17" t="s">
        <v>116</v>
      </c>
      <c r="B89" s="15">
        <v>706</v>
      </c>
      <c r="C89" s="32">
        <v>-1.8080667599999999E-2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2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18"/>
      <c r="R89" s="119"/>
      <c r="S89" s="120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/>
      <c r="E90" s="25" t="str">
        <f t="shared" si="42"/>
        <v/>
      </c>
      <c r="F90" s="105" t="str">
        <f>IF(ISNUMBER(D90), $B91 * E90, "")</f>
        <v/>
      </c>
      <c r="G90" s="103"/>
      <c r="H90" s="25" t="str">
        <f t="shared" si="43"/>
        <v/>
      </c>
      <c r="I90" s="104" t="str">
        <f>IF(ISNUMBER(G90), $B91 * H90, "")</f>
        <v/>
      </c>
      <c r="J90" s="24"/>
      <c r="K90" s="25" t="str">
        <f t="shared" si="44"/>
        <v/>
      </c>
      <c r="L90" s="105" t="str">
        <f>IF(ISNUMBER(J90), $B91 * K90, "")</f>
        <v/>
      </c>
      <c r="M90" s="103"/>
      <c r="N90" s="25" t="str">
        <f t="shared" si="45"/>
        <v/>
      </c>
      <c r="O90" s="105" t="str">
        <f>IF(ISNUMBER(M90), $B91 * N90, "")</f>
        <v/>
      </c>
      <c r="Q90" s="121"/>
      <c r="R90" s="122"/>
      <c r="S90" s="123"/>
    </row>
    <row r="91" spans="1:19" ht="17.25" thickBot="1">
      <c r="A91" s="26" t="s">
        <v>301</v>
      </c>
      <c r="B91" s="127">
        <f>$B$37</f>
        <v>300000</v>
      </c>
      <c r="C91" s="128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24"/>
      <c r="R91" s="125"/>
      <c r="S91" s="126"/>
    </row>
    <row r="93" spans="1:19" ht="17.25" thickBot="1"/>
    <row r="94" spans="1:19" ht="17.25" thickBot="1">
      <c r="A94" s="139" t="s">
        <v>46</v>
      </c>
      <c r="B94" s="140"/>
      <c r="C94" s="140"/>
      <c r="D94" s="140"/>
      <c r="E94" s="140"/>
      <c r="F94" s="140"/>
      <c r="G94" s="140"/>
      <c r="H94" s="140"/>
      <c r="I94" s="140"/>
      <c r="J94" s="140"/>
      <c r="K94" s="140"/>
      <c r="L94" s="140"/>
      <c r="M94" s="140"/>
      <c r="N94" s="140"/>
      <c r="O94" s="141"/>
      <c r="Q94" s="138"/>
      <c r="R94" s="138"/>
      <c r="S94" s="138"/>
    </row>
    <row r="95" spans="1:19" ht="17.25" thickBot="1">
      <c r="A95" s="112" t="s">
        <v>298</v>
      </c>
      <c r="B95" s="139" t="s">
        <v>49</v>
      </c>
      <c r="C95" s="141"/>
      <c r="D95" s="139" t="s">
        <v>58</v>
      </c>
      <c r="E95" s="140"/>
      <c r="F95" s="141"/>
      <c r="G95" s="142">
        <f>_xlfn.IFNA(VLOOKUP(B95, 현재가테이블!$B$2:$D$200, 2, FALSE), "-")</f>
        <v>68103000</v>
      </c>
      <c r="H95" s="143"/>
      <c r="I95" s="144"/>
      <c r="J95" s="139" t="s">
        <v>59</v>
      </c>
      <c r="K95" s="140"/>
      <c r="L95" s="141"/>
      <c r="M95" s="145">
        <f>_xlfn.IFNA(VLOOKUP(B95, 현재가테이블!$B$2:$D$200, 3, FALSE), "-")</f>
        <v>-1.37004156E-2</v>
      </c>
      <c r="N95" s="146"/>
      <c r="O95" s="147"/>
      <c r="Q95" s="138"/>
      <c r="R95" s="138"/>
      <c r="S95" s="138"/>
    </row>
    <row r="96" spans="1:19" ht="17.25" thickBot="1">
      <c r="A96" s="187" t="s">
        <v>55</v>
      </c>
      <c r="B96" s="189" t="str">
        <f>TEXT($G$1, "[$-ko-KR]yyyy-mm-dd(ddd) ") &amp; "오전 00:00"</f>
        <v>2021-05-03(월) 오전 00:00</v>
      </c>
      <c r="C96" s="190"/>
      <c r="D96" s="151" t="str">
        <f>TEXT($G$1, "[$-ko-KR]yyyy-mm-dd(ddd) ") &amp; "오후 14:00"</f>
        <v>2021-05-03(월) 오후 14:00</v>
      </c>
      <c r="E96" s="152"/>
      <c r="F96" s="153"/>
      <c r="G96" s="151" t="str">
        <f>TEXT($G$1, "[$-ko-KR]yyyy-mm-dd(ddd) ") &amp; "오후 19:00"</f>
        <v>2021-05-03(월) 오후 19:00</v>
      </c>
      <c r="H96" s="152"/>
      <c r="I96" s="153"/>
      <c r="J96" s="151" t="str">
        <f>TEXT($G$1, "[$-ko-KR]yyyy-mm-dd(ddd) ") &amp; "오후 21:00"</f>
        <v>2021-05-03(월) 오후 21:00</v>
      </c>
      <c r="K96" s="152"/>
      <c r="L96" s="153"/>
      <c r="M96" s="151" t="str">
        <f>TEXT($G$1+1, "[$-ko-KR]yyyy-mm-dd(ddd) ") &amp; "오전 00:00"</f>
        <v>2021-05-04(화) 오전 00:00</v>
      </c>
      <c r="N96" s="152"/>
      <c r="O96" s="153"/>
      <c r="Q96" s="138"/>
      <c r="R96" s="138"/>
      <c r="S96" s="138"/>
    </row>
    <row r="97" spans="1:19" ht="17.25" thickBot="1">
      <c r="A97" s="188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6" t="s">
        <v>300</v>
      </c>
      <c r="M97" s="2" t="s">
        <v>58</v>
      </c>
      <c r="N97" s="10" t="s">
        <v>299</v>
      </c>
      <c r="O97" s="67" t="s">
        <v>300</v>
      </c>
      <c r="Q97" s="117"/>
      <c r="R97" s="117"/>
      <c r="S97" s="117"/>
    </row>
    <row r="98" spans="1:19" ht="17.25" thickBot="1">
      <c r="A98" s="12" t="s">
        <v>202</v>
      </c>
      <c r="B98" s="13">
        <v>252</v>
      </c>
      <c r="C98" s="14">
        <v>0.1454545455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1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38"/>
      <c r="R98" s="138"/>
      <c r="S98" s="138"/>
    </row>
    <row r="99" spans="1:19" ht="17.25" thickBot="1">
      <c r="A99" s="17" t="s">
        <v>212</v>
      </c>
      <c r="B99" s="15">
        <v>181</v>
      </c>
      <c r="C99" s="32">
        <v>0.11042944790000001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2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38"/>
      <c r="R99" s="138"/>
      <c r="S99" s="138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2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17"/>
      <c r="R100" s="117"/>
      <c r="S100" s="117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2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17"/>
      <c r="R101" s="117"/>
      <c r="S101" s="117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6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17"/>
      <c r="R102" s="117"/>
      <c r="S102" s="117"/>
    </row>
    <row r="103" spans="1:19" ht="17.25" thickBot="1">
      <c r="A103" s="17" t="s">
        <v>262</v>
      </c>
      <c r="B103" s="107">
        <v>1135</v>
      </c>
      <c r="C103" s="108">
        <v>6.0747663600000001E-2</v>
      </c>
      <c r="D103" s="107"/>
      <c r="E103" s="108" t="str">
        <f>IF(ISNUMBER(D103), (D103 - $B103) / $B103, "")</f>
        <v/>
      </c>
      <c r="F103" s="109" t="str">
        <f>IF(ISNUMBER(D103), $B118 * E103, "")</f>
        <v/>
      </c>
      <c r="G103" s="110"/>
      <c r="H103" s="108" t="str">
        <f>IF(ISNUMBER(G103), (G103 - $B103) / $B103, "")</f>
        <v/>
      </c>
      <c r="I103" s="111" t="str">
        <f>IF(ISNUMBER(G103), $B118 * H103, "")</f>
        <v/>
      </c>
      <c r="J103" s="107"/>
      <c r="K103" s="108" t="str">
        <f>IF(ISNUMBER(J103), (J103 - $B103) / $B103, "")</f>
        <v/>
      </c>
      <c r="L103" s="109" t="str">
        <f>IF(ISNUMBER(J103), $B118 * K103, "")</f>
        <v/>
      </c>
      <c r="M103" s="110"/>
      <c r="N103" s="108" t="str">
        <f>IF(ISNUMBER(M103), (M103 - $B103) / $B103, "")</f>
        <v/>
      </c>
      <c r="O103" s="109" t="str">
        <f>IF(ISNUMBER(M103), $B118 * N103, "")</f>
        <v/>
      </c>
      <c r="Q103" s="117"/>
      <c r="R103" s="117"/>
      <c r="S103" s="117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2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17"/>
      <c r="R104" s="117"/>
      <c r="S104" s="117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2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17"/>
      <c r="R105" s="117"/>
      <c r="S105" s="117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2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/>
      <c r="E107" s="25" t="str">
        <f t="shared" si="50"/>
        <v/>
      </c>
      <c r="F107" s="105" t="str">
        <f>IF(ISNUMBER(D107), $B118 * E107, "")</f>
        <v/>
      </c>
      <c r="G107" s="103"/>
      <c r="H107" s="25" t="str">
        <f t="shared" si="51"/>
        <v/>
      </c>
      <c r="I107" s="104" t="str">
        <f>IF(ISNUMBER(G107), $B118 * H107, "")</f>
        <v/>
      </c>
      <c r="J107" s="24"/>
      <c r="K107" s="25" t="str">
        <f t="shared" si="52"/>
        <v/>
      </c>
      <c r="L107" s="105" t="str">
        <f>IF(ISNUMBER(J107), $B118 * K107, "")</f>
        <v/>
      </c>
      <c r="M107" s="103"/>
      <c r="N107" s="25" t="str">
        <f t="shared" si="53"/>
        <v/>
      </c>
      <c r="O107" s="105" t="str">
        <f>IF(ISNUMBER(M107), $B118 * N107, "")</f>
        <v/>
      </c>
      <c r="Q107" s="129"/>
      <c r="R107" s="130"/>
      <c r="S107" s="131"/>
    </row>
    <row r="108" spans="1:19">
      <c r="A108" s="12" t="s">
        <v>122</v>
      </c>
      <c r="B108" s="13">
        <v>130</v>
      </c>
      <c r="C108" s="14">
        <v>3.1746031700000003E-2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1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32"/>
      <c r="R108" s="133"/>
      <c r="S108" s="134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2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35"/>
      <c r="R109" s="136"/>
      <c r="S109" s="137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2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17"/>
      <c r="R110" s="117"/>
      <c r="S110" s="117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2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38"/>
      <c r="R111" s="138"/>
      <c r="S111" s="138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6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38"/>
      <c r="R112" s="138"/>
      <c r="S112" s="138"/>
    </row>
    <row r="113" spans="1:19" ht="17.25" thickBot="1">
      <c r="A113" s="17" t="s">
        <v>254</v>
      </c>
      <c r="B113" s="107">
        <v>96.1</v>
      </c>
      <c r="C113" s="108">
        <v>2.3429180000000001E-2</v>
      </c>
      <c r="D113" s="107"/>
      <c r="E113" s="108" t="str">
        <f>IF(ISNUMBER(D113), (D113 - $B113) / $B113, "")</f>
        <v/>
      </c>
      <c r="F113" s="109" t="str">
        <f>IF(ISNUMBER(D113), $B118 * E113, "")</f>
        <v/>
      </c>
      <c r="G113" s="110"/>
      <c r="H113" s="108" t="str">
        <f>IF(ISNUMBER(G113), (G113 - $B113) / $B113, "")</f>
        <v/>
      </c>
      <c r="I113" s="111" t="str">
        <f>IF(ISNUMBER(G113), $B118 * H113, "")</f>
        <v/>
      </c>
      <c r="J113" s="107"/>
      <c r="K113" s="108" t="str">
        <f>IF(ISNUMBER(J113), (J113 - $B113) / $B113, "")</f>
        <v/>
      </c>
      <c r="L113" s="109" t="str">
        <f>IF(ISNUMBER(J113), $B118 * K113, "")</f>
        <v/>
      </c>
      <c r="M113" s="110"/>
      <c r="N113" s="108" t="str">
        <f>IF(ISNUMBER(M113), (M113 - $B113) / $B113, "")</f>
        <v/>
      </c>
      <c r="O113" s="109" t="str">
        <f>IF(ISNUMBER(M113), $B118 * N113, "")</f>
        <v/>
      </c>
      <c r="Q113" s="117"/>
      <c r="R113" s="117"/>
      <c r="S113" s="117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2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17"/>
      <c r="R114" s="117"/>
      <c r="S114" s="117"/>
    </row>
    <row r="115" spans="1:19" ht="17.25" thickBot="1">
      <c r="A115" s="17" t="s">
        <v>112</v>
      </c>
      <c r="B115" s="15">
        <v>283</v>
      </c>
      <c r="C115" s="32">
        <v>1.43369176E-2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2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17"/>
      <c r="R115" s="117"/>
      <c r="S115" s="117"/>
    </row>
    <row r="116" spans="1:19">
      <c r="A116" s="17" t="s">
        <v>90</v>
      </c>
      <c r="B116" s="15">
        <v>400700</v>
      </c>
      <c r="C116" s="32">
        <v>1.41736269E-2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2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18"/>
      <c r="R116" s="119"/>
      <c r="S116" s="120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/>
      <c r="E117" s="25" t="str">
        <f t="shared" si="58"/>
        <v/>
      </c>
      <c r="F117" s="105" t="str">
        <f>IF(ISNUMBER(D117), $B118 * E117, "")</f>
        <v/>
      </c>
      <c r="G117" s="103"/>
      <c r="H117" s="25" t="str">
        <f t="shared" si="59"/>
        <v/>
      </c>
      <c r="I117" s="104" t="str">
        <f>IF(ISNUMBER(G117), $B118 * H117, "")</f>
        <v/>
      </c>
      <c r="J117" s="24"/>
      <c r="K117" s="25" t="str">
        <f t="shared" si="60"/>
        <v/>
      </c>
      <c r="L117" s="105" t="str">
        <f>IF(ISNUMBER(J117), $B118 * K117, "")</f>
        <v/>
      </c>
      <c r="M117" s="103"/>
      <c r="N117" s="25" t="str">
        <f t="shared" si="61"/>
        <v/>
      </c>
      <c r="O117" s="105" t="str">
        <f>IF(ISNUMBER(M117), $B118 * N117, "")</f>
        <v/>
      </c>
      <c r="Q117" s="121"/>
      <c r="R117" s="122"/>
      <c r="S117" s="123"/>
    </row>
    <row r="118" spans="1:19" ht="17.25" thickBot="1">
      <c r="A118" s="26" t="s">
        <v>301</v>
      </c>
      <c r="B118" s="127">
        <f>$B$37</f>
        <v>300000</v>
      </c>
      <c r="C118" s="128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24"/>
      <c r="R118" s="125"/>
      <c r="S118" s="126"/>
    </row>
    <row r="120" spans="1:19" ht="17.25" thickBot="1"/>
    <row r="121" spans="1:19" ht="17.25" thickBot="1">
      <c r="A121" s="139" t="s">
        <v>288</v>
      </c>
      <c r="B121" s="140"/>
      <c r="C121" s="140"/>
      <c r="D121" s="140"/>
      <c r="E121" s="140"/>
      <c r="F121" s="140"/>
      <c r="G121" s="140"/>
      <c r="H121" s="140"/>
      <c r="I121" s="140"/>
      <c r="J121" s="140"/>
      <c r="K121" s="140"/>
      <c r="L121" s="140"/>
      <c r="M121" s="140"/>
      <c r="N121" s="140"/>
      <c r="O121" s="141"/>
      <c r="Q121" s="138"/>
      <c r="R121" s="138"/>
      <c r="S121" s="138"/>
    </row>
    <row r="122" spans="1:19" ht="17.25" thickBot="1">
      <c r="A122" s="112" t="s">
        <v>298</v>
      </c>
      <c r="B122" s="139" t="s">
        <v>49</v>
      </c>
      <c r="C122" s="141"/>
      <c r="D122" s="139" t="s">
        <v>58</v>
      </c>
      <c r="E122" s="140"/>
      <c r="F122" s="141"/>
      <c r="G122" s="142">
        <f>_xlfn.IFNA(VLOOKUP(B122, 현재가테이블!$B$2:$D$200, 2, FALSE), "-")</f>
        <v>68103000</v>
      </c>
      <c r="H122" s="143"/>
      <c r="I122" s="144"/>
      <c r="J122" s="139" t="s">
        <v>59</v>
      </c>
      <c r="K122" s="140"/>
      <c r="L122" s="141"/>
      <c r="M122" s="145">
        <f>_xlfn.IFNA(VLOOKUP(B122, 현재가테이블!$B$2:$D$200, 3, FALSE), "-")</f>
        <v>-1.37004156E-2</v>
      </c>
      <c r="N122" s="146"/>
      <c r="O122" s="147"/>
      <c r="Q122" s="138"/>
      <c r="R122" s="138"/>
      <c r="S122" s="138"/>
    </row>
    <row r="123" spans="1:19" ht="17.25" thickBot="1">
      <c r="A123" s="187" t="s">
        <v>55</v>
      </c>
      <c r="B123" s="189" t="str">
        <f>TEXT($G$1, "[$-ko-KR]yyyy-mm-dd(ddd) ") &amp; "오전 00:00"</f>
        <v>2021-05-03(월) 오전 00:00</v>
      </c>
      <c r="C123" s="190"/>
      <c r="D123" s="151" t="str">
        <f>TEXT($G$1, "[$-ko-KR]yyyy-mm-dd(ddd) ") &amp; "오후 14:00"</f>
        <v>2021-05-03(월) 오후 14:00</v>
      </c>
      <c r="E123" s="152"/>
      <c r="F123" s="153"/>
      <c r="G123" s="151" t="str">
        <f>TEXT($G$1, "[$-ko-KR]yyyy-mm-dd(ddd) ") &amp; "오후 19:00"</f>
        <v>2021-05-03(월) 오후 19:00</v>
      </c>
      <c r="H123" s="152"/>
      <c r="I123" s="153"/>
      <c r="J123" s="151" t="str">
        <f>TEXT($G$1, "[$-ko-KR]yyyy-mm-dd(ddd) ") &amp; "오후 21:00"</f>
        <v>2021-05-03(월) 오후 21:00</v>
      </c>
      <c r="K123" s="152"/>
      <c r="L123" s="153"/>
      <c r="M123" s="151" t="str">
        <f>TEXT($G$1+1, "[$-ko-KR]yyyy-mm-dd(ddd) ") &amp; "오전 00:00"</f>
        <v>2021-05-04(화) 오전 00:00</v>
      </c>
      <c r="N123" s="152"/>
      <c r="O123" s="153"/>
      <c r="Q123" s="138"/>
      <c r="R123" s="138"/>
      <c r="S123" s="138"/>
    </row>
    <row r="124" spans="1:19" ht="17.25" thickBot="1">
      <c r="A124" s="188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6" t="s">
        <v>300</v>
      </c>
      <c r="M124" s="2" t="s">
        <v>58</v>
      </c>
      <c r="N124" s="10" t="s">
        <v>299</v>
      </c>
      <c r="O124" s="67" t="s">
        <v>300</v>
      </c>
      <c r="Q124" s="117"/>
      <c r="R124" s="117"/>
      <c r="S124" s="117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1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38"/>
      <c r="R125" s="138"/>
      <c r="S125" s="138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2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38"/>
      <c r="R126" s="138"/>
      <c r="S126" s="138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2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17"/>
      <c r="R127" s="117"/>
      <c r="S127" s="117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2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17"/>
      <c r="R128" s="117"/>
      <c r="S128" s="117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6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17"/>
      <c r="R129" s="117"/>
      <c r="S129" s="117"/>
    </row>
    <row r="130" spans="1:19" ht="17.25" thickBot="1">
      <c r="A130" s="17" t="s">
        <v>214</v>
      </c>
      <c r="B130" s="107">
        <v>24.5</v>
      </c>
      <c r="C130" s="108">
        <v>0</v>
      </c>
      <c r="D130" s="107"/>
      <c r="E130" s="108" t="str">
        <f>IF(ISNUMBER(D130), (D130 - $B130) / $B130, "")</f>
        <v/>
      </c>
      <c r="F130" s="109" t="str">
        <f>IF(ISNUMBER(D130), $B145 * E130, "")</f>
        <v/>
      </c>
      <c r="G130" s="110"/>
      <c r="H130" s="108" t="str">
        <f>IF(ISNUMBER(G130), (G130 - $B130) / $B130, "")</f>
        <v/>
      </c>
      <c r="I130" s="111" t="str">
        <f>IF(ISNUMBER(G130), $B145 * H130, "")</f>
        <v/>
      </c>
      <c r="J130" s="107"/>
      <c r="K130" s="108" t="str">
        <f>IF(ISNUMBER(J130), (J130 - $B130) / $B130, "")</f>
        <v/>
      </c>
      <c r="L130" s="109" t="str">
        <f>IF(ISNUMBER(J130), $B145 * K130, "")</f>
        <v/>
      </c>
      <c r="M130" s="110"/>
      <c r="N130" s="108" t="str">
        <f>IF(ISNUMBER(M130), (M130 - $B130) / $B130, "")</f>
        <v/>
      </c>
      <c r="O130" s="109" t="str">
        <f>IF(ISNUMBER(M130), $B145 * N130, "")</f>
        <v/>
      </c>
      <c r="Q130" s="117"/>
      <c r="R130" s="117"/>
      <c r="S130" s="117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2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17"/>
      <c r="R131" s="117"/>
      <c r="S131" s="117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2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17"/>
      <c r="R132" s="117"/>
      <c r="S132" s="117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2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/>
      <c r="E134" s="25" t="str">
        <f t="shared" si="66"/>
        <v/>
      </c>
      <c r="F134" s="105" t="str">
        <f>IF(ISNUMBER(D134), $B145 * E134, "")</f>
        <v/>
      </c>
      <c r="G134" s="103"/>
      <c r="H134" s="25" t="str">
        <f t="shared" si="67"/>
        <v/>
      </c>
      <c r="I134" s="104" t="str">
        <f>IF(ISNUMBER(G134), $B145 * H134, "")</f>
        <v/>
      </c>
      <c r="J134" s="24"/>
      <c r="K134" s="25" t="str">
        <f t="shared" si="68"/>
        <v/>
      </c>
      <c r="L134" s="105" t="str">
        <f>IF(ISNUMBER(J134), $B145 * K134, "")</f>
        <v/>
      </c>
      <c r="M134" s="103"/>
      <c r="N134" s="25" t="str">
        <f t="shared" si="69"/>
        <v/>
      </c>
      <c r="O134" s="105" t="str">
        <f>IF(ISNUMBER(M134), $B145 * N134, "")</f>
        <v/>
      </c>
      <c r="Q134" s="129"/>
      <c r="R134" s="130"/>
      <c r="S134" s="131"/>
    </row>
    <row r="135" spans="1:19">
      <c r="A135" s="12" t="s">
        <v>236</v>
      </c>
      <c r="B135" s="13">
        <v>77.2</v>
      </c>
      <c r="C135" s="14">
        <v>-1.40485313E-2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1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32"/>
      <c r="R135" s="133"/>
      <c r="S135" s="134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2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35"/>
      <c r="R136" s="136"/>
      <c r="S136" s="137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2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17"/>
      <c r="R137" s="117"/>
      <c r="S137" s="117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2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38"/>
      <c r="R138" s="138"/>
      <c r="S138" s="138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6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38"/>
      <c r="R139" s="138"/>
      <c r="S139" s="138"/>
    </row>
    <row r="140" spans="1:19" ht="17.25" thickBot="1">
      <c r="A140" s="17" t="s">
        <v>72</v>
      </c>
      <c r="B140" s="107">
        <v>36.799999999999997</v>
      </c>
      <c r="C140" s="108">
        <v>-2.3872679000000001E-2</v>
      </c>
      <c r="D140" s="107"/>
      <c r="E140" s="108" t="str">
        <f>IF(ISNUMBER(D140), (D140 - $B140) / $B140, "")</f>
        <v/>
      </c>
      <c r="F140" s="109" t="str">
        <f>IF(ISNUMBER(D140), $B145 * E140, "")</f>
        <v/>
      </c>
      <c r="G140" s="110"/>
      <c r="H140" s="108" t="str">
        <f>IF(ISNUMBER(G140), (G140 - $B140) / $B140, "")</f>
        <v/>
      </c>
      <c r="I140" s="111" t="str">
        <f>IF(ISNUMBER(G140), $B145 * H140, "")</f>
        <v/>
      </c>
      <c r="J140" s="107"/>
      <c r="K140" s="108" t="str">
        <f>IF(ISNUMBER(J140), (J140 - $B140) / $B140, "")</f>
        <v/>
      </c>
      <c r="L140" s="109" t="str">
        <f>IF(ISNUMBER(J140), $B145 * K140, "")</f>
        <v/>
      </c>
      <c r="M140" s="110"/>
      <c r="N140" s="108" t="str">
        <f>IF(ISNUMBER(M140), (M140 - $B140) / $B140, "")</f>
        <v/>
      </c>
      <c r="O140" s="109" t="str">
        <f>IF(ISNUMBER(M140), $B145 * N140, "")</f>
        <v/>
      </c>
      <c r="Q140" s="117"/>
      <c r="R140" s="117"/>
      <c r="S140" s="117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2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17"/>
      <c r="R141" s="117"/>
      <c r="S141" s="117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2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17"/>
      <c r="R142" s="117"/>
      <c r="S142" s="117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2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18"/>
      <c r="R143" s="119"/>
      <c r="S143" s="120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5" t="str">
        <f>IF(ISNUMBER(D144), $B145 * E144, "")</f>
        <v/>
      </c>
      <c r="G144" s="103"/>
      <c r="H144" s="25" t="str">
        <f t="shared" si="75"/>
        <v/>
      </c>
      <c r="I144" s="104" t="str">
        <f>IF(ISNUMBER(G144), $B145 * H144, "")</f>
        <v/>
      </c>
      <c r="J144" s="24"/>
      <c r="K144" s="25" t="str">
        <f t="shared" si="76"/>
        <v/>
      </c>
      <c r="L144" s="105" t="str">
        <f>IF(ISNUMBER(J144), $B145 * K144, "")</f>
        <v/>
      </c>
      <c r="M144" s="103"/>
      <c r="N144" s="25" t="str">
        <f t="shared" si="77"/>
        <v/>
      </c>
      <c r="O144" s="105" t="str">
        <f>IF(ISNUMBER(M144), $B145 * N144, "")</f>
        <v/>
      </c>
      <c r="Q144" s="121"/>
      <c r="R144" s="122"/>
      <c r="S144" s="123"/>
    </row>
    <row r="145" spans="1:19" ht="17.25" thickBot="1">
      <c r="A145" s="26" t="s">
        <v>301</v>
      </c>
      <c r="B145" s="127">
        <f>$B$37</f>
        <v>300000</v>
      </c>
      <c r="C145" s="128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24"/>
      <c r="R145" s="125"/>
      <c r="S145" s="126"/>
    </row>
    <row r="147" spans="1:19" ht="17.25" thickBot="1"/>
    <row r="148" spans="1:19" ht="17.25" thickBot="1">
      <c r="A148" s="139" t="s">
        <v>289</v>
      </c>
      <c r="B148" s="140"/>
      <c r="C148" s="140"/>
      <c r="D148" s="140"/>
      <c r="E148" s="140"/>
      <c r="F148" s="140"/>
      <c r="G148" s="140"/>
      <c r="H148" s="140"/>
      <c r="I148" s="140"/>
      <c r="J148" s="140"/>
      <c r="K148" s="140"/>
      <c r="L148" s="140"/>
      <c r="M148" s="140"/>
      <c r="N148" s="140"/>
      <c r="O148" s="141"/>
      <c r="Q148" s="138"/>
      <c r="R148" s="138"/>
      <c r="S148" s="138"/>
    </row>
    <row r="149" spans="1:19" ht="17.25" thickBot="1">
      <c r="A149" s="112" t="s">
        <v>298</v>
      </c>
      <c r="B149" s="139" t="s">
        <v>49</v>
      </c>
      <c r="C149" s="141"/>
      <c r="D149" s="139" t="s">
        <v>58</v>
      </c>
      <c r="E149" s="140"/>
      <c r="F149" s="141"/>
      <c r="G149" s="142">
        <f>_xlfn.IFNA(VLOOKUP(B149, 현재가테이블!$B$2:$D$200, 2, FALSE), "-")</f>
        <v>68103000</v>
      </c>
      <c r="H149" s="143"/>
      <c r="I149" s="144"/>
      <c r="J149" s="139" t="s">
        <v>59</v>
      </c>
      <c r="K149" s="140"/>
      <c r="L149" s="141"/>
      <c r="M149" s="145">
        <f>_xlfn.IFNA(VLOOKUP(B149, 현재가테이블!$B$2:$D$200, 3, FALSE), "-")</f>
        <v>-1.37004156E-2</v>
      </c>
      <c r="N149" s="146"/>
      <c r="O149" s="147"/>
      <c r="Q149" s="138"/>
      <c r="R149" s="138"/>
      <c r="S149" s="138"/>
    </row>
    <row r="150" spans="1:19" ht="17.25" thickBot="1">
      <c r="A150" s="187" t="s">
        <v>55</v>
      </c>
      <c r="B150" s="189" t="str">
        <f>TEXT($G$1, "[$-ko-KR]yyyy-mm-dd(ddd) ") &amp; "오전 00:00"</f>
        <v>2021-05-03(월) 오전 00:00</v>
      </c>
      <c r="C150" s="190"/>
      <c r="D150" s="151" t="str">
        <f>TEXT($G$1, "[$-ko-KR]yyyy-mm-dd(ddd) ") &amp; "오후 14:00"</f>
        <v>2021-05-03(월) 오후 14:00</v>
      </c>
      <c r="E150" s="152"/>
      <c r="F150" s="153"/>
      <c r="G150" s="151" t="str">
        <f>TEXT($G$1, "[$-ko-KR]yyyy-mm-dd(ddd) ") &amp; "오후 19:00"</f>
        <v>2021-05-03(월) 오후 19:00</v>
      </c>
      <c r="H150" s="152"/>
      <c r="I150" s="153"/>
      <c r="J150" s="151" t="str">
        <f>TEXT($G$1, "[$-ko-KR]yyyy-mm-dd(ddd) ") &amp; "오후 21:00"</f>
        <v>2021-05-03(월) 오후 21:00</v>
      </c>
      <c r="K150" s="152"/>
      <c r="L150" s="153"/>
      <c r="M150" s="151" t="str">
        <f>TEXT($G$1+1, "[$-ko-KR]yyyy-mm-dd(ddd) ") &amp; "오전 00:00"</f>
        <v>2021-05-04(화) 오전 00:00</v>
      </c>
      <c r="N150" s="152"/>
      <c r="O150" s="153"/>
      <c r="Q150" s="138"/>
      <c r="R150" s="138"/>
      <c r="S150" s="138"/>
    </row>
    <row r="151" spans="1:19" ht="17.25" thickBot="1">
      <c r="A151" s="188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6" t="s">
        <v>300</v>
      </c>
      <c r="M151" s="2" t="s">
        <v>58</v>
      </c>
      <c r="N151" s="10" t="s">
        <v>299</v>
      </c>
      <c r="O151" s="67" t="s">
        <v>300</v>
      </c>
      <c r="Q151" s="117"/>
      <c r="R151" s="117"/>
      <c r="S151" s="117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1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38"/>
      <c r="R152" s="138"/>
      <c r="S152" s="138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2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38"/>
      <c r="R153" s="138"/>
      <c r="S153" s="138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2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17"/>
      <c r="R154" s="117"/>
      <c r="S154" s="117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2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17"/>
      <c r="R155" s="117"/>
      <c r="S155" s="117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6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17"/>
      <c r="R156" s="117"/>
      <c r="S156" s="117"/>
    </row>
    <row r="157" spans="1:19" ht="17.25" thickBot="1">
      <c r="A157" s="17" t="s">
        <v>120</v>
      </c>
      <c r="B157" s="107">
        <v>226</v>
      </c>
      <c r="C157" s="108">
        <v>-2.1645021600000001E-2</v>
      </c>
      <c r="D157" s="107"/>
      <c r="E157" s="108" t="str">
        <f>IF(ISNUMBER(D157), (D157 - $B157) / $B157, "")</f>
        <v/>
      </c>
      <c r="F157" s="109" t="str">
        <f>IF(ISNUMBER(D157), $B172 * E157, "")</f>
        <v/>
      </c>
      <c r="G157" s="110"/>
      <c r="H157" s="108" t="str">
        <f>IF(ISNUMBER(G157), (G157 - $B157) / $B157, "")</f>
        <v/>
      </c>
      <c r="I157" s="111" t="str">
        <f>IF(ISNUMBER(G157), $B172 * H157, "")</f>
        <v/>
      </c>
      <c r="J157" s="107"/>
      <c r="K157" s="108" t="str">
        <f>IF(ISNUMBER(J157), (J157 - $B157) / $B157, "")</f>
        <v/>
      </c>
      <c r="L157" s="109" t="str">
        <f>IF(ISNUMBER(J157), $B172 * K157, "")</f>
        <v/>
      </c>
      <c r="M157" s="110"/>
      <c r="N157" s="108" t="str">
        <f>IF(ISNUMBER(M157), (M157 - $B157) / $B157, "")</f>
        <v/>
      </c>
      <c r="O157" s="109" t="str">
        <f>IF(ISNUMBER(M157), $B172 * N157, "")</f>
        <v/>
      </c>
      <c r="Q157" s="117"/>
      <c r="R157" s="117"/>
      <c r="S157" s="117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2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17"/>
      <c r="R158" s="117"/>
      <c r="S158" s="117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2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17"/>
      <c r="R159" s="117"/>
      <c r="S159" s="117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2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/>
      <c r="E161" s="25" t="str">
        <f t="shared" si="82"/>
        <v/>
      </c>
      <c r="F161" s="105" t="str">
        <f>IF(ISNUMBER(D161), $B172 * E161, "")</f>
        <v/>
      </c>
      <c r="G161" s="103"/>
      <c r="H161" s="25" t="str">
        <f t="shared" si="83"/>
        <v/>
      </c>
      <c r="I161" s="104" t="str">
        <f>IF(ISNUMBER(G161), $B172 * H161, "")</f>
        <v/>
      </c>
      <c r="J161" s="24"/>
      <c r="K161" s="25" t="str">
        <f t="shared" si="84"/>
        <v/>
      </c>
      <c r="L161" s="105" t="str">
        <f>IF(ISNUMBER(J161), $B172 * K161, "")</f>
        <v/>
      </c>
      <c r="M161" s="103"/>
      <c r="N161" s="25" t="str">
        <f t="shared" si="85"/>
        <v/>
      </c>
      <c r="O161" s="105" t="str">
        <f>IF(ISNUMBER(M161), $B172 * N161, "")</f>
        <v/>
      </c>
      <c r="Q161" s="129"/>
      <c r="R161" s="130"/>
      <c r="S161" s="131"/>
    </row>
    <row r="162" spans="1:19">
      <c r="A162" s="12" t="s">
        <v>168</v>
      </c>
      <c r="B162" s="13">
        <v>207</v>
      </c>
      <c r="C162" s="14">
        <v>-2.3584905699999999E-2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1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32"/>
      <c r="R162" s="133"/>
      <c r="S162" s="134"/>
    </row>
    <row r="163" spans="1:19" ht="17.25" thickBot="1">
      <c r="A163" s="17" t="s">
        <v>296</v>
      </c>
      <c r="B163" s="15">
        <v>454</v>
      </c>
      <c r="C163" s="32">
        <v>-2.3655914E-2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2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35"/>
      <c r="R163" s="136"/>
      <c r="S163" s="137"/>
    </row>
    <row r="164" spans="1:19" ht="17.25" thickBot="1">
      <c r="A164" s="17" t="s">
        <v>284</v>
      </c>
      <c r="B164" s="15">
        <v>469</v>
      </c>
      <c r="C164" s="32">
        <v>-2.69709544E-2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2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17"/>
      <c r="R164" s="117"/>
      <c r="S164" s="117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2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38"/>
      <c r="R165" s="138"/>
      <c r="S165" s="138"/>
    </row>
    <row r="166" spans="1:19" ht="17.25" thickBot="1">
      <c r="A166" s="19" t="s">
        <v>260</v>
      </c>
      <c r="B166" s="20">
        <v>136</v>
      </c>
      <c r="C166" s="21">
        <v>-2.85714286E-2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6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38"/>
      <c r="R166" s="138"/>
      <c r="S166" s="138"/>
    </row>
    <row r="167" spans="1:19" ht="17.25" thickBot="1">
      <c r="A167" s="17" t="s">
        <v>246</v>
      </c>
      <c r="B167" s="107">
        <v>439</v>
      </c>
      <c r="C167" s="108">
        <v>-2.8761061899999999E-2</v>
      </c>
      <c r="D167" s="107"/>
      <c r="E167" s="108" t="str">
        <f>IF(ISNUMBER(D167), (D167 - $B167) / $B167, "")</f>
        <v/>
      </c>
      <c r="F167" s="109" t="str">
        <f>IF(ISNUMBER(D167), $B172 * E167, "")</f>
        <v/>
      </c>
      <c r="G167" s="110"/>
      <c r="H167" s="108" t="str">
        <f>IF(ISNUMBER(G167), (G167 - $B167) / $B167, "")</f>
        <v/>
      </c>
      <c r="I167" s="111" t="str">
        <f>IF(ISNUMBER(G167), $B172 * H167, "")</f>
        <v/>
      </c>
      <c r="J167" s="107"/>
      <c r="K167" s="108" t="str">
        <f>IF(ISNUMBER(J167), (J167 - $B167) / $B167, "")</f>
        <v/>
      </c>
      <c r="L167" s="109" t="str">
        <f>IF(ISNUMBER(J167), $B172 * K167, "")</f>
        <v/>
      </c>
      <c r="M167" s="110"/>
      <c r="N167" s="108" t="str">
        <f>IF(ISNUMBER(M167), (M167 - $B167) / $B167, "")</f>
        <v/>
      </c>
      <c r="O167" s="109" t="str">
        <f>IF(ISNUMBER(M167), $B172 * N167, "")</f>
        <v/>
      </c>
      <c r="Q167" s="117"/>
      <c r="R167" s="117"/>
      <c r="S167" s="117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2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17"/>
      <c r="R168" s="117"/>
      <c r="S168" s="117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2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17"/>
      <c r="R169" s="117"/>
      <c r="S169" s="117"/>
    </row>
    <row r="170" spans="1:19">
      <c r="A170" s="17" t="s">
        <v>250</v>
      </c>
      <c r="B170" s="15">
        <v>242</v>
      </c>
      <c r="C170" s="32">
        <v>-3.5856573699999998E-2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2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18"/>
      <c r="R170" s="119"/>
      <c r="S170" s="120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/>
      <c r="E171" s="25" t="str">
        <f t="shared" si="90"/>
        <v/>
      </c>
      <c r="F171" s="105" t="str">
        <f>IF(ISNUMBER(D171), $B172 * E171, "")</f>
        <v/>
      </c>
      <c r="G171" s="103"/>
      <c r="H171" s="25" t="str">
        <f t="shared" si="91"/>
        <v/>
      </c>
      <c r="I171" s="104" t="str">
        <f>IF(ISNUMBER(G171), $B172 * H171, "")</f>
        <v/>
      </c>
      <c r="J171" s="24"/>
      <c r="K171" s="25" t="str">
        <f t="shared" si="92"/>
        <v/>
      </c>
      <c r="L171" s="105" t="str">
        <f>IF(ISNUMBER(J171), $B172 * K171, "")</f>
        <v/>
      </c>
      <c r="M171" s="103"/>
      <c r="N171" s="25" t="str">
        <f t="shared" si="93"/>
        <v/>
      </c>
      <c r="O171" s="105" t="str">
        <f>IF(ISNUMBER(M171), $B172 * N171, "")</f>
        <v/>
      </c>
      <c r="Q171" s="121"/>
      <c r="R171" s="122"/>
      <c r="S171" s="123"/>
    </row>
    <row r="172" spans="1:19" ht="17.25" thickBot="1">
      <c r="A172" s="26" t="s">
        <v>301</v>
      </c>
      <c r="B172" s="127">
        <f>$B$37</f>
        <v>300000</v>
      </c>
      <c r="C172" s="128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24"/>
      <c r="R172" s="125"/>
      <c r="S172" s="126"/>
    </row>
    <row r="174" spans="1:19" ht="17.25" thickBot="1"/>
    <row r="175" spans="1:19" ht="17.25" thickBot="1">
      <c r="A175" s="139" t="s">
        <v>285</v>
      </c>
      <c r="B175" s="140"/>
      <c r="C175" s="140"/>
      <c r="D175" s="140"/>
      <c r="E175" s="140"/>
      <c r="F175" s="140"/>
      <c r="G175" s="140"/>
      <c r="H175" s="140"/>
      <c r="I175" s="140"/>
      <c r="J175" s="140"/>
      <c r="K175" s="140"/>
      <c r="L175" s="140"/>
      <c r="M175" s="140"/>
      <c r="N175" s="140"/>
      <c r="O175" s="141"/>
      <c r="Q175" s="138"/>
      <c r="R175" s="138"/>
      <c r="S175" s="138"/>
    </row>
    <row r="176" spans="1:19" ht="17.25" thickBot="1">
      <c r="A176" s="112" t="s">
        <v>298</v>
      </c>
      <c r="B176" s="139" t="s">
        <v>49</v>
      </c>
      <c r="C176" s="141"/>
      <c r="D176" s="139" t="s">
        <v>58</v>
      </c>
      <c r="E176" s="140"/>
      <c r="F176" s="141"/>
      <c r="G176" s="142">
        <f>_xlfn.IFNA(VLOOKUP(B176, 현재가테이블!$B$2:$D$200, 2, FALSE), "-")</f>
        <v>68103000</v>
      </c>
      <c r="H176" s="143"/>
      <c r="I176" s="144"/>
      <c r="J176" s="139" t="s">
        <v>59</v>
      </c>
      <c r="K176" s="140"/>
      <c r="L176" s="141"/>
      <c r="M176" s="145">
        <f>_xlfn.IFNA(VLOOKUP(B176, 현재가테이블!$B$2:$D$200, 3, FALSE), "-")</f>
        <v>-1.37004156E-2</v>
      </c>
      <c r="N176" s="146"/>
      <c r="O176" s="147"/>
      <c r="Q176" s="138"/>
      <c r="R176" s="138"/>
      <c r="S176" s="138"/>
    </row>
    <row r="177" spans="1:19" ht="17.25" thickBot="1">
      <c r="A177" s="187" t="s">
        <v>55</v>
      </c>
      <c r="B177" s="189" t="str">
        <f>TEXT($G$1, "[$-ko-KR]yyyy-mm-dd(ddd) ") &amp; "오전 00:00"</f>
        <v>2021-05-03(월) 오전 00:00</v>
      </c>
      <c r="C177" s="190"/>
      <c r="D177" s="151" t="str">
        <f>TEXT($G$1, "[$-ko-KR]yyyy-mm-dd(ddd) ") &amp; "오후 14:00"</f>
        <v>2021-05-03(월) 오후 14:00</v>
      </c>
      <c r="E177" s="152"/>
      <c r="F177" s="153"/>
      <c r="G177" s="151" t="str">
        <f>TEXT($G$1, "[$-ko-KR]yyyy-mm-dd(ddd) ") &amp; "오후 19:00"</f>
        <v>2021-05-03(월) 오후 19:00</v>
      </c>
      <c r="H177" s="152"/>
      <c r="I177" s="153"/>
      <c r="J177" s="151" t="str">
        <f>TEXT($G$1, "[$-ko-KR]yyyy-mm-dd(ddd) ") &amp; "오후 21:00"</f>
        <v>2021-05-03(월) 오후 21:00</v>
      </c>
      <c r="K177" s="152"/>
      <c r="L177" s="153"/>
      <c r="M177" s="151" t="str">
        <f>TEXT($G$1+1, "[$-ko-KR]yyyy-mm-dd(ddd) ") &amp; "오전 00:00"</f>
        <v>2021-05-04(화) 오전 00:00</v>
      </c>
      <c r="N177" s="152"/>
      <c r="O177" s="153"/>
      <c r="Q177" s="138"/>
      <c r="R177" s="138"/>
      <c r="S177" s="138"/>
    </row>
    <row r="178" spans="1:19" ht="17.25" thickBot="1">
      <c r="A178" s="188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6" t="s">
        <v>300</v>
      </c>
      <c r="M178" s="2" t="s">
        <v>58</v>
      </c>
      <c r="N178" s="10" t="s">
        <v>299</v>
      </c>
      <c r="O178" s="67" t="s">
        <v>300</v>
      </c>
      <c r="Q178" s="117"/>
      <c r="R178" s="117"/>
      <c r="S178" s="117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1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38"/>
      <c r="R179" s="138"/>
      <c r="S179" s="138"/>
    </row>
    <row r="180" spans="1:19" ht="17.25" thickBot="1">
      <c r="A180" s="17" t="s">
        <v>284</v>
      </c>
      <c r="B180" s="15">
        <v>469</v>
      </c>
      <c r="C180" s="32">
        <v>-2.69709544E-2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2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38"/>
      <c r="R180" s="138"/>
      <c r="S180" s="138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2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17"/>
      <c r="R181" s="117"/>
      <c r="S181" s="117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2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17"/>
      <c r="R182" s="117"/>
      <c r="S182" s="117"/>
    </row>
    <row r="183" spans="1:19" ht="17.25" thickBot="1">
      <c r="A183" s="19" t="s">
        <v>82</v>
      </c>
      <c r="B183" s="20">
        <v>1575</v>
      </c>
      <c r="C183" s="21">
        <v>-2.77777778E-2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6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17"/>
      <c r="R183" s="117"/>
      <c r="S183" s="117"/>
    </row>
    <row r="184" spans="1:19" ht="17.25" thickBot="1">
      <c r="A184" s="17" t="s">
        <v>148</v>
      </c>
      <c r="B184" s="107">
        <v>207</v>
      </c>
      <c r="C184" s="108">
        <v>-2.8169014100000001E-2</v>
      </c>
      <c r="D184" s="107"/>
      <c r="E184" s="108" t="str">
        <f>IF(ISNUMBER(D184), (D184 - $B184) / $B184, "")</f>
        <v/>
      </c>
      <c r="F184" s="109" t="str">
        <f>IF(ISNUMBER(D184), $B199 * E184, "")</f>
        <v/>
      </c>
      <c r="G184" s="110"/>
      <c r="H184" s="108" t="str">
        <f>IF(ISNUMBER(G184), (G184 - $B184) / $B184, "")</f>
        <v/>
      </c>
      <c r="I184" s="111" t="str">
        <f>IF(ISNUMBER(G184), $B199 * H184, "")</f>
        <v/>
      </c>
      <c r="J184" s="107"/>
      <c r="K184" s="108" t="str">
        <f>IF(ISNUMBER(J184), (J184 - $B184) / $B184, "")</f>
        <v/>
      </c>
      <c r="L184" s="109" t="str">
        <f>IF(ISNUMBER(J184), $B199 * K184, "")</f>
        <v/>
      </c>
      <c r="M184" s="110"/>
      <c r="N184" s="108" t="str">
        <f>IF(ISNUMBER(M184), (M184 - $B184) / $B184, "")</f>
        <v/>
      </c>
      <c r="O184" s="109" t="str">
        <f>IF(ISNUMBER(M184), $B199 * N184, "")</f>
        <v/>
      </c>
      <c r="Q184" s="117"/>
      <c r="R184" s="117"/>
      <c r="S184" s="117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2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17"/>
      <c r="R185" s="117"/>
      <c r="S185" s="117"/>
    </row>
    <row r="186" spans="1:19" ht="17.25" thickBot="1">
      <c r="A186" s="17" t="s">
        <v>260</v>
      </c>
      <c r="B186" s="15">
        <v>136</v>
      </c>
      <c r="C186" s="32">
        <v>-2.85714286E-2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2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17"/>
      <c r="R186" s="117"/>
      <c r="S186" s="117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2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/>
      <c r="E188" s="25" t="str">
        <f t="shared" si="98"/>
        <v/>
      </c>
      <c r="F188" s="105" t="str">
        <f>IF(ISNUMBER(D188), $B199 * E188, "")</f>
        <v/>
      </c>
      <c r="G188" s="103"/>
      <c r="H188" s="25" t="str">
        <f t="shared" si="99"/>
        <v/>
      </c>
      <c r="I188" s="104" t="str">
        <f>IF(ISNUMBER(G188), $B199 * H188, "")</f>
        <v/>
      </c>
      <c r="J188" s="24"/>
      <c r="K188" s="25" t="str">
        <f t="shared" si="100"/>
        <v/>
      </c>
      <c r="L188" s="105" t="str">
        <f>IF(ISNUMBER(J188), $B199 * K188, "")</f>
        <v/>
      </c>
      <c r="M188" s="103"/>
      <c r="N188" s="25" t="str">
        <f t="shared" si="101"/>
        <v/>
      </c>
      <c r="O188" s="105" t="str">
        <f>IF(ISNUMBER(M188), $B199 * N188, "")</f>
        <v/>
      </c>
      <c r="Q188" s="129"/>
      <c r="R188" s="130"/>
      <c r="S188" s="131"/>
    </row>
    <row r="189" spans="1:19">
      <c r="A189" s="12" t="s">
        <v>232</v>
      </c>
      <c r="B189" s="13">
        <v>196</v>
      </c>
      <c r="C189" s="14">
        <v>-2.9702970299999999E-2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1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32"/>
      <c r="R189" s="133"/>
      <c r="S189" s="134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2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35"/>
      <c r="R190" s="136"/>
      <c r="S190" s="137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2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17"/>
      <c r="R191" s="117"/>
      <c r="S191" s="117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2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38"/>
      <c r="R192" s="138"/>
      <c r="S192" s="138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6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38"/>
      <c r="R193" s="138"/>
      <c r="S193" s="138"/>
    </row>
    <row r="194" spans="1:19" ht="17.25" thickBot="1">
      <c r="A194" s="17" t="s">
        <v>250</v>
      </c>
      <c r="B194" s="107">
        <v>242</v>
      </c>
      <c r="C194" s="108">
        <v>-3.5856573699999998E-2</v>
      </c>
      <c r="D194" s="107"/>
      <c r="E194" s="108" t="str">
        <f>IF(ISNUMBER(D194), (D194 - $B194) / $B194, "")</f>
        <v/>
      </c>
      <c r="F194" s="109" t="str">
        <f>IF(ISNUMBER(D194), $B199 * E194, "")</f>
        <v/>
      </c>
      <c r="G194" s="110"/>
      <c r="H194" s="108" t="str">
        <f>IF(ISNUMBER(G194), (G194 - $B194) / $B194, "")</f>
        <v/>
      </c>
      <c r="I194" s="111" t="str">
        <f>IF(ISNUMBER(G194), $B199 * H194, "")</f>
        <v/>
      </c>
      <c r="J194" s="107"/>
      <c r="K194" s="108" t="str">
        <f>IF(ISNUMBER(J194), (J194 - $B194) / $B194, "")</f>
        <v/>
      </c>
      <c r="L194" s="109" t="str">
        <f>IF(ISNUMBER(J194), $B199 * K194, "")</f>
        <v/>
      </c>
      <c r="M194" s="110"/>
      <c r="N194" s="108" t="str">
        <f>IF(ISNUMBER(M194), (M194 - $B194) / $B194, "")</f>
        <v/>
      </c>
      <c r="O194" s="109" t="str">
        <f>IF(ISNUMBER(M194), $B199 * N194, "")</f>
        <v/>
      </c>
      <c r="Q194" s="117"/>
      <c r="R194" s="117"/>
      <c r="S194" s="117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2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17"/>
      <c r="R195" s="117"/>
      <c r="S195" s="117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2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17"/>
      <c r="R196" s="117"/>
      <c r="S196" s="117"/>
    </row>
    <row r="197" spans="1:19">
      <c r="A197" s="17" t="s">
        <v>126</v>
      </c>
      <c r="B197" s="15">
        <v>68.7</v>
      </c>
      <c r="C197" s="32">
        <v>-3.7815126099999999E-2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2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18"/>
      <c r="R197" s="119"/>
      <c r="S197" s="120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/>
      <c r="E198" s="25" t="str">
        <f t="shared" si="106"/>
        <v/>
      </c>
      <c r="F198" s="105" t="str">
        <f>IF(ISNUMBER(D198), $B199 * E198, "")</f>
        <v/>
      </c>
      <c r="G198" s="103"/>
      <c r="H198" s="25" t="str">
        <f t="shared" si="107"/>
        <v/>
      </c>
      <c r="I198" s="104" t="str">
        <f>IF(ISNUMBER(G198), $B199 * H198, "")</f>
        <v/>
      </c>
      <c r="J198" s="24"/>
      <c r="K198" s="25" t="str">
        <f t="shared" si="108"/>
        <v/>
      </c>
      <c r="L198" s="105" t="str">
        <f>IF(ISNUMBER(J198), $B199 * K198, "")</f>
        <v/>
      </c>
      <c r="M198" s="103"/>
      <c r="N198" s="25" t="str">
        <f t="shared" si="109"/>
        <v/>
      </c>
      <c r="O198" s="105" t="str">
        <f>IF(ISNUMBER(M198), $B199 * N198, "")</f>
        <v/>
      </c>
      <c r="Q198" s="121"/>
      <c r="R198" s="122"/>
      <c r="S198" s="123"/>
    </row>
    <row r="199" spans="1:19" ht="17.25" thickBot="1">
      <c r="A199" s="26" t="s">
        <v>301</v>
      </c>
      <c r="B199" s="127">
        <f>$B$37</f>
        <v>300000</v>
      </c>
      <c r="C199" s="128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24"/>
      <c r="R199" s="125"/>
      <c r="S199" s="126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26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9" priority="157">
      <formula>AND($N17 &gt; 0, ISNUMBER($N17))</formula>
    </cfRule>
    <cfRule type="expression" dxfId="250" priority="158">
      <formula>AND($N17 = 0 * ISNUMBER($N17))</formula>
    </cfRule>
    <cfRule type="expression" dxfId="251" priority="159">
      <formula>AND($N17 &lt; 0, ISNUMBER($N17))</formula>
    </cfRule>
  </conditionalFormatting>
  <conditionalFormatting sqref="A17:F36">
    <cfRule type="expression" dxfId="246" priority="166">
      <formula>AND($E17 &gt; 0, ISNUMBER($E17))</formula>
    </cfRule>
    <cfRule type="expression" dxfId="247" priority="167">
      <formula>AND($E17 = 0 * ISNUMBER($E17))</formula>
    </cfRule>
    <cfRule type="expression" dxfId="248" priority="168">
      <formula>AND($E17 &lt; 0, ISNUMBER($E17))</formula>
    </cfRule>
  </conditionalFormatting>
  <conditionalFormatting sqref="A17:C36 G17:I36">
    <cfRule type="expression" dxfId="243" priority="163">
      <formula>AND($H17 &gt; 0, ISNUMBER($H17))</formula>
    </cfRule>
    <cfRule type="expression" dxfId="244" priority="164">
      <formula>AND($H17 = 0 * ISNUMBER($H17))</formula>
    </cfRule>
    <cfRule type="expression" dxfId="245" priority="165">
      <formula>AND($H17 &lt; 0, ISNUMBER($H17))</formula>
    </cfRule>
  </conditionalFormatting>
  <conditionalFormatting sqref="A17:C36 J17:L36">
    <cfRule type="expression" dxfId="242" priority="160">
      <formula>AND($K17 &gt; 0, ISNUMBER($K17))</formula>
    </cfRule>
    <cfRule type="expression" dxfId="241" priority="161">
      <formula>AND($K17 = 0 * ISNUMBER($K17))</formula>
    </cfRule>
    <cfRule type="expression" dxfId="240" priority="162">
      <formula>AND($K17 &lt; 0, ISNUMBER($K17))</formula>
    </cfRule>
  </conditionalFormatting>
  <conditionalFormatting sqref="D15:F16 E37:F37">
    <cfRule type="expression" dxfId="239" priority="154">
      <formula>$E$37 &gt; 0</formula>
    </cfRule>
    <cfRule type="expression" dxfId="238" priority="155">
      <formula>$E$37 = 0</formula>
    </cfRule>
    <cfRule type="expression" dxfId="237" priority="156">
      <formula>$E$37 &lt; 0</formula>
    </cfRule>
  </conditionalFormatting>
  <conditionalFormatting sqref="G15:I16 H37:I37">
    <cfRule type="expression" dxfId="236" priority="151">
      <formula>$H$37 &gt; 0</formula>
    </cfRule>
    <cfRule type="expression" dxfId="235" priority="152">
      <formula>$H$37 = 0</formula>
    </cfRule>
    <cfRule type="expression" dxfId="234" priority="153">
      <formula>$H$37 &lt; 0</formula>
    </cfRule>
  </conditionalFormatting>
  <conditionalFormatting sqref="J15:L16 K37:L37">
    <cfRule type="expression" dxfId="233" priority="148">
      <formula>$K$37 &gt; 0</formula>
    </cfRule>
    <cfRule type="expression" dxfId="232" priority="149">
      <formula>$K$37 = 0</formula>
    </cfRule>
    <cfRule type="expression" dxfId="231" priority="150">
      <formula>$K$37 &lt; 0</formula>
    </cfRule>
  </conditionalFormatting>
  <conditionalFormatting sqref="M15:O16 N37:O37">
    <cfRule type="expression" dxfId="230" priority="145">
      <formula>$N$37 &gt; 0</formula>
    </cfRule>
    <cfRule type="expression" dxfId="229" priority="146">
      <formula>$N$37 = 0</formula>
    </cfRule>
    <cfRule type="expression" dxfId="228" priority="147">
      <formula>$N$37 &lt; 0</formula>
    </cfRule>
  </conditionalFormatting>
  <conditionalFormatting sqref="A44:C63 M44:O63">
    <cfRule type="expression" dxfId="227" priority="133">
      <formula>AND($N44 &gt; 0, ISNUMBER($N44))</formula>
    </cfRule>
    <cfRule type="expression" dxfId="226" priority="134">
      <formula>AND($N44 = 0 * ISNUMBER($N44))</formula>
    </cfRule>
    <cfRule type="expression" dxfId="225" priority="135">
      <formula>AND($N44 &lt; 0, ISNUMBER($N44))</formula>
    </cfRule>
  </conditionalFormatting>
  <conditionalFormatting sqref="A44:F63">
    <cfRule type="expression" dxfId="224" priority="142">
      <formula>AND($E44 &gt; 0, ISNUMBER($E44))</formula>
    </cfRule>
    <cfRule type="expression" dxfId="223" priority="143">
      <formula>AND($E44 = 0 * ISNUMBER($E44))</formula>
    </cfRule>
    <cfRule type="expression" dxfId="222" priority="144">
      <formula>AND($E44 &lt; 0, ISNUMBER($E44))</formula>
    </cfRule>
  </conditionalFormatting>
  <conditionalFormatting sqref="A44:C63 G44:I63">
    <cfRule type="expression" dxfId="221" priority="139">
      <formula>AND($H44 &gt; 0, ISNUMBER($H44))</formula>
    </cfRule>
    <cfRule type="expression" dxfId="220" priority="140">
      <formula>AND($H44 = 0 * ISNUMBER($H44))</formula>
    </cfRule>
    <cfRule type="expression" dxfId="219" priority="141">
      <formula>AND($H44 &lt; 0, ISNUMBER($H44))</formula>
    </cfRule>
  </conditionalFormatting>
  <conditionalFormatting sqref="A44:C63 J44:L63">
    <cfRule type="expression" dxfId="218" priority="136">
      <formula>AND($K44 &gt; 0, ISNUMBER($K44))</formula>
    </cfRule>
    <cfRule type="expression" dxfId="217" priority="137">
      <formula>AND($K44 = 0 * ISNUMBER($K44))</formula>
    </cfRule>
    <cfRule type="expression" dxfId="216" priority="138">
      <formula>AND($K44 &lt; 0, ISNUMBER($K44))</formula>
    </cfRule>
  </conditionalFormatting>
  <conditionalFormatting sqref="D42:F43 E64:F64">
    <cfRule type="expression" dxfId="215" priority="130">
      <formula>$E$64 &gt; 0</formula>
    </cfRule>
    <cfRule type="expression" dxfId="214" priority="131">
      <formula>$E$64 = 0</formula>
    </cfRule>
    <cfRule type="expression" dxfId="213" priority="132">
      <formula>$E$64 &lt; 0</formula>
    </cfRule>
  </conditionalFormatting>
  <conditionalFormatting sqref="G42:I43 H64:I64">
    <cfRule type="expression" dxfId="212" priority="127">
      <formula>$H$64 &gt; 0</formula>
    </cfRule>
    <cfRule type="expression" dxfId="211" priority="128">
      <formula>$H$64 = 0</formula>
    </cfRule>
    <cfRule type="expression" dxfId="210" priority="129">
      <formula>$H$64 &lt; 0</formula>
    </cfRule>
  </conditionalFormatting>
  <conditionalFormatting sqref="J42:L43 K64:L64">
    <cfRule type="expression" dxfId="209" priority="124">
      <formula>$K$64 &gt; 0</formula>
    </cfRule>
    <cfRule type="expression" dxfId="208" priority="125">
      <formula>$K$64 = 0</formula>
    </cfRule>
    <cfRule type="expression" dxfId="207" priority="126">
      <formula>$K$64 &lt; 0</formula>
    </cfRule>
  </conditionalFormatting>
  <conditionalFormatting sqref="M42:O43 N64:O64">
    <cfRule type="expression" dxfId="206" priority="121">
      <formula>$N$64 &gt; 0</formula>
    </cfRule>
    <cfRule type="expression" dxfId="205" priority="122">
      <formula>$N$64 = 0</formula>
    </cfRule>
    <cfRule type="expression" dxfId="204" priority="123">
      <formula>$N$64 &lt; 0</formula>
    </cfRule>
  </conditionalFormatting>
  <conditionalFormatting sqref="A71:C90 M71:O90">
    <cfRule type="expression" dxfId="203" priority="109">
      <formula>AND($N71 &gt; 0, ISNUMBER($N71))</formula>
    </cfRule>
    <cfRule type="expression" dxfId="202" priority="110">
      <formula>AND($N71 = 0 * ISNUMBER($N71))</formula>
    </cfRule>
    <cfRule type="expression" dxfId="201" priority="111">
      <formula>AND($N71 &lt; 0, ISNUMBER($N71))</formula>
    </cfRule>
  </conditionalFormatting>
  <conditionalFormatting sqref="A71:F90">
    <cfRule type="expression" dxfId="200" priority="118">
      <formula>AND($E71 &gt; 0, ISNUMBER($E71))</formula>
    </cfRule>
    <cfRule type="expression" dxfId="199" priority="119">
      <formula>AND($E71 = 0 * ISNUMBER($E71))</formula>
    </cfRule>
    <cfRule type="expression" dxfId="198" priority="120">
      <formula>AND($E71 &lt; 0, ISNUMBER($E71))</formula>
    </cfRule>
  </conditionalFormatting>
  <conditionalFormatting sqref="A71:C90 G71:I90">
    <cfRule type="expression" dxfId="197" priority="115">
      <formula>AND($H71 &gt; 0, ISNUMBER($H71))</formula>
    </cfRule>
    <cfRule type="expression" dxfId="196" priority="116">
      <formula>AND($H71 = 0 * ISNUMBER($H71))</formula>
    </cfRule>
    <cfRule type="expression" dxfId="195" priority="117">
      <formula>AND($H71 &lt; 0, ISNUMBER($H71))</formula>
    </cfRule>
  </conditionalFormatting>
  <conditionalFormatting sqref="A71:C90 J71:L90">
    <cfRule type="expression" dxfId="194" priority="112">
      <formula>AND($K71 &gt; 0, ISNUMBER($K71))</formula>
    </cfRule>
    <cfRule type="expression" dxfId="193" priority="113">
      <formula>AND($K71 = 0 * ISNUMBER($K71))</formula>
    </cfRule>
    <cfRule type="expression" dxfId="192" priority="114">
      <formula>AND($K71 &lt; 0, ISNUMBER($K71))</formula>
    </cfRule>
  </conditionalFormatting>
  <conditionalFormatting sqref="D69:F70 E91:F91">
    <cfRule type="expression" dxfId="191" priority="106">
      <formula>$E$91 &gt; 0</formula>
    </cfRule>
    <cfRule type="expression" dxfId="190" priority="107">
      <formula>$E$91 = 0</formula>
    </cfRule>
    <cfRule type="expression" dxfId="189" priority="108">
      <formula>$E$91 &lt; 0</formula>
    </cfRule>
  </conditionalFormatting>
  <conditionalFormatting sqref="G69:I70 H91:I91">
    <cfRule type="expression" dxfId="188" priority="103">
      <formula>$H$91 &gt; 0</formula>
    </cfRule>
    <cfRule type="expression" dxfId="187" priority="104">
      <formula>$H$91 = 0</formula>
    </cfRule>
    <cfRule type="expression" dxfId="186" priority="105">
      <formula>$H$91 &lt; 0</formula>
    </cfRule>
  </conditionalFormatting>
  <conditionalFormatting sqref="J69:L70 K91:L91">
    <cfRule type="expression" dxfId="185" priority="100">
      <formula>$K$91 &gt; 0</formula>
    </cfRule>
    <cfRule type="expression" dxfId="184" priority="101">
      <formula>$K$91 = 0</formula>
    </cfRule>
    <cfRule type="expression" dxfId="183" priority="102">
      <formula>$K$91 &lt; 0</formula>
    </cfRule>
  </conditionalFormatting>
  <conditionalFormatting sqref="M69:O70 N91:O91">
    <cfRule type="expression" dxfId="182" priority="97">
      <formula>$N$91 &gt; 0</formula>
    </cfRule>
    <cfRule type="expression" dxfId="181" priority="98">
      <formula>$N$91 = 0</formula>
    </cfRule>
    <cfRule type="expression" dxfId="180" priority="99">
      <formula>$N$91 &lt; 0</formula>
    </cfRule>
  </conditionalFormatting>
  <conditionalFormatting sqref="A98:C117 M98:O117">
    <cfRule type="expression" dxfId="179" priority="85">
      <formula>AND($N98 &gt; 0, ISNUMBER($N98))</formula>
    </cfRule>
    <cfRule type="expression" dxfId="178" priority="86">
      <formula>AND($N98 = 0 * ISNUMBER($N98))</formula>
    </cfRule>
    <cfRule type="expression" dxfId="177" priority="87">
      <formula>AND($N98 &lt; 0, ISNUMBER($N98))</formula>
    </cfRule>
  </conditionalFormatting>
  <conditionalFormatting sqref="A98:F117">
    <cfRule type="expression" dxfId="176" priority="94">
      <formula>AND($E98 &gt; 0, ISNUMBER($E98))</formula>
    </cfRule>
    <cfRule type="expression" dxfId="175" priority="95">
      <formula>AND($E98 = 0 * ISNUMBER($E98))</formula>
    </cfRule>
    <cfRule type="expression" dxfId="174" priority="96">
      <formula>AND($E98 &lt; 0, ISNUMBER($E98))</formula>
    </cfRule>
  </conditionalFormatting>
  <conditionalFormatting sqref="A98:C117 G98:I117">
    <cfRule type="expression" dxfId="173" priority="91">
      <formula>AND($H98 &gt; 0, ISNUMBER($H98))</formula>
    </cfRule>
    <cfRule type="expression" dxfId="172" priority="92">
      <formula>AND($H98 = 0 * ISNUMBER($H98))</formula>
    </cfRule>
    <cfRule type="expression" dxfId="171" priority="93">
      <formula>AND($H98 &lt; 0, ISNUMBER($H98))</formula>
    </cfRule>
  </conditionalFormatting>
  <conditionalFormatting sqref="A98:C117 J98:L117">
    <cfRule type="expression" dxfId="170" priority="88">
      <formula>AND($K98 &gt; 0, ISNUMBER($K98))</formula>
    </cfRule>
    <cfRule type="expression" dxfId="169" priority="89">
      <formula>AND($K98 = 0 * ISNUMBER($K98))</formula>
    </cfRule>
    <cfRule type="expression" dxfId="168" priority="90">
      <formula>AND($K98 &lt; 0, ISNUMBER($K98))</formula>
    </cfRule>
  </conditionalFormatting>
  <conditionalFormatting sqref="D96:F97 E118:F118">
    <cfRule type="expression" dxfId="167" priority="82">
      <formula>$E$118 &gt; 0</formula>
    </cfRule>
    <cfRule type="expression" dxfId="166" priority="83">
      <formula>$E$118 = 0</formula>
    </cfRule>
    <cfRule type="expression" dxfId="165" priority="84">
      <formula>$E$118 &lt; 0</formula>
    </cfRule>
  </conditionalFormatting>
  <conditionalFormatting sqref="G96:I97 H118:I118">
    <cfRule type="expression" dxfId="164" priority="79">
      <formula>$H$118 &gt; 0</formula>
    </cfRule>
    <cfRule type="expression" dxfId="163" priority="80">
      <formula>$H$118 = 0</formula>
    </cfRule>
    <cfRule type="expression" dxfId="162" priority="81">
      <formula>$H$118 &lt; 0</formula>
    </cfRule>
  </conditionalFormatting>
  <conditionalFormatting sqref="J96:L97 K118:L118">
    <cfRule type="expression" dxfId="161" priority="76">
      <formula>$K$118 &gt; 0</formula>
    </cfRule>
    <cfRule type="expression" dxfId="160" priority="77">
      <formula>$K$118 = 0</formula>
    </cfRule>
    <cfRule type="expression" dxfId="159" priority="78">
      <formula>$K$118 &lt; 0</formula>
    </cfRule>
  </conditionalFormatting>
  <conditionalFormatting sqref="M96:O97 N118:O118">
    <cfRule type="expression" dxfId="158" priority="73">
      <formula>$N$118 &gt; 0</formula>
    </cfRule>
    <cfRule type="expression" dxfId="157" priority="74">
      <formula>$N$118 = 0</formula>
    </cfRule>
    <cfRule type="expression" dxfId="156" priority="75">
      <formula>$N$118 &lt; 0</formula>
    </cfRule>
  </conditionalFormatting>
  <conditionalFormatting sqref="A125:C144 M125:O144">
    <cfRule type="expression" dxfId="155" priority="61">
      <formula>AND($N125 &gt; 0, ISNUMBER($N125))</formula>
    </cfRule>
    <cfRule type="expression" dxfId="154" priority="62">
      <formula>AND($N125 = 0 * ISNUMBER($N125))</formula>
    </cfRule>
    <cfRule type="expression" dxfId="153" priority="63">
      <formula>AND($N125 &lt; 0, ISNUMBER($N125))</formula>
    </cfRule>
  </conditionalFormatting>
  <conditionalFormatting sqref="A125:F144">
    <cfRule type="expression" dxfId="152" priority="70">
      <formula>AND($E125 &gt; 0, ISNUMBER($E125))</formula>
    </cfRule>
    <cfRule type="expression" dxfId="151" priority="71">
      <formula>AND($E125 = 0 * ISNUMBER($E125))</formula>
    </cfRule>
    <cfRule type="expression" dxfId="150" priority="72">
      <formula>AND($E125 &lt; 0, ISNUMBER($E125))</formula>
    </cfRule>
  </conditionalFormatting>
  <conditionalFormatting sqref="A125:C144 G125:I144">
    <cfRule type="expression" dxfId="149" priority="67">
      <formula>AND($H125 &gt; 0, ISNUMBER($H125))</formula>
    </cfRule>
    <cfRule type="expression" dxfId="148" priority="68">
      <formula>AND($H125 = 0 * ISNUMBER($H125))</formula>
    </cfRule>
    <cfRule type="expression" dxfId="147" priority="69">
      <formula>AND($H125 &lt; 0, ISNUMBER($H125))</formula>
    </cfRule>
  </conditionalFormatting>
  <conditionalFormatting sqref="A125:C144 J125:L144">
    <cfRule type="expression" dxfId="146" priority="64">
      <formula>AND($K125 &gt; 0, ISNUMBER($K125))</formula>
    </cfRule>
    <cfRule type="expression" dxfId="145" priority="65">
      <formula>AND($K125 = 0 * ISNUMBER($K125))</formula>
    </cfRule>
    <cfRule type="expression" dxfId="144" priority="66">
      <formula>AND($K125 &lt; 0, ISNUMBER($K125))</formula>
    </cfRule>
  </conditionalFormatting>
  <conditionalFormatting sqref="D123:F124 E145:F145">
    <cfRule type="expression" dxfId="143" priority="58">
      <formula>$E$145 &gt; 0</formula>
    </cfRule>
    <cfRule type="expression" dxfId="142" priority="59">
      <formula>$E$145 = 0</formula>
    </cfRule>
    <cfRule type="expression" dxfId="141" priority="60">
      <formula>$E$145 &lt; 0</formula>
    </cfRule>
  </conditionalFormatting>
  <conditionalFormatting sqref="G123:I124 H145:I145">
    <cfRule type="expression" dxfId="140" priority="55">
      <formula>$H$145 &gt; 0</formula>
    </cfRule>
    <cfRule type="expression" dxfId="139" priority="56">
      <formula>$H$145 = 0</formula>
    </cfRule>
    <cfRule type="expression" dxfId="138" priority="57">
      <formula>$H$145 &lt; 0</formula>
    </cfRule>
  </conditionalFormatting>
  <conditionalFormatting sqref="J123:L124 K145:L145">
    <cfRule type="expression" dxfId="137" priority="52">
      <formula>$K$145 &gt; 0</formula>
    </cfRule>
    <cfRule type="expression" dxfId="136" priority="53">
      <formula>$K$145 = 0</formula>
    </cfRule>
    <cfRule type="expression" dxfId="135" priority="54">
      <formula>$K$145 &lt; 0</formula>
    </cfRule>
  </conditionalFormatting>
  <conditionalFormatting sqref="M123:O124 N145:O145">
    <cfRule type="expression" dxfId="134" priority="49">
      <formula>$N$145 &gt; 0</formula>
    </cfRule>
    <cfRule type="expression" dxfId="133" priority="50">
      <formula>$N$145 = 0</formula>
    </cfRule>
    <cfRule type="expression" dxfId="132" priority="51">
      <formula>$N$145 &lt; 0</formula>
    </cfRule>
  </conditionalFormatting>
  <conditionalFormatting sqref="A152:C171 M152:O171">
    <cfRule type="expression" dxfId="131" priority="37">
      <formula>AND($N152 &gt; 0, ISNUMBER($N152))</formula>
    </cfRule>
    <cfRule type="expression" dxfId="130" priority="38">
      <formula>AND($N152 = 0 * ISNUMBER($N152))</formula>
    </cfRule>
    <cfRule type="expression" dxfId="129" priority="39">
      <formula>AND($N152 &lt; 0, ISNUMBER($N152))</formula>
    </cfRule>
  </conditionalFormatting>
  <conditionalFormatting sqref="A152:F171">
    <cfRule type="expression" dxfId="128" priority="46">
      <formula>AND($E152 &gt; 0, ISNUMBER($E152))</formula>
    </cfRule>
    <cfRule type="expression" dxfId="127" priority="47">
      <formula>AND($E152 = 0 * ISNUMBER($E152))</formula>
    </cfRule>
    <cfRule type="expression" dxfId="126" priority="48">
      <formula>AND($E152 &lt; 0, ISNUMBER($E152))</formula>
    </cfRule>
  </conditionalFormatting>
  <conditionalFormatting sqref="A152:C171 G152:I171">
    <cfRule type="expression" dxfId="125" priority="43">
      <formula>AND($H152 &gt; 0, ISNUMBER($H152))</formula>
    </cfRule>
    <cfRule type="expression" dxfId="124" priority="44">
      <formula>AND($H152 = 0 * ISNUMBER($H152))</formula>
    </cfRule>
    <cfRule type="expression" dxfId="123" priority="45">
      <formula>AND($H152 &lt; 0, ISNUMBER($H152))</formula>
    </cfRule>
  </conditionalFormatting>
  <conditionalFormatting sqref="A152:C171 J152:L171">
    <cfRule type="expression" dxfId="122" priority="40">
      <formula>AND($K152 &gt; 0, ISNUMBER($K152))</formula>
    </cfRule>
    <cfRule type="expression" dxfId="121" priority="41">
      <formula>AND($K152 = 0 * ISNUMBER($K152))</formula>
    </cfRule>
    <cfRule type="expression" dxfId="120" priority="42">
      <formula>AND($K152 &lt; 0, ISNUMBER($K152))</formula>
    </cfRule>
  </conditionalFormatting>
  <conditionalFormatting sqref="D150:F151 E172:F172">
    <cfRule type="expression" dxfId="119" priority="34">
      <formula>$E$172 &gt; 0</formula>
    </cfRule>
    <cfRule type="expression" dxfId="118" priority="35">
      <formula>$E$172 = 0</formula>
    </cfRule>
    <cfRule type="expression" dxfId="117" priority="36">
      <formula>$E$172 &lt; 0</formula>
    </cfRule>
  </conditionalFormatting>
  <conditionalFormatting sqref="G150:I151 H172:I172">
    <cfRule type="expression" dxfId="116" priority="31">
      <formula>$H$172 &gt; 0</formula>
    </cfRule>
    <cfRule type="expression" dxfId="115" priority="32">
      <formula>$H$172 = 0</formula>
    </cfRule>
    <cfRule type="expression" dxfId="114" priority="33">
      <formula>$H$172 &lt; 0</formula>
    </cfRule>
  </conditionalFormatting>
  <conditionalFormatting sqref="J150:L151 K172:L172">
    <cfRule type="expression" dxfId="113" priority="28">
      <formula>$K$172 &gt; 0</formula>
    </cfRule>
    <cfRule type="expression" dxfId="112" priority="29">
      <formula>$K$172 = 0</formula>
    </cfRule>
    <cfRule type="expression" dxfId="111" priority="30">
      <formula>$K$172 &lt; 0</formula>
    </cfRule>
  </conditionalFormatting>
  <conditionalFormatting sqref="M150:O151 N172:O172">
    <cfRule type="expression" dxfId="110" priority="25">
      <formula>$N$172 &gt; 0</formula>
    </cfRule>
    <cfRule type="expression" dxfId="109" priority="26">
      <formula>$N$172 = 0</formula>
    </cfRule>
    <cfRule type="expression" dxfId="108" priority="27">
      <formula>$N$172 &lt; 0</formula>
    </cfRule>
  </conditionalFormatting>
  <conditionalFormatting sqref="A179:C198 M179:O198">
    <cfRule type="expression" dxfId="107" priority="13">
      <formula>AND($N179 &gt; 0, ISNUMBER($N179))</formula>
    </cfRule>
    <cfRule type="expression" dxfId="106" priority="14">
      <formula>AND($N179 = 0 * ISNUMBER($N179))</formula>
    </cfRule>
    <cfRule type="expression" dxfId="105" priority="15">
      <formula>AND($N179 &lt; 0, ISNUMBER($N179))</formula>
    </cfRule>
  </conditionalFormatting>
  <conditionalFormatting sqref="A179:F198">
    <cfRule type="expression" dxfId="104" priority="22">
      <formula>AND($E179 &gt; 0, ISNUMBER($E179))</formula>
    </cfRule>
    <cfRule type="expression" dxfId="103" priority="23">
      <formula>AND($E179 = 0 * ISNUMBER($E179))</formula>
    </cfRule>
    <cfRule type="expression" dxfId="102" priority="24">
      <formula>AND($E179 &lt; 0, ISNUMBER($E179))</formula>
    </cfRule>
  </conditionalFormatting>
  <conditionalFormatting sqref="A179:C198 G179:I198">
    <cfRule type="expression" dxfId="101" priority="19">
      <formula>AND($H179 &gt; 0, ISNUMBER($H179))</formula>
    </cfRule>
    <cfRule type="expression" dxfId="100" priority="20">
      <formula>AND($H179 = 0 * ISNUMBER($H179))</formula>
    </cfRule>
    <cfRule type="expression" dxfId="99" priority="21">
      <formula>AND($H179 &lt; 0, ISNUMBER($H179))</formula>
    </cfRule>
  </conditionalFormatting>
  <conditionalFormatting sqref="A179:C198 J179:L198">
    <cfRule type="expression" dxfId="98" priority="16">
      <formula>AND($K179 &gt; 0, ISNUMBER($K179))</formula>
    </cfRule>
    <cfRule type="expression" dxfId="97" priority="17">
      <formula>AND($K179 = 0 * ISNUMBER($K179))</formula>
    </cfRule>
    <cfRule type="expression" dxfId="96" priority="18">
      <formula>AND($K179 &lt; 0, ISNUMBER($K179))</formula>
    </cfRule>
  </conditionalFormatting>
  <conditionalFormatting sqref="D177:F178 E199:F199">
    <cfRule type="expression" dxfId="95" priority="10">
      <formula>$E$199 &gt; 0</formula>
    </cfRule>
    <cfRule type="expression" dxfId="94" priority="11">
      <formula>$E$199 = 0</formula>
    </cfRule>
    <cfRule type="expression" dxfId="93" priority="12">
      <formula>$E$199 &lt; 0</formula>
    </cfRule>
  </conditionalFormatting>
  <conditionalFormatting sqref="G177:I178 H199:I199">
    <cfRule type="expression" dxfId="92" priority="7">
      <formula>$H$199 &gt; 0</formula>
    </cfRule>
    <cfRule type="expression" dxfId="91" priority="8">
      <formula>$H$199 = 0</formula>
    </cfRule>
    <cfRule type="expression" dxfId="90" priority="9">
      <formula>$H$199 &lt; 0</formula>
    </cfRule>
  </conditionalFormatting>
  <conditionalFormatting sqref="J177:L178 K199:L199">
    <cfRule type="expression" dxfId="89" priority="4">
      <formula>$K$199 &gt; 0</formula>
    </cfRule>
    <cfRule type="expression" dxfId="88" priority="5">
      <formula>$K$199 = 0</formula>
    </cfRule>
    <cfRule type="expression" dxfId="87" priority="6">
      <formula>$K$199 &lt; 0</formula>
    </cfRule>
  </conditionalFormatting>
  <conditionalFormatting sqref="M177:O178 N199:O199">
    <cfRule type="expression" dxfId="86" priority="1">
      <formula>$N$199 &gt; 0</formula>
    </cfRule>
    <cfRule type="expression" dxfId="85" priority="2">
      <formula>$N$199 = 0</formula>
    </cfRule>
    <cfRule type="expression" dxfId="8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투자전략(조건부서식초기화)</vt:lpstr>
      <vt:lpstr>투자전략</vt:lpstr>
      <vt:lpstr>월말정산</vt:lpstr>
      <vt:lpstr>현재가테이블</vt:lpstr>
      <vt:lpstr>종목선정</vt:lpstr>
      <vt:lpstr>2021.05.01</vt:lpstr>
      <vt:lpstr>2021.05.02</vt:lpstr>
      <vt:lpstr>2021.05.03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2021-05-02T16:25:42Z</dcterms:modified>
</cp:coreProperties>
</file>